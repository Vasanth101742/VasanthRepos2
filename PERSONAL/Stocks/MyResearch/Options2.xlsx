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Stk2/Options/"/>
    </mc:Choice>
  </mc:AlternateContent>
  <xr:revisionPtr revIDLastSave="111" documentId="13_ncr:1_{79113484-93E7-4A94-9688-9EBA881C4AC5}" xr6:coauthVersionLast="47" xr6:coauthVersionMax="47" xr10:uidLastSave="{9FF7226E-A6E8-44B9-BF8F-7334AA6C2FF3}"/>
  <bookViews>
    <workbookView xWindow="-120" yWindow="-120" windowWidth="20730" windowHeight="11040" xr2:uid="{00000000-000D-0000-FFFF-FFFF00000000}"/>
  </bookViews>
  <sheets>
    <sheet name="Pivot" sheetId="3" r:id="rId1"/>
    <sheet name="Details" sheetId="1" r:id="rId2"/>
    <sheet name="ICICI" sheetId="5" r:id="rId3"/>
    <sheet name="Others" sheetId="6" r:id="rId4"/>
    <sheet name="OI Trend" sheetId="7" r:id="rId5"/>
    <sheet name="PV Analysis" sheetId="10" r:id="rId6"/>
    <sheet name="Strategy" sheetId="9" r:id="rId7"/>
    <sheet name="Sheet1" sheetId="11" r:id="rId8"/>
  </sheets>
  <definedNames>
    <definedName name="_xlnm._FilterDatabase" localSheetId="1" hidden="1">Details!$A$1:$Y$1477</definedName>
  </definedNames>
  <calcPr calcId="191029"/>
  <pivotCaches>
    <pivotCache cacheId="7" r:id="rId9"/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78" i="1" l="1"/>
  <c r="R1478" i="1"/>
  <c r="S1478" i="1" s="1"/>
  <c r="T1478" i="1"/>
  <c r="U1478" i="1" s="1"/>
  <c r="W1478" i="1"/>
  <c r="X1478" i="1"/>
  <c r="Y1478" i="1"/>
  <c r="Q1479" i="1"/>
  <c r="R1479" i="1"/>
  <c r="S1479" i="1" s="1"/>
  <c r="W1479" i="1"/>
  <c r="X1479" i="1"/>
  <c r="Y1479" i="1"/>
  <c r="Q1480" i="1"/>
  <c r="R1480" i="1"/>
  <c r="S1480" i="1" s="1"/>
  <c r="V1480" i="1" s="1"/>
  <c r="T1480" i="1"/>
  <c r="U1480" i="1"/>
  <c r="W1480" i="1"/>
  <c r="X1480" i="1"/>
  <c r="Y1480" i="1"/>
  <c r="Q1481" i="1"/>
  <c r="W1481" i="1" s="1"/>
  <c r="R1481" i="1"/>
  <c r="S1481" i="1"/>
  <c r="V1481" i="1" s="1"/>
  <c r="T1481" i="1"/>
  <c r="U1481" i="1"/>
  <c r="X1481" i="1"/>
  <c r="Y1481" i="1"/>
  <c r="Q1482" i="1"/>
  <c r="R1482" i="1"/>
  <c r="S1482" i="1"/>
  <c r="V1482" i="1" s="1"/>
  <c r="T1482" i="1"/>
  <c r="U1482" i="1"/>
  <c r="W1482" i="1"/>
  <c r="X1482" i="1"/>
  <c r="Y1482" i="1" s="1"/>
  <c r="Q1483" i="1"/>
  <c r="W1483" i="1" s="1"/>
  <c r="R1483" i="1"/>
  <c r="T1483" i="1" s="1"/>
  <c r="U1483" i="1" s="1"/>
  <c r="S1483" i="1"/>
  <c r="V1483" i="1" s="1"/>
  <c r="X1483" i="1"/>
  <c r="Y1483" i="1"/>
  <c r="Q1484" i="1"/>
  <c r="W1484" i="1" s="1"/>
  <c r="R1484" i="1"/>
  <c r="S1484" i="1"/>
  <c r="V1484" i="1" s="1"/>
  <c r="T1484" i="1"/>
  <c r="U1484" i="1"/>
  <c r="X1484" i="1"/>
  <c r="Y1484" i="1"/>
  <c r="Q1485" i="1"/>
  <c r="S1485" i="1" s="1"/>
  <c r="R1485" i="1"/>
  <c r="T1485" i="1"/>
  <c r="U1485" i="1" s="1"/>
  <c r="X1485" i="1"/>
  <c r="Y1485" i="1" s="1"/>
  <c r="Q1486" i="1"/>
  <c r="S1486" i="1" s="1"/>
  <c r="R1486" i="1"/>
  <c r="T1486" i="1"/>
  <c r="U1486" i="1" s="1"/>
  <c r="W1486" i="1"/>
  <c r="X1486" i="1"/>
  <c r="Y1486" i="1" s="1"/>
  <c r="Q1487" i="1"/>
  <c r="R1487" i="1"/>
  <c r="S1487" i="1" s="1"/>
  <c r="V1487" i="1" s="1"/>
  <c r="T1487" i="1"/>
  <c r="U1487" i="1"/>
  <c r="W1487" i="1"/>
  <c r="X1487" i="1"/>
  <c r="Y1487" i="1" s="1"/>
  <c r="Q1488" i="1"/>
  <c r="W1488" i="1" s="1"/>
  <c r="R1488" i="1"/>
  <c r="S1488" i="1" s="1"/>
  <c r="V1488" i="1" s="1"/>
  <c r="T1488" i="1"/>
  <c r="U1488" i="1"/>
  <c r="X1488" i="1"/>
  <c r="Y1488" i="1"/>
  <c r="Q1489" i="1"/>
  <c r="R1489" i="1"/>
  <c r="S1489" i="1"/>
  <c r="T1489" i="1"/>
  <c r="U1489" i="1"/>
  <c r="V1489" i="1"/>
  <c r="W1489" i="1"/>
  <c r="X1489" i="1"/>
  <c r="Y1489" i="1" s="1"/>
  <c r="Q1490" i="1"/>
  <c r="W1490" i="1" s="1"/>
  <c r="R1490" i="1"/>
  <c r="S1490" i="1"/>
  <c r="V1490" i="1" s="1"/>
  <c r="T1490" i="1"/>
  <c r="U1490" i="1" s="1"/>
  <c r="X1490" i="1"/>
  <c r="Y1490" i="1"/>
  <c r="Q1491" i="1"/>
  <c r="R1491" i="1"/>
  <c r="S1491" i="1"/>
  <c r="T1491" i="1"/>
  <c r="U1491" i="1" s="1"/>
  <c r="V1491" i="1" s="1"/>
  <c r="W1491" i="1"/>
  <c r="X1491" i="1"/>
  <c r="Y1491" i="1"/>
  <c r="Q1492" i="1"/>
  <c r="W1492" i="1" s="1"/>
  <c r="R1492" i="1"/>
  <c r="S1492" i="1" s="1"/>
  <c r="X1492" i="1"/>
  <c r="Y1492" i="1"/>
  <c r="Q1493" i="1"/>
  <c r="R1493" i="1"/>
  <c r="S1493" i="1" s="1"/>
  <c r="W1493" i="1"/>
  <c r="X1493" i="1"/>
  <c r="Y1493" i="1"/>
  <c r="Q1494" i="1"/>
  <c r="R1494" i="1"/>
  <c r="S1494" i="1"/>
  <c r="T1494" i="1"/>
  <c r="U1494" i="1"/>
  <c r="V1494" i="1"/>
  <c r="W1494" i="1"/>
  <c r="X1494" i="1"/>
  <c r="Y1494" i="1"/>
  <c r="Q1495" i="1"/>
  <c r="R1495" i="1"/>
  <c r="S1495" i="1" s="1"/>
  <c r="W1495" i="1"/>
  <c r="X1495" i="1"/>
  <c r="Y1495" i="1"/>
  <c r="Q1496" i="1"/>
  <c r="R1496" i="1"/>
  <c r="S1496" i="1"/>
  <c r="T1496" i="1"/>
  <c r="U1496" i="1"/>
  <c r="V1496" i="1"/>
  <c r="W1496" i="1"/>
  <c r="X1496" i="1"/>
  <c r="Y1496" i="1"/>
  <c r="Q1497" i="1"/>
  <c r="W1497" i="1" s="1"/>
  <c r="R1497" i="1"/>
  <c r="S1497" i="1"/>
  <c r="V1497" i="1" s="1"/>
  <c r="T1497" i="1"/>
  <c r="U1497" i="1"/>
  <c r="X1497" i="1"/>
  <c r="Y1497" i="1" s="1"/>
  <c r="Q1498" i="1"/>
  <c r="R1498" i="1"/>
  <c r="S1498" i="1"/>
  <c r="V1498" i="1" s="1"/>
  <c r="T1498" i="1"/>
  <c r="U1498" i="1"/>
  <c r="W1498" i="1"/>
  <c r="X1498" i="1"/>
  <c r="Y1498" i="1" s="1"/>
  <c r="Q1499" i="1"/>
  <c r="W1499" i="1" s="1"/>
  <c r="R1499" i="1"/>
  <c r="T1499" i="1" s="1"/>
  <c r="U1499" i="1" s="1"/>
  <c r="S1499" i="1"/>
  <c r="V1499" i="1" s="1"/>
  <c r="X1499" i="1"/>
  <c r="Y1499" i="1"/>
  <c r="Q1500" i="1"/>
  <c r="W1500" i="1" s="1"/>
  <c r="R1500" i="1"/>
  <c r="T1500" i="1" s="1"/>
  <c r="U1500" i="1" s="1"/>
  <c r="S1500" i="1"/>
  <c r="X1500" i="1"/>
  <c r="Y1500" i="1"/>
  <c r="Q1501" i="1"/>
  <c r="S1501" i="1" s="1"/>
  <c r="R1501" i="1"/>
  <c r="T1501" i="1"/>
  <c r="U1501" i="1" s="1"/>
  <c r="X1501" i="1"/>
  <c r="Y1501" i="1"/>
  <c r="Q1502" i="1"/>
  <c r="S1502" i="1" s="1"/>
  <c r="V1502" i="1" s="1"/>
  <c r="R1502" i="1"/>
  <c r="T1502" i="1" s="1"/>
  <c r="U1502" i="1" s="1"/>
  <c r="W1502" i="1"/>
  <c r="X1502" i="1"/>
  <c r="Y1502" i="1" s="1"/>
  <c r="Q1503" i="1"/>
  <c r="R1503" i="1"/>
  <c r="S1503" i="1" s="1"/>
  <c r="V1503" i="1" s="1"/>
  <c r="T1503" i="1"/>
  <c r="U1503" i="1"/>
  <c r="W1503" i="1"/>
  <c r="X1503" i="1"/>
  <c r="Y1503" i="1" s="1"/>
  <c r="Q1504" i="1"/>
  <c r="W1504" i="1" s="1"/>
  <c r="R1504" i="1"/>
  <c r="S1504" i="1" s="1"/>
  <c r="V1504" i="1" s="1"/>
  <c r="T1504" i="1"/>
  <c r="U1504" i="1"/>
  <c r="X1504" i="1"/>
  <c r="Y1504" i="1"/>
  <c r="Q1505" i="1"/>
  <c r="R1505" i="1"/>
  <c r="S1505" i="1"/>
  <c r="T1505" i="1"/>
  <c r="U1505" i="1"/>
  <c r="V1505" i="1"/>
  <c r="W1505" i="1"/>
  <c r="X1505" i="1"/>
  <c r="Y1505" i="1" s="1"/>
  <c r="Q1506" i="1"/>
  <c r="W1506" i="1" s="1"/>
  <c r="R1506" i="1"/>
  <c r="S1506" i="1"/>
  <c r="T1506" i="1"/>
  <c r="U1506" i="1" s="1"/>
  <c r="X1506" i="1"/>
  <c r="Y1506" i="1"/>
  <c r="Q1507" i="1"/>
  <c r="R1507" i="1"/>
  <c r="S1507" i="1"/>
  <c r="V1507" i="1" s="1"/>
  <c r="T1507" i="1"/>
  <c r="U1507" i="1" s="1"/>
  <c r="W1507" i="1"/>
  <c r="X1507" i="1"/>
  <c r="Y1507" i="1"/>
  <c r="Q1508" i="1"/>
  <c r="W1508" i="1" s="1"/>
  <c r="R1508" i="1"/>
  <c r="S1508" i="1" s="1"/>
  <c r="X1508" i="1"/>
  <c r="Y1508" i="1"/>
  <c r="Q1509" i="1"/>
  <c r="R1509" i="1"/>
  <c r="S1509" i="1" s="1"/>
  <c r="W1509" i="1"/>
  <c r="X1509" i="1"/>
  <c r="Y1509" i="1"/>
  <c r="Q1510" i="1"/>
  <c r="R1510" i="1"/>
  <c r="S1510" i="1"/>
  <c r="T1510" i="1"/>
  <c r="U1510" i="1"/>
  <c r="V1510" i="1"/>
  <c r="W1510" i="1"/>
  <c r="X1510" i="1"/>
  <c r="Y1510" i="1"/>
  <c r="Q1511" i="1"/>
  <c r="R1511" i="1"/>
  <c r="S1511" i="1" s="1"/>
  <c r="W1511" i="1"/>
  <c r="X1511" i="1"/>
  <c r="Y1511" i="1"/>
  <c r="Q1512" i="1"/>
  <c r="R1512" i="1"/>
  <c r="S1512" i="1"/>
  <c r="T1512" i="1"/>
  <c r="U1512" i="1"/>
  <c r="V1512" i="1"/>
  <c r="W1512" i="1"/>
  <c r="X1512" i="1"/>
  <c r="Y1512" i="1"/>
  <c r="Q1513" i="1"/>
  <c r="W1513" i="1" s="1"/>
  <c r="R1513" i="1"/>
  <c r="S1513" i="1"/>
  <c r="V1513" i="1" s="1"/>
  <c r="T1513" i="1"/>
  <c r="U1513" i="1"/>
  <c r="X1513" i="1"/>
  <c r="Y1513" i="1" s="1"/>
  <c r="Q1514" i="1"/>
  <c r="R1514" i="1"/>
  <c r="S1514" i="1"/>
  <c r="V1514" i="1" s="1"/>
  <c r="T1514" i="1"/>
  <c r="U1514" i="1"/>
  <c r="W1514" i="1"/>
  <c r="X1514" i="1"/>
  <c r="Y1514" i="1" s="1"/>
  <c r="Q1515" i="1"/>
  <c r="W1515" i="1" s="1"/>
  <c r="R1515" i="1"/>
  <c r="T1515" i="1" s="1"/>
  <c r="U1515" i="1" s="1"/>
  <c r="S1515" i="1"/>
  <c r="V1515" i="1" s="1"/>
  <c r="X1515" i="1"/>
  <c r="Y1515" i="1"/>
  <c r="Q1516" i="1"/>
  <c r="W1516" i="1" s="1"/>
  <c r="R1516" i="1"/>
  <c r="T1516" i="1" s="1"/>
  <c r="U1516" i="1" s="1"/>
  <c r="S1516" i="1"/>
  <c r="V1516" i="1" s="1"/>
  <c r="X1516" i="1"/>
  <c r="Y1516" i="1"/>
  <c r="Q1517" i="1"/>
  <c r="S1517" i="1" s="1"/>
  <c r="V1517" i="1" s="1"/>
  <c r="R1517" i="1"/>
  <c r="T1517" i="1"/>
  <c r="U1517" i="1" s="1"/>
  <c r="X1517" i="1"/>
  <c r="Y1517" i="1" s="1"/>
  <c r="Q1518" i="1"/>
  <c r="S1518" i="1" s="1"/>
  <c r="V1518" i="1" s="1"/>
  <c r="R1518" i="1"/>
  <c r="T1518" i="1" s="1"/>
  <c r="U1518" i="1" s="1"/>
  <c r="W1518" i="1"/>
  <c r="X1518" i="1"/>
  <c r="Y1518" i="1" s="1"/>
  <c r="Q1519" i="1"/>
  <c r="R1519" i="1"/>
  <c r="S1519" i="1" s="1"/>
  <c r="V1519" i="1" s="1"/>
  <c r="T1519" i="1"/>
  <c r="U1519" i="1"/>
  <c r="W1519" i="1"/>
  <c r="X1519" i="1"/>
  <c r="Y1519" i="1" s="1"/>
  <c r="Q1520" i="1"/>
  <c r="W1520" i="1" s="1"/>
  <c r="R1520" i="1"/>
  <c r="S1520" i="1" s="1"/>
  <c r="V1520" i="1" s="1"/>
  <c r="T1520" i="1"/>
  <c r="U1520" i="1"/>
  <c r="X1520" i="1"/>
  <c r="Y1520" i="1"/>
  <c r="Q1521" i="1"/>
  <c r="R1521" i="1"/>
  <c r="S1521" i="1"/>
  <c r="T1521" i="1"/>
  <c r="U1521" i="1"/>
  <c r="V1521" i="1"/>
  <c r="W1521" i="1"/>
  <c r="X1521" i="1"/>
  <c r="Y1521" i="1" s="1"/>
  <c r="Q1522" i="1"/>
  <c r="W1522" i="1" s="1"/>
  <c r="R1522" i="1"/>
  <c r="S1522" i="1"/>
  <c r="T1522" i="1"/>
  <c r="U1522" i="1" s="1"/>
  <c r="X1522" i="1"/>
  <c r="Y1522" i="1"/>
  <c r="Q1523" i="1"/>
  <c r="R1523" i="1"/>
  <c r="S1523" i="1"/>
  <c r="V1523" i="1" s="1"/>
  <c r="T1523" i="1"/>
  <c r="U1523" i="1" s="1"/>
  <c r="W1523" i="1"/>
  <c r="X1523" i="1"/>
  <c r="Y1523" i="1"/>
  <c r="Q1524" i="1"/>
  <c r="W1524" i="1" s="1"/>
  <c r="R1524" i="1"/>
  <c r="S1524" i="1" s="1"/>
  <c r="X1524" i="1"/>
  <c r="Y1524" i="1"/>
  <c r="Q1525" i="1"/>
  <c r="R1525" i="1"/>
  <c r="S1525" i="1" s="1"/>
  <c r="W1525" i="1"/>
  <c r="X1525" i="1"/>
  <c r="Y1525" i="1"/>
  <c r="Q1526" i="1"/>
  <c r="R1526" i="1"/>
  <c r="S1526" i="1"/>
  <c r="T1526" i="1"/>
  <c r="U1526" i="1"/>
  <c r="V1526" i="1"/>
  <c r="W1526" i="1"/>
  <c r="X1526" i="1"/>
  <c r="Y1526" i="1"/>
  <c r="Q1527" i="1"/>
  <c r="R1527" i="1"/>
  <c r="S1527" i="1" s="1"/>
  <c r="W1527" i="1"/>
  <c r="X1527" i="1"/>
  <c r="Y1527" i="1"/>
  <c r="Q1528" i="1"/>
  <c r="R1528" i="1"/>
  <c r="S1528" i="1"/>
  <c r="T1528" i="1"/>
  <c r="U1528" i="1"/>
  <c r="V1528" i="1" s="1"/>
  <c r="W1528" i="1"/>
  <c r="X1528" i="1"/>
  <c r="Y1528" i="1"/>
  <c r="Q1051" i="1"/>
  <c r="W1051" i="1" s="1"/>
  <c r="R1051" i="1"/>
  <c r="X1051" i="1"/>
  <c r="Y1051" i="1" s="1"/>
  <c r="Q1033" i="1"/>
  <c r="W1033" i="1" s="1"/>
  <c r="R1033" i="1"/>
  <c r="X1033" i="1"/>
  <c r="Y1033" i="1" s="1"/>
  <c r="Q1034" i="1"/>
  <c r="W1034" i="1" s="1"/>
  <c r="R1034" i="1"/>
  <c r="X1034" i="1"/>
  <c r="Y1034" i="1" s="1"/>
  <c r="Q1035" i="1"/>
  <c r="R1035" i="1"/>
  <c r="T1035" i="1" s="1"/>
  <c r="U1035" i="1" s="1"/>
  <c r="X1035" i="1"/>
  <c r="Y1035" i="1" s="1"/>
  <c r="Q1036" i="1"/>
  <c r="W1036" i="1" s="1"/>
  <c r="R1036" i="1"/>
  <c r="X1036" i="1"/>
  <c r="Y1036" i="1" s="1"/>
  <c r="Q1037" i="1"/>
  <c r="W1037" i="1" s="1"/>
  <c r="R1037" i="1"/>
  <c r="X1037" i="1"/>
  <c r="Y1037" i="1" s="1"/>
  <c r="Q1038" i="1"/>
  <c r="W1038" i="1" s="1"/>
  <c r="R1038" i="1"/>
  <c r="X1038" i="1"/>
  <c r="Y1038" i="1" s="1"/>
  <c r="Q1039" i="1"/>
  <c r="W1039" i="1" s="1"/>
  <c r="R1039" i="1"/>
  <c r="X1039" i="1"/>
  <c r="Y1039" i="1" s="1"/>
  <c r="Q1040" i="1"/>
  <c r="W1040" i="1" s="1"/>
  <c r="R1040" i="1"/>
  <c r="S1040" i="1" s="1"/>
  <c r="X1040" i="1"/>
  <c r="Y1040" i="1" s="1"/>
  <c r="Q1041" i="1"/>
  <c r="W1041" i="1" s="1"/>
  <c r="R1041" i="1"/>
  <c r="X1041" i="1"/>
  <c r="Y1041" i="1" s="1"/>
  <c r="Q1042" i="1"/>
  <c r="W1042" i="1" s="1"/>
  <c r="R1042" i="1"/>
  <c r="X1042" i="1"/>
  <c r="Y1042" i="1" s="1"/>
  <c r="Q1043" i="1"/>
  <c r="W1043" i="1" s="1"/>
  <c r="R1043" i="1"/>
  <c r="S1043" i="1" s="1"/>
  <c r="T1043" i="1"/>
  <c r="U1043" i="1" s="1"/>
  <c r="X1043" i="1"/>
  <c r="Y1043" i="1" s="1"/>
  <c r="Q1025" i="1"/>
  <c r="W1025" i="1" s="1"/>
  <c r="R1025" i="1"/>
  <c r="X1025" i="1"/>
  <c r="Y1025" i="1" s="1"/>
  <c r="Q1026" i="1"/>
  <c r="W1026" i="1" s="1"/>
  <c r="R1026" i="1"/>
  <c r="T1026" i="1" s="1"/>
  <c r="U1026" i="1" s="1"/>
  <c r="X1026" i="1"/>
  <c r="Y1026" i="1" s="1"/>
  <c r="Q1027" i="1"/>
  <c r="W1027" i="1" s="1"/>
  <c r="R1027" i="1"/>
  <c r="X1027" i="1"/>
  <c r="Y1027" i="1" s="1"/>
  <c r="Q1028" i="1"/>
  <c r="W1028" i="1" s="1"/>
  <c r="R1028" i="1"/>
  <c r="T1028" i="1" s="1"/>
  <c r="U1028" i="1" s="1"/>
  <c r="X1028" i="1"/>
  <c r="Y1028" i="1" s="1"/>
  <c r="Q1029" i="1"/>
  <c r="W1029" i="1" s="1"/>
  <c r="R1029" i="1"/>
  <c r="X1029" i="1"/>
  <c r="Y1029" i="1" s="1"/>
  <c r="Q1030" i="1"/>
  <c r="R1030" i="1"/>
  <c r="T1030" i="1"/>
  <c r="U1030" i="1" s="1"/>
  <c r="X1030" i="1"/>
  <c r="Y1030" i="1" s="1"/>
  <c r="Q1031" i="1"/>
  <c r="W1031" i="1" s="1"/>
  <c r="R1031" i="1"/>
  <c r="X1031" i="1"/>
  <c r="Y1031" i="1" s="1"/>
  <c r="Q1032" i="1"/>
  <c r="W1032" i="1" s="1"/>
  <c r="R1032" i="1"/>
  <c r="T1032" i="1" s="1"/>
  <c r="U1032" i="1" s="1"/>
  <c r="X1032" i="1"/>
  <c r="Y1032" i="1" s="1"/>
  <c r="Q1021" i="1"/>
  <c r="W1021" i="1" s="1"/>
  <c r="R1021" i="1"/>
  <c r="X1021" i="1"/>
  <c r="Y1021" i="1" s="1"/>
  <c r="Q1022" i="1"/>
  <c r="W1022" i="1" s="1"/>
  <c r="R1022" i="1"/>
  <c r="T1022" i="1"/>
  <c r="U1022" i="1" s="1"/>
  <c r="X1022" i="1"/>
  <c r="Y1022" i="1" s="1"/>
  <c r="Q1023" i="1"/>
  <c r="W1023" i="1" s="1"/>
  <c r="R1023" i="1"/>
  <c r="X1023" i="1"/>
  <c r="Y1023" i="1" s="1"/>
  <c r="Q1024" i="1"/>
  <c r="R1024" i="1"/>
  <c r="T1024" i="1"/>
  <c r="U1024" i="1" s="1"/>
  <c r="W1024" i="1"/>
  <c r="X1024" i="1"/>
  <c r="Y1024" i="1" s="1"/>
  <c r="Q1016" i="1"/>
  <c r="W1016" i="1" s="1"/>
  <c r="R1016" i="1"/>
  <c r="X1016" i="1"/>
  <c r="Y1016" i="1" s="1"/>
  <c r="Q1017" i="1"/>
  <c r="W1017" i="1" s="1"/>
  <c r="R1017" i="1"/>
  <c r="T1017" i="1" s="1"/>
  <c r="U1017" i="1" s="1"/>
  <c r="X1017" i="1"/>
  <c r="Y1017" i="1" s="1"/>
  <c r="Q1018" i="1"/>
  <c r="R1018" i="1"/>
  <c r="S1018" i="1" s="1"/>
  <c r="W1018" i="1"/>
  <c r="X1018" i="1"/>
  <c r="Y1018" i="1" s="1"/>
  <c r="Q1019" i="1"/>
  <c r="W1019" i="1" s="1"/>
  <c r="R1019" i="1"/>
  <c r="T1019" i="1" s="1"/>
  <c r="U1019" i="1" s="1"/>
  <c r="X1019" i="1"/>
  <c r="Y1019" i="1" s="1"/>
  <c r="Q1020" i="1"/>
  <c r="W1020" i="1" s="1"/>
  <c r="R1020" i="1"/>
  <c r="X1020" i="1"/>
  <c r="Y1020" i="1" s="1"/>
  <c r="Q1012" i="1"/>
  <c r="W1012" i="1" s="1"/>
  <c r="R1012" i="1"/>
  <c r="X1012" i="1"/>
  <c r="Y1012" i="1" s="1"/>
  <c r="Q1013" i="1"/>
  <c r="W1013" i="1" s="1"/>
  <c r="R1013" i="1"/>
  <c r="X1013" i="1"/>
  <c r="Y1013" i="1" s="1"/>
  <c r="Q1014" i="1"/>
  <c r="R1014" i="1"/>
  <c r="T1014" i="1" s="1"/>
  <c r="U1014" i="1" s="1"/>
  <c r="X1014" i="1"/>
  <c r="Y1014" i="1" s="1"/>
  <c r="Q1015" i="1"/>
  <c r="W1015" i="1" s="1"/>
  <c r="R1015" i="1"/>
  <c r="X1015" i="1"/>
  <c r="Y1015" i="1" s="1"/>
  <c r="Q1009" i="1"/>
  <c r="W1009" i="1" s="1"/>
  <c r="R1009" i="1"/>
  <c r="T1009" i="1" s="1"/>
  <c r="U1009" i="1" s="1"/>
  <c r="X1009" i="1"/>
  <c r="Y1009" i="1" s="1"/>
  <c r="Q1010" i="1"/>
  <c r="W1010" i="1" s="1"/>
  <c r="R1010" i="1"/>
  <c r="X1010" i="1"/>
  <c r="Y1010" i="1" s="1"/>
  <c r="Q1011" i="1"/>
  <c r="W1011" i="1" s="1"/>
  <c r="R1011" i="1"/>
  <c r="T1011" i="1" s="1"/>
  <c r="U1011" i="1" s="1"/>
  <c r="X1011" i="1"/>
  <c r="Y1011" i="1" s="1"/>
  <c r="Q1007" i="1"/>
  <c r="W1007" i="1" s="1"/>
  <c r="R1007" i="1"/>
  <c r="S1007" i="1" s="1"/>
  <c r="X1007" i="1"/>
  <c r="Y1007" i="1" s="1"/>
  <c r="Q1008" i="1"/>
  <c r="W1008" i="1" s="1"/>
  <c r="R1008" i="1"/>
  <c r="X1008" i="1"/>
  <c r="Y1008" i="1" s="1"/>
  <c r="Q1003" i="1"/>
  <c r="W1003" i="1" s="1"/>
  <c r="R1003" i="1"/>
  <c r="X1003" i="1"/>
  <c r="Y1003" i="1" s="1"/>
  <c r="Q1004" i="1"/>
  <c r="W1004" i="1" s="1"/>
  <c r="R1004" i="1"/>
  <c r="X1004" i="1"/>
  <c r="Y1004" i="1" s="1"/>
  <c r="Q1005" i="1"/>
  <c r="W1005" i="1" s="1"/>
  <c r="R1005" i="1"/>
  <c r="S1005" i="1" s="1"/>
  <c r="X1005" i="1"/>
  <c r="Y1005" i="1" s="1"/>
  <c r="Q1006" i="1"/>
  <c r="R1006" i="1"/>
  <c r="S1006" i="1"/>
  <c r="T1006" i="1"/>
  <c r="U1006" i="1" s="1"/>
  <c r="W1006" i="1"/>
  <c r="X1006" i="1"/>
  <c r="Y1006" i="1" s="1"/>
  <c r="Q998" i="1"/>
  <c r="W998" i="1" s="1"/>
  <c r="R998" i="1"/>
  <c r="X998" i="1"/>
  <c r="Y998" i="1" s="1"/>
  <c r="Q999" i="1"/>
  <c r="R999" i="1"/>
  <c r="T999" i="1" s="1"/>
  <c r="U999" i="1" s="1"/>
  <c r="X999" i="1"/>
  <c r="Y999" i="1" s="1"/>
  <c r="Q1000" i="1"/>
  <c r="W1000" i="1" s="1"/>
  <c r="R1000" i="1"/>
  <c r="X1000" i="1"/>
  <c r="Y1000" i="1" s="1"/>
  <c r="Q1001" i="1"/>
  <c r="W1001" i="1" s="1"/>
  <c r="R1001" i="1"/>
  <c r="S1001" i="1"/>
  <c r="T1001" i="1"/>
  <c r="U1001" i="1" s="1"/>
  <c r="X1001" i="1"/>
  <c r="Y1001" i="1" s="1"/>
  <c r="Q1002" i="1"/>
  <c r="W1002" i="1" s="1"/>
  <c r="R1002" i="1"/>
  <c r="X1002" i="1"/>
  <c r="Y1002" i="1" s="1"/>
  <c r="Q997" i="1"/>
  <c r="W997" i="1" s="1"/>
  <c r="R997" i="1"/>
  <c r="T997" i="1" s="1"/>
  <c r="U997" i="1" s="1"/>
  <c r="X997" i="1"/>
  <c r="Y997" i="1" s="1"/>
  <c r="Q981" i="1"/>
  <c r="W981" i="1" s="1"/>
  <c r="R981" i="1"/>
  <c r="X981" i="1"/>
  <c r="Y981" i="1" s="1"/>
  <c r="Q982" i="1"/>
  <c r="W982" i="1" s="1"/>
  <c r="R982" i="1"/>
  <c r="T982" i="1" s="1"/>
  <c r="U982" i="1" s="1"/>
  <c r="X982" i="1"/>
  <c r="Y982" i="1" s="1"/>
  <c r="Q983" i="1"/>
  <c r="W983" i="1" s="1"/>
  <c r="R983" i="1"/>
  <c r="X983" i="1"/>
  <c r="Y983" i="1" s="1"/>
  <c r="Q984" i="1"/>
  <c r="W984" i="1" s="1"/>
  <c r="R984" i="1"/>
  <c r="T984" i="1" s="1"/>
  <c r="U984" i="1" s="1"/>
  <c r="X984" i="1"/>
  <c r="Y984" i="1" s="1"/>
  <c r="Q985" i="1"/>
  <c r="W985" i="1" s="1"/>
  <c r="R985" i="1"/>
  <c r="X985" i="1"/>
  <c r="Y985" i="1" s="1"/>
  <c r="Q986" i="1"/>
  <c r="W986" i="1" s="1"/>
  <c r="R986" i="1"/>
  <c r="X986" i="1"/>
  <c r="Y986" i="1" s="1"/>
  <c r="Q987" i="1"/>
  <c r="W987" i="1" s="1"/>
  <c r="R987" i="1"/>
  <c r="X987" i="1"/>
  <c r="Y987" i="1" s="1"/>
  <c r="Q988" i="1"/>
  <c r="W988" i="1" s="1"/>
  <c r="R988" i="1"/>
  <c r="X988" i="1"/>
  <c r="Y988" i="1" s="1"/>
  <c r="Q989" i="1"/>
  <c r="W989" i="1" s="1"/>
  <c r="R989" i="1"/>
  <c r="X989" i="1"/>
  <c r="Y989" i="1" s="1"/>
  <c r="Q990" i="1"/>
  <c r="W990" i="1" s="1"/>
  <c r="R990" i="1"/>
  <c r="T990" i="1"/>
  <c r="U990" i="1" s="1"/>
  <c r="X990" i="1"/>
  <c r="Y990" i="1" s="1"/>
  <c r="Q991" i="1"/>
  <c r="W991" i="1" s="1"/>
  <c r="R991" i="1"/>
  <c r="X991" i="1"/>
  <c r="Y991" i="1" s="1"/>
  <c r="Q992" i="1"/>
  <c r="W992" i="1" s="1"/>
  <c r="R992" i="1"/>
  <c r="T992" i="1" s="1"/>
  <c r="U992" i="1" s="1"/>
  <c r="X992" i="1"/>
  <c r="Y992" i="1" s="1"/>
  <c r="Q993" i="1"/>
  <c r="W993" i="1" s="1"/>
  <c r="R993" i="1"/>
  <c r="X993" i="1"/>
  <c r="Y993" i="1" s="1"/>
  <c r="Q994" i="1"/>
  <c r="W994" i="1" s="1"/>
  <c r="R994" i="1"/>
  <c r="X994" i="1"/>
  <c r="Y994" i="1" s="1"/>
  <c r="Q995" i="1"/>
  <c r="W995" i="1" s="1"/>
  <c r="R995" i="1"/>
  <c r="X995" i="1"/>
  <c r="Y995" i="1" s="1"/>
  <c r="Q996" i="1"/>
  <c r="W996" i="1" s="1"/>
  <c r="R996" i="1"/>
  <c r="T996" i="1"/>
  <c r="U996" i="1" s="1"/>
  <c r="X996" i="1"/>
  <c r="Y996" i="1" s="1"/>
  <c r="Q977" i="1"/>
  <c r="W977" i="1" s="1"/>
  <c r="R977" i="1"/>
  <c r="X977" i="1"/>
  <c r="Y977" i="1" s="1"/>
  <c r="Q978" i="1"/>
  <c r="W978" i="1" s="1"/>
  <c r="R978" i="1"/>
  <c r="T978" i="1" s="1"/>
  <c r="U978" i="1" s="1"/>
  <c r="X978" i="1"/>
  <c r="Y978" i="1" s="1"/>
  <c r="Q979" i="1"/>
  <c r="W979" i="1" s="1"/>
  <c r="R979" i="1"/>
  <c r="X979" i="1"/>
  <c r="Y979" i="1" s="1"/>
  <c r="Q980" i="1"/>
  <c r="W980" i="1" s="1"/>
  <c r="R980" i="1"/>
  <c r="T980" i="1" s="1"/>
  <c r="U980" i="1" s="1"/>
  <c r="X980" i="1"/>
  <c r="Y980" i="1" s="1"/>
  <c r="Q972" i="1"/>
  <c r="W972" i="1" s="1"/>
  <c r="R972" i="1"/>
  <c r="S972" i="1" s="1"/>
  <c r="X972" i="1"/>
  <c r="Y972" i="1" s="1"/>
  <c r="Q973" i="1"/>
  <c r="W973" i="1" s="1"/>
  <c r="R973" i="1"/>
  <c r="X973" i="1"/>
  <c r="Y973" i="1" s="1"/>
  <c r="Q974" i="1"/>
  <c r="W974" i="1" s="1"/>
  <c r="R974" i="1"/>
  <c r="X974" i="1"/>
  <c r="Y974" i="1" s="1"/>
  <c r="Q975" i="1"/>
  <c r="R975" i="1"/>
  <c r="T975" i="1" s="1"/>
  <c r="U975" i="1" s="1"/>
  <c r="X975" i="1"/>
  <c r="Y975" i="1" s="1"/>
  <c r="Q976" i="1"/>
  <c r="W976" i="1" s="1"/>
  <c r="R976" i="1"/>
  <c r="X976" i="1"/>
  <c r="Y976" i="1" s="1"/>
  <c r="Q964" i="1"/>
  <c r="W964" i="1" s="1"/>
  <c r="R964" i="1"/>
  <c r="X964" i="1"/>
  <c r="Y964" i="1" s="1"/>
  <c r="Q965" i="1"/>
  <c r="W965" i="1" s="1"/>
  <c r="R965" i="1"/>
  <c r="X965" i="1"/>
  <c r="Y965" i="1" s="1"/>
  <c r="Q966" i="1"/>
  <c r="W966" i="1" s="1"/>
  <c r="R966" i="1"/>
  <c r="T966" i="1" s="1"/>
  <c r="U966" i="1" s="1"/>
  <c r="X966" i="1"/>
  <c r="Y966" i="1" s="1"/>
  <c r="Q967" i="1"/>
  <c r="W967" i="1" s="1"/>
  <c r="R967" i="1"/>
  <c r="X967" i="1"/>
  <c r="Y967" i="1" s="1"/>
  <c r="Q968" i="1"/>
  <c r="W968" i="1" s="1"/>
  <c r="R968" i="1"/>
  <c r="X968" i="1"/>
  <c r="Y968" i="1" s="1"/>
  <c r="Q969" i="1"/>
  <c r="W969" i="1" s="1"/>
  <c r="R969" i="1"/>
  <c r="X969" i="1"/>
  <c r="Y969" i="1" s="1"/>
  <c r="Q970" i="1"/>
  <c r="W970" i="1" s="1"/>
  <c r="R970" i="1"/>
  <c r="S970" i="1" s="1"/>
  <c r="X970" i="1"/>
  <c r="Y970" i="1" s="1"/>
  <c r="Q971" i="1"/>
  <c r="W971" i="1" s="1"/>
  <c r="R971" i="1"/>
  <c r="X971" i="1"/>
  <c r="Y971" i="1" s="1"/>
  <c r="Q953" i="1"/>
  <c r="W953" i="1" s="1"/>
  <c r="R953" i="1"/>
  <c r="X953" i="1"/>
  <c r="Y953" i="1" s="1"/>
  <c r="Q954" i="1"/>
  <c r="W954" i="1" s="1"/>
  <c r="R954" i="1"/>
  <c r="X954" i="1"/>
  <c r="Y954" i="1" s="1"/>
  <c r="Q955" i="1"/>
  <c r="W955" i="1" s="1"/>
  <c r="R955" i="1"/>
  <c r="T955" i="1" s="1"/>
  <c r="U955" i="1" s="1"/>
  <c r="X955" i="1"/>
  <c r="Y955" i="1" s="1"/>
  <c r="Q956" i="1"/>
  <c r="W956" i="1" s="1"/>
  <c r="R956" i="1"/>
  <c r="X956" i="1"/>
  <c r="Y956" i="1" s="1"/>
  <c r="Q957" i="1"/>
  <c r="W957" i="1" s="1"/>
  <c r="R957" i="1"/>
  <c r="X957" i="1"/>
  <c r="Y957" i="1" s="1"/>
  <c r="Q958" i="1"/>
  <c r="W958" i="1" s="1"/>
  <c r="R958" i="1"/>
  <c r="X958" i="1"/>
  <c r="Y958" i="1" s="1"/>
  <c r="Q959" i="1"/>
  <c r="R959" i="1"/>
  <c r="T959" i="1" s="1"/>
  <c r="U959" i="1" s="1"/>
  <c r="X959" i="1"/>
  <c r="Y959" i="1" s="1"/>
  <c r="Q960" i="1"/>
  <c r="W960" i="1" s="1"/>
  <c r="R960" i="1"/>
  <c r="X960" i="1"/>
  <c r="Y960" i="1" s="1"/>
  <c r="Q961" i="1"/>
  <c r="R961" i="1"/>
  <c r="T961" i="1" s="1"/>
  <c r="U961" i="1" s="1"/>
  <c r="X961" i="1"/>
  <c r="Y961" i="1" s="1"/>
  <c r="Q962" i="1"/>
  <c r="W962" i="1" s="1"/>
  <c r="R962" i="1"/>
  <c r="X962" i="1"/>
  <c r="Y962" i="1" s="1"/>
  <c r="Q963" i="1"/>
  <c r="W963" i="1" s="1"/>
  <c r="R963" i="1"/>
  <c r="T963" i="1" s="1"/>
  <c r="U963" i="1" s="1"/>
  <c r="S963" i="1"/>
  <c r="V963" i="1" s="1"/>
  <c r="X963" i="1"/>
  <c r="Y963" i="1" s="1"/>
  <c r="Q945" i="1"/>
  <c r="W945" i="1" s="1"/>
  <c r="R945" i="1"/>
  <c r="X945" i="1"/>
  <c r="Y945" i="1" s="1"/>
  <c r="Q946" i="1"/>
  <c r="W946" i="1" s="1"/>
  <c r="R946" i="1"/>
  <c r="T946" i="1" s="1"/>
  <c r="U946" i="1" s="1"/>
  <c r="X946" i="1"/>
  <c r="Y946" i="1" s="1"/>
  <c r="Q947" i="1"/>
  <c r="W947" i="1" s="1"/>
  <c r="R947" i="1"/>
  <c r="X947" i="1"/>
  <c r="Y947" i="1" s="1"/>
  <c r="Q948" i="1"/>
  <c r="W948" i="1" s="1"/>
  <c r="R948" i="1"/>
  <c r="T948" i="1" s="1"/>
  <c r="U948" i="1" s="1"/>
  <c r="X948" i="1"/>
  <c r="Y948" i="1" s="1"/>
  <c r="Q949" i="1"/>
  <c r="W949" i="1" s="1"/>
  <c r="R949" i="1"/>
  <c r="X949" i="1"/>
  <c r="Y949" i="1" s="1"/>
  <c r="Q950" i="1"/>
  <c r="W950" i="1" s="1"/>
  <c r="R950" i="1"/>
  <c r="X950" i="1"/>
  <c r="Y950" i="1" s="1"/>
  <c r="Q951" i="1"/>
  <c r="W951" i="1" s="1"/>
  <c r="R951" i="1"/>
  <c r="X951" i="1"/>
  <c r="Y951" i="1" s="1"/>
  <c r="Q952" i="1"/>
  <c r="R952" i="1"/>
  <c r="T952" i="1" s="1"/>
  <c r="U952" i="1" s="1"/>
  <c r="W952" i="1"/>
  <c r="X952" i="1"/>
  <c r="Y952" i="1" s="1"/>
  <c r="Q941" i="1"/>
  <c r="W941" i="1" s="1"/>
  <c r="R941" i="1"/>
  <c r="X941" i="1"/>
  <c r="Y941" i="1" s="1"/>
  <c r="Q942" i="1"/>
  <c r="W942" i="1" s="1"/>
  <c r="R942" i="1"/>
  <c r="T942" i="1" s="1"/>
  <c r="U942" i="1" s="1"/>
  <c r="X942" i="1"/>
  <c r="Y942" i="1" s="1"/>
  <c r="Q943" i="1"/>
  <c r="W943" i="1" s="1"/>
  <c r="R943" i="1"/>
  <c r="X943" i="1"/>
  <c r="Y943" i="1" s="1"/>
  <c r="Q944" i="1"/>
  <c r="W944" i="1" s="1"/>
  <c r="R944" i="1"/>
  <c r="T944" i="1" s="1"/>
  <c r="U944" i="1" s="1"/>
  <c r="X944" i="1"/>
  <c r="Y944" i="1" s="1"/>
  <c r="Q933" i="1"/>
  <c r="W933" i="1" s="1"/>
  <c r="R933" i="1"/>
  <c r="X933" i="1"/>
  <c r="Y933" i="1" s="1"/>
  <c r="Q934" i="1"/>
  <c r="W934" i="1" s="1"/>
  <c r="R934" i="1"/>
  <c r="X934" i="1"/>
  <c r="Y934" i="1" s="1"/>
  <c r="Q935" i="1"/>
  <c r="W935" i="1" s="1"/>
  <c r="R935" i="1"/>
  <c r="X935" i="1"/>
  <c r="Y935" i="1" s="1"/>
  <c r="Q936" i="1"/>
  <c r="W936" i="1" s="1"/>
  <c r="R936" i="1"/>
  <c r="X936" i="1"/>
  <c r="Y936" i="1" s="1"/>
  <c r="Q937" i="1"/>
  <c r="W937" i="1" s="1"/>
  <c r="R937" i="1"/>
  <c r="X937" i="1"/>
  <c r="Y937" i="1" s="1"/>
  <c r="Q938" i="1"/>
  <c r="W938" i="1" s="1"/>
  <c r="R938" i="1"/>
  <c r="X938" i="1"/>
  <c r="Y938" i="1" s="1"/>
  <c r="Q939" i="1"/>
  <c r="W939" i="1" s="1"/>
  <c r="R939" i="1"/>
  <c r="X939" i="1"/>
  <c r="Y939" i="1" s="1"/>
  <c r="Q940" i="1"/>
  <c r="W940" i="1" s="1"/>
  <c r="R940" i="1"/>
  <c r="X940" i="1"/>
  <c r="Y940" i="1" s="1"/>
  <c r="Q922" i="1"/>
  <c r="W922" i="1" s="1"/>
  <c r="R922" i="1"/>
  <c r="X922" i="1"/>
  <c r="Y922" i="1" s="1"/>
  <c r="Q923" i="1"/>
  <c r="W923" i="1" s="1"/>
  <c r="R923" i="1"/>
  <c r="X923" i="1"/>
  <c r="Y923" i="1" s="1"/>
  <c r="Q924" i="1"/>
  <c r="W924" i="1" s="1"/>
  <c r="R924" i="1"/>
  <c r="X924" i="1"/>
  <c r="Y924" i="1" s="1"/>
  <c r="Q925" i="1"/>
  <c r="W925" i="1" s="1"/>
  <c r="R925" i="1"/>
  <c r="T925" i="1" s="1"/>
  <c r="U925" i="1" s="1"/>
  <c r="X925" i="1"/>
  <c r="Y925" i="1" s="1"/>
  <c r="Q926" i="1"/>
  <c r="W926" i="1" s="1"/>
  <c r="R926" i="1"/>
  <c r="X926" i="1"/>
  <c r="Y926" i="1" s="1"/>
  <c r="Q927" i="1"/>
  <c r="W927" i="1" s="1"/>
  <c r="R927" i="1"/>
  <c r="X927" i="1"/>
  <c r="Y927" i="1" s="1"/>
  <c r="Q928" i="1"/>
  <c r="W928" i="1" s="1"/>
  <c r="R928" i="1"/>
  <c r="X928" i="1"/>
  <c r="Y928" i="1" s="1"/>
  <c r="Q929" i="1"/>
  <c r="W929" i="1" s="1"/>
  <c r="R929" i="1"/>
  <c r="T929" i="1" s="1"/>
  <c r="U929" i="1" s="1"/>
  <c r="X929" i="1"/>
  <c r="Y929" i="1" s="1"/>
  <c r="Q930" i="1"/>
  <c r="W930" i="1" s="1"/>
  <c r="R930" i="1"/>
  <c r="X930" i="1"/>
  <c r="Y930" i="1" s="1"/>
  <c r="Q931" i="1"/>
  <c r="W931" i="1" s="1"/>
  <c r="R931" i="1"/>
  <c r="T931" i="1" s="1"/>
  <c r="U931" i="1" s="1"/>
  <c r="X931" i="1"/>
  <c r="Y931" i="1" s="1"/>
  <c r="Q932" i="1"/>
  <c r="W932" i="1" s="1"/>
  <c r="R932" i="1"/>
  <c r="X932" i="1"/>
  <c r="Y932" i="1" s="1"/>
  <c r="Q905" i="1"/>
  <c r="W905" i="1" s="1"/>
  <c r="R905" i="1"/>
  <c r="T905" i="1" s="1"/>
  <c r="U905" i="1" s="1"/>
  <c r="X905" i="1"/>
  <c r="Y905" i="1" s="1"/>
  <c r="Q906" i="1"/>
  <c r="W906" i="1" s="1"/>
  <c r="R906" i="1"/>
  <c r="X906" i="1"/>
  <c r="Y906" i="1" s="1"/>
  <c r="Q907" i="1"/>
  <c r="W907" i="1" s="1"/>
  <c r="R907" i="1"/>
  <c r="X907" i="1"/>
  <c r="Y907" i="1" s="1"/>
  <c r="Q908" i="1"/>
  <c r="W908" i="1" s="1"/>
  <c r="R908" i="1"/>
  <c r="X908" i="1"/>
  <c r="Y908" i="1" s="1"/>
  <c r="Q909" i="1"/>
  <c r="R909" i="1"/>
  <c r="T909" i="1" s="1"/>
  <c r="U909" i="1" s="1"/>
  <c r="X909" i="1"/>
  <c r="Y909" i="1" s="1"/>
  <c r="Q910" i="1"/>
  <c r="R910" i="1"/>
  <c r="W910" i="1"/>
  <c r="X910" i="1"/>
  <c r="Y910" i="1" s="1"/>
  <c r="Q911" i="1"/>
  <c r="W911" i="1" s="1"/>
  <c r="R911" i="1"/>
  <c r="T911" i="1" s="1"/>
  <c r="U911" i="1" s="1"/>
  <c r="X911" i="1"/>
  <c r="Y911" i="1" s="1"/>
  <c r="Q912" i="1"/>
  <c r="R912" i="1"/>
  <c r="W912" i="1"/>
  <c r="X912" i="1"/>
  <c r="Y912" i="1" s="1"/>
  <c r="Q913" i="1"/>
  <c r="W913" i="1" s="1"/>
  <c r="R913" i="1"/>
  <c r="T913" i="1" s="1"/>
  <c r="U913" i="1" s="1"/>
  <c r="X913" i="1"/>
  <c r="Y913" i="1" s="1"/>
  <c r="Q914" i="1"/>
  <c r="W914" i="1" s="1"/>
  <c r="R914" i="1"/>
  <c r="X914" i="1"/>
  <c r="Y914" i="1" s="1"/>
  <c r="Q915" i="1"/>
  <c r="W915" i="1" s="1"/>
  <c r="R915" i="1"/>
  <c r="T915" i="1" s="1"/>
  <c r="U915" i="1" s="1"/>
  <c r="X915" i="1"/>
  <c r="Y915" i="1" s="1"/>
  <c r="Q916" i="1"/>
  <c r="W916" i="1" s="1"/>
  <c r="R916" i="1"/>
  <c r="X916" i="1"/>
  <c r="Y916" i="1" s="1"/>
  <c r="Q917" i="1"/>
  <c r="W917" i="1" s="1"/>
  <c r="R917" i="1"/>
  <c r="X917" i="1"/>
  <c r="Y917" i="1" s="1"/>
  <c r="Q918" i="1"/>
  <c r="W918" i="1" s="1"/>
  <c r="R918" i="1"/>
  <c r="X918" i="1"/>
  <c r="Y918" i="1" s="1"/>
  <c r="Q919" i="1"/>
  <c r="W919" i="1" s="1"/>
  <c r="R919" i="1"/>
  <c r="X919" i="1"/>
  <c r="Y919" i="1" s="1"/>
  <c r="Q920" i="1"/>
  <c r="W920" i="1" s="1"/>
  <c r="R920" i="1"/>
  <c r="X920" i="1"/>
  <c r="Y920" i="1" s="1"/>
  <c r="Q921" i="1"/>
  <c r="W921" i="1" s="1"/>
  <c r="R921" i="1"/>
  <c r="X921" i="1"/>
  <c r="Y921" i="1" s="1"/>
  <c r="Q891" i="1"/>
  <c r="R891" i="1"/>
  <c r="W891" i="1"/>
  <c r="X891" i="1"/>
  <c r="Y891" i="1" s="1"/>
  <c r="Q892" i="1"/>
  <c r="W892" i="1" s="1"/>
  <c r="R892" i="1"/>
  <c r="X892" i="1"/>
  <c r="Y892" i="1" s="1"/>
  <c r="Q893" i="1"/>
  <c r="W893" i="1" s="1"/>
  <c r="R893" i="1"/>
  <c r="X893" i="1"/>
  <c r="Y893" i="1" s="1"/>
  <c r="Q894" i="1"/>
  <c r="W894" i="1" s="1"/>
  <c r="R894" i="1"/>
  <c r="T894" i="1" s="1"/>
  <c r="U894" i="1" s="1"/>
  <c r="X894" i="1"/>
  <c r="Y894" i="1" s="1"/>
  <c r="Q895" i="1"/>
  <c r="W895" i="1" s="1"/>
  <c r="R895" i="1"/>
  <c r="X895" i="1"/>
  <c r="Y895" i="1" s="1"/>
  <c r="Q896" i="1"/>
  <c r="W896" i="1" s="1"/>
  <c r="R896" i="1"/>
  <c r="T896" i="1" s="1"/>
  <c r="U896" i="1" s="1"/>
  <c r="X896" i="1"/>
  <c r="Y896" i="1" s="1"/>
  <c r="Q897" i="1"/>
  <c r="W897" i="1" s="1"/>
  <c r="R897" i="1"/>
  <c r="X897" i="1"/>
  <c r="Y897" i="1" s="1"/>
  <c r="Q898" i="1"/>
  <c r="W898" i="1" s="1"/>
  <c r="R898" i="1"/>
  <c r="T898" i="1" s="1"/>
  <c r="U898" i="1" s="1"/>
  <c r="X898" i="1"/>
  <c r="Y898" i="1" s="1"/>
  <c r="Q899" i="1"/>
  <c r="W899" i="1" s="1"/>
  <c r="R899" i="1"/>
  <c r="X899" i="1"/>
  <c r="Y899" i="1" s="1"/>
  <c r="Q900" i="1"/>
  <c r="W900" i="1" s="1"/>
  <c r="R900" i="1"/>
  <c r="X900" i="1"/>
  <c r="Y900" i="1" s="1"/>
  <c r="Q901" i="1"/>
  <c r="W901" i="1" s="1"/>
  <c r="R901" i="1"/>
  <c r="X901" i="1"/>
  <c r="Y901" i="1" s="1"/>
  <c r="Q902" i="1"/>
  <c r="R902" i="1"/>
  <c r="T902" i="1" s="1"/>
  <c r="U902" i="1" s="1"/>
  <c r="X902" i="1"/>
  <c r="Y902" i="1" s="1"/>
  <c r="Q903" i="1"/>
  <c r="W903" i="1" s="1"/>
  <c r="R903" i="1"/>
  <c r="X903" i="1"/>
  <c r="Y903" i="1" s="1"/>
  <c r="Q904" i="1"/>
  <c r="W904" i="1" s="1"/>
  <c r="R904" i="1"/>
  <c r="X904" i="1"/>
  <c r="Y904" i="1" s="1"/>
  <c r="Q890" i="1"/>
  <c r="W890" i="1" s="1"/>
  <c r="R890" i="1"/>
  <c r="X890" i="1"/>
  <c r="Y890" i="1" s="1"/>
  <c r="Q882" i="1"/>
  <c r="W882" i="1" s="1"/>
  <c r="R882" i="1"/>
  <c r="T882" i="1"/>
  <c r="U882" i="1" s="1"/>
  <c r="X882" i="1"/>
  <c r="Y882" i="1" s="1"/>
  <c r="Q883" i="1"/>
  <c r="W883" i="1" s="1"/>
  <c r="R883" i="1"/>
  <c r="X883" i="1"/>
  <c r="Y883" i="1" s="1"/>
  <c r="Q884" i="1"/>
  <c r="W884" i="1" s="1"/>
  <c r="R884" i="1"/>
  <c r="X884" i="1"/>
  <c r="Y884" i="1" s="1"/>
  <c r="Q885" i="1"/>
  <c r="W885" i="1" s="1"/>
  <c r="R885" i="1"/>
  <c r="X885" i="1"/>
  <c r="Y885" i="1" s="1"/>
  <c r="Q886" i="1"/>
  <c r="W886" i="1" s="1"/>
  <c r="R886" i="1"/>
  <c r="T886" i="1" s="1"/>
  <c r="U886" i="1" s="1"/>
  <c r="X886" i="1"/>
  <c r="Y886" i="1" s="1"/>
  <c r="Q887" i="1"/>
  <c r="W887" i="1" s="1"/>
  <c r="R887" i="1"/>
  <c r="X887" i="1"/>
  <c r="Y887" i="1" s="1"/>
  <c r="Q888" i="1"/>
  <c r="W888" i="1" s="1"/>
  <c r="R888" i="1"/>
  <c r="T888" i="1" s="1"/>
  <c r="U888" i="1" s="1"/>
  <c r="X888" i="1"/>
  <c r="Y888" i="1" s="1"/>
  <c r="Q889" i="1"/>
  <c r="W889" i="1" s="1"/>
  <c r="R889" i="1"/>
  <c r="X889" i="1"/>
  <c r="Y889" i="1" s="1"/>
  <c r="Q880" i="1"/>
  <c r="W880" i="1" s="1"/>
  <c r="R880" i="1"/>
  <c r="T880" i="1" s="1"/>
  <c r="U880" i="1" s="1"/>
  <c r="X880" i="1"/>
  <c r="Y880" i="1" s="1"/>
  <c r="Q881" i="1"/>
  <c r="W881" i="1" s="1"/>
  <c r="R881" i="1"/>
  <c r="X881" i="1"/>
  <c r="Y881" i="1" s="1"/>
  <c r="Q871" i="1"/>
  <c r="W871" i="1" s="1"/>
  <c r="R871" i="1"/>
  <c r="S871" i="1" s="1"/>
  <c r="X871" i="1"/>
  <c r="Y871" i="1" s="1"/>
  <c r="Q872" i="1"/>
  <c r="W872" i="1" s="1"/>
  <c r="R872" i="1"/>
  <c r="X872" i="1"/>
  <c r="Y872" i="1" s="1"/>
  <c r="Q873" i="1"/>
  <c r="W873" i="1" s="1"/>
  <c r="R873" i="1"/>
  <c r="T873" i="1" s="1"/>
  <c r="U873" i="1" s="1"/>
  <c r="X873" i="1"/>
  <c r="Y873" i="1" s="1"/>
  <c r="Q874" i="1"/>
  <c r="W874" i="1" s="1"/>
  <c r="R874" i="1"/>
  <c r="X874" i="1"/>
  <c r="Y874" i="1" s="1"/>
  <c r="Q875" i="1"/>
  <c r="W875" i="1" s="1"/>
  <c r="R875" i="1"/>
  <c r="X875" i="1"/>
  <c r="Y875" i="1" s="1"/>
  <c r="Q876" i="1"/>
  <c r="W876" i="1" s="1"/>
  <c r="R876" i="1"/>
  <c r="X876" i="1"/>
  <c r="Y876" i="1" s="1"/>
  <c r="Q877" i="1"/>
  <c r="W877" i="1" s="1"/>
  <c r="R877" i="1"/>
  <c r="T877" i="1" s="1"/>
  <c r="U877" i="1" s="1"/>
  <c r="X877" i="1"/>
  <c r="Y877" i="1" s="1"/>
  <c r="Q878" i="1"/>
  <c r="W878" i="1" s="1"/>
  <c r="R878" i="1"/>
  <c r="X878" i="1"/>
  <c r="Y878" i="1" s="1"/>
  <c r="Q879" i="1"/>
  <c r="W879" i="1" s="1"/>
  <c r="R879" i="1"/>
  <c r="X879" i="1"/>
  <c r="Y879" i="1" s="1"/>
  <c r="Q866" i="1"/>
  <c r="W866" i="1" s="1"/>
  <c r="R866" i="1"/>
  <c r="X866" i="1"/>
  <c r="Y866" i="1" s="1"/>
  <c r="Q867" i="1"/>
  <c r="W867" i="1" s="1"/>
  <c r="R867" i="1"/>
  <c r="T867" i="1" s="1"/>
  <c r="U867" i="1" s="1"/>
  <c r="X867" i="1"/>
  <c r="Y867" i="1" s="1"/>
  <c r="Q868" i="1"/>
  <c r="W868" i="1" s="1"/>
  <c r="R868" i="1"/>
  <c r="X868" i="1"/>
  <c r="Y868" i="1" s="1"/>
  <c r="Q869" i="1"/>
  <c r="W869" i="1" s="1"/>
  <c r="R869" i="1"/>
  <c r="X869" i="1"/>
  <c r="Y869" i="1" s="1"/>
  <c r="Q870" i="1"/>
  <c r="W870" i="1" s="1"/>
  <c r="R870" i="1"/>
  <c r="X870" i="1"/>
  <c r="Y870" i="1" s="1"/>
  <c r="Q860" i="1"/>
  <c r="W860" i="1" s="1"/>
  <c r="R860" i="1"/>
  <c r="T860" i="1" s="1"/>
  <c r="U860" i="1" s="1"/>
  <c r="X860" i="1"/>
  <c r="Y860" i="1" s="1"/>
  <c r="Q861" i="1"/>
  <c r="W861" i="1" s="1"/>
  <c r="R861" i="1"/>
  <c r="X861" i="1"/>
  <c r="Y861" i="1" s="1"/>
  <c r="Q862" i="1"/>
  <c r="W862" i="1" s="1"/>
  <c r="R862" i="1"/>
  <c r="T862" i="1" s="1"/>
  <c r="U862" i="1" s="1"/>
  <c r="X862" i="1"/>
  <c r="Y862" i="1" s="1"/>
  <c r="Q863" i="1"/>
  <c r="W863" i="1" s="1"/>
  <c r="R863" i="1"/>
  <c r="T863" i="1" s="1"/>
  <c r="U863" i="1" s="1"/>
  <c r="X863" i="1"/>
  <c r="Y863" i="1" s="1"/>
  <c r="Q864" i="1"/>
  <c r="W864" i="1" s="1"/>
  <c r="R864" i="1"/>
  <c r="S864" i="1" s="1"/>
  <c r="X864" i="1"/>
  <c r="Y864" i="1" s="1"/>
  <c r="Q865" i="1"/>
  <c r="W865" i="1" s="1"/>
  <c r="R865" i="1"/>
  <c r="X865" i="1"/>
  <c r="Y865" i="1" s="1"/>
  <c r="Q853" i="1"/>
  <c r="W853" i="1" s="1"/>
  <c r="R853" i="1"/>
  <c r="X853" i="1"/>
  <c r="Y853" i="1" s="1"/>
  <c r="Q854" i="1"/>
  <c r="S854" i="1" s="1"/>
  <c r="R854" i="1"/>
  <c r="T854" i="1" s="1"/>
  <c r="U854" i="1" s="1"/>
  <c r="X854" i="1"/>
  <c r="Y854" i="1" s="1"/>
  <c r="Q855" i="1"/>
  <c r="W855" i="1" s="1"/>
  <c r="R855" i="1"/>
  <c r="X855" i="1"/>
  <c r="Y855" i="1" s="1"/>
  <c r="Q856" i="1"/>
  <c r="W856" i="1" s="1"/>
  <c r="R856" i="1"/>
  <c r="X856" i="1"/>
  <c r="Y856" i="1" s="1"/>
  <c r="Q857" i="1"/>
  <c r="S857" i="1" s="1"/>
  <c r="R857" i="1"/>
  <c r="T857" i="1" s="1"/>
  <c r="U857" i="1" s="1"/>
  <c r="W857" i="1"/>
  <c r="X857" i="1"/>
  <c r="Y857" i="1" s="1"/>
  <c r="Q858" i="1"/>
  <c r="W858" i="1" s="1"/>
  <c r="R858" i="1"/>
  <c r="T858" i="1" s="1"/>
  <c r="U858" i="1" s="1"/>
  <c r="X858" i="1"/>
  <c r="Y858" i="1" s="1"/>
  <c r="Q859" i="1"/>
  <c r="W859" i="1" s="1"/>
  <c r="R859" i="1"/>
  <c r="S859" i="1" s="1"/>
  <c r="X859" i="1"/>
  <c r="Y859" i="1" s="1"/>
  <c r="Q850" i="1"/>
  <c r="W850" i="1" s="1"/>
  <c r="R850" i="1"/>
  <c r="X850" i="1"/>
  <c r="Y850" i="1" s="1"/>
  <c r="Q851" i="1"/>
  <c r="W851" i="1" s="1"/>
  <c r="R851" i="1"/>
  <c r="X851" i="1"/>
  <c r="Y851" i="1" s="1"/>
  <c r="Q852" i="1"/>
  <c r="W852" i="1" s="1"/>
  <c r="R852" i="1"/>
  <c r="T852" i="1" s="1"/>
  <c r="U852" i="1" s="1"/>
  <c r="X852" i="1"/>
  <c r="Y852" i="1" s="1"/>
  <c r="Q845" i="1"/>
  <c r="W845" i="1" s="1"/>
  <c r="R845" i="1"/>
  <c r="T845" i="1"/>
  <c r="U845" i="1" s="1"/>
  <c r="X845" i="1"/>
  <c r="Y845" i="1" s="1"/>
  <c r="Q846" i="1"/>
  <c r="W846" i="1" s="1"/>
  <c r="R846" i="1"/>
  <c r="X846" i="1"/>
  <c r="Y846" i="1" s="1"/>
  <c r="Q847" i="1"/>
  <c r="W847" i="1" s="1"/>
  <c r="R847" i="1"/>
  <c r="T847" i="1" s="1"/>
  <c r="U847" i="1" s="1"/>
  <c r="X847" i="1"/>
  <c r="Y847" i="1" s="1"/>
  <c r="Q848" i="1"/>
  <c r="W848" i="1" s="1"/>
  <c r="R848" i="1"/>
  <c r="X848" i="1"/>
  <c r="Y848" i="1" s="1"/>
  <c r="Q849" i="1"/>
  <c r="W849" i="1" s="1"/>
  <c r="R849" i="1"/>
  <c r="S849" i="1" s="1"/>
  <c r="T849" i="1"/>
  <c r="U849" i="1" s="1"/>
  <c r="X849" i="1"/>
  <c r="Y849" i="1" s="1"/>
  <c r="Q835" i="1"/>
  <c r="W835" i="1" s="1"/>
  <c r="R835" i="1"/>
  <c r="X835" i="1"/>
  <c r="Y835" i="1" s="1"/>
  <c r="Q836" i="1"/>
  <c r="W836" i="1" s="1"/>
  <c r="R836" i="1"/>
  <c r="T836" i="1"/>
  <c r="U836" i="1" s="1"/>
  <c r="X836" i="1"/>
  <c r="Y836" i="1" s="1"/>
  <c r="Q837" i="1"/>
  <c r="R837" i="1"/>
  <c r="T837" i="1"/>
  <c r="U837" i="1" s="1"/>
  <c r="X837" i="1"/>
  <c r="Y837" i="1" s="1"/>
  <c r="Q838" i="1"/>
  <c r="W838" i="1" s="1"/>
  <c r="R838" i="1"/>
  <c r="X838" i="1"/>
  <c r="Y838" i="1" s="1"/>
  <c r="Q839" i="1"/>
  <c r="W839" i="1" s="1"/>
  <c r="R839" i="1"/>
  <c r="X839" i="1"/>
  <c r="Y839" i="1" s="1"/>
  <c r="Q840" i="1"/>
  <c r="W840" i="1" s="1"/>
  <c r="R840" i="1"/>
  <c r="T840" i="1" s="1"/>
  <c r="U840" i="1" s="1"/>
  <c r="X840" i="1"/>
  <c r="Y840" i="1" s="1"/>
  <c r="Q841" i="1"/>
  <c r="W841" i="1" s="1"/>
  <c r="R841" i="1"/>
  <c r="T841" i="1" s="1"/>
  <c r="U841" i="1" s="1"/>
  <c r="X841" i="1"/>
  <c r="Y841" i="1" s="1"/>
  <c r="Q842" i="1"/>
  <c r="W842" i="1" s="1"/>
  <c r="R842" i="1"/>
  <c r="X842" i="1"/>
  <c r="Y842" i="1" s="1"/>
  <c r="Q843" i="1"/>
  <c r="W843" i="1" s="1"/>
  <c r="R843" i="1"/>
  <c r="X843" i="1"/>
  <c r="Y843" i="1" s="1"/>
  <c r="Q844" i="1"/>
  <c r="W844" i="1" s="1"/>
  <c r="R844" i="1"/>
  <c r="S844" i="1" s="1"/>
  <c r="X844" i="1"/>
  <c r="Y844" i="1" s="1"/>
  <c r="Q831" i="1"/>
  <c r="W831" i="1" s="1"/>
  <c r="R831" i="1"/>
  <c r="S831" i="1" s="1"/>
  <c r="X831" i="1"/>
  <c r="Y831" i="1" s="1"/>
  <c r="Q832" i="1"/>
  <c r="W832" i="1" s="1"/>
  <c r="R832" i="1"/>
  <c r="T832" i="1" s="1"/>
  <c r="U832" i="1" s="1"/>
  <c r="X832" i="1"/>
  <c r="Y832" i="1" s="1"/>
  <c r="Q833" i="1"/>
  <c r="W833" i="1" s="1"/>
  <c r="R833" i="1"/>
  <c r="X833" i="1"/>
  <c r="Y833" i="1" s="1"/>
  <c r="Q834" i="1"/>
  <c r="W834" i="1" s="1"/>
  <c r="R834" i="1"/>
  <c r="X834" i="1"/>
  <c r="Y834" i="1" s="1"/>
  <c r="Q830" i="1"/>
  <c r="W830" i="1" s="1"/>
  <c r="R830" i="1"/>
  <c r="T830" i="1" s="1"/>
  <c r="U830" i="1" s="1"/>
  <c r="X830" i="1"/>
  <c r="Y830" i="1" s="1"/>
  <c r="Q828" i="1"/>
  <c r="R828" i="1"/>
  <c r="W828" i="1"/>
  <c r="X828" i="1"/>
  <c r="Y828" i="1" s="1"/>
  <c r="Q829" i="1"/>
  <c r="W829" i="1" s="1"/>
  <c r="R829" i="1"/>
  <c r="X829" i="1"/>
  <c r="Y829" i="1" s="1"/>
  <c r="Q826" i="1"/>
  <c r="W826" i="1" s="1"/>
  <c r="R826" i="1"/>
  <c r="T826" i="1"/>
  <c r="U826" i="1" s="1"/>
  <c r="X826" i="1"/>
  <c r="Y826" i="1" s="1"/>
  <c r="Q827" i="1"/>
  <c r="W827" i="1" s="1"/>
  <c r="R827" i="1"/>
  <c r="T827" i="1" s="1"/>
  <c r="U827" i="1" s="1"/>
  <c r="X827" i="1"/>
  <c r="Y827" i="1" s="1"/>
  <c r="Q824" i="1"/>
  <c r="W824" i="1" s="1"/>
  <c r="R824" i="1"/>
  <c r="T824" i="1" s="1"/>
  <c r="U824" i="1" s="1"/>
  <c r="X824" i="1"/>
  <c r="Y824" i="1" s="1"/>
  <c r="Q825" i="1"/>
  <c r="R825" i="1"/>
  <c r="W825" i="1"/>
  <c r="X825" i="1"/>
  <c r="Y825" i="1" s="1"/>
  <c r="Q822" i="1"/>
  <c r="W822" i="1" s="1"/>
  <c r="R822" i="1"/>
  <c r="X822" i="1"/>
  <c r="Y822" i="1" s="1"/>
  <c r="Q823" i="1"/>
  <c r="W823" i="1" s="1"/>
  <c r="R823" i="1"/>
  <c r="T823" i="1" s="1"/>
  <c r="U823" i="1" s="1"/>
  <c r="X823" i="1"/>
  <c r="Y823" i="1" s="1"/>
  <c r="Q817" i="1"/>
  <c r="W817" i="1" s="1"/>
  <c r="R817" i="1"/>
  <c r="X817" i="1"/>
  <c r="Y817" i="1" s="1"/>
  <c r="Q818" i="1"/>
  <c r="W818" i="1" s="1"/>
  <c r="R818" i="1"/>
  <c r="X818" i="1"/>
  <c r="Y818" i="1" s="1"/>
  <c r="Q819" i="1"/>
  <c r="W819" i="1" s="1"/>
  <c r="R819" i="1"/>
  <c r="S819" i="1" s="1"/>
  <c r="X819" i="1"/>
  <c r="Y819" i="1" s="1"/>
  <c r="Q820" i="1"/>
  <c r="W820" i="1" s="1"/>
  <c r="R820" i="1"/>
  <c r="X820" i="1"/>
  <c r="Y820" i="1" s="1"/>
  <c r="Q821" i="1"/>
  <c r="W821" i="1" s="1"/>
  <c r="R821" i="1"/>
  <c r="T821" i="1" s="1"/>
  <c r="U821" i="1" s="1"/>
  <c r="X821" i="1"/>
  <c r="Y821" i="1" s="1"/>
  <c r="Q809" i="1"/>
  <c r="R809" i="1"/>
  <c r="W809" i="1"/>
  <c r="X809" i="1"/>
  <c r="Y809" i="1" s="1"/>
  <c r="Q810" i="1"/>
  <c r="W810" i="1" s="1"/>
  <c r="R810" i="1"/>
  <c r="T810" i="1" s="1"/>
  <c r="U810" i="1" s="1"/>
  <c r="X810" i="1"/>
  <c r="Y810" i="1" s="1"/>
  <c r="Q811" i="1"/>
  <c r="W811" i="1" s="1"/>
  <c r="R811" i="1"/>
  <c r="T811" i="1" s="1"/>
  <c r="U811" i="1" s="1"/>
  <c r="X811" i="1"/>
  <c r="Y811" i="1" s="1"/>
  <c r="Q812" i="1"/>
  <c r="W812" i="1" s="1"/>
  <c r="R812" i="1"/>
  <c r="S812" i="1" s="1"/>
  <c r="X812" i="1"/>
  <c r="Y812" i="1" s="1"/>
  <c r="Q813" i="1"/>
  <c r="W813" i="1" s="1"/>
  <c r="R813" i="1"/>
  <c r="X813" i="1"/>
  <c r="Y813" i="1" s="1"/>
  <c r="Q814" i="1"/>
  <c r="W814" i="1" s="1"/>
  <c r="R814" i="1"/>
  <c r="T814" i="1" s="1"/>
  <c r="U814" i="1" s="1"/>
  <c r="X814" i="1"/>
  <c r="Y814" i="1" s="1"/>
  <c r="Q815" i="1"/>
  <c r="W815" i="1" s="1"/>
  <c r="R815" i="1"/>
  <c r="T815" i="1" s="1"/>
  <c r="U815" i="1" s="1"/>
  <c r="X815" i="1"/>
  <c r="Y815" i="1" s="1"/>
  <c r="Q816" i="1"/>
  <c r="W816" i="1" s="1"/>
  <c r="R816" i="1"/>
  <c r="X816" i="1"/>
  <c r="Y816" i="1" s="1"/>
  <c r="Q1471" i="1"/>
  <c r="R1471" i="1"/>
  <c r="T1471" i="1"/>
  <c r="U1471" i="1" s="1"/>
  <c r="X1471" i="1"/>
  <c r="Y1471" i="1" s="1"/>
  <c r="Q1472" i="1"/>
  <c r="W1472" i="1" s="1"/>
  <c r="R1472" i="1"/>
  <c r="T1472" i="1"/>
  <c r="U1472" i="1" s="1"/>
  <c r="X1472" i="1"/>
  <c r="Y1472" i="1" s="1"/>
  <c r="Q1473" i="1"/>
  <c r="W1473" i="1" s="1"/>
  <c r="R1473" i="1"/>
  <c r="X1473" i="1"/>
  <c r="Y1473" i="1" s="1"/>
  <c r="Q1474" i="1"/>
  <c r="W1474" i="1" s="1"/>
  <c r="R1474" i="1"/>
  <c r="T1474" i="1"/>
  <c r="U1474" i="1" s="1"/>
  <c r="X1474" i="1"/>
  <c r="Y1474" i="1" s="1"/>
  <c r="Q1475" i="1"/>
  <c r="W1475" i="1" s="1"/>
  <c r="R1475" i="1"/>
  <c r="X1475" i="1"/>
  <c r="Y1475" i="1" s="1"/>
  <c r="Q1476" i="1"/>
  <c r="W1476" i="1" s="1"/>
  <c r="R1476" i="1"/>
  <c r="X1476" i="1"/>
  <c r="Y1476" i="1" s="1"/>
  <c r="Q1477" i="1"/>
  <c r="R1477" i="1"/>
  <c r="T1477" i="1" s="1"/>
  <c r="U1477" i="1" s="1"/>
  <c r="X1477" i="1"/>
  <c r="Y1477" i="1" s="1"/>
  <c r="Q1456" i="1"/>
  <c r="W1456" i="1" s="1"/>
  <c r="R1456" i="1"/>
  <c r="X1456" i="1"/>
  <c r="Y1456" i="1" s="1"/>
  <c r="Q1457" i="1"/>
  <c r="R1457" i="1"/>
  <c r="T1457" i="1" s="1"/>
  <c r="U1457" i="1" s="1"/>
  <c r="X1457" i="1"/>
  <c r="Y1457" i="1" s="1"/>
  <c r="Q1458" i="1"/>
  <c r="W1458" i="1" s="1"/>
  <c r="R1458" i="1"/>
  <c r="X1458" i="1"/>
  <c r="Y1458" i="1" s="1"/>
  <c r="Q1459" i="1"/>
  <c r="R1459" i="1"/>
  <c r="T1459" i="1" s="1"/>
  <c r="U1459" i="1" s="1"/>
  <c r="X1459" i="1"/>
  <c r="Y1459" i="1" s="1"/>
  <c r="Q1460" i="1"/>
  <c r="R1460" i="1"/>
  <c r="S1460" i="1" s="1"/>
  <c r="W1460" i="1"/>
  <c r="X1460" i="1"/>
  <c r="Y1460" i="1" s="1"/>
  <c r="Q1461" i="1"/>
  <c r="W1461" i="1" s="1"/>
  <c r="R1461" i="1"/>
  <c r="X1461" i="1"/>
  <c r="Y1461" i="1" s="1"/>
  <c r="Q1462" i="1"/>
  <c r="W1462" i="1" s="1"/>
  <c r="R1462" i="1"/>
  <c r="X1462" i="1"/>
  <c r="Y1462" i="1" s="1"/>
  <c r="Q1463" i="1"/>
  <c r="W1463" i="1" s="1"/>
  <c r="R1463" i="1"/>
  <c r="X1463" i="1"/>
  <c r="Y1463" i="1" s="1"/>
  <c r="Q1464" i="1"/>
  <c r="W1464" i="1" s="1"/>
  <c r="R1464" i="1"/>
  <c r="T1464" i="1" s="1"/>
  <c r="U1464" i="1" s="1"/>
  <c r="X1464" i="1"/>
  <c r="Y1464" i="1" s="1"/>
  <c r="Q1465" i="1"/>
  <c r="W1465" i="1" s="1"/>
  <c r="R1465" i="1"/>
  <c r="T1465" i="1" s="1"/>
  <c r="U1465" i="1" s="1"/>
  <c r="X1465" i="1"/>
  <c r="Y1465" i="1" s="1"/>
  <c r="Q1466" i="1"/>
  <c r="W1466" i="1" s="1"/>
  <c r="R1466" i="1"/>
  <c r="S1466" i="1" s="1"/>
  <c r="X1466" i="1"/>
  <c r="Y1466" i="1" s="1"/>
  <c r="Q1467" i="1"/>
  <c r="W1467" i="1" s="1"/>
  <c r="R1467" i="1"/>
  <c r="X1467" i="1"/>
  <c r="Y1467" i="1" s="1"/>
  <c r="Q1468" i="1"/>
  <c r="W1468" i="1" s="1"/>
  <c r="R1468" i="1"/>
  <c r="X1468" i="1"/>
  <c r="Y1468" i="1" s="1"/>
  <c r="Q1469" i="1"/>
  <c r="W1469" i="1" s="1"/>
  <c r="R1469" i="1"/>
  <c r="X1469" i="1"/>
  <c r="Y1469" i="1" s="1"/>
  <c r="Q1470" i="1"/>
  <c r="W1470" i="1" s="1"/>
  <c r="R1470" i="1"/>
  <c r="X1470" i="1"/>
  <c r="Y1470" i="1" s="1"/>
  <c r="Q1448" i="1"/>
  <c r="W1448" i="1" s="1"/>
  <c r="R1448" i="1"/>
  <c r="X1448" i="1"/>
  <c r="Y1448" i="1" s="1"/>
  <c r="Q1449" i="1"/>
  <c r="W1449" i="1" s="1"/>
  <c r="R1449" i="1"/>
  <c r="T1449" i="1" s="1"/>
  <c r="U1449" i="1" s="1"/>
  <c r="X1449" i="1"/>
  <c r="Y1449" i="1" s="1"/>
  <c r="Q1450" i="1"/>
  <c r="W1450" i="1" s="1"/>
  <c r="R1450" i="1"/>
  <c r="X1450" i="1"/>
  <c r="Y1450" i="1" s="1"/>
  <c r="Q1451" i="1"/>
  <c r="W1451" i="1" s="1"/>
  <c r="R1451" i="1"/>
  <c r="T1451" i="1" s="1"/>
  <c r="U1451" i="1" s="1"/>
  <c r="X1451" i="1"/>
  <c r="Y1451" i="1" s="1"/>
  <c r="Q1452" i="1"/>
  <c r="W1452" i="1" s="1"/>
  <c r="R1452" i="1"/>
  <c r="X1452" i="1"/>
  <c r="Y1452" i="1" s="1"/>
  <c r="Q1453" i="1"/>
  <c r="W1453" i="1" s="1"/>
  <c r="R1453" i="1"/>
  <c r="X1453" i="1"/>
  <c r="Y1453" i="1" s="1"/>
  <c r="Q1454" i="1"/>
  <c r="S1454" i="1" s="1"/>
  <c r="R1454" i="1"/>
  <c r="T1454" i="1" s="1"/>
  <c r="U1454" i="1" s="1"/>
  <c r="X1454" i="1"/>
  <c r="Y1454" i="1" s="1"/>
  <c r="Q1455" i="1"/>
  <c r="W1455" i="1" s="1"/>
  <c r="R1455" i="1"/>
  <c r="X1455" i="1"/>
  <c r="Y1455" i="1" s="1"/>
  <c r="Q1436" i="1"/>
  <c r="W1436" i="1" s="1"/>
  <c r="R1436" i="1"/>
  <c r="X1436" i="1"/>
  <c r="Y1436" i="1" s="1"/>
  <c r="Q1437" i="1"/>
  <c r="W1437" i="1" s="1"/>
  <c r="R1437" i="1"/>
  <c r="T1437" i="1" s="1"/>
  <c r="U1437" i="1" s="1"/>
  <c r="X1437" i="1"/>
  <c r="Y1437" i="1" s="1"/>
  <c r="Q1438" i="1"/>
  <c r="R1438" i="1"/>
  <c r="T1438" i="1"/>
  <c r="U1438" i="1" s="1"/>
  <c r="X1438" i="1"/>
  <c r="Y1438" i="1" s="1"/>
  <c r="Q1439" i="1"/>
  <c r="W1439" i="1" s="1"/>
  <c r="R1439" i="1"/>
  <c r="X1439" i="1"/>
  <c r="Y1439" i="1" s="1"/>
  <c r="Q1440" i="1"/>
  <c r="W1440" i="1" s="1"/>
  <c r="R1440" i="1"/>
  <c r="T1440" i="1"/>
  <c r="U1440" i="1" s="1"/>
  <c r="X1440" i="1"/>
  <c r="Y1440" i="1" s="1"/>
  <c r="Q1441" i="1"/>
  <c r="R1441" i="1"/>
  <c r="W1441" i="1"/>
  <c r="X1441" i="1"/>
  <c r="Y1441" i="1" s="1"/>
  <c r="Q1442" i="1"/>
  <c r="W1442" i="1" s="1"/>
  <c r="R1442" i="1"/>
  <c r="T1442" i="1" s="1"/>
  <c r="U1442" i="1" s="1"/>
  <c r="X1442" i="1"/>
  <c r="Y1442" i="1" s="1"/>
  <c r="Q1443" i="1"/>
  <c r="W1443" i="1" s="1"/>
  <c r="R1443" i="1"/>
  <c r="X1443" i="1"/>
  <c r="Y1443" i="1" s="1"/>
  <c r="Q1444" i="1"/>
  <c r="W1444" i="1" s="1"/>
  <c r="R1444" i="1"/>
  <c r="T1444" i="1" s="1"/>
  <c r="U1444" i="1" s="1"/>
  <c r="X1444" i="1"/>
  <c r="Y1444" i="1" s="1"/>
  <c r="Q1445" i="1"/>
  <c r="W1445" i="1" s="1"/>
  <c r="R1445" i="1"/>
  <c r="T1445" i="1" s="1"/>
  <c r="U1445" i="1" s="1"/>
  <c r="X1445" i="1"/>
  <c r="Y1445" i="1" s="1"/>
  <c r="Q1446" i="1"/>
  <c r="W1446" i="1" s="1"/>
  <c r="R1446" i="1"/>
  <c r="X1446" i="1"/>
  <c r="Y1446" i="1" s="1"/>
  <c r="Q1447" i="1"/>
  <c r="W1447" i="1" s="1"/>
  <c r="R1447" i="1"/>
  <c r="T1447" i="1" s="1"/>
  <c r="U1447" i="1" s="1"/>
  <c r="X1447" i="1"/>
  <c r="Y1447" i="1" s="1"/>
  <c r="Q1423" i="1"/>
  <c r="W1423" i="1" s="1"/>
  <c r="R1423" i="1"/>
  <c r="T1423" i="1" s="1"/>
  <c r="U1423" i="1" s="1"/>
  <c r="X1423" i="1"/>
  <c r="Y1423" i="1" s="1"/>
  <c r="Q1424" i="1"/>
  <c r="W1424" i="1" s="1"/>
  <c r="R1424" i="1"/>
  <c r="X1424" i="1"/>
  <c r="Y1424" i="1" s="1"/>
  <c r="Q1425" i="1"/>
  <c r="W1425" i="1" s="1"/>
  <c r="R1425" i="1"/>
  <c r="X1425" i="1"/>
  <c r="Y1425" i="1" s="1"/>
  <c r="Q1426" i="1"/>
  <c r="R1426" i="1"/>
  <c r="T1426" i="1"/>
  <c r="U1426" i="1" s="1"/>
  <c r="W1426" i="1"/>
  <c r="X1426" i="1"/>
  <c r="Y1426" i="1" s="1"/>
  <c r="Q1427" i="1"/>
  <c r="W1427" i="1" s="1"/>
  <c r="R1427" i="1"/>
  <c r="X1427" i="1"/>
  <c r="Y1427" i="1" s="1"/>
  <c r="Q1428" i="1"/>
  <c r="R1428" i="1"/>
  <c r="T1428" i="1" s="1"/>
  <c r="U1428" i="1" s="1"/>
  <c r="X1428" i="1"/>
  <c r="Y1428" i="1" s="1"/>
  <c r="Q1429" i="1"/>
  <c r="W1429" i="1" s="1"/>
  <c r="R1429" i="1"/>
  <c r="X1429" i="1"/>
  <c r="Y1429" i="1" s="1"/>
  <c r="Q1430" i="1"/>
  <c r="W1430" i="1" s="1"/>
  <c r="R1430" i="1"/>
  <c r="X1430" i="1"/>
  <c r="Y1430" i="1" s="1"/>
  <c r="Q1431" i="1"/>
  <c r="W1431" i="1" s="1"/>
  <c r="R1431" i="1"/>
  <c r="S1431" i="1" s="1"/>
  <c r="X1431" i="1"/>
  <c r="Y1431" i="1" s="1"/>
  <c r="Q1432" i="1"/>
  <c r="W1432" i="1" s="1"/>
  <c r="R1432" i="1"/>
  <c r="X1432" i="1"/>
  <c r="Y1432" i="1" s="1"/>
  <c r="Q1433" i="1"/>
  <c r="W1433" i="1" s="1"/>
  <c r="R1433" i="1"/>
  <c r="T1433" i="1" s="1"/>
  <c r="U1433" i="1" s="1"/>
  <c r="S1433" i="1"/>
  <c r="X1433" i="1"/>
  <c r="Y1433" i="1" s="1"/>
  <c r="Q1434" i="1"/>
  <c r="W1434" i="1" s="1"/>
  <c r="R1434" i="1"/>
  <c r="T1434" i="1" s="1"/>
  <c r="U1434" i="1" s="1"/>
  <c r="X1434" i="1"/>
  <c r="Y1434" i="1" s="1"/>
  <c r="Q1435" i="1"/>
  <c r="W1435" i="1" s="1"/>
  <c r="R1435" i="1"/>
  <c r="X1435" i="1"/>
  <c r="Y1435" i="1" s="1"/>
  <c r="Q1415" i="1"/>
  <c r="W1415" i="1" s="1"/>
  <c r="R1415" i="1"/>
  <c r="T1415" i="1" s="1"/>
  <c r="U1415" i="1" s="1"/>
  <c r="X1415" i="1"/>
  <c r="Y1415" i="1" s="1"/>
  <c r="Q1416" i="1"/>
  <c r="W1416" i="1" s="1"/>
  <c r="R1416" i="1"/>
  <c r="T1416" i="1" s="1"/>
  <c r="U1416" i="1" s="1"/>
  <c r="X1416" i="1"/>
  <c r="Y1416" i="1" s="1"/>
  <c r="Q1417" i="1"/>
  <c r="W1417" i="1" s="1"/>
  <c r="R1417" i="1"/>
  <c r="T1417" i="1" s="1"/>
  <c r="U1417" i="1" s="1"/>
  <c r="X1417" i="1"/>
  <c r="Y1417" i="1" s="1"/>
  <c r="Q1418" i="1"/>
  <c r="W1418" i="1" s="1"/>
  <c r="R1418" i="1"/>
  <c r="X1418" i="1"/>
  <c r="Y1418" i="1" s="1"/>
  <c r="Q1419" i="1"/>
  <c r="W1419" i="1" s="1"/>
  <c r="R1419" i="1"/>
  <c r="T1419" i="1" s="1"/>
  <c r="U1419" i="1" s="1"/>
  <c r="X1419" i="1"/>
  <c r="Y1419" i="1" s="1"/>
  <c r="Q1420" i="1"/>
  <c r="W1420" i="1" s="1"/>
  <c r="R1420" i="1"/>
  <c r="T1420" i="1" s="1"/>
  <c r="U1420" i="1" s="1"/>
  <c r="X1420" i="1"/>
  <c r="Y1420" i="1" s="1"/>
  <c r="Q1421" i="1"/>
  <c r="W1421" i="1" s="1"/>
  <c r="R1421" i="1"/>
  <c r="T1421" i="1" s="1"/>
  <c r="U1421" i="1" s="1"/>
  <c r="X1421" i="1"/>
  <c r="Y1421" i="1" s="1"/>
  <c r="Q1422" i="1"/>
  <c r="W1422" i="1" s="1"/>
  <c r="R1422" i="1"/>
  <c r="X1422" i="1"/>
  <c r="Y1422" i="1" s="1"/>
  <c r="Q1407" i="1"/>
  <c r="W1407" i="1" s="1"/>
  <c r="R1407" i="1"/>
  <c r="T1407" i="1" s="1"/>
  <c r="U1407" i="1" s="1"/>
  <c r="X1407" i="1"/>
  <c r="Y1407" i="1" s="1"/>
  <c r="Q1408" i="1"/>
  <c r="W1408" i="1" s="1"/>
  <c r="R1408" i="1"/>
  <c r="T1408" i="1" s="1"/>
  <c r="U1408" i="1" s="1"/>
  <c r="X1408" i="1"/>
  <c r="Y1408" i="1" s="1"/>
  <c r="Q1409" i="1"/>
  <c r="W1409" i="1" s="1"/>
  <c r="R1409" i="1"/>
  <c r="X1409" i="1"/>
  <c r="Y1409" i="1" s="1"/>
  <c r="Q1410" i="1"/>
  <c r="W1410" i="1" s="1"/>
  <c r="R1410" i="1"/>
  <c r="T1410" i="1" s="1"/>
  <c r="U1410" i="1" s="1"/>
  <c r="X1410" i="1"/>
  <c r="Y1410" i="1" s="1"/>
  <c r="Q1411" i="1"/>
  <c r="W1411" i="1" s="1"/>
  <c r="R1411" i="1"/>
  <c r="T1411" i="1" s="1"/>
  <c r="U1411" i="1" s="1"/>
  <c r="X1411" i="1"/>
  <c r="Y1411" i="1" s="1"/>
  <c r="Q1412" i="1"/>
  <c r="W1412" i="1" s="1"/>
  <c r="R1412" i="1"/>
  <c r="X1412" i="1"/>
  <c r="Y1412" i="1" s="1"/>
  <c r="Q1413" i="1"/>
  <c r="W1413" i="1" s="1"/>
  <c r="R1413" i="1"/>
  <c r="T1413" i="1" s="1"/>
  <c r="U1413" i="1" s="1"/>
  <c r="X1413" i="1"/>
  <c r="Y1413" i="1" s="1"/>
  <c r="Q1414" i="1"/>
  <c r="W1414" i="1" s="1"/>
  <c r="R1414" i="1"/>
  <c r="X1414" i="1"/>
  <c r="Y1414" i="1" s="1"/>
  <c r="Q1395" i="1"/>
  <c r="W1395" i="1" s="1"/>
  <c r="R1395" i="1"/>
  <c r="T1395" i="1" s="1"/>
  <c r="U1395" i="1" s="1"/>
  <c r="X1395" i="1"/>
  <c r="Y1395" i="1" s="1"/>
  <c r="Q1396" i="1"/>
  <c r="W1396" i="1" s="1"/>
  <c r="R1396" i="1"/>
  <c r="X1396" i="1"/>
  <c r="Y1396" i="1" s="1"/>
  <c r="Q1397" i="1"/>
  <c r="W1397" i="1" s="1"/>
  <c r="R1397" i="1"/>
  <c r="T1397" i="1" s="1"/>
  <c r="U1397" i="1" s="1"/>
  <c r="X1397" i="1"/>
  <c r="Y1397" i="1" s="1"/>
  <c r="Q1398" i="1"/>
  <c r="W1398" i="1" s="1"/>
  <c r="R1398" i="1"/>
  <c r="X1398" i="1"/>
  <c r="Y1398" i="1" s="1"/>
  <c r="Q1399" i="1"/>
  <c r="W1399" i="1" s="1"/>
  <c r="R1399" i="1"/>
  <c r="T1399" i="1" s="1"/>
  <c r="U1399" i="1" s="1"/>
  <c r="X1399" i="1"/>
  <c r="Y1399" i="1" s="1"/>
  <c r="Q1400" i="1"/>
  <c r="W1400" i="1" s="1"/>
  <c r="R1400" i="1"/>
  <c r="T1400" i="1" s="1"/>
  <c r="U1400" i="1" s="1"/>
  <c r="S1400" i="1"/>
  <c r="V1400" i="1" s="1"/>
  <c r="X1400" i="1"/>
  <c r="Y1400" i="1" s="1"/>
  <c r="Q1401" i="1"/>
  <c r="W1401" i="1" s="1"/>
  <c r="R1401" i="1"/>
  <c r="T1401" i="1" s="1"/>
  <c r="U1401" i="1" s="1"/>
  <c r="X1401" i="1"/>
  <c r="Y1401" i="1" s="1"/>
  <c r="Q1402" i="1"/>
  <c r="W1402" i="1" s="1"/>
  <c r="R1402" i="1"/>
  <c r="X1402" i="1"/>
  <c r="Y1402" i="1" s="1"/>
  <c r="Q1403" i="1"/>
  <c r="W1403" i="1" s="1"/>
  <c r="R1403" i="1"/>
  <c r="T1403" i="1" s="1"/>
  <c r="U1403" i="1" s="1"/>
  <c r="S1403" i="1"/>
  <c r="X1403" i="1"/>
  <c r="Y1403" i="1" s="1"/>
  <c r="Q1404" i="1"/>
  <c r="W1404" i="1" s="1"/>
  <c r="R1404" i="1"/>
  <c r="X1404" i="1"/>
  <c r="Y1404" i="1" s="1"/>
  <c r="Q1405" i="1"/>
  <c r="W1405" i="1" s="1"/>
  <c r="R1405" i="1"/>
  <c r="X1405" i="1"/>
  <c r="Y1405" i="1" s="1"/>
  <c r="Q1406" i="1"/>
  <c r="W1406" i="1" s="1"/>
  <c r="R1406" i="1"/>
  <c r="T1406" i="1" s="1"/>
  <c r="U1406" i="1" s="1"/>
  <c r="X1406" i="1"/>
  <c r="Y1406" i="1" s="1"/>
  <c r="Q1381" i="1"/>
  <c r="W1381" i="1" s="1"/>
  <c r="R1381" i="1"/>
  <c r="X1381" i="1"/>
  <c r="Y1381" i="1" s="1"/>
  <c r="Q1382" i="1"/>
  <c r="W1382" i="1" s="1"/>
  <c r="R1382" i="1"/>
  <c r="X1382" i="1"/>
  <c r="Y1382" i="1" s="1"/>
  <c r="Q1383" i="1"/>
  <c r="W1383" i="1" s="1"/>
  <c r="R1383" i="1"/>
  <c r="S1383" i="1" s="1"/>
  <c r="X1383" i="1"/>
  <c r="Y1383" i="1" s="1"/>
  <c r="Q1384" i="1"/>
  <c r="W1384" i="1" s="1"/>
  <c r="R1384" i="1"/>
  <c r="T1384" i="1" s="1"/>
  <c r="U1384" i="1" s="1"/>
  <c r="X1384" i="1"/>
  <c r="Y1384" i="1" s="1"/>
  <c r="Q1385" i="1"/>
  <c r="W1385" i="1" s="1"/>
  <c r="R1385" i="1"/>
  <c r="X1385" i="1"/>
  <c r="Y1385" i="1" s="1"/>
  <c r="Q1386" i="1"/>
  <c r="W1386" i="1" s="1"/>
  <c r="R1386" i="1"/>
  <c r="S1386" i="1"/>
  <c r="T1386" i="1"/>
  <c r="U1386" i="1" s="1"/>
  <c r="X1386" i="1"/>
  <c r="Y1386" i="1" s="1"/>
  <c r="Q1387" i="1"/>
  <c r="W1387" i="1" s="1"/>
  <c r="R1387" i="1"/>
  <c r="X1387" i="1"/>
  <c r="Y1387" i="1" s="1"/>
  <c r="Q1388" i="1"/>
  <c r="W1388" i="1" s="1"/>
  <c r="R1388" i="1"/>
  <c r="T1388" i="1" s="1"/>
  <c r="U1388" i="1" s="1"/>
  <c r="X1388" i="1"/>
  <c r="Y1388" i="1" s="1"/>
  <c r="Q1389" i="1"/>
  <c r="W1389" i="1" s="1"/>
  <c r="R1389" i="1"/>
  <c r="T1389" i="1" s="1"/>
  <c r="U1389" i="1" s="1"/>
  <c r="X1389" i="1"/>
  <c r="Y1389" i="1" s="1"/>
  <c r="Q1390" i="1"/>
  <c r="W1390" i="1" s="1"/>
  <c r="R1390" i="1"/>
  <c r="T1390" i="1" s="1"/>
  <c r="U1390" i="1" s="1"/>
  <c r="X1390" i="1"/>
  <c r="Y1390" i="1" s="1"/>
  <c r="Q1391" i="1"/>
  <c r="W1391" i="1" s="1"/>
  <c r="R1391" i="1"/>
  <c r="S1391" i="1" s="1"/>
  <c r="X1391" i="1"/>
  <c r="Y1391" i="1" s="1"/>
  <c r="Q1392" i="1"/>
  <c r="W1392" i="1" s="1"/>
  <c r="R1392" i="1"/>
  <c r="X1392" i="1"/>
  <c r="Y1392" i="1" s="1"/>
  <c r="Q1393" i="1"/>
  <c r="W1393" i="1" s="1"/>
  <c r="R1393" i="1"/>
  <c r="X1393" i="1"/>
  <c r="Y1393" i="1" s="1"/>
  <c r="Q1394" i="1"/>
  <c r="W1394" i="1" s="1"/>
  <c r="R1394" i="1"/>
  <c r="X1394" i="1"/>
  <c r="Y1394" i="1" s="1"/>
  <c r="Q1371" i="1"/>
  <c r="W1371" i="1" s="1"/>
  <c r="R1371" i="1"/>
  <c r="T1371" i="1" s="1"/>
  <c r="U1371" i="1" s="1"/>
  <c r="X1371" i="1"/>
  <c r="Y1371" i="1" s="1"/>
  <c r="Q1372" i="1"/>
  <c r="W1372" i="1" s="1"/>
  <c r="R1372" i="1"/>
  <c r="T1372" i="1" s="1"/>
  <c r="U1372" i="1" s="1"/>
  <c r="X1372" i="1"/>
  <c r="Y1372" i="1" s="1"/>
  <c r="Q1373" i="1"/>
  <c r="W1373" i="1" s="1"/>
  <c r="R1373" i="1"/>
  <c r="T1373" i="1"/>
  <c r="U1373" i="1" s="1"/>
  <c r="X1373" i="1"/>
  <c r="Y1373" i="1" s="1"/>
  <c r="Q1374" i="1"/>
  <c r="W1374" i="1" s="1"/>
  <c r="R1374" i="1"/>
  <c r="T1374" i="1" s="1"/>
  <c r="U1374" i="1" s="1"/>
  <c r="X1374" i="1"/>
  <c r="Y1374" i="1" s="1"/>
  <c r="Q1375" i="1"/>
  <c r="R1375" i="1"/>
  <c r="T1375" i="1" s="1"/>
  <c r="U1375" i="1" s="1"/>
  <c r="X1375" i="1"/>
  <c r="Y1375" i="1" s="1"/>
  <c r="Q1376" i="1"/>
  <c r="W1376" i="1" s="1"/>
  <c r="R1376" i="1"/>
  <c r="T1376" i="1" s="1"/>
  <c r="U1376" i="1" s="1"/>
  <c r="X1376" i="1"/>
  <c r="Y1376" i="1" s="1"/>
  <c r="Q1377" i="1"/>
  <c r="W1377" i="1" s="1"/>
  <c r="R1377" i="1"/>
  <c r="S1377" i="1" s="1"/>
  <c r="X1377" i="1"/>
  <c r="Y1377" i="1" s="1"/>
  <c r="Q1378" i="1"/>
  <c r="W1378" i="1" s="1"/>
  <c r="R1378" i="1"/>
  <c r="S1378" i="1" s="1"/>
  <c r="X1378" i="1"/>
  <c r="Y1378" i="1" s="1"/>
  <c r="Q1379" i="1"/>
  <c r="W1379" i="1" s="1"/>
  <c r="R1379" i="1"/>
  <c r="S1379" i="1" s="1"/>
  <c r="X1379" i="1"/>
  <c r="Y1379" i="1" s="1"/>
  <c r="Q1380" i="1"/>
  <c r="W1380" i="1" s="1"/>
  <c r="R1380" i="1"/>
  <c r="X1380" i="1"/>
  <c r="Y1380" i="1" s="1"/>
  <c r="Q1360" i="1"/>
  <c r="W1360" i="1" s="1"/>
  <c r="R1360" i="1"/>
  <c r="T1360" i="1" s="1"/>
  <c r="U1360" i="1" s="1"/>
  <c r="X1360" i="1"/>
  <c r="Y1360" i="1" s="1"/>
  <c r="Q1361" i="1"/>
  <c r="W1361" i="1" s="1"/>
  <c r="R1361" i="1"/>
  <c r="T1361" i="1" s="1"/>
  <c r="U1361" i="1" s="1"/>
  <c r="X1361" i="1"/>
  <c r="Y1361" i="1" s="1"/>
  <c r="Q1362" i="1"/>
  <c r="W1362" i="1" s="1"/>
  <c r="R1362" i="1"/>
  <c r="T1362" i="1" s="1"/>
  <c r="U1362" i="1" s="1"/>
  <c r="S1362" i="1"/>
  <c r="X1362" i="1"/>
  <c r="Y1362" i="1" s="1"/>
  <c r="Q1363" i="1"/>
  <c r="W1363" i="1" s="1"/>
  <c r="R1363" i="1"/>
  <c r="T1363" i="1" s="1"/>
  <c r="U1363" i="1" s="1"/>
  <c r="X1363" i="1"/>
  <c r="Y1363" i="1" s="1"/>
  <c r="Q1364" i="1"/>
  <c r="S1364" i="1" s="1"/>
  <c r="R1364" i="1"/>
  <c r="T1364" i="1" s="1"/>
  <c r="U1364" i="1" s="1"/>
  <c r="X1364" i="1"/>
  <c r="Y1364" i="1" s="1"/>
  <c r="Q1365" i="1"/>
  <c r="W1365" i="1" s="1"/>
  <c r="R1365" i="1"/>
  <c r="S1365" i="1" s="1"/>
  <c r="X1365" i="1"/>
  <c r="Y1365" i="1" s="1"/>
  <c r="Q1366" i="1"/>
  <c r="W1366" i="1" s="1"/>
  <c r="R1366" i="1"/>
  <c r="T1366" i="1" s="1"/>
  <c r="U1366" i="1" s="1"/>
  <c r="X1366" i="1"/>
  <c r="Y1366" i="1" s="1"/>
  <c r="Q1367" i="1"/>
  <c r="W1367" i="1" s="1"/>
  <c r="R1367" i="1"/>
  <c r="T1367" i="1" s="1"/>
  <c r="U1367" i="1" s="1"/>
  <c r="X1367" i="1"/>
  <c r="Y1367" i="1" s="1"/>
  <c r="Q1368" i="1"/>
  <c r="W1368" i="1" s="1"/>
  <c r="R1368" i="1"/>
  <c r="T1368" i="1" s="1"/>
  <c r="U1368" i="1" s="1"/>
  <c r="X1368" i="1"/>
  <c r="Y1368" i="1" s="1"/>
  <c r="Q1369" i="1"/>
  <c r="W1369" i="1" s="1"/>
  <c r="R1369" i="1"/>
  <c r="T1369" i="1" s="1"/>
  <c r="U1369" i="1" s="1"/>
  <c r="X1369" i="1"/>
  <c r="Y1369" i="1" s="1"/>
  <c r="Q1370" i="1"/>
  <c r="W1370" i="1" s="1"/>
  <c r="R1370" i="1"/>
  <c r="T1370" i="1" s="1"/>
  <c r="U1370" i="1" s="1"/>
  <c r="X1370" i="1"/>
  <c r="Y1370" i="1" s="1"/>
  <c r="Q1354" i="1"/>
  <c r="W1354" i="1" s="1"/>
  <c r="R1354" i="1"/>
  <c r="T1354" i="1" s="1"/>
  <c r="U1354" i="1" s="1"/>
  <c r="X1354" i="1"/>
  <c r="Y1354" i="1" s="1"/>
  <c r="Q1355" i="1"/>
  <c r="W1355" i="1" s="1"/>
  <c r="R1355" i="1"/>
  <c r="T1355" i="1" s="1"/>
  <c r="U1355" i="1" s="1"/>
  <c r="X1355" i="1"/>
  <c r="Y1355" i="1" s="1"/>
  <c r="Q1356" i="1"/>
  <c r="W1356" i="1" s="1"/>
  <c r="R1356" i="1"/>
  <c r="X1356" i="1"/>
  <c r="Y1356" i="1" s="1"/>
  <c r="Q1357" i="1"/>
  <c r="W1357" i="1" s="1"/>
  <c r="R1357" i="1"/>
  <c r="X1357" i="1"/>
  <c r="Y1357" i="1" s="1"/>
  <c r="Q1358" i="1"/>
  <c r="W1358" i="1" s="1"/>
  <c r="R1358" i="1"/>
  <c r="X1358" i="1"/>
  <c r="Y1358" i="1" s="1"/>
  <c r="Q1359" i="1"/>
  <c r="W1359" i="1" s="1"/>
  <c r="R1359" i="1"/>
  <c r="T1359" i="1" s="1"/>
  <c r="U1359" i="1" s="1"/>
  <c r="X1359" i="1"/>
  <c r="Y1359" i="1" s="1"/>
  <c r="Q1353" i="1"/>
  <c r="W1353" i="1" s="1"/>
  <c r="R1353" i="1"/>
  <c r="X1353" i="1"/>
  <c r="Y1353" i="1" s="1"/>
  <c r="Q1352" i="1"/>
  <c r="W1352" i="1" s="1"/>
  <c r="R1352" i="1"/>
  <c r="T1352" i="1" s="1"/>
  <c r="U1352" i="1" s="1"/>
  <c r="X1352" i="1"/>
  <c r="Y1352" i="1" s="1"/>
  <c r="Q1351" i="1"/>
  <c r="W1351" i="1" s="1"/>
  <c r="R1351" i="1"/>
  <c r="S1351" i="1" s="1"/>
  <c r="X1351" i="1"/>
  <c r="Y1351" i="1" s="1"/>
  <c r="Q1343" i="1"/>
  <c r="W1343" i="1" s="1"/>
  <c r="R1343" i="1"/>
  <c r="T1343" i="1" s="1"/>
  <c r="U1343" i="1" s="1"/>
  <c r="X1343" i="1"/>
  <c r="Y1343" i="1" s="1"/>
  <c r="Q1344" i="1"/>
  <c r="W1344" i="1" s="1"/>
  <c r="R1344" i="1"/>
  <c r="T1344" i="1" s="1"/>
  <c r="U1344" i="1" s="1"/>
  <c r="X1344" i="1"/>
  <c r="Y1344" i="1" s="1"/>
  <c r="Q1345" i="1"/>
  <c r="W1345" i="1" s="1"/>
  <c r="R1345" i="1"/>
  <c r="T1345" i="1" s="1"/>
  <c r="U1345" i="1" s="1"/>
  <c r="X1345" i="1"/>
  <c r="Y1345" i="1" s="1"/>
  <c r="Q1346" i="1"/>
  <c r="W1346" i="1" s="1"/>
  <c r="R1346" i="1"/>
  <c r="X1346" i="1"/>
  <c r="Y1346" i="1" s="1"/>
  <c r="Q1347" i="1"/>
  <c r="W1347" i="1" s="1"/>
  <c r="R1347" i="1"/>
  <c r="X1347" i="1"/>
  <c r="Y1347" i="1" s="1"/>
  <c r="Q1348" i="1"/>
  <c r="W1348" i="1" s="1"/>
  <c r="R1348" i="1"/>
  <c r="S1348" i="1" s="1"/>
  <c r="X1348" i="1"/>
  <c r="Y1348" i="1" s="1"/>
  <c r="Q1349" i="1"/>
  <c r="W1349" i="1" s="1"/>
  <c r="R1349" i="1"/>
  <c r="T1349" i="1" s="1"/>
  <c r="U1349" i="1" s="1"/>
  <c r="X1349" i="1"/>
  <c r="Y1349" i="1" s="1"/>
  <c r="Q1350" i="1"/>
  <c r="W1350" i="1" s="1"/>
  <c r="R1350" i="1"/>
  <c r="T1350" i="1" s="1"/>
  <c r="U1350" i="1" s="1"/>
  <c r="X1350" i="1"/>
  <c r="Y1350" i="1" s="1"/>
  <c r="Q1336" i="1"/>
  <c r="R1336" i="1"/>
  <c r="T1336" i="1" s="1"/>
  <c r="U1336" i="1" s="1"/>
  <c r="X1336" i="1"/>
  <c r="Y1336" i="1" s="1"/>
  <c r="Q1337" i="1"/>
  <c r="W1337" i="1" s="1"/>
  <c r="R1337" i="1"/>
  <c r="T1337" i="1" s="1"/>
  <c r="U1337" i="1" s="1"/>
  <c r="X1337" i="1"/>
  <c r="Y1337" i="1" s="1"/>
  <c r="Q1338" i="1"/>
  <c r="W1338" i="1" s="1"/>
  <c r="R1338" i="1"/>
  <c r="S1338" i="1" s="1"/>
  <c r="X1338" i="1"/>
  <c r="Y1338" i="1" s="1"/>
  <c r="Q1339" i="1"/>
  <c r="W1339" i="1" s="1"/>
  <c r="R1339" i="1"/>
  <c r="X1339" i="1"/>
  <c r="Y1339" i="1" s="1"/>
  <c r="Q1340" i="1"/>
  <c r="R1340" i="1"/>
  <c r="T1340" i="1" s="1"/>
  <c r="U1340" i="1" s="1"/>
  <c r="X1340" i="1"/>
  <c r="Y1340" i="1" s="1"/>
  <c r="Q1341" i="1"/>
  <c r="W1341" i="1" s="1"/>
  <c r="R1341" i="1"/>
  <c r="T1341" i="1" s="1"/>
  <c r="U1341" i="1" s="1"/>
  <c r="X1341" i="1"/>
  <c r="Y1341" i="1" s="1"/>
  <c r="Q1342" i="1"/>
  <c r="W1342" i="1" s="1"/>
  <c r="R1342" i="1"/>
  <c r="T1342" i="1" s="1"/>
  <c r="U1342" i="1" s="1"/>
  <c r="X1342" i="1"/>
  <c r="Y1342" i="1" s="1"/>
  <c r="Q1332" i="1"/>
  <c r="W1332" i="1" s="1"/>
  <c r="R1332" i="1"/>
  <c r="T1332" i="1" s="1"/>
  <c r="U1332" i="1" s="1"/>
  <c r="X1332" i="1"/>
  <c r="Y1332" i="1" s="1"/>
  <c r="Q1333" i="1"/>
  <c r="W1333" i="1" s="1"/>
  <c r="R1333" i="1"/>
  <c r="S1333" i="1"/>
  <c r="T1333" i="1"/>
  <c r="U1333" i="1" s="1"/>
  <c r="V1333" i="1" s="1"/>
  <c r="X1333" i="1"/>
  <c r="Y1333" i="1" s="1"/>
  <c r="Q1334" i="1"/>
  <c r="W1334" i="1" s="1"/>
  <c r="R1334" i="1"/>
  <c r="X1334" i="1"/>
  <c r="Y1334" i="1" s="1"/>
  <c r="Q1335" i="1"/>
  <c r="W1335" i="1" s="1"/>
  <c r="R1335" i="1"/>
  <c r="T1335" i="1"/>
  <c r="U1335" i="1" s="1"/>
  <c r="X1335" i="1"/>
  <c r="Y1335" i="1" s="1"/>
  <c r="Q1324" i="1"/>
  <c r="W1324" i="1" s="1"/>
  <c r="R1324" i="1"/>
  <c r="T1324" i="1" s="1"/>
  <c r="U1324" i="1" s="1"/>
  <c r="X1324" i="1"/>
  <c r="Y1324" i="1" s="1"/>
  <c r="Q1325" i="1"/>
  <c r="R1325" i="1"/>
  <c r="T1325" i="1" s="1"/>
  <c r="U1325" i="1" s="1"/>
  <c r="W1325" i="1"/>
  <c r="X1325" i="1"/>
  <c r="Y1325" i="1" s="1"/>
  <c r="Q1326" i="1"/>
  <c r="W1326" i="1" s="1"/>
  <c r="R1326" i="1"/>
  <c r="X1326" i="1"/>
  <c r="Y1326" i="1" s="1"/>
  <c r="Q1327" i="1"/>
  <c r="W1327" i="1" s="1"/>
  <c r="R1327" i="1"/>
  <c r="T1327" i="1" s="1"/>
  <c r="U1327" i="1" s="1"/>
  <c r="X1327" i="1"/>
  <c r="Y1327" i="1" s="1"/>
  <c r="Q1328" i="1"/>
  <c r="W1328" i="1" s="1"/>
  <c r="R1328" i="1"/>
  <c r="T1328" i="1" s="1"/>
  <c r="U1328" i="1" s="1"/>
  <c r="X1328" i="1"/>
  <c r="Y1328" i="1" s="1"/>
  <c r="Q1329" i="1"/>
  <c r="W1329" i="1" s="1"/>
  <c r="R1329" i="1"/>
  <c r="T1329" i="1" s="1"/>
  <c r="U1329" i="1" s="1"/>
  <c r="X1329" i="1"/>
  <c r="Y1329" i="1" s="1"/>
  <c r="Q1330" i="1"/>
  <c r="W1330" i="1" s="1"/>
  <c r="R1330" i="1"/>
  <c r="X1330" i="1"/>
  <c r="Y1330" i="1" s="1"/>
  <c r="Q1331" i="1"/>
  <c r="W1331" i="1" s="1"/>
  <c r="R1331" i="1"/>
  <c r="T1331" i="1" s="1"/>
  <c r="U1331" i="1" s="1"/>
  <c r="X1331" i="1"/>
  <c r="Y1331" i="1" s="1"/>
  <c r="Q1316" i="1"/>
  <c r="W1316" i="1" s="1"/>
  <c r="R1316" i="1"/>
  <c r="X1316" i="1"/>
  <c r="Y1316" i="1" s="1"/>
  <c r="Q1317" i="1"/>
  <c r="W1317" i="1" s="1"/>
  <c r="R1317" i="1"/>
  <c r="T1317" i="1" s="1"/>
  <c r="U1317" i="1" s="1"/>
  <c r="X1317" i="1"/>
  <c r="Y1317" i="1" s="1"/>
  <c r="Q1318" i="1"/>
  <c r="W1318" i="1" s="1"/>
  <c r="R1318" i="1"/>
  <c r="T1318" i="1" s="1"/>
  <c r="U1318" i="1" s="1"/>
  <c r="X1318" i="1"/>
  <c r="Y1318" i="1" s="1"/>
  <c r="Q1319" i="1"/>
  <c r="W1319" i="1" s="1"/>
  <c r="R1319" i="1"/>
  <c r="T1319" i="1" s="1"/>
  <c r="U1319" i="1" s="1"/>
  <c r="X1319" i="1"/>
  <c r="Y1319" i="1" s="1"/>
  <c r="Q1320" i="1"/>
  <c r="W1320" i="1" s="1"/>
  <c r="R1320" i="1"/>
  <c r="T1320" i="1" s="1"/>
  <c r="U1320" i="1" s="1"/>
  <c r="X1320" i="1"/>
  <c r="Y1320" i="1" s="1"/>
  <c r="Q1321" i="1"/>
  <c r="W1321" i="1" s="1"/>
  <c r="R1321" i="1"/>
  <c r="T1321" i="1" s="1"/>
  <c r="U1321" i="1" s="1"/>
  <c r="X1321" i="1"/>
  <c r="Y1321" i="1" s="1"/>
  <c r="Q1322" i="1"/>
  <c r="W1322" i="1" s="1"/>
  <c r="R1322" i="1"/>
  <c r="T1322" i="1"/>
  <c r="U1322" i="1" s="1"/>
  <c r="X1322" i="1"/>
  <c r="Y1322" i="1" s="1"/>
  <c r="Q1323" i="1"/>
  <c r="W1323" i="1" s="1"/>
  <c r="R1323" i="1"/>
  <c r="X1323" i="1"/>
  <c r="Y1323" i="1" s="1"/>
  <c r="Q1308" i="1"/>
  <c r="W1308" i="1" s="1"/>
  <c r="R1308" i="1"/>
  <c r="T1308" i="1" s="1"/>
  <c r="U1308" i="1" s="1"/>
  <c r="X1308" i="1"/>
  <c r="Y1308" i="1" s="1"/>
  <c r="Q1309" i="1"/>
  <c r="W1309" i="1" s="1"/>
  <c r="R1309" i="1"/>
  <c r="T1309" i="1" s="1"/>
  <c r="U1309" i="1" s="1"/>
  <c r="X1309" i="1"/>
  <c r="Y1309" i="1" s="1"/>
  <c r="Q1310" i="1"/>
  <c r="W1310" i="1" s="1"/>
  <c r="R1310" i="1"/>
  <c r="X1310" i="1"/>
  <c r="Y1310" i="1" s="1"/>
  <c r="Q1311" i="1"/>
  <c r="W1311" i="1" s="1"/>
  <c r="R1311" i="1"/>
  <c r="T1311" i="1" s="1"/>
  <c r="U1311" i="1" s="1"/>
  <c r="X1311" i="1"/>
  <c r="Y1311" i="1" s="1"/>
  <c r="Q1312" i="1"/>
  <c r="W1312" i="1" s="1"/>
  <c r="R1312" i="1"/>
  <c r="X1312" i="1"/>
  <c r="Y1312" i="1" s="1"/>
  <c r="Q1313" i="1"/>
  <c r="W1313" i="1" s="1"/>
  <c r="R1313" i="1"/>
  <c r="T1313" i="1" s="1"/>
  <c r="U1313" i="1" s="1"/>
  <c r="X1313" i="1"/>
  <c r="Y1313" i="1" s="1"/>
  <c r="Q1314" i="1"/>
  <c r="W1314" i="1" s="1"/>
  <c r="R1314" i="1"/>
  <c r="X1314" i="1"/>
  <c r="Y1314" i="1" s="1"/>
  <c r="Q1315" i="1"/>
  <c r="W1315" i="1" s="1"/>
  <c r="R1315" i="1"/>
  <c r="X1315" i="1"/>
  <c r="Y1315" i="1" s="1"/>
  <c r="Q1304" i="1"/>
  <c r="W1304" i="1" s="1"/>
  <c r="R1304" i="1"/>
  <c r="T1304" i="1" s="1"/>
  <c r="U1304" i="1" s="1"/>
  <c r="X1304" i="1"/>
  <c r="Y1304" i="1" s="1"/>
  <c r="Q1305" i="1"/>
  <c r="W1305" i="1" s="1"/>
  <c r="R1305" i="1"/>
  <c r="T1305" i="1" s="1"/>
  <c r="U1305" i="1" s="1"/>
  <c r="X1305" i="1"/>
  <c r="Y1305" i="1" s="1"/>
  <c r="Q1306" i="1"/>
  <c r="W1306" i="1" s="1"/>
  <c r="R1306" i="1"/>
  <c r="T1306" i="1" s="1"/>
  <c r="U1306" i="1" s="1"/>
  <c r="X1306" i="1"/>
  <c r="Y1306" i="1" s="1"/>
  <c r="Q1307" i="1"/>
  <c r="W1307" i="1" s="1"/>
  <c r="R1307" i="1"/>
  <c r="X1307" i="1"/>
  <c r="Y1307" i="1" s="1"/>
  <c r="Q1297" i="1"/>
  <c r="W1297" i="1" s="1"/>
  <c r="R1297" i="1"/>
  <c r="T1297" i="1" s="1"/>
  <c r="U1297" i="1" s="1"/>
  <c r="X1297" i="1"/>
  <c r="Y1297" i="1" s="1"/>
  <c r="Q1298" i="1"/>
  <c r="W1298" i="1" s="1"/>
  <c r="R1298" i="1"/>
  <c r="T1298" i="1"/>
  <c r="U1298" i="1" s="1"/>
  <c r="X1298" i="1"/>
  <c r="Y1298" i="1" s="1"/>
  <c r="Q1299" i="1"/>
  <c r="W1299" i="1" s="1"/>
  <c r="R1299" i="1"/>
  <c r="T1299" i="1"/>
  <c r="U1299" i="1" s="1"/>
  <c r="X1299" i="1"/>
  <c r="Y1299" i="1" s="1"/>
  <c r="Q1300" i="1"/>
  <c r="W1300" i="1" s="1"/>
  <c r="R1300" i="1"/>
  <c r="T1300" i="1" s="1"/>
  <c r="U1300" i="1" s="1"/>
  <c r="X1300" i="1"/>
  <c r="Y1300" i="1" s="1"/>
  <c r="Q1301" i="1"/>
  <c r="W1301" i="1" s="1"/>
  <c r="R1301" i="1"/>
  <c r="T1301" i="1" s="1"/>
  <c r="U1301" i="1" s="1"/>
  <c r="X1301" i="1"/>
  <c r="Y1301" i="1" s="1"/>
  <c r="Q1302" i="1"/>
  <c r="W1302" i="1" s="1"/>
  <c r="R1302" i="1"/>
  <c r="T1302" i="1" s="1"/>
  <c r="U1302" i="1" s="1"/>
  <c r="X1302" i="1"/>
  <c r="Y1302" i="1" s="1"/>
  <c r="Q1303" i="1"/>
  <c r="W1303" i="1" s="1"/>
  <c r="R1303" i="1"/>
  <c r="T1303" i="1" s="1"/>
  <c r="U1303" i="1" s="1"/>
  <c r="X1303" i="1"/>
  <c r="Y1303" i="1" s="1"/>
  <c r="Q1290" i="1"/>
  <c r="W1290" i="1" s="1"/>
  <c r="R1290" i="1"/>
  <c r="T1290" i="1" s="1"/>
  <c r="U1290" i="1" s="1"/>
  <c r="X1290" i="1"/>
  <c r="Y1290" i="1" s="1"/>
  <c r="Q1291" i="1"/>
  <c r="W1291" i="1" s="1"/>
  <c r="R1291" i="1"/>
  <c r="X1291" i="1"/>
  <c r="Y1291" i="1" s="1"/>
  <c r="Q1292" i="1"/>
  <c r="W1292" i="1" s="1"/>
  <c r="R1292" i="1"/>
  <c r="T1292" i="1" s="1"/>
  <c r="U1292" i="1" s="1"/>
  <c r="X1292" i="1"/>
  <c r="Y1292" i="1" s="1"/>
  <c r="Q1293" i="1"/>
  <c r="W1293" i="1" s="1"/>
  <c r="R1293" i="1"/>
  <c r="X1293" i="1"/>
  <c r="Y1293" i="1" s="1"/>
  <c r="Q1294" i="1"/>
  <c r="W1294" i="1" s="1"/>
  <c r="R1294" i="1"/>
  <c r="X1294" i="1"/>
  <c r="Y1294" i="1" s="1"/>
  <c r="Q1295" i="1"/>
  <c r="W1295" i="1" s="1"/>
  <c r="R1295" i="1"/>
  <c r="T1295" i="1"/>
  <c r="U1295" i="1" s="1"/>
  <c r="X1295" i="1"/>
  <c r="Y1295" i="1" s="1"/>
  <c r="Q1296" i="1"/>
  <c r="W1296" i="1" s="1"/>
  <c r="R1296" i="1"/>
  <c r="T1296" i="1" s="1"/>
  <c r="U1296" i="1" s="1"/>
  <c r="X1296" i="1"/>
  <c r="Y1296" i="1" s="1"/>
  <c r="Q1289" i="1"/>
  <c r="W1289" i="1" s="1"/>
  <c r="R1289" i="1"/>
  <c r="T1289" i="1" s="1"/>
  <c r="U1289" i="1" s="1"/>
  <c r="X1289" i="1"/>
  <c r="Y1289" i="1" s="1"/>
  <c r="Q1288" i="1"/>
  <c r="W1288" i="1" s="1"/>
  <c r="R1288" i="1"/>
  <c r="X1288" i="1"/>
  <c r="Y1288" i="1" s="1"/>
  <c r="H2" i="11"/>
  <c r="H3" i="11"/>
  <c r="H4" i="11"/>
  <c r="H5" i="11"/>
  <c r="H6" i="11"/>
  <c r="H7" i="11"/>
  <c r="H8" i="11"/>
  <c r="H9" i="11"/>
  <c r="H10" i="11"/>
  <c r="D2" i="11"/>
  <c r="D3" i="11"/>
  <c r="D4" i="11"/>
  <c r="D5" i="11"/>
  <c r="D6" i="11"/>
  <c r="D7" i="11"/>
  <c r="D8" i="11"/>
  <c r="D9" i="11"/>
  <c r="D10" i="11"/>
  <c r="H1" i="11"/>
  <c r="D1" i="11"/>
  <c r="S2" i="10"/>
  <c r="Q6" i="10"/>
  <c r="R6" i="10" s="1"/>
  <c r="S6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H5" i="10"/>
  <c r="D5" i="10"/>
  <c r="P5" i="10"/>
  <c r="L5" i="10"/>
  <c r="J23" i="7"/>
  <c r="D24" i="7"/>
  <c r="D25" i="7"/>
  <c r="D26" i="7"/>
  <c r="D27" i="7"/>
  <c r="D28" i="7"/>
  <c r="D23" i="7"/>
  <c r="R1160" i="1"/>
  <c r="X1160" i="1"/>
  <c r="Y1160" i="1" s="1"/>
  <c r="R1161" i="1"/>
  <c r="X1161" i="1"/>
  <c r="Y1161" i="1" s="1"/>
  <c r="R1162" i="1"/>
  <c r="T1162" i="1" s="1"/>
  <c r="U1162" i="1" s="1"/>
  <c r="X1162" i="1"/>
  <c r="Y1162" i="1" s="1"/>
  <c r="R1163" i="1"/>
  <c r="T1163" i="1"/>
  <c r="U1163" i="1" s="1"/>
  <c r="X1163" i="1"/>
  <c r="Y1163" i="1" s="1"/>
  <c r="R1156" i="1"/>
  <c r="T1156" i="1" s="1"/>
  <c r="U1156" i="1" s="1"/>
  <c r="X1156" i="1"/>
  <c r="Y1156" i="1" s="1"/>
  <c r="R1157" i="1"/>
  <c r="X1157" i="1"/>
  <c r="Y1157" i="1" s="1"/>
  <c r="R1158" i="1"/>
  <c r="X1158" i="1"/>
  <c r="Y1158" i="1" s="1"/>
  <c r="R1159" i="1"/>
  <c r="T1159" i="1" s="1"/>
  <c r="U1159" i="1" s="1"/>
  <c r="X1159" i="1"/>
  <c r="Y1159" i="1" s="1"/>
  <c r="R1154" i="1"/>
  <c r="T1154" i="1" s="1"/>
  <c r="U1154" i="1" s="1"/>
  <c r="X1154" i="1"/>
  <c r="Y1154" i="1" s="1"/>
  <c r="R1155" i="1"/>
  <c r="X1155" i="1"/>
  <c r="Y1155" i="1" s="1"/>
  <c r="R1151" i="1"/>
  <c r="T1151" i="1" s="1"/>
  <c r="U1151" i="1" s="1"/>
  <c r="X1151" i="1"/>
  <c r="Y1151" i="1" s="1"/>
  <c r="R1152" i="1"/>
  <c r="T1152" i="1" s="1"/>
  <c r="U1152" i="1" s="1"/>
  <c r="X1152" i="1"/>
  <c r="Y1152" i="1" s="1"/>
  <c r="R1153" i="1"/>
  <c r="T1153" i="1" s="1"/>
  <c r="U1153" i="1" s="1"/>
  <c r="X1153" i="1"/>
  <c r="Y1153" i="1" s="1"/>
  <c r="R1150" i="1"/>
  <c r="X1150" i="1"/>
  <c r="Y1150" i="1" s="1"/>
  <c r="R1148" i="1"/>
  <c r="T1148" i="1" s="1"/>
  <c r="U1148" i="1" s="1"/>
  <c r="X1148" i="1"/>
  <c r="Y1148" i="1" s="1"/>
  <c r="R1149" i="1"/>
  <c r="T1149" i="1" s="1"/>
  <c r="U1149" i="1" s="1"/>
  <c r="X1149" i="1"/>
  <c r="Y1149" i="1" s="1"/>
  <c r="R1138" i="1"/>
  <c r="T1138" i="1" s="1"/>
  <c r="U1138" i="1" s="1"/>
  <c r="X1138" i="1"/>
  <c r="Y1138" i="1" s="1"/>
  <c r="R1139" i="1"/>
  <c r="X1139" i="1"/>
  <c r="Y1139" i="1" s="1"/>
  <c r="R1140" i="1"/>
  <c r="T1140" i="1"/>
  <c r="U1140" i="1" s="1"/>
  <c r="X1140" i="1"/>
  <c r="Y1140" i="1" s="1"/>
  <c r="R1141" i="1"/>
  <c r="T1141" i="1" s="1"/>
  <c r="U1141" i="1" s="1"/>
  <c r="X1141" i="1"/>
  <c r="Y1141" i="1" s="1"/>
  <c r="R1142" i="1"/>
  <c r="T1142" i="1" s="1"/>
  <c r="U1142" i="1" s="1"/>
  <c r="X1142" i="1"/>
  <c r="Y1142" i="1" s="1"/>
  <c r="R1143" i="1"/>
  <c r="X1143" i="1"/>
  <c r="Y1143" i="1" s="1"/>
  <c r="R1144" i="1"/>
  <c r="T1144" i="1" s="1"/>
  <c r="U1144" i="1" s="1"/>
  <c r="X1144" i="1"/>
  <c r="Y1144" i="1" s="1"/>
  <c r="R1145" i="1"/>
  <c r="T1145" i="1" s="1"/>
  <c r="U1145" i="1" s="1"/>
  <c r="X1145" i="1"/>
  <c r="Y1145" i="1" s="1"/>
  <c r="R1146" i="1"/>
  <c r="T1146" i="1" s="1"/>
  <c r="U1146" i="1" s="1"/>
  <c r="X1146" i="1"/>
  <c r="Y1146" i="1" s="1"/>
  <c r="R1147" i="1"/>
  <c r="X1147" i="1"/>
  <c r="Y1147" i="1" s="1"/>
  <c r="R1132" i="1"/>
  <c r="X1132" i="1"/>
  <c r="Y1132" i="1" s="1"/>
  <c r="R1133" i="1"/>
  <c r="T1133" i="1" s="1"/>
  <c r="U1133" i="1" s="1"/>
  <c r="X1133" i="1"/>
  <c r="Y1133" i="1" s="1"/>
  <c r="R1134" i="1"/>
  <c r="T1134" i="1" s="1"/>
  <c r="U1134" i="1" s="1"/>
  <c r="X1134" i="1"/>
  <c r="Y1134" i="1" s="1"/>
  <c r="R1135" i="1"/>
  <c r="X1135" i="1"/>
  <c r="Y1135" i="1" s="1"/>
  <c r="R1136" i="1"/>
  <c r="T1136" i="1" s="1"/>
  <c r="U1136" i="1" s="1"/>
  <c r="X1136" i="1"/>
  <c r="Y1136" i="1" s="1"/>
  <c r="R1137" i="1"/>
  <c r="T1137" i="1" s="1"/>
  <c r="U1137" i="1" s="1"/>
  <c r="X1137" i="1"/>
  <c r="Y1137" i="1" s="1"/>
  <c r="R1125" i="1"/>
  <c r="T1125" i="1" s="1"/>
  <c r="U1125" i="1" s="1"/>
  <c r="X1125" i="1"/>
  <c r="Y1125" i="1" s="1"/>
  <c r="R1126" i="1"/>
  <c r="X1126" i="1"/>
  <c r="Y1126" i="1" s="1"/>
  <c r="R1127" i="1"/>
  <c r="X1127" i="1"/>
  <c r="Y1127" i="1" s="1"/>
  <c r="R1128" i="1"/>
  <c r="T1128" i="1" s="1"/>
  <c r="U1128" i="1" s="1"/>
  <c r="X1128" i="1"/>
  <c r="Y1128" i="1" s="1"/>
  <c r="R1129" i="1"/>
  <c r="T1129" i="1" s="1"/>
  <c r="U1129" i="1" s="1"/>
  <c r="X1129" i="1"/>
  <c r="Y1129" i="1" s="1"/>
  <c r="R1130" i="1"/>
  <c r="X1130" i="1"/>
  <c r="Y1130" i="1" s="1"/>
  <c r="R1131" i="1"/>
  <c r="X1131" i="1"/>
  <c r="Y1131" i="1" s="1"/>
  <c r="R1108" i="1"/>
  <c r="T1108" i="1" s="1"/>
  <c r="U1108" i="1" s="1"/>
  <c r="X1108" i="1"/>
  <c r="Y1108" i="1" s="1"/>
  <c r="R1109" i="1"/>
  <c r="T1109" i="1" s="1"/>
  <c r="U1109" i="1" s="1"/>
  <c r="X1109" i="1"/>
  <c r="Y1109" i="1" s="1"/>
  <c r="R1110" i="1"/>
  <c r="X1110" i="1"/>
  <c r="Y1110" i="1" s="1"/>
  <c r="R1111" i="1"/>
  <c r="T1111" i="1"/>
  <c r="U1111" i="1" s="1"/>
  <c r="X1111" i="1"/>
  <c r="Y1111" i="1" s="1"/>
  <c r="R1112" i="1"/>
  <c r="T1112" i="1" s="1"/>
  <c r="U1112" i="1" s="1"/>
  <c r="X1112" i="1"/>
  <c r="Y1112" i="1" s="1"/>
  <c r="R1113" i="1"/>
  <c r="T1113" i="1" s="1"/>
  <c r="U1113" i="1" s="1"/>
  <c r="X1113" i="1"/>
  <c r="Y1113" i="1" s="1"/>
  <c r="R1114" i="1"/>
  <c r="X1114" i="1"/>
  <c r="Y1114" i="1" s="1"/>
  <c r="R1115" i="1"/>
  <c r="T1115" i="1" s="1"/>
  <c r="U1115" i="1" s="1"/>
  <c r="X1115" i="1"/>
  <c r="Y1115" i="1" s="1"/>
  <c r="R1116" i="1"/>
  <c r="T1116" i="1" s="1"/>
  <c r="U1116" i="1" s="1"/>
  <c r="X1116" i="1"/>
  <c r="Y1116" i="1" s="1"/>
  <c r="R1117" i="1"/>
  <c r="T1117" i="1" s="1"/>
  <c r="U1117" i="1" s="1"/>
  <c r="X1117" i="1"/>
  <c r="Y1117" i="1" s="1"/>
  <c r="R1118" i="1"/>
  <c r="X1118" i="1"/>
  <c r="Y1118" i="1" s="1"/>
  <c r="R1119" i="1"/>
  <c r="X1119" i="1"/>
  <c r="Y1119" i="1" s="1"/>
  <c r="R1120" i="1"/>
  <c r="T1120" i="1" s="1"/>
  <c r="U1120" i="1" s="1"/>
  <c r="X1120" i="1"/>
  <c r="Y1120" i="1" s="1"/>
  <c r="R1121" i="1"/>
  <c r="T1121" i="1" s="1"/>
  <c r="U1121" i="1" s="1"/>
  <c r="X1121" i="1"/>
  <c r="Y1121" i="1" s="1"/>
  <c r="R1122" i="1"/>
  <c r="X1122" i="1"/>
  <c r="Y1122" i="1" s="1"/>
  <c r="R1123" i="1"/>
  <c r="T1123" i="1" s="1"/>
  <c r="U1123" i="1" s="1"/>
  <c r="X1123" i="1"/>
  <c r="Y1123" i="1" s="1"/>
  <c r="R1124" i="1"/>
  <c r="X1124" i="1"/>
  <c r="Y1124" i="1" s="1"/>
  <c r="R1105" i="1"/>
  <c r="T1105" i="1" s="1"/>
  <c r="U1105" i="1" s="1"/>
  <c r="X1105" i="1"/>
  <c r="Y1105" i="1" s="1"/>
  <c r="R1106" i="1"/>
  <c r="X1106" i="1"/>
  <c r="Y1106" i="1" s="1"/>
  <c r="R1107" i="1"/>
  <c r="T1107" i="1" s="1"/>
  <c r="U1107" i="1" s="1"/>
  <c r="X1107" i="1"/>
  <c r="Y1107" i="1" s="1"/>
  <c r="R1089" i="1"/>
  <c r="X1089" i="1"/>
  <c r="Y1089" i="1" s="1"/>
  <c r="R1090" i="1"/>
  <c r="T1090" i="1" s="1"/>
  <c r="U1090" i="1" s="1"/>
  <c r="X1090" i="1"/>
  <c r="Y1090" i="1" s="1"/>
  <c r="R1091" i="1"/>
  <c r="X1091" i="1"/>
  <c r="Y1091" i="1" s="1"/>
  <c r="R1092" i="1"/>
  <c r="X1092" i="1"/>
  <c r="Y1092" i="1" s="1"/>
  <c r="R1093" i="1"/>
  <c r="T1093" i="1" s="1"/>
  <c r="U1093" i="1" s="1"/>
  <c r="X1093" i="1"/>
  <c r="Y1093" i="1" s="1"/>
  <c r="R1094" i="1"/>
  <c r="T1094" i="1" s="1"/>
  <c r="U1094" i="1" s="1"/>
  <c r="X1094" i="1"/>
  <c r="Y1094" i="1" s="1"/>
  <c r="R1095" i="1"/>
  <c r="X1095" i="1"/>
  <c r="Y1095" i="1" s="1"/>
  <c r="R1096" i="1"/>
  <c r="X1096" i="1"/>
  <c r="Y1096" i="1" s="1"/>
  <c r="R1097" i="1"/>
  <c r="T1097" i="1" s="1"/>
  <c r="U1097" i="1" s="1"/>
  <c r="X1097" i="1"/>
  <c r="Y1097" i="1" s="1"/>
  <c r="R1098" i="1"/>
  <c r="T1098" i="1" s="1"/>
  <c r="U1098" i="1" s="1"/>
  <c r="X1098" i="1"/>
  <c r="Y1098" i="1" s="1"/>
  <c r="R1099" i="1"/>
  <c r="X1099" i="1"/>
  <c r="Y1099" i="1" s="1"/>
  <c r="R1100" i="1"/>
  <c r="X1100" i="1"/>
  <c r="Y1100" i="1" s="1"/>
  <c r="R1101" i="1"/>
  <c r="T1101" i="1" s="1"/>
  <c r="U1101" i="1" s="1"/>
  <c r="X1101" i="1"/>
  <c r="Y1101" i="1" s="1"/>
  <c r="R1102" i="1"/>
  <c r="T1102" i="1" s="1"/>
  <c r="U1102" i="1"/>
  <c r="X1102" i="1"/>
  <c r="Y1102" i="1" s="1"/>
  <c r="R1103" i="1"/>
  <c r="X1103" i="1"/>
  <c r="Y1103" i="1" s="1"/>
  <c r="R1104" i="1"/>
  <c r="X1104" i="1"/>
  <c r="Y1104" i="1" s="1"/>
  <c r="R1073" i="1"/>
  <c r="X1073" i="1"/>
  <c r="Y1073" i="1" s="1"/>
  <c r="R1074" i="1"/>
  <c r="T1074" i="1" s="1"/>
  <c r="U1074" i="1" s="1"/>
  <c r="X1074" i="1"/>
  <c r="Y1074" i="1" s="1"/>
  <c r="R1075" i="1"/>
  <c r="X1075" i="1"/>
  <c r="Y1075" i="1" s="1"/>
  <c r="R1076" i="1"/>
  <c r="T1076" i="1" s="1"/>
  <c r="U1076" i="1" s="1"/>
  <c r="X1076" i="1"/>
  <c r="Y1076" i="1" s="1"/>
  <c r="R1077" i="1"/>
  <c r="T1077" i="1" s="1"/>
  <c r="U1077" i="1" s="1"/>
  <c r="X1077" i="1"/>
  <c r="Y1077" i="1" s="1"/>
  <c r="R1078" i="1"/>
  <c r="T1078" i="1" s="1"/>
  <c r="U1078" i="1" s="1"/>
  <c r="X1078" i="1"/>
  <c r="Y1078" i="1" s="1"/>
  <c r="R1079" i="1"/>
  <c r="X1079" i="1"/>
  <c r="Y1079" i="1" s="1"/>
  <c r="R1080" i="1"/>
  <c r="T1080" i="1"/>
  <c r="U1080" i="1" s="1"/>
  <c r="X1080" i="1"/>
  <c r="Y1080" i="1" s="1"/>
  <c r="R1081" i="1"/>
  <c r="X1081" i="1"/>
  <c r="Y1081" i="1" s="1"/>
  <c r="R1082" i="1"/>
  <c r="T1082" i="1" s="1"/>
  <c r="U1082" i="1" s="1"/>
  <c r="X1082" i="1"/>
  <c r="Y1082" i="1" s="1"/>
  <c r="R1083" i="1"/>
  <c r="T1083" i="1" s="1"/>
  <c r="U1083" i="1" s="1"/>
  <c r="X1083" i="1"/>
  <c r="Y1083" i="1" s="1"/>
  <c r="R1084" i="1"/>
  <c r="X1084" i="1"/>
  <c r="Y1084" i="1" s="1"/>
  <c r="R1085" i="1"/>
  <c r="T1085" i="1" s="1"/>
  <c r="U1085" i="1" s="1"/>
  <c r="X1085" i="1"/>
  <c r="Y1085" i="1" s="1"/>
  <c r="R1086" i="1"/>
  <c r="T1086" i="1" s="1"/>
  <c r="U1086" i="1" s="1"/>
  <c r="X1086" i="1"/>
  <c r="Y1086" i="1" s="1"/>
  <c r="R1087" i="1"/>
  <c r="T1087" i="1" s="1"/>
  <c r="U1087" i="1" s="1"/>
  <c r="X1087" i="1"/>
  <c r="Y1087" i="1" s="1"/>
  <c r="R1088" i="1"/>
  <c r="X1088" i="1"/>
  <c r="Y1088" i="1" s="1"/>
  <c r="R1062" i="1"/>
  <c r="T1062" i="1" s="1"/>
  <c r="U1062" i="1" s="1"/>
  <c r="X1062" i="1"/>
  <c r="Y1062" i="1" s="1"/>
  <c r="R1063" i="1"/>
  <c r="X1063" i="1"/>
  <c r="Y1063" i="1" s="1"/>
  <c r="R1064" i="1"/>
  <c r="T1064" i="1" s="1"/>
  <c r="U1064" i="1" s="1"/>
  <c r="X1064" i="1"/>
  <c r="Y1064" i="1" s="1"/>
  <c r="R1065" i="1"/>
  <c r="X1065" i="1"/>
  <c r="Y1065" i="1" s="1"/>
  <c r="R1066" i="1"/>
  <c r="T1066" i="1" s="1"/>
  <c r="U1066" i="1" s="1"/>
  <c r="X1066" i="1"/>
  <c r="Y1066" i="1" s="1"/>
  <c r="R1067" i="1"/>
  <c r="T1067" i="1" s="1"/>
  <c r="U1067" i="1" s="1"/>
  <c r="X1067" i="1"/>
  <c r="Y1067" i="1" s="1"/>
  <c r="R1068" i="1"/>
  <c r="T1068" i="1" s="1"/>
  <c r="U1068" i="1" s="1"/>
  <c r="X1068" i="1"/>
  <c r="Y1068" i="1" s="1"/>
  <c r="R1069" i="1"/>
  <c r="X1069" i="1"/>
  <c r="Y1069" i="1" s="1"/>
  <c r="R1070" i="1"/>
  <c r="T1070" i="1" s="1"/>
  <c r="U1070" i="1" s="1"/>
  <c r="X1070" i="1"/>
  <c r="Y1070" i="1" s="1"/>
  <c r="R1071" i="1"/>
  <c r="X1071" i="1"/>
  <c r="Y1071" i="1" s="1"/>
  <c r="R1072" i="1"/>
  <c r="T1072" i="1" s="1"/>
  <c r="U1072" i="1" s="1"/>
  <c r="X1072" i="1"/>
  <c r="Y1072" i="1" s="1"/>
  <c r="R1052" i="1"/>
  <c r="X1052" i="1"/>
  <c r="Y1052" i="1" s="1"/>
  <c r="R1053" i="1"/>
  <c r="T1053" i="1" s="1"/>
  <c r="U1053" i="1" s="1"/>
  <c r="X1053" i="1"/>
  <c r="Y1053" i="1" s="1"/>
  <c r="R1054" i="1"/>
  <c r="T1054" i="1" s="1"/>
  <c r="U1054" i="1" s="1"/>
  <c r="X1054" i="1"/>
  <c r="Y1054" i="1" s="1"/>
  <c r="R1055" i="1"/>
  <c r="T1055" i="1" s="1"/>
  <c r="U1055" i="1" s="1"/>
  <c r="X1055" i="1"/>
  <c r="Y1055" i="1" s="1"/>
  <c r="R1056" i="1"/>
  <c r="X1056" i="1"/>
  <c r="Y1056" i="1" s="1"/>
  <c r="R1057" i="1"/>
  <c r="T1057" i="1" s="1"/>
  <c r="U1057" i="1" s="1"/>
  <c r="X1057" i="1"/>
  <c r="Y1057" i="1" s="1"/>
  <c r="R1058" i="1"/>
  <c r="T1058" i="1" s="1"/>
  <c r="U1058" i="1" s="1"/>
  <c r="X1058" i="1"/>
  <c r="Y1058" i="1" s="1"/>
  <c r="R1059" i="1"/>
  <c r="T1059" i="1" s="1"/>
  <c r="U1059" i="1" s="1"/>
  <c r="X1059" i="1"/>
  <c r="Y1059" i="1" s="1"/>
  <c r="R1060" i="1"/>
  <c r="X1060" i="1"/>
  <c r="Y1060" i="1" s="1"/>
  <c r="R1061" i="1"/>
  <c r="T1061" i="1" s="1"/>
  <c r="U1061" i="1" s="1"/>
  <c r="X1061" i="1"/>
  <c r="Y1061" i="1" s="1"/>
  <c r="R1044" i="1"/>
  <c r="T1044" i="1" s="1"/>
  <c r="U1044" i="1" s="1"/>
  <c r="X1044" i="1"/>
  <c r="Y1044" i="1" s="1"/>
  <c r="R1045" i="1"/>
  <c r="T1045" i="1" s="1"/>
  <c r="U1045" i="1" s="1"/>
  <c r="X1045" i="1"/>
  <c r="Y1045" i="1" s="1"/>
  <c r="R1046" i="1"/>
  <c r="X1046" i="1"/>
  <c r="Y1046" i="1" s="1"/>
  <c r="R1047" i="1"/>
  <c r="T1047" i="1" s="1"/>
  <c r="U1047" i="1" s="1"/>
  <c r="X1047" i="1"/>
  <c r="Y1047" i="1" s="1"/>
  <c r="R1048" i="1"/>
  <c r="T1048" i="1" s="1"/>
  <c r="U1048" i="1" s="1"/>
  <c r="X1048" i="1"/>
  <c r="Y1048" i="1" s="1"/>
  <c r="R1049" i="1"/>
  <c r="T1049" i="1" s="1"/>
  <c r="U1049" i="1" s="1"/>
  <c r="X1049" i="1"/>
  <c r="Y1049" i="1" s="1"/>
  <c r="R1050" i="1"/>
  <c r="X1050" i="1"/>
  <c r="Y1050" i="1" s="1"/>
  <c r="Q1160" i="1"/>
  <c r="W1160" i="1" s="1"/>
  <c r="Q1161" i="1"/>
  <c r="W1161" i="1" s="1"/>
  <c r="Q1162" i="1"/>
  <c r="W1162" i="1" s="1"/>
  <c r="Q1163" i="1"/>
  <c r="W1163" i="1" s="1"/>
  <c r="Q1156" i="1"/>
  <c r="W1156" i="1" s="1"/>
  <c r="Q1157" i="1"/>
  <c r="W1157" i="1" s="1"/>
  <c r="Q1158" i="1"/>
  <c r="W1158" i="1" s="1"/>
  <c r="Q1159" i="1"/>
  <c r="W1159" i="1" s="1"/>
  <c r="Q1154" i="1"/>
  <c r="Q1155" i="1"/>
  <c r="W1155" i="1" s="1"/>
  <c r="Q1151" i="1"/>
  <c r="Q1152" i="1"/>
  <c r="W1152" i="1" s="1"/>
  <c r="Q1153" i="1"/>
  <c r="Q1150" i="1"/>
  <c r="W1150" i="1" s="1"/>
  <c r="Q1148" i="1"/>
  <c r="Q1149" i="1"/>
  <c r="W1149" i="1" s="1"/>
  <c r="Q1138" i="1"/>
  <c r="W1138" i="1" s="1"/>
  <c r="Q1139" i="1"/>
  <c r="W1139" i="1" s="1"/>
  <c r="Q1140" i="1"/>
  <c r="W1140" i="1" s="1"/>
  <c r="Q1141" i="1"/>
  <c r="W1141" i="1" s="1"/>
  <c r="Q1142" i="1"/>
  <c r="W1142" i="1" s="1"/>
  <c r="Q1143" i="1"/>
  <c r="W1143" i="1" s="1"/>
  <c r="Q1144" i="1"/>
  <c r="Q1145" i="1"/>
  <c r="W1145" i="1" s="1"/>
  <c r="Q1146" i="1"/>
  <c r="W1146" i="1" s="1"/>
  <c r="Q1147" i="1"/>
  <c r="W1147" i="1" s="1"/>
  <c r="Q1132" i="1"/>
  <c r="W1132" i="1" s="1"/>
  <c r="Q1133" i="1"/>
  <c r="W1133" i="1" s="1"/>
  <c r="Q1134" i="1"/>
  <c r="Q1135" i="1"/>
  <c r="W1135" i="1" s="1"/>
  <c r="Q1136" i="1"/>
  <c r="W1136" i="1" s="1"/>
  <c r="Q1137" i="1"/>
  <c r="W1137" i="1" s="1"/>
  <c r="Q1125" i="1"/>
  <c r="Q1126" i="1"/>
  <c r="W1126" i="1" s="1"/>
  <c r="Q1127" i="1"/>
  <c r="W1127" i="1" s="1"/>
  <c r="Q1128" i="1"/>
  <c r="W1128" i="1" s="1"/>
  <c r="Q1129" i="1"/>
  <c r="W1129" i="1" s="1"/>
  <c r="Q1130" i="1"/>
  <c r="W1130" i="1" s="1"/>
  <c r="Q1131" i="1"/>
  <c r="W1131" i="1" s="1"/>
  <c r="Q1108" i="1"/>
  <c r="W1108" i="1" s="1"/>
  <c r="Q1109" i="1"/>
  <c r="Q1110" i="1"/>
  <c r="W1110" i="1" s="1"/>
  <c r="Q1111" i="1"/>
  <c r="W1111" i="1" s="1"/>
  <c r="Q1112" i="1"/>
  <c r="W1112" i="1" s="1"/>
  <c r="Q1113" i="1"/>
  <c r="W1113" i="1" s="1"/>
  <c r="Q1114" i="1"/>
  <c r="W1114" i="1" s="1"/>
  <c r="Q1115" i="1"/>
  <c r="W1115" i="1" s="1"/>
  <c r="Q1116" i="1"/>
  <c r="W1116" i="1" s="1"/>
  <c r="Q1117" i="1"/>
  <c r="W1117" i="1" s="1"/>
  <c r="Q1118" i="1"/>
  <c r="W1118" i="1" s="1"/>
  <c r="Q1119" i="1"/>
  <c r="W1119" i="1" s="1"/>
  <c r="Q1120" i="1"/>
  <c r="W1120" i="1" s="1"/>
  <c r="Q1121" i="1"/>
  <c r="W1121" i="1" s="1"/>
  <c r="Q1122" i="1"/>
  <c r="W1122" i="1" s="1"/>
  <c r="Q1123" i="1"/>
  <c r="Q1124" i="1"/>
  <c r="W1124" i="1" s="1"/>
  <c r="Q1105" i="1"/>
  <c r="W1105" i="1" s="1"/>
  <c r="Q1106" i="1"/>
  <c r="W1106" i="1" s="1"/>
  <c r="Q1107" i="1"/>
  <c r="Q1089" i="1"/>
  <c r="W1089" i="1" s="1"/>
  <c r="Q1090" i="1"/>
  <c r="W1090" i="1" s="1"/>
  <c r="Q1091" i="1"/>
  <c r="W1091" i="1" s="1"/>
  <c r="Q1092" i="1"/>
  <c r="W1092" i="1" s="1"/>
  <c r="Q1093" i="1"/>
  <c r="W1093" i="1" s="1"/>
  <c r="Q1094" i="1"/>
  <c r="W1094" i="1" s="1"/>
  <c r="Q1095" i="1"/>
  <c r="W1095" i="1" s="1"/>
  <c r="Q1096" i="1"/>
  <c r="W1096" i="1" s="1"/>
  <c r="Q1097" i="1"/>
  <c r="W1097" i="1" s="1"/>
  <c r="Q1098" i="1"/>
  <c r="W1098" i="1" s="1"/>
  <c r="Q1099" i="1"/>
  <c r="W1099" i="1" s="1"/>
  <c r="Q1100" i="1"/>
  <c r="W1100" i="1" s="1"/>
  <c r="Q1101" i="1"/>
  <c r="W1101" i="1" s="1"/>
  <c r="Q1102" i="1"/>
  <c r="W1102" i="1" s="1"/>
  <c r="Q1103" i="1"/>
  <c r="W1103" i="1" s="1"/>
  <c r="Q1104" i="1"/>
  <c r="W1104" i="1" s="1"/>
  <c r="Q1073" i="1"/>
  <c r="W1073" i="1" s="1"/>
  <c r="Q1074" i="1"/>
  <c r="Q1075" i="1"/>
  <c r="W1075" i="1" s="1"/>
  <c r="Q1076" i="1"/>
  <c r="W1076" i="1" s="1"/>
  <c r="Q1077" i="1"/>
  <c r="W1077" i="1" s="1"/>
  <c r="Q1078" i="1"/>
  <c r="W1078" i="1" s="1"/>
  <c r="Q1079" i="1"/>
  <c r="W1079" i="1" s="1"/>
  <c r="Q1080" i="1"/>
  <c r="Q1081" i="1"/>
  <c r="W1081" i="1" s="1"/>
  <c r="Q1082" i="1"/>
  <c r="W1082" i="1" s="1"/>
  <c r="Q1083" i="1"/>
  <c r="W1083" i="1" s="1"/>
  <c r="Q1084" i="1"/>
  <c r="W1084" i="1" s="1"/>
  <c r="Q1085" i="1"/>
  <c r="Q1086" i="1"/>
  <c r="W1086" i="1" s="1"/>
  <c r="Q1087" i="1"/>
  <c r="W1087" i="1" s="1"/>
  <c r="Q1088" i="1"/>
  <c r="W1088" i="1" s="1"/>
  <c r="Q1062" i="1"/>
  <c r="W1062" i="1" s="1"/>
  <c r="Q1063" i="1"/>
  <c r="W1063" i="1" s="1"/>
  <c r="Q1064" i="1"/>
  <c r="W1064" i="1" s="1"/>
  <c r="Q1065" i="1"/>
  <c r="W1065" i="1" s="1"/>
  <c r="Q1066" i="1"/>
  <c r="W1066" i="1" s="1"/>
  <c r="Q1067" i="1"/>
  <c r="W1067" i="1" s="1"/>
  <c r="Q1068" i="1"/>
  <c r="Q1069" i="1"/>
  <c r="W1069" i="1" s="1"/>
  <c r="Q1070" i="1"/>
  <c r="W1070" i="1" s="1"/>
  <c r="Q1071" i="1"/>
  <c r="W1071" i="1" s="1"/>
  <c r="Q1072" i="1"/>
  <c r="W1072" i="1" s="1"/>
  <c r="Q1052" i="1"/>
  <c r="W1052" i="1" s="1"/>
  <c r="Q1053" i="1"/>
  <c r="W1053" i="1" s="1"/>
  <c r="Q1054" i="1"/>
  <c r="W1054" i="1" s="1"/>
  <c r="Q1055" i="1"/>
  <c r="W1055" i="1" s="1"/>
  <c r="Q1056" i="1"/>
  <c r="W1056" i="1" s="1"/>
  <c r="Q1057" i="1"/>
  <c r="W1057" i="1" s="1"/>
  <c r="Q1058" i="1"/>
  <c r="W1058" i="1" s="1"/>
  <c r="Q1059" i="1"/>
  <c r="Q1060" i="1"/>
  <c r="W1060" i="1" s="1"/>
  <c r="Q1061" i="1"/>
  <c r="W1061" i="1" s="1"/>
  <c r="Q1044" i="1"/>
  <c r="W1044" i="1" s="1"/>
  <c r="Q1045" i="1"/>
  <c r="W1045" i="1" s="1"/>
  <c r="Q1046" i="1"/>
  <c r="W1046" i="1" s="1"/>
  <c r="Q1047" i="1"/>
  <c r="W1047" i="1" s="1"/>
  <c r="Q1048" i="1"/>
  <c r="W1048" i="1" s="1"/>
  <c r="Q1049" i="1"/>
  <c r="W1049" i="1" s="1"/>
  <c r="Q1050" i="1"/>
  <c r="W1050" i="1" s="1"/>
  <c r="V1501" i="1" l="1"/>
  <c r="V1522" i="1"/>
  <c r="V1506" i="1"/>
  <c r="V1485" i="1"/>
  <c r="V1527" i="1"/>
  <c r="V1511" i="1"/>
  <c r="V1500" i="1"/>
  <c r="V1495" i="1"/>
  <c r="V1479" i="1"/>
  <c r="V1524" i="1"/>
  <c r="V1478" i="1"/>
  <c r="V1486" i="1"/>
  <c r="T1527" i="1"/>
  <c r="U1527" i="1" s="1"/>
  <c r="T1511" i="1"/>
  <c r="U1511" i="1" s="1"/>
  <c r="T1495" i="1"/>
  <c r="U1495" i="1" s="1"/>
  <c r="T1479" i="1"/>
  <c r="U1479" i="1" s="1"/>
  <c r="T1525" i="1"/>
  <c r="U1525" i="1" s="1"/>
  <c r="V1525" i="1" s="1"/>
  <c r="T1509" i="1"/>
  <c r="U1509" i="1" s="1"/>
  <c r="V1509" i="1" s="1"/>
  <c r="T1493" i="1"/>
  <c r="U1493" i="1" s="1"/>
  <c r="V1493" i="1" s="1"/>
  <c r="W1517" i="1"/>
  <c r="W1501" i="1"/>
  <c r="W1485" i="1"/>
  <c r="T1524" i="1"/>
  <c r="U1524" i="1" s="1"/>
  <c r="T1508" i="1"/>
  <c r="U1508" i="1" s="1"/>
  <c r="V1508" i="1" s="1"/>
  <c r="T1492" i="1"/>
  <c r="U1492" i="1" s="1"/>
  <c r="V1492" i="1" s="1"/>
  <c r="W1454" i="1"/>
  <c r="S1293" i="1"/>
  <c r="S1356" i="1"/>
  <c r="S811" i="1"/>
  <c r="S997" i="1"/>
  <c r="S1062" i="1"/>
  <c r="S1316" i="1"/>
  <c r="S1327" i="1"/>
  <c r="S1346" i="1"/>
  <c r="S1393" i="1"/>
  <c r="S1421" i="1"/>
  <c r="V1421" i="1" s="1"/>
  <c r="T819" i="1"/>
  <c r="U819" i="1" s="1"/>
  <c r="S869" i="1"/>
  <c r="S884" i="1"/>
  <c r="S1041" i="1"/>
  <c r="V1362" i="1"/>
  <c r="S1031" i="1"/>
  <c r="S1307" i="1"/>
  <c r="S1320" i="1"/>
  <c r="S1392" i="1"/>
  <c r="S1448" i="1"/>
  <c r="T1466" i="1"/>
  <c r="U1466" i="1" s="1"/>
  <c r="V1466" i="1" s="1"/>
  <c r="S1426" i="1"/>
  <c r="V1426" i="1" s="1"/>
  <c r="S1470" i="1"/>
  <c r="S925" i="1"/>
  <c r="V925" i="1" s="1"/>
  <c r="V1327" i="1"/>
  <c r="V1320" i="1"/>
  <c r="S1370" i="1"/>
  <c r="S1371" i="1"/>
  <c r="S1412" i="1"/>
  <c r="S1472" i="1"/>
  <c r="V1472" i="1" s="1"/>
  <c r="S813" i="1"/>
  <c r="S860" i="1"/>
  <c r="S875" i="1"/>
  <c r="S987" i="1"/>
  <c r="S1332" i="1"/>
  <c r="S1476" i="1"/>
  <c r="S826" i="1"/>
  <c r="V826" i="1" s="1"/>
  <c r="S833" i="1"/>
  <c r="V833" i="1" s="1"/>
  <c r="S851" i="1"/>
  <c r="S1322" i="1"/>
  <c r="S1328" i="1"/>
  <c r="S1396" i="1"/>
  <c r="V1396" i="1" s="1"/>
  <c r="S847" i="1"/>
  <c r="V847" i="1" s="1"/>
  <c r="S879" i="1"/>
  <c r="S976" i="1"/>
  <c r="S1016" i="1"/>
  <c r="T1356" i="1"/>
  <c r="U1356" i="1" s="1"/>
  <c r="S1474" i="1"/>
  <c r="S862" i="1"/>
  <c r="V862" i="1" s="1"/>
  <c r="S931" i="1"/>
  <c r="S1335" i="1"/>
  <c r="V1335" i="1" s="1"/>
  <c r="T1348" i="1"/>
  <c r="U1348" i="1" s="1"/>
  <c r="V1348" i="1" s="1"/>
  <c r="S1345" i="1"/>
  <c r="T1392" i="1"/>
  <c r="U1392" i="1" s="1"/>
  <c r="V1392" i="1" s="1"/>
  <c r="S1388" i="1"/>
  <c r="S1432" i="1"/>
  <c r="S1428" i="1"/>
  <c r="V1428" i="1" s="1"/>
  <c r="T851" i="1"/>
  <c r="U851" i="1" s="1"/>
  <c r="V851" i="1" s="1"/>
  <c r="S904" i="1"/>
  <c r="S974" i="1"/>
  <c r="S994" i="1"/>
  <c r="W1364" i="1"/>
  <c r="T812" i="1"/>
  <c r="U812" i="1" s="1"/>
  <c r="V812" i="1" s="1"/>
  <c r="S821" i="1"/>
  <c r="S828" i="1"/>
  <c r="T831" i="1"/>
  <c r="U831" i="1" s="1"/>
  <c r="S836" i="1"/>
  <c r="S894" i="1"/>
  <c r="V894" i="1" s="1"/>
  <c r="S1407" i="1"/>
  <c r="V1407" i="1" s="1"/>
  <c r="S1419" i="1"/>
  <c r="T1431" i="1"/>
  <c r="U1431" i="1" s="1"/>
  <c r="S1299" i="1"/>
  <c r="V1299" i="1" s="1"/>
  <c r="S1288" i="1"/>
  <c r="T1293" i="1"/>
  <c r="U1293" i="1" s="1"/>
  <c r="V1293" i="1" s="1"/>
  <c r="S1312" i="1"/>
  <c r="S1382" i="1"/>
  <c r="S1447" i="1"/>
  <c r="V1447" i="1" s="1"/>
  <c r="S1464" i="1"/>
  <c r="V1464" i="1" s="1"/>
  <c r="S877" i="1"/>
  <c r="S915" i="1"/>
  <c r="V915" i="1" s="1"/>
  <c r="S911" i="1"/>
  <c r="V911" i="1" s="1"/>
  <c r="S950" i="1"/>
  <c r="S998" i="1"/>
  <c r="S1009" i="1"/>
  <c r="S1148" i="1"/>
  <c r="V1148" i="1" s="1"/>
  <c r="S1303" i="1"/>
  <c r="V1303" i="1" s="1"/>
  <c r="S1323" i="1"/>
  <c r="S1330" i="1"/>
  <c r="S1326" i="1"/>
  <c r="T1391" i="1"/>
  <c r="U1391" i="1" s="1"/>
  <c r="V1403" i="1"/>
  <c r="S1399" i="1"/>
  <c r="V1399" i="1" s="1"/>
  <c r="S1435" i="1"/>
  <c r="S1468" i="1"/>
  <c r="V1468" i="1" s="1"/>
  <c r="S827" i="1"/>
  <c r="S969" i="1"/>
  <c r="S988" i="1"/>
  <c r="S1002" i="1"/>
  <c r="S1042" i="1"/>
  <c r="S1311" i="1"/>
  <c r="V1322" i="1"/>
  <c r="S1340" i="1"/>
  <c r="V1340" i="1" s="1"/>
  <c r="S1441" i="1"/>
  <c r="V849" i="1"/>
  <c r="S968" i="1"/>
  <c r="S1459" i="1"/>
  <c r="V1459" i="1" s="1"/>
  <c r="V819" i="1"/>
  <c r="V860" i="1"/>
  <c r="T1346" i="1"/>
  <c r="U1346" i="1" s="1"/>
  <c r="V1346" i="1" s="1"/>
  <c r="S1394" i="1"/>
  <c r="S1402" i="1"/>
  <c r="S1434" i="1"/>
  <c r="V1434" i="1" s="1"/>
  <c r="S1425" i="1"/>
  <c r="S1436" i="1"/>
  <c r="S896" i="1"/>
  <c r="V896" i="1" s="1"/>
  <c r="S948" i="1"/>
  <c r="V948" i="1" s="1"/>
  <c r="S980" i="1"/>
  <c r="V980" i="1" s="1"/>
  <c r="S982" i="1"/>
  <c r="S1154" i="1"/>
  <c r="S1310" i="1"/>
  <c r="S1349" i="1"/>
  <c r="S814" i="1"/>
  <c r="V814" i="1" s="1"/>
  <c r="W854" i="1"/>
  <c r="T875" i="1"/>
  <c r="U875" i="1" s="1"/>
  <c r="V875" i="1" s="1"/>
  <c r="S1401" i="1"/>
  <c r="V1401" i="1" s="1"/>
  <c r="T1470" i="1"/>
  <c r="U1470" i="1" s="1"/>
  <c r="V1470" i="1" s="1"/>
  <c r="S1314" i="1"/>
  <c r="T1316" i="1"/>
  <c r="U1316" i="1" s="1"/>
  <c r="S1405" i="1"/>
  <c r="S1397" i="1"/>
  <c r="T1412" i="1"/>
  <c r="U1412" i="1" s="1"/>
  <c r="S1408" i="1"/>
  <c r="V1408" i="1" s="1"/>
  <c r="S1457" i="1"/>
  <c r="S1471" i="1"/>
  <c r="V1471" i="1" s="1"/>
  <c r="T813" i="1"/>
  <c r="U813" i="1" s="1"/>
  <c r="V813" i="1" s="1"/>
  <c r="S829" i="1"/>
  <c r="S957" i="1"/>
  <c r="S990" i="1"/>
  <c r="V1370" i="1"/>
  <c r="S1304" i="1"/>
  <c r="V1304" i="1" s="1"/>
  <c r="T1326" i="1"/>
  <c r="U1326" i="1" s="1"/>
  <c r="V1326" i="1" s="1"/>
  <c r="S1344" i="1"/>
  <c r="V1344" i="1" s="1"/>
  <c r="S1376" i="1"/>
  <c r="V1376" i="1" s="1"/>
  <c r="S1385" i="1"/>
  <c r="S1381" i="1"/>
  <c r="S1413" i="1"/>
  <c r="V1413" i="1" s="1"/>
  <c r="T1422" i="1"/>
  <c r="U1422" i="1" s="1"/>
  <c r="S1422" i="1"/>
  <c r="V1422" i="1" s="1"/>
  <c r="S1415" i="1"/>
  <c r="V1415" i="1" s="1"/>
  <c r="S1453" i="1"/>
  <c r="S1449" i="1"/>
  <c r="V1449" i="1" s="1"/>
  <c r="T1468" i="1"/>
  <c r="U1468" i="1" s="1"/>
  <c r="W1471" i="1"/>
  <c r="S865" i="1"/>
  <c r="T865" i="1"/>
  <c r="U865" i="1" s="1"/>
  <c r="V997" i="1"/>
  <c r="S1004" i="1"/>
  <c r="S810" i="1"/>
  <c r="V810" i="1" s="1"/>
  <c r="S822" i="1"/>
  <c r="T822" i="1"/>
  <c r="U822" i="1" s="1"/>
  <c r="V822" i="1" s="1"/>
  <c r="S961" i="1"/>
  <c r="V961" i="1" s="1"/>
  <c r="W961" i="1"/>
  <c r="S984" i="1"/>
  <c r="V984" i="1" s="1"/>
  <c r="T1307" i="1"/>
  <c r="U1307" i="1" s="1"/>
  <c r="S1308" i="1"/>
  <c r="V1308" i="1" s="1"/>
  <c r="S1350" i="1"/>
  <c r="V1350" i="1" s="1"/>
  <c r="T1379" i="1"/>
  <c r="U1379" i="1" s="1"/>
  <c r="V1379" i="1" s="1"/>
  <c r="T1396" i="1"/>
  <c r="U1396" i="1" s="1"/>
  <c r="T1460" i="1"/>
  <c r="U1460" i="1" s="1"/>
  <c r="V1460" i="1" s="1"/>
  <c r="T1456" i="1"/>
  <c r="U1456" i="1" s="1"/>
  <c r="V1456" i="1" s="1"/>
  <c r="S1456" i="1"/>
  <c r="S834" i="1"/>
  <c r="T834" i="1"/>
  <c r="U834" i="1" s="1"/>
  <c r="S999" i="1"/>
  <c r="S876" i="1"/>
  <c r="T876" i="1"/>
  <c r="U876" i="1" s="1"/>
  <c r="V876" i="1" s="1"/>
  <c r="S1306" i="1"/>
  <c r="V1306" i="1" s="1"/>
  <c r="T1323" i="1"/>
  <c r="U1323" i="1" s="1"/>
  <c r="S1334" i="1"/>
  <c r="S1342" i="1"/>
  <c r="V1342" i="1" s="1"/>
  <c r="T1338" i="1"/>
  <c r="U1338" i="1" s="1"/>
  <c r="V1338" i="1" s="1"/>
  <c r="S1343" i="1"/>
  <c r="V1343" i="1" s="1"/>
  <c r="S1355" i="1"/>
  <c r="T1365" i="1"/>
  <c r="U1365" i="1" s="1"/>
  <c r="V1365" i="1" s="1"/>
  <c r="T1378" i="1"/>
  <c r="U1378" i="1" s="1"/>
  <c r="V1378" i="1" s="1"/>
  <c r="S1477" i="1"/>
  <c r="V1477" i="1" s="1"/>
  <c r="W1477" i="1"/>
  <c r="T829" i="1"/>
  <c r="U829" i="1" s="1"/>
  <c r="T833" i="1"/>
  <c r="U833" i="1" s="1"/>
  <c r="S838" i="1"/>
  <c r="T838" i="1"/>
  <c r="U838" i="1" s="1"/>
  <c r="V838" i="1" s="1"/>
  <c r="T934" i="1"/>
  <c r="U934" i="1" s="1"/>
  <c r="S934" i="1"/>
  <c r="V934" i="1" s="1"/>
  <c r="S1037" i="1"/>
  <c r="T1037" i="1"/>
  <c r="U1037" i="1" s="1"/>
  <c r="S1051" i="1"/>
  <c r="S842" i="1"/>
  <c r="T842" i="1"/>
  <c r="U842" i="1" s="1"/>
  <c r="S870" i="1"/>
  <c r="T870" i="1"/>
  <c r="U870" i="1" s="1"/>
  <c r="T1353" i="1"/>
  <c r="U1353" i="1" s="1"/>
  <c r="S1353" i="1"/>
  <c r="S964" i="1"/>
  <c r="V964" i="1" s="1"/>
  <c r="T964" i="1"/>
  <c r="U964" i="1" s="1"/>
  <c r="S1375" i="1"/>
  <c r="S1295" i="1"/>
  <c r="V1295" i="1" s="1"/>
  <c r="T1314" i="1"/>
  <c r="U1314" i="1" s="1"/>
  <c r="V1314" i="1" s="1"/>
  <c r="T1383" i="1"/>
  <c r="U1383" i="1" s="1"/>
  <c r="V1383" i="1" s="1"/>
  <c r="T1402" i="1"/>
  <c r="U1402" i="1" s="1"/>
  <c r="V1402" i="1" s="1"/>
  <c r="S1411" i="1"/>
  <c r="V1411" i="1" s="1"/>
  <c r="S1439" i="1"/>
  <c r="T1439" i="1"/>
  <c r="U1439" i="1" s="1"/>
  <c r="S1473" i="1"/>
  <c r="T1473" i="1"/>
  <c r="U1473" i="1" s="1"/>
  <c r="T816" i="1"/>
  <c r="U816" i="1" s="1"/>
  <c r="S816" i="1"/>
  <c r="S1096" i="1"/>
  <c r="S1291" i="1"/>
  <c r="T1310" i="1"/>
  <c r="U1310" i="1" s="1"/>
  <c r="T1351" i="1"/>
  <c r="U1351" i="1" s="1"/>
  <c r="V1351" i="1" s="1"/>
  <c r="S1354" i="1"/>
  <c r="V1354" i="1" s="1"/>
  <c r="T1394" i="1"/>
  <c r="U1394" i="1" s="1"/>
  <c r="T1405" i="1"/>
  <c r="U1405" i="1" s="1"/>
  <c r="V1405" i="1" s="1"/>
  <c r="S1430" i="1"/>
  <c r="S1451" i="1"/>
  <c r="V1451" i="1" s="1"/>
  <c r="S1458" i="1"/>
  <c r="T1458" i="1"/>
  <c r="U1458" i="1" s="1"/>
  <c r="S817" i="1"/>
  <c r="V817" i="1" s="1"/>
  <c r="T817" i="1"/>
  <c r="U817" i="1" s="1"/>
  <c r="S909" i="1"/>
  <c r="V909" i="1" s="1"/>
  <c r="W909" i="1"/>
  <c r="S953" i="1"/>
  <c r="V953" i="1" s="1"/>
  <c r="T953" i="1"/>
  <c r="U953" i="1" s="1"/>
  <c r="T1288" i="1"/>
  <c r="U1288" i="1" s="1"/>
  <c r="S1301" i="1"/>
  <c r="S1319" i="1"/>
  <c r="V1319" i="1" s="1"/>
  <c r="S1324" i="1"/>
  <c r="V1324" i="1" s="1"/>
  <c r="T1377" i="1"/>
  <c r="U1377" i="1" s="1"/>
  <c r="V1377" i="1" s="1"/>
  <c r="V1386" i="1"/>
  <c r="S1414" i="1"/>
  <c r="V1414" i="1" s="1"/>
  <c r="T1414" i="1"/>
  <c r="U1414" i="1" s="1"/>
  <c r="S1420" i="1"/>
  <c r="V1420" i="1" s="1"/>
  <c r="S1416" i="1"/>
  <c r="S1446" i="1"/>
  <c r="T1446" i="1"/>
  <c r="U1446" i="1" s="1"/>
  <c r="T1476" i="1"/>
  <c r="U1476" i="1" s="1"/>
  <c r="S1036" i="1"/>
  <c r="S1033" i="1"/>
  <c r="T1033" i="1"/>
  <c r="U1033" i="1" s="1"/>
  <c r="V1301" i="1"/>
  <c r="V1476" i="1"/>
  <c r="W837" i="1"/>
  <c r="S837" i="1"/>
  <c r="V837" i="1" s="1"/>
  <c r="S1423" i="1"/>
  <c r="V1423" i="1" s="1"/>
  <c r="W1340" i="1"/>
  <c r="V1364" i="1"/>
  <c r="T1450" i="1"/>
  <c r="U1450" i="1" s="1"/>
  <c r="S1450" i="1"/>
  <c r="V1450" i="1" s="1"/>
  <c r="W1457" i="1"/>
  <c r="S917" i="1"/>
  <c r="T917" i="1"/>
  <c r="U917" i="1" s="1"/>
  <c r="V917" i="1" s="1"/>
  <c r="S1452" i="1"/>
  <c r="T1452" i="1"/>
  <c r="U1452" i="1" s="1"/>
  <c r="S855" i="1"/>
  <c r="T855" i="1"/>
  <c r="U855" i="1" s="1"/>
  <c r="S1290" i="1"/>
  <c r="V1290" i="1" s="1"/>
  <c r="S853" i="1"/>
  <c r="T853" i="1"/>
  <c r="U853" i="1" s="1"/>
  <c r="S1289" i="1"/>
  <c r="V1289" i="1" s="1"/>
  <c r="S1297" i="1"/>
  <c r="V1297" i="1" s="1"/>
  <c r="T1330" i="1"/>
  <c r="U1330" i="1" s="1"/>
  <c r="S1389" i="1"/>
  <c r="V1389" i="1" s="1"/>
  <c r="V1419" i="1"/>
  <c r="T1441" i="1"/>
  <c r="U1441" i="1" s="1"/>
  <c r="S840" i="1"/>
  <c r="V840" i="1" s="1"/>
  <c r="S1030" i="1"/>
  <c r="V1030" i="1" s="1"/>
  <c r="W1030" i="1"/>
  <c r="S1300" i="1"/>
  <c r="V1300" i="1" s="1"/>
  <c r="S1352" i="1"/>
  <c r="V1352" i="1" s="1"/>
  <c r="W1428" i="1"/>
  <c r="T1424" i="1"/>
  <c r="U1424" i="1" s="1"/>
  <c r="S1424" i="1"/>
  <c r="V1424" i="1" s="1"/>
  <c r="S858" i="1"/>
  <c r="V858" i="1" s="1"/>
  <c r="S919" i="1"/>
  <c r="S923" i="1"/>
  <c r="S956" i="1"/>
  <c r="S967" i="1"/>
  <c r="S977" i="1"/>
  <c r="T828" i="1"/>
  <c r="U828" i="1" s="1"/>
  <c r="V828" i="1" s="1"/>
  <c r="V857" i="1"/>
  <c r="S863" i="1"/>
  <c r="V863" i="1" s="1"/>
  <c r="S867" i="1"/>
  <c r="V867" i="1" s="1"/>
  <c r="T904" i="1"/>
  <c r="U904" i="1" s="1"/>
  <c r="V904" i="1" s="1"/>
  <c r="S952" i="1"/>
  <c r="V952" i="1" s="1"/>
  <c r="S966" i="1"/>
  <c r="V966" i="1" s="1"/>
  <c r="S996" i="1"/>
  <c r="V996" i="1" s="1"/>
  <c r="S1012" i="1"/>
  <c r="V1012" i="1" s="1"/>
  <c r="S1368" i="1"/>
  <c r="V1368" i="1" s="1"/>
  <c r="S1374" i="1"/>
  <c r="V1374" i="1" s="1"/>
  <c r="S1437" i="1"/>
  <c r="V1437" i="1" s="1"/>
  <c r="S815" i="1"/>
  <c r="S832" i="1"/>
  <c r="V832" i="1" s="1"/>
  <c r="S913" i="1"/>
  <c r="V913" i="1" s="1"/>
  <c r="S1039" i="1"/>
  <c r="S1035" i="1"/>
  <c r="V1035" i="1" s="1"/>
  <c r="S1444" i="1"/>
  <c r="V1444" i="1" s="1"/>
  <c r="S846" i="1"/>
  <c r="S954" i="1"/>
  <c r="S979" i="1"/>
  <c r="S1020" i="1"/>
  <c r="S1034" i="1"/>
  <c r="S1440" i="1"/>
  <c r="V1440" i="1" s="1"/>
  <c r="T1436" i="1"/>
  <c r="U1436" i="1" s="1"/>
  <c r="V1436" i="1" s="1"/>
  <c r="V821" i="1"/>
  <c r="S1024" i="1"/>
  <c r="V1024" i="1" s="1"/>
  <c r="S1461" i="1"/>
  <c r="S845" i="1"/>
  <c r="V845" i="1" s="1"/>
  <c r="S882" i="1"/>
  <c r="V882" i="1" s="1"/>
  <c r="S978" i="1"/>
  <c r="V978" i="1" s="1"/>
  <c r="S993" i="1"/>
  <c r="S985" i="1"/>
  <c r="V877" i="1"/>
  <c r="V1371" i="1"/>
  <c r="S1294" i="1"/>
  <c r="V1294" i="1" s="1"/>
  <c r="S1315" i="1"/>
  <c r="S1318" i="1"/>
  <c r="V1318" i="1" s="1"/>
  <c r="T1334" i="1"/>
  <c r="U1334" i="1" s="1"/>
  <c r="S1358" i="1"/>
  <c r="S1366" i="1"/>
  <c r="V1366" i="1" s="1"/>
  <c r="S1372" i="1"/>
  <c r="V1372" i="1" s="1"/>
  <c r="T1381" i="1"/>
  <c r="U1381" i="1" s="1"/>
  <c r="S1404" i="1"/>
  <c r="S1395" i="1"/>
  <c r="V1395" i="1" s="1"/>
  <c r="S1445" i="1"/>
  <c r="V1445" i="1" s="1"/>
  <c r="S1442" i="1"/>
  <c r="V1442" i="1" s="1"/>
  <c r="T1448" i="1"/>
  <c r="U1448" i="1" s="1"/>
  <c r="V1448" i="1" s="1"/>
  <c r="S824" i="1"/>
  <c r="V824" i="1" s="1"/>
  <c r="S830" i="1"/>
  <c r="V830" i="1" s="1"/>
  <c r="S866" i="1"/>
  <c r="S888" i="1"/>
  <c r="T884" i="1"/>
  <c r="U884" i="1" s="1"/>
  <c r="V884" i="1" s="1"/>
  <c r="S955" i="1"/>
  <c r="V955" i="1" s="1"/>
  <c r="S971" i="1"/>
  <c r="V971" i="1" s="1"/>
  <c r="T968" i="1"/>
  <c r="U968" i="1" s="1"/>
  <c r="S986" i="1"/>
  <c r="S1038" i="1"/>
  <c r="T1004" i="1"/>
  <c r="U1004" i="1" s="1"/>
  <c r="S1017" i="1"/>
  <c r="V1017" i="1" s="1"/>
  <c r="S1298" i="1"/>
  <c r="V1298" i="1" s="1"/>
  <c r="S1321" i="1"/>
  <c r="V1321" i="1" s="1"/>
  <c r="S1347" i="1"/>
  <c r="T1393" i="1"/>
  <c r="U1393" i="1" s="1"/>
  <c r="V1393" i="1" s="1"/>
  <c r="S1390" i="1"/>
  <c r="V1390" i="1" s="1"/>
  <c r="V811" i="1"/>
  <c r="T846" i="1"/>
  <c r="U846" i="1" s="1"/>
  <c r="V846" i="1" s="1"/>
  <c r="S946" i="1"/>
  <c r="V946" i="1" s="1"/>
  <c r="S958" i="1"/>
  <c r="S992" i="1"/>
  <c r="V992" i="1" s="1"/>
  <c r="S989" i="1"/>
  <c r="S1011" i="1"/>
  <c r="V1011" i="1" s="1"/>
  <c r="S1015" i="1"/>
  <c r="S1023" i="1"/>
  <c r="T879" i="1"/>
  <c r="U879" i="1" s="1"/>
  <c r="T919" i="1"/>
  <c r="U919" i="1" s="1"/>
  <c r="T923" i="1"/>
  <c r="U923" i="1" s="1"/>
  <c r="T957" i="1"/>
  <c r="U957" i="1" s="1"/>
  <c r="V957" i="1" s="1"/>
  <c r="T970" i="1"/>
  <c r="U970" i="1" s="1"/>
  <c r="V970" i="1" s="1"/>
  <c r="T988" i="1"/>
  <c r="U988" i="1" s="1"/>
  <c r="V988" i="1" s="1"/>
  <c r="S1022" i="1"/>
  <c r="V1022" i="1" s="1"/>
  <c r="V815" i="1"/>
  <c r="S873" i="1"/>
  <c r="V873" i="1" s="1"/>
  <c r="S880" i="1"/>
  <c r="V880" i="1" s="1"/>
  <c r="S905" i="1"/>
  <c r="V905" i="1" s="1"/>
  <c r="S995" i="1"/>
  <c r="S991" i="1"/>
  <c r="S981" i="1"/>
  <c r="S1003" i="1"/>
  <c r="S1010" i="1"/>
  <c r="S1019" i="1"/>
  <c r="V1019" i="1" s="1"/>
  <c r="S1027" i="1"/>
  <c r="S1361" i="1"/>
  <c r="V1361" i="1" s="1"/>
  <c r="S1373" i="1"/>
  <c r="V1373" i="1" s="1"/>
  <c r="T1385" i="1"/>
  <c r="U1385" i="1" s="1"/>
  <c r="V1385" i="1" s="1"/>
  <c r="T1430" i="1"/>
  <c r="U1430" i="1" s="1"/>
  <c r="S886" i="1"/>
  <c r="V886" i="1" s="1"/>
  <c r="S1000" i="1"/>
  <c r="S1013" i="1"/>
  <c r="V1013" i="1" s="1"/>
  <c r="T1039" i="1"/>
  <c r="U1039" i="1" s="1"/>
  <c r="S1021" i="1"/>
  <c r="S1026" i="1"/>
  <c r="V1026" i="1" s="1"/>
  <c r="V1454" i="1"/>
  <c r="W1459" i="1"/>
  <c r="W1035" i="1"/>
  <c r="S1080" i="1"/>
  <c r="V1080" i="1" s="1"/>
  <c r="V831" i="1"/>
  <c r="S1125" i="1"/>
  <c r="V1125" i="1" s="1"/>
  <c r="S1059" i="1"/>
  <c r="V1059" i="1" s="1"/>
  <c r="V1345" i="1"/>
  <c r="W1375" i="1"/>
  <c r="S983" i="1"/>
  <c r="W999" i="1"/>
  <c r="T1012" i="1"/>
  <c r="U1012" i="1" s="1"/>
  <c r="V816" i="1"/>
  <c r="S1082" i="1"/>
  <c r="V1082" i="1" s="1"/>
  <c r="T1291" i="1"/>
  <c r="U1291" i="1" s="1"/>
  <c r="V1291" i="1" s="1"/>
  <c r="T1312" i="1"/>
  <c r="U1312" i="1" s="1"/>
  <c r="S1410" i="1"/>
  <c r="V1410" i="1" s="1"/>
  <c r="S1417" i="1"/>
  <c r="V1417" i="1" s="1"/>
  <c r="T1435" i="1"/>
  <c r="U1435" i="1" s="1"/>
  <c r="T1432" i="1"/>
  <c r="U1432" i="1" s="1"/>
  <c r="S823" i="1"/>
  <c r="V823" i="1" s="1"/>
  <c r="T844" i="1"/>
  <c r="U844" i="1" s="1"/>
  <c r="V844" i="1" s="1"/>
  <c r="S852" i="1"/>
  <c r="V852" i="1" s="1"/>
  <c r="T859" i="1"/>
  <c r="U859" i="1" s="1"/>
  <c r="V859" i="1" s="1"/>
  <c r="T864" i="1"/>
  <c r="U864" i="1" s="1"/>
  <c r="V864" i="1" s="1"/>
  <c r="T869" i="1"/>
  <c r="U869" i="1" s="1"/>
  <c r="V869" i="1" s="1"/>
  <c r="T871" i="1"/>
  <c r="U871" i="1" s="1"/>
  <c r="V871" i="1" s="1"/>
  <c r="S898" i="1"/>
  <c r="V898" i="1" s="1"/>
  <c r="T950" i="1"/>
  <c r="U950" i="1" s="1"/>
  <c r="S965" i="1"/>
  <c r="T1041" i="1"/>
  <c r="U1041" i="1" s="1"/>
  <c r="S944" i="1"/>
  <c r="V944" i="1" s="1"/>
  <c r="S1050" i="1"/>
  <c r="S1134" i="1"/>
  <c r="V1134" i="1" s="1"/>
  <c r="T1294" i="1"/>
  <c r="U1294" i="1" s="1"/>
  <c r="T1315" i="1"/>
  <c r="U1315" i="1" s="1"/>
  <c r="S1331" i="1"/>
  <c r="V1331" i="1" s="1"/>
  <c r="S1325" i="1"/>
  <c r="V1325" i="1" s="1"/>
  <c r="T1358" i="1"/>
  <c r="U1358" i="1" s="1"/>
  <c r="S1369" i="1"/>
  <c r="V1369" i="1" s="1"/>
  <c r="S1360" i="1"/>
  <c r="V1360" i="1" s="1"/>
  <c r="S1384" i="1"/>
  <c r="V1384" i="1" s="1"/>
  <c r="T1404" i="1"/>
  <c r="U1404" i="1" s="1"/>
  <c r="S1465" i="1"/>
  <c r="V1465" i="1" s="1"/>
  <c r="S841" i="1"/>
  <c r="V841" i="1" s="1"/>
  <c r="T866" i="1"/>
  <c r="U866" i="1" s="1"/>
  <c r="T986" i="1"/>
  <c r="U986" i="1" s="1"/>
  <c r="S1032" i="1"/>
  <c r="V1032" i="1" s="1"/>
  <c r="S1029" i="1"/>
  <c r="S1025" i="1"/>
  <c r="S1475" i="1"/>
  <c r="T1475" i="1"/>
  <c r="U1475" i="1" s="1"/>
  <c r="S843" i="1"/>
  <c r="T843" i="1"/>
  <c r="U843" i="1" s="1"/>
  <c r="S1418" i="1"/>
  <c r="T1418" i="1"/>
  <c r="U1418" i="1" s="1"/>
  <c r="S1339" i="1"/>
  <c r="T1339" i="1"/>
  <c r="U1339" i="1" s="1"/>
  <c r="S1336" i="1"/>
  <c r="V1336" i="1" s="1"/>
  <c r="W1336" i="1"/>
  <c r="S1359" i="1"/>
  <c r="V1359" i="1" s="1"/>
  <c r="S1367" i="1"/>
  <c r="V1367" i="1" s="1"/>
  <c r="S820" i="1"/>
  <c r="T820" i="1"/>
  <c r="U820" i="1" s="1"/>
  <c r="V1311" i="1"/>
  <c r="S1296" i="1"/>
  <c r="V1296" i="1" s="1"/>
  <c r="S1305" i="1"/>
  <c r="V1305" i="1" s="1"/>
  <c r="S1317" i="1"/>
  <c r="V1317" i="1" s="1"/>
  <c r="S1443" i="1"/>
  <c r="T1443" i="1"/>
  <c r="U1443" i="1" s="1"/>
  <c r="S848" i="1"/>
  <c r="T848" i="1"/>
  <c r="U848" i="1" s="1"/>
  <c r="V1355" i="1"/>
  <c r="V1457" i="1"/>
  <c r="V1349" i="1"/>
  <c r="S1387" i="1"/>
  <c r="T1387" i="1"/>
  <c r="U1387" i="1" s="1"/>
  <c r="W1438" i="1"/>
  <c r="S1438" i="1"/>
  <c r="V1438" i="1" s="1"/>
  <c r="T1429" i="1"/>
  <c r="U1429" i="1" s="1"/>
  <c r="S1429" i="1"/>
  <c r="S1469" i="1"/>
  <c r="T1469" i="1"/>
  <c r="U1469" i="1" s="1"/>
  <c r="S1467" i="1"/>
  <c r="T1467" i="1"/>
  <c r="U1467" i="1" s="1"/>
  <c r="S1398" i="1"/>
  <c r="T1398" i="1"/>
  <c r="U1398" i="1" s="1"/>
  <c r="S1292" i="1"/>
  <c r="V1292" i="1" s="1"/>
  <c r="S1313" i="1"/>
  <c r="V1313" i="1" s="1"/>
  <c r="S1329" i="1"/>
  <c r="V1329" i="1" s="1"/>
  <c r="S1341" i="1"/>
  <c r="V1341" i="1" s="1"/>
  <c r="T1347" i="1"/>
  <c r="U1347" i="1" s="1"/>
  <c r="S1406" i="1"/>
  <c r="V1406" i="1" s="1"/>
  <c r="S1409" i="1"/>
  <c r="T1409" i="1"/>
  <c r="U1409" i="1" s="1"/>
  <c r="S1462" i="1"/>
  <c r="T1462" i="1"/>
  <c r="U1462" i="1" s="1"/>
  <c r="S1455" i="1"/>
  <c r="T1455" i="1"/>
  <c r="U1455" i="1" s="1"/>
  <c r="S1380" i="1"/>
  <c r="T1380" i="1"/>
  <c r="U1380" i="1" s="1"/>
  <c r="S809" i="1"/>
  <c r="T809" i="1"/>
  <c r="U809" i="1" s="1"/>
  <c r="S861" i="1"/>
  <c r="T861" i="1"/>
  <c r="U861" i="1" s="1"/>
  <c r="V1288" i="1"/>
  <c r="V1307" i="1"/>
  <c r="V1397" i="1"/>
  <c r="S835" i="1"/>
  <c r="T835" i="1"/>
  <c r="U835" i="1" s="1"/>
  <c r="V1332" i="1"/>
  <c r="S1302" i="1"/>
  <c r="V1302" i="1" s="1"/>
  <c r="S1309" i="1"/>
  <c r="V1309" i="1" s="1"/>
  <c r="V1328" i="1"/>
  <c r="S1337" i="1"/>
  <c r="V1337" i="1" s="1"/>
  <c r="S1357" i="1"/>
  <c r="T1357" i="1"/>
  <c r="U1357" i="1" s="1"/>
  <c r="S1363" i="1"/>
  <c r="V1363" i="1" s="1"/>
  <c r="V1375" i="1"/>
  <c r="V1391" i="1"/>
  <c r="V1388" i="1"/>
  <c r="T1382" i="1"/>
  <c r="U1382" i="1" s="1"/>
  <c r="V827" i="1"/>
  <c r="S878" i="1"/>
  <c r="T878" i="1"/>
  <c r="U878" i="1" s="1"/>
  <c r="S883" i="1"/>
  <c r="T883" i="1"/>
  <c r="U883" i="1" s="1"/>
  <c r="S906" i="1"/>
  <c r="T906" i="1"/>
  <c r="U906" i="1" s="1"/>
  <c r="S942" i="1"/>
  <c r="V942" i="1" s="1"/>
  <c r="V1001" i="1"/>
  <c r="S921" i="1"/>
  <c r="T921" i="1"/>
  <c r="U921" i="1" s="1"/>
  <c r="S940" i="1"/>
  <c r="T940" i="1"/>
  <c r="U940" i="1" s="1"/>
  <c r="S936" i="1"/>
  <c r="T936" i="1"/>
  <c r="U936" i="1" s="1"/>
  <c r="S1028" i="1"/>
  <c r="V1028" i="1" s="1"/>
  <c r="S912" i="1"/>
  <c r="T912" i="1"/>
  <c r="U912" i="1" s="1"/>
  <c r="T994" i="1"/>
  <c r="U994" i="1" s="1"/>
  <c r="S825" i="1"/>
  <c r="T825" i="1"/>
  <c r="U825" i="1" s="1"/>
  <c r="S850" i="1"/>
  <c r="T850" i="1"/>
  <c r="U850" i="1" s="1"/>
  <c r="V1043" i="1"/>
  <c r="V1037" i="1"/>
  <c r="S962" i="1"/>
  <c r="T962" i="1"/>
  <c r="U962" i="1" s="1"/>
  <c r="S1014" i="1"/>
  <c r="V1014" i="1" s="1"/>
  <c r="W1014" i="1"/>
  <c r="V865" i="1"/>
  <c r="S889" i="1"/>
  <c r="T889" i="1"/>
  <c r="U889" i="1" s="1"/>
  <c r="S893" i="1"/>
  <c r="T893" i="1"/>
  <c r="U893" i="1" s="1"/>
  <c r="S939" i="1"/>
  <c r="T939" i="1"/>
  <c r="U939" i="1" s="1"/>
  <c r="S959" i="1"/>
  <c r="V959" i="1" s="1"/>
  <c r="W959" i="1"/>
  <c r="W975" i="1"/>
  <c r="S975" i="1"/>
  <c r="V975" i="1" s="1"/>
  <c r="S1008" i="1"/>
  <c r="T1008" i="1"/>
  <c r="U1008" i="1" s="1"/>
  <c r="V1431" i="1"/>
  <c r="S1463" i="1"/>
  <c r="T1463" i="1"/>
  <c r="U1463" i="1" s="1"/>
  <c r="S868" i="1"/>
  <c r="T868" i="1"/>
  <c r="U868" i="1" s="1"/>
  <c r="V1433" i="1"/>
  <c r="S818" i="1"/>
  <c r="T818" i="1"/>
  <c r="U818" i="1" s="1"/>
  <c r="V1009" i="1"/>
  <c r="V836" i="1"/>
  <c r="V870" i="1"/>
  <c r="S908" i="1"/>
  <c r="T908" i="1"/>
  <c r="U908" i="1" s="1"/>
  <c r="V1412" i="1"/>
  <c r="V1416" i="1"/>
  <c r="S856" i="1"/>
  <c r="T856" i="1"/>
  <c r="U856" i="1" s="1"/>
  <c r="S901" i="1"/>
  <c r="T901" i="1"/>
  <c r="U901" i="1" s="1"/>
  <c r="S910" i="1"/>
  <c r="T910" i="1"/>
  <c r="U910" i="1" s="1"/>
  <c r="T907" i="1"/>
  <c r="U907" i="1" s="1"/>
  <c r="S907" i="1"/>
  <c r="S973" i="1"/>
  <c r="T973" i="1"/>
  <c r="U973" i="1" s="1"/>
  <c r="V1474" i="1"/>
  <c r="V982" i="1"/>
  <c r="S839" i="1"/>
  <c r="T839" i="1"/>
  <c r="U839" i="1" s="1"/>
  <c r="S902" i="1"/>
  <c r="V902" i="1" s="1"/>
  <c r="W902" i="1"/>
  <c r="S1427" i="1"/>
  <c r="T1427" i="1"/>
  <c r="U1427" i="1" s="1"/>
  <c r="S887" i="1"/>
  <c r="T887" i="1"/>
  <c r="U887" i="1" s="1"/>
  <c r="S928" i="1"/>
  <c r="T928" i="1"/>
  <c r="U928" i="1" s="1"/>
  <c r="S899" i="1"/>
  <c r="T899" i="1"/>
  <c r="U899" i="1" s="1"/>
  <c r="S929" i="1"/>
  <c r="V929" i="1" s="1"/>
  <c r="S926" i="1"/>
  <c r="T926" i="1"/>
  <c r="U926" i="1" s="1"/>
  <c r="S951" i="1"/>
  <c r="T951" i="1"/>
  <c r="U951" i="1" s="1"/>
  <c r="S935" i="1"/>
  <c r="T935" i="1"/>
  <c r="U935" i="1" s="1"/>
  <c r="V950" i="1"/>
  <c r="V990" i="1"/>
  <c r="V854" i="1"/>
  <c r="S920" i="1"/>
  <c r="T920" i="1"/>
  <c r="U920" i="1" s="1"/>
  <c r="V931" i="1"/>
  <c r="S938" i="1"/>
  <c r="T938" i="1"/>
  <c r="U938" i="1" s="1"/>
  <c r="S892" i="1"/>
  <c r="T892" i="1"/>
  <c r="U892" i="1" s="1"/>
  <c r="V1006" i="1"/>
  <c r="V888" i="1"/>
  <c r="S885" i="1"/>
  <c r="T885" i="1"/>
  <c r="U885" i="1" s="1"/>
  <c r="T1425" i="1"/>
  <c r="U1425" i="1" s="1"/>
  <c r="T1453" i="1"/>
  <c r="U1453" i="1" s="1"/>
  <c r="T1461" i="1"/>
  <c r="U1461" i="1" s="1"/>
  <c r="S881" i="1"/>
  <c r="T881" i="1"/>
  <c r="U881" i="1" s="1"/>
  <c r="S900" i="1"/>
  <c r="S914" i="1"/>
  <c r="T914" i="1"/>
  <c r="U914" i="1" s="1"/>
  <c r="S927" i="1"/>
  <c r="S903" i="1"/>
  <c r="T903" i="1"/>
  <c r="U903" i="1" s="1"/>
  <c r="S930" i="1"/>
  <c r="T930" i="1"/>
  <c r="U930" i="1" s="1"/>
  <c r="S937" i="1"/>
  <c r="T937" i="1"/>
  <c r="U937" i="1" s="1"/>
  <c r="S891" i="1"/>
  <c r="T891" i="1"/>
  <c r="U891" i="1" s="1"/>
  <c r="V999" i="1"/>
  <c r="V1041" i="1"/>
  <c r="S941" i="1"/>
  <c r="T941" i="1"/>
  <c r="U941" i="1" s="1"/>
  <c r="S945" i="1"/>
  <c r="T945" i="1"/>
  <c r="U945" i="1" s="1"/>
  <c r="S890" i="1"/>
  <c r="T890" i="1"/>
  <c r="U890" i="1" s="1"/>
  <c r="T900" i="1"/>
  <c r="U900" i="1" s="1"/>
  <c r="S932" i="1"/>
  <c r="T932" i="1"/>
  <c r="U932" i="1" s="1"/>
  <c r="T927" i="1"/>
  <c r="U927" i="1" s="1"/>
  <c r="S943" i="1"/>
  <c r="T943" i="1"/>
  <c r="U943" i="1" s="1"/>
  <c r="S947" i="1"/>
  <c r="T947" i="1"/>
  <c r="U947" i="1" s="1"/>
  <c r="S895" i="1"/>
  <c r="T895" i="1"/>
  <c r="U895" i="1" s="1"/>
  <c r="S922" i="1"/>
  <c r="T922" i="1"/>
  <c r="U922" i="1" s="1"/>
  <c r="S872" i="1"/>
  <c r="T872" i="1"/>
  <c r="U872" i="1" s="1"/>
  <c r="S916" i="1"/>
  <c r="T916" i="1"/>
  <c r="U916" i="1" s="1"/>
  <c r="S897" i="1"/>
  <c r="T897" i="1"/>
  <c r="U897" i="1" s="1"/>
  <c r="S924" i="1"/>
  <c r="T924" i="1"/>
  <c r="U924" i="1" s="1"/>
  <c r="S933" i="1"/>
  <c r="T933" i="1"/>
  <c r="U933" i="1" s="1"/>
  <c r="S949" i="1"/>
  <c r="T949" i="1"/>
  <c r="U949" i="1" s="1"/>
  <c r="S960" i="1"/>
  <c r="T960" i="1"/>
  <c r="U960" i="1" s="1"/>
  <c r="S874" i="1"/>
  <c r="T874" i="1"/>
  <c r="U874" i="1" s="1"/>
  <c r="S918" i="1"/>
  <c r="T918" i="1"/>
  <c r="U918" i="1" s="1"/>
  <c r="T958" i="1"/>
  <c r="U958" i="1" s="1"/>
  <c r="T956" i="1"/>
  <c r="U956" i="1" s="1"/>
  <c r="T954" i="1"/>
  <c r="U954" i="1" s="1"/>
  <c r="V954" i="1" s="1"/>
  <c r="T971" i="1"/>
  <c r="U971" i="1" s="1"/>
  <c r="T969" i="1"/>
  <c r="U969" i="1" s="1"/>
  <c r="V969" i="1" s="1"/>
  <c r="T967" i="1"/>
  <c r="U967" i="1" s="1"/>
  <c r="T965" i="1"/>
  <c r="U965" i="1" s="1"/>
  <c r="T976" i="1"/>
  <c r="U976" i="1" s="1"/>
  <c r="V976" i="1" s="1"/>
  <c r="T974" i="1"/>
  <c r="U974" i="1" s="1"/>
  <c r="V974" i="1" s="1"/>
  <c r="T972" i="1"/>
  <c r="U972" i="1" s="1"/>
  <c r="V972" i="1" s="1"/>
  <c r="T979" i="1"/>
  <c r="U979" i="1" s="1"/>
  <c r="V979" i="1" s="1"/>
  <c r="T977" i="1"/>
  <c r="U977" i="1" s="1"/>
  <c r="T995" i="1"/>
  <c r="U995" i="1" s="1"/>
  <c r="T993" i="1"/>
  <c r="U993" i="1" s="1"/>
  <c r="T991" i="1"/>
  <c r="U991" i="1" s="1"/>
  <c r="T989" i="1"/>
  <c r="U989" i="1" s="1"/>
  <c r="T987" i="1"/>
  <c r="U987" i="1" s="1"/>
  <c r="V987" i="1" s="1"/>
  <c r="T985" i="1"/>
  <c r="U985" i="1" s="1"/>
  <c r="V985" i="1" s="1"/>
  <c r="T983" i="1"/>
  <c r="U983" i="1" s="1"/>
  <c r="T981" i="1"/>
  <c r="U981" i="1" s="1"/>
  <c r="T1002" i="1"/>
  <c r="U1002" i="1" s="1"/>
  <c r="V1002" i="1" s="1"/>
  <c r="T1000" i="1"/>
  <c r="U1000" i="1" s="1"/>
  <c r="T998" i="1"/>
  <c r="U998" i="1" s="1"/>
  <c r="T1005" i="1"/>
  <c r="U1005" i="1" s="1"/>
  <c r="V1005" i="1" s="1"/>
  <c r="T1003" i="1"/>
  <c r="U1003" i="1" s="1"/>
  <c r="V1003" i="1" s="1"/>
  <c r="T1007" i="1"/>
  <c r="U1007" i="1" s="1"/>
  <c r="V1007" i="1" s="1"/>
  <c r="T1010" i="1"/>
  <c r="U1010" i="1" s="1"/>
  <c r="V1010" i="1" s="1"/>
  <c r="T1015" i="1"/>
  <c r="U1015" i="1" s="1"/>
  <c r="T1013" i="1"/>
  <c r="U1013" i="1" s="1"/>
  <c r="T1020" i="1"/>
  <c r="U1020" i="1" s="1"/>
  <c r="T1018" i="1"/>
  <c r="U1018" i="1" s="1"/>
  <c r="V1018" i="1" s="1"/>
  <c r="T1016" i="1"/>
  <c r="U1016" i="1" s="1"/>
  <c r="T1023" i="1"/>
  <c r="U1023" i="1" s="1"/>
  <c r="T1021" i="1"/>
  <c r="U1021" i="1" s="1"/>
  <c r="T1031" i="1"/>
  <c r="U1031" i="1" s="1"/>
  <c r="V1031" i="1" s="1"/>
  <c r="T1029" i="1"/>
  <c r="U1029" i="1" s="1"/>
  <c r="T1027" i="1"/>
  <c r="U1027" i="1" s="1"/>
  <c r="V1027" i="1" s="1"/>
  <c r="T1025" i="1"/>
  <c r="U1025" i="1" s="1"/>
  <c r="T1042" i="1"/>
  <c r="U1042" i="1" s="1"/>
  <c r="T1040" i="1"/>
  <c r="U1040" i="1" s="1"/>
  <c r="V1040" i="1" s="1"/>
  <c r="T1038" i="1"/>
  <c r="U1038" i="1" s="1"/>
  <c r="T1036" i="1"/>
  <c r="U1036" i="1" s="1"/>
  <c r="V1036" i="1" s="1"/>
  <c r="T1034" i="1"/>
  <c r="U1034" i="1" s="1"/>
  <c r="V1034" i="1" s="1"/>
  <c r="T1051" i="1"/>
  <c r="U1051" i="1" s="1"/>
  <c r="S1127" i="1"/>
  <c r="T1096" i="1"/>
  <c r="U1096" i="1" s="1"/>
  <c r="S1053" i="1"/>
  <c r="V1053" i="1" s="1"/>
  <c r="S1158" i="1"/>
  <c r="S1119" i="1"/>
  <c r="S1129" i="1"/>
  <c r="S1074" i="1"/>
  <c r="V1074" i="1" s="1"/>
  <c r="S1049" i="1"/>
  <c r="V1049" i="1" s="1"/>
  <c r="S1071" i="1"/>
  <c r="S1111" i="1"/>
  <c r="S1107" i="1"/>
  <c r="V1107" i="1" s="1"/>
  <c r="S1151" i="1"/>
  <c r="V1151" i="1" s="1"/>
  <c r="S1140" i="1"/>
  <c r="V1140" i="1" s="1"/>
  <c r="S1070" i="1"/>
  <c r="V1070" i="1" s="1"/>
  <c r="S1136" i="1"/>
  <c r="V1136" i="1" s="1"/>
  <c r="S1104" i="1"/>
  <c r="S1092" i="1"/>
  <c r="S1068" i="1"/>
  <c r="V1068" i="1" s="1"/>
  <c r="S1046" i="1"/>
  <c r="S1124" i="1"/>
  <c r="S1117" i="1"/>
  <c r="S1057" i="1"/>
  <c r="V1057" i="1" s="1"/>
  <c r="S1066" i="1"/>
  <c r="V1066" i="1" s="1"/>
  <c r="S1094" i="1"/>
  <c r="V1094" i="1" s="1"/>
  <c r="S1085" i="1"/>
  <c r="V1085" i="1" s="1"/>
  <c r="S1048" i="1"/>
  <c r="V1048" i="1" s="1"/>
  <c r="S1100" i="1"/>
  <c r="V1111" i="1"/>
  <c r="S1153" i="1"/>
  <c r="V1153" i="1" s="1"/>
  <c r="S1102" i="1"/>
  <c r="V1102" i="1" s="1"/>
  <c r="S1109" i="1"/>
  <c r="V1109" i="1" s="1"/>
  <c r="S1123" i="1"/>
  <c r="V1123" i="1" s="1"/>
  <c r="S1144" i="1"/>
  <c r="V1144" i="1" s="1"/>
  <c r="W1125" i="1"/>
  <c r="S1044" i="1"/>
  <c r="V1044" i="1" s="1"/>
  <c r="S1076" i="1"/>
  <c r="V1076" i="1" s="1"/>
  <c r="S1115" i="1"/>
  <c r="V1115" i="1" s="1"/>
  <c r="S1132" i="1"/>
  <c r="W1148" i="1"/>
  <c r="S1162" i="1"/>
  <c r="V1162" i="1" s="1"/>
  <c r="V1129" i="1"/>
  <c r="S1089" i="1"/>
  <c r="S1047" i="1"/>
  <c r="V1047" i="1" s="1"/>
  <c r="S1060" i="1"/>
  <c r="W1085" i="1"/>
  <c r="S1073" i="1"/>
  <c r="S1131" i="1"/>
  <c r="S1063" i="1"/>
  <c r="S1079" i="1"/>
  <c r="T1100" i="1"/>
  <c r="U1100" i="1" s="1"/>
  <c r="T1132" i="1"/>
  <c r="U1132" i="1" s="1"/>
  <c r="W1144" i="1"/>
  <c r="S1141" i="1"/>
  <c r="V1141" i="1" s="1"/>
  <c r="S1086" i="1"/>
  <c r="V1086" i="1" s="1"/>
  <c r="T1124" i="1"/>
  <c r="U1124" i="1" s="1"/>
  <c r="S1113" i="1"/>
  <c r="V1113" i="1" s="1"/>
  <c r="W1109" i="1"/>
  <c r="S1149" i="1"/>
  <c r="V1149" i="1" s="1"/>
  <c r="S1156" i="1"/>
  <c r="V1156" i="1" s="1"/>
  <c r="W1107" i="1"/>
  <c r="S1152" i="1"/>
  <c r="V1152" i="1" s="1"/>
  <c r="S1160" i="1"/>
  <c r="T1092" i="1"/>
  <c r="U1092" i="1" s="1"/>
  <c r="S1078" i="1"/>
  <c r="V1078" i="1" s="1"/>
  <c r="W1074" i="1"/>
  <c r="W1123" i="1"/>
  <c r="S1120" i="1"/>
  <c r="V1120" i="1" s="1"/>
  <c r="W1151" i="1"/>
  <c r="S1159" i="1"/>
  <c r="V1159" i="1" s="1"/>
  <c r="S1075" i="1"/>
  <c r="S1056" i="1"/>
  <c r="V1062" i="1"/>
  <c r="S1045" i="1"/>
  <c r="V1045" i="1" s="1"/>
  <c r="W1059" i="1"/>
  <c r="S1052" i="1"/>
  <c r="S1081" i="1"/>
  <c r="S1112" i="1"/>
  <c r="V1112" i="1" s="1"/>
  <c r="W1134" i="1"/>
  <c r="S1163" i="1"/>
  <c r="V1163" i="1" s="1"/>
  <c r="S1069" i="1"/>
  <c r="S1055" i="1"/>
  <c r="V1055" i="1" s="1"/>
  <c r="S1065" i="1"/>
  <c r="W1080" i="1"/>
  <c r="T1119" i="1"/>
  <c r="U1119" i="1" s="1"/>
  <c r="V1119" i="1" s="1"/>
  <c r="S1108" i="1"/>
  <c r="V1108" i="1" s="1"/>
  <c r="T1158" i="1"/>
  <c r="U1158" i="1" s="1"/>
  <c r="S1072" i="1"/>
  <c r="V1072" i="1" s="1"/>
  <c r="W1068" i="1"/>
  <c r="S1088" i="1"/>
  <c r="S1077" i="1"/>
  <c r="V1077" i="1" s="1"/>
  <c r="T1073" i="1"/>
  <c r="U1073" i="1" s="1"/>
  <c r="S1098" i="1"/>
  <c r="V1098" i="1" s="1"/>
  <c r="S1146" i="1"/>
  <c r="V1146" i="1" s="1"/>
  <c r="S1061" i="1"/>
  <c r="V1061" i="1" s="1"/>
  <c r="S1116" i="1"/>
  <c r="V1116" i="1" s="1"/>
  <c r="S1128" i="1"/>
  <c r="V1128" i="1" s="1"/>
  <c r="S1064" i="1"/>
  <c r="V1064" i="1" s="1"/>
  <c r="S1090" i="1"/>
  <c r="V1090" i="1" s="1"/>
  <c r="S1137" i="1"/>
  <c r="V1137" i="1" s="1"/>
  <c r="S1142" i="1"/>
  <c r="V1142" i="1" s="1"/>
  <c r="S1087" i="1"/>
  <c r="V1087" i="1" s="1"/>
  <c r="S1101" i="1"/>
  <c r="V1101" i="1" s="1"/>
  <c r="T1131" i="1"/>
  <c r="U1131" i="1" s="1"/>
  <c r="S1133" i="1"/>
  <c r="V1133" i="1" s="1"/>
  <c r="S1138" i="1"/>
  <c r="V1138" i="1" s="1"/>
  <c r="W1153" i="1"/>
  <c r="S1084" i="1"/>
  <c r="S1058" i="1"/>
  <c r="V1058" i="1" s="1"/>
  <c r="S1054" i="1"/>
  <c r="V1054" i="1" s="1"/>
  <c r="T1071" i="1"/>
  <c r="U1071" i="1" s="1"/>
  <c r="S1083" i="1"/>
  <c r="V1083" i="1" s="1"/>
  <c r="S1105" i="1"/>
  <c r="V1105" i="1" s="1"/>
  <c r="W1154" i="1"/>
  <c r="T1104" i="1"/>
  <c r="U1104" i="1" s="1"/>
  <c r="S1097" i="1"/>
  <c r="V1097" i="1" s="1"/>
  <c r="T1127" i="1"/>
  <c r="U1127" i="1" s="1"/>
  <c r="S1145" i="1"/>
  <c r="V1145" i="1" s="1"/>
  <c r="S1067" i="1"/>
  <c r="V1067" i="1" s="1"/>
  <c r="T1063" i="1"/>
  <c r="U1063" i="1" s="1"/>
  <c r="T1079" i="1"/>
  <c r="U1079" i="1" s="1"/>
  <c r="S1093" i="1"/>
  <c r="V1093" i="1" s="1"/>
  <c r="T1089" i="1"/>
  <c r="U1089" i="1" s="1"/>
  <c r="S1121" i="1"/>
  <c r="V1121" i="1" s="1"/>
  <c r="S1122" i="1"/>
  <c r="T1122" i="1"/>
  <c r="U1122" i="1" s="1"/>
  <c r="S1130" i="1"/>
  <c r="T1130" i="1"/>
  <c r="U1130" i="1" s="1"/>
  <c r="S1143" i="1"/>
  <c r="T1143" i="1"/>
  <c r="U1143" i="1" s="1"/>
  <c r="S1157" i="1"/>
  <c r="T1157" i="1"/>
  <c r="U1157" i="1" s="1"/>
  <c r="T1081" i="1"/>
  <c r="U1081" i="1" s="1"/>
  <c r="T1075" i="1"/>
  <c r="U1075" i="1" s="1"/>
  <c r="S1103" i="1"/>
  <c r="T1103" i="1"/>
  <c r="U1103" i="1" s="1"/>
  <c r="S1106" i="1"/>
  <c r="T1106" i="1"/>
  <c r="U1106" i="1" s="1"/>
  <c r="S1110" i="1"/>
  <c r="T1110" i="1"/>
  <c r="U1110" i="1" s="1"/>
  <c r="S1147" i="1"/>
  <c r="T1147" i="1"/>
  <c r="U1147" i="1" s="1"/>
  <c r="S1155" i="1"/>
  <c r="T1155" i="1"/>
  <c r="U1155" i="1" s="1"/>
  <c r="V1154" i="1"/>
  <c r="S1099" i="1"/>
  <c r="T1099" i="1"/>
  <c r="U1099" i="1" s="1"/>
  <c r="T1050" i="1"/>
  <c r="U1050" i="1" s="1"/>
  <c r="T1056" i="1"/>
  <c r="U1056" i="1" s="1"/>
  <c r="T1052" i="1"/>
  <c r="U1052" i="1" s="1"/>
  <c r="T1069" i="1"/>
  <c r="U1069" i="1" s="1"/>
  <c r="T1065" i="1"/>
  <c r="U1065" i="1" s="1"/>
  <c r="T1088" i="1"/>
  <c r="U1088" i="1" s="1"/>
  <c r="T1084" i="1"/>
  <c r="U1084" i="1" s="1"/>
  <c r="S1091" i="1"/>
  <c r="T1091" i="1"/>
  <c r="U1091" i="1" s="1"/>
  <c r="S1114" i="1"/>
  <c r="T1114" i="1"/>
  <c r="U1114" i="1" s="1"/>
  <c r="S1135" i="1"/>
  <c r="T1135" i="1"/>
  <c r="U1135" i="1" s="1"/>
  <c r="S1150" i="1"/>
  <c r="T1150" i="1"/>
  <c r="U1150" i="1" s="1"/>
  <c r="T1046" i="1"/>
  <c r="U1046" i="1" s="1"/>
  <c r="T1060" i="1"/>
  <c r="U1060" i="1" s="1"/>
  <c r="S1095" i="1"/>
  <c r="T1095" i="1"/>
  <c r="U1095" i="1" s="1"/>
  <c r="S1118" i="1"/>
  <c r="T1118" i="1"/>
  <c r="U1118" i="1" s="1"/>
  <c r="V1117" i="1"/>
  <c r="S1126" i="1"/>
  <c r="T1126" i="1"/>
  <c r="U1126" i="1" s="1"/>
  <c r="S1139" i="1"/>
  <c r="T1139" i="1"/>
  <c r="U1139" i="1" s="1"/>
  <c r="S1161" i="1"/>
  <c r="T1161" i="1"/>
  <c r="U1161" i="1" s="1"/>
  <c r="T1160" i="1"/>
  <c r="U1160" i="1" s="1"/>
  <c r="O21" i="9"/>
  <c r="O20" i="9"/>
  <c r="M21" i="9"/>
  <c r="M20" i="9"/>
  <c r="G1" i="7"/>
  <c r="M1" i="7" s="1"/>
  <c r="M11" i="9"/>
  <c r="M12" i="9"/>
  <c r="M13" i="9"/>
  <c r="M14" i="9"/>
  <c r="M15" i="9"/>
  <c r="K16" i="9"/>
  <c r="M10" i="9"/>
  <c r="O4" i="9"/>
  <c r="L4" i="9"/>
  <c r="M4" i="9"/>
  <c r="L3" i="9"/>
  <c r="V855" i="1" l="1"/>
  <c r="V1033" i="1"/>
  <c r="V1452" i="1"/>
  <c r="V829" i="1"/>
  <c r="V842" i="1"/>
  <c r="V1441" i="1"/>
  <c r="V1439" i="1"/>
  <c r="V1334" i="1"/>
  <c r="V1016" i="1"/>
  <c r="V907" i="1"/>
  <c r="V994" i="1"/>
  <c r="V1025" i="1"/>
  <c r="V1435" i="1"/>
  <c r="V879" i="1"/>
  <c r="V1430" i="1"/>
  <c r="V1382" i="1"/>
  <c r="V1316" i="1"/>
  <c r="V1092" i="1"/>
  <c r="V1312" i="1"/>
  <c r="V968" i="1"/>
  <c r="V1394" i="1"/>
  <c r="V1356" i="1"/>
  <c r="V1458" i="1"/>
  <c r="V1051" i="1"/>
  <c r="V977" i="1"/>
  <c r="V1330" i="1"/>
  <c r="V1323" i="1"/>
  <c r="V1358" i="1"/>
  <c r="V1039" i="1"/>
  <c r="V1073" i="1"/>
  <c r="V1042" i="1"/>
  <c r="V998" i="1"/>
  <c r="V967" i="1"/>
  <c r="V1461" i="1"/>
  <c r="V923" i="1"/>
  <c r="V1004" i="1"/>
  <c r="V1453" i="1"/>
  <c r="V1310" i="1"/>
  <c r="V919" i="1"/>
  <c r="V1425" i="1"/>
  <c r="V1446" i="1"/>
  <c r="V1432" i="1"/>
  <c r="V1038" i="1"/>
  <c r="V956" i="1"/>
  <c r="V1104" i="1"/>
  <c r="V986" i="1"/>
  <c r="V993" i="1"/>
  <c r="V1029" i="1"/>
  <c r="V853" i="1"/>
  <c r="V1000" i="1"/>
  <c r="V947" i="1"/>
  <c r="V834" i="1"/>
  <c r="V1353" i="1"/>
  <c r="V981" i="1"/>
  <c r="V1023" i="1"/>
  <c r="V958" i="1"/>
  <c r="V989" i="1"/>
  <c r="V991" i="1"/>
  <c r="V1069" i="1"/>
  <c r="V1096" i="1"/>
  <c r="V1020" i="1"/>
  <c r="V973" i="1"/>
  <c r="V1473" i="1"/>
  <c r="V995" i="1"/>
  <c r="V1315" i="1"/>
  <c r="V1404" i="1"/>
  <c r="V1381" i="1"/>
  <c r="V983" i="1"/>
  <c r="V1475" i="1"/>
  <c r="V1347" i="1"/>
  <c r="V1132" i="1"/>
  <c r="V912" i="1"/>
  <c r="V861" i="1"/>
  <c r="V848" i="1"/>
  <c r="V820" i="1"/>
  <c r="V901" i="1"/>
  <c r="V1021" i="1"/>
  <c r="V933" i="1"/>
  <c r="V941" i="1"/>
  <c r="V1443" i="1"/>
  <c r="V856" i="1"/>
  <c r="V1339" i="1"/>
  <c r="V1387" i="1"/>
  <c r="V938" i="1"/>
  <c r="V891" i="1"/>
  <c r="V1131" i="1"/>
  <c r="V1418" i="1"/>
  <c r="V866" i="1"/>
  <c r="V885" i="1"/>
  <c r="V951" i="1"/>
  <c r="V1008" i="1"/>
  <c r="V818" i="1"/>
  <c r="V1015" i="1"/>
  <c r="V926" i="1"/>
  <c r="V1050" i="1"/>
  <c r="V809" i="1"/>
  <c r="V1052" i="1"/>
  <c r="V1158" i="1"/>
  <c r="V965" i="1"/>
  <c r="V1127" i="1"/>
  <c r="V962" i="1"/>
  <c r="V940" i="1"/>
  <c r="V921" i="1"/>
  <c r="V835" i="1"/>
  <c r="V1380" i="1"/>
  <c r="V874" i="1"/>
  <c r="V903" i="1"/>
  <c r="V928" i="1"/>
  <c r="V939" i="1"/>
  <c r="V1398" i="1"/>
  <c r="V868" i="1"/>
  <c r="V1455" i="1"/>
  <c r="V1467" i="1"/>
  <c r="V918" i="1"/>
  <c r="V949" i="1"/>
  <c r="V1357" i="1"/>
  <c r="V906" i="1"/>
  <c r="V1462" i="1"/>
  <c r="V899" i="1"/>
  <c r="V924" i="1"/>
  <c r="V893" i="1"/>
  <c r="V935" i="1"/>
  <c r="V897" i="1"/>
  <c r="V1427" i="1"/>
  <c r="V825" i="1"/>
  <c r="V883" i="1"/>
  <c r="V843" i="1"/>
  <c r="V937" i="1"/>
  <c r="V908" i="1"/>
  <c r="V887" i="1"/>
  <c r="V850" i="1"/>
  <c r="V910" i="1"/>
  <c r="V889" i="1"/>
  <c r="V1469" i="1"/>
  <c r="V922" i="1"/>
  <c r="V960" i="1"/>
  <c r="V945" i="1"/>
  <c r="V927" i="1"/>
  <c r="V914" i="1"/>
  <c r="V892" i="1"/>
  <c r="V916" i="1"/>
  <c r="V900" i="1"/>
  <c r="V878" i="1"/>
  <c r="V1409" i="1"/>
  <c r="V1429" i="1"/>
  <c r="V943" i="1"/>
  <c r="V895" i="1"/>
  <c r="V920" i="1"/>
  <c r="V930" i="1"/>
  <c r="V932" i="1"/>
  <c r="V890" i="1"/>
  <c r="V1463" i="1"/>
  <c r="V872" i="1"/>
  <c r="V881" i="1"/>
  <c r="V839" i="1"/>
  <c r="V936" i="1"/>
  <c r="V1089" i="1"/>
  <c r="V1124" i="1"/>
  <c r="V1060" i="1"/>
  <c r="V1071" i="1"/>
  <c r="V1056" i="1"/>
  <c r="V1160" i="1"/>
  <c r="V1100" i="1"/>
  <c r="V1075" i="1"/>
  <c r="V1046" i="1"/>
  <c r="V1065" i="1"/>
  <c r="V1063" i="1"/>
  <c r="V1150" i="1"/>
  <c r="V1079" i="1"/>
  <c r="V1081" i="1"/>
  <c r="V1130" i="1"/>
  <c r="V1084" i="1"/>
  <c r="V1088" i="1"/>
  <c r="V1157" i="1"/>
  <c r="V1091" i="1"/>
  <c r="V1161" i="1"/>
  <c r="V1139" i="1"/>
  <c r="V1126" i="1"/>
  <c r="V1118" i="1"/>
  <c r="V1095" i="1"/>
  <c r="V1114" i="1"/>
  <c r="V1143" i="1"/>
  <c r="V1122" i="1"/>
  <c r="V1135" i="1"/>
  <c r="V1099" i="1"/>
  <c r="V1155" i="1"/>
  <c r="V1147" i="1"/>
  <c r="V1110" i="1"/>
  <c r="V1106" i="1"/>
  <c r="V1103" i="1"/>
  <c r="M16" i="9"/>
  <c r="L16" i="9" s="1"/>
  <c r="R1227" i="1"/>
  <c r="X1227" i="1"/>
  <c r="Y1227" i="1" s="1"/>
  <c r="R1228" i="1"/>
  <c r="X1228" i="1"/>
  <c r="Y1228" i="1" s="1"/>
  <c r="R1229" i="1"/>
  <c r="T1229" i="1" s="1"/>
  <c r="U1229" i="1" s="1"/>
  <c r="X1229" i="1"/>
  <c r="Y1229" i="1" s="1"/>
  <c r="R1211" i="1"/>
  <c r="T1211" i="1" s="1"/>
  <c r="U1211" i="1" s="1"/>
  <c r="X1211" i="1"/>
  <c r="Y1211" i="1" s="1"/>
  <c r="R1212" i="1"/>
  <c r="T1212" i="1" s="1"/>
  <c r="U1212" i="1" s="1"/>
  <c r="X1212" i="1"/>
  <c r="Y1212" i="1" s="1"/>
  <c r="R1213" i="1"/>
  <c r="X1213" i="1"/>
  <c r="Y1213" i="1" s="1"/>
  <c r="R1214" i="1"/>
  <c r="T1214" i="1" s="1"/>
  <c r="U1214" i="1" s="1"/>
  <c r="X1214" i="1"/>
  <c r="Y1214" i="1" s="1"/>
  <c r="R1215" i="1"/>
  <c r="T1215" i="1" s="1"/>
  <c r="U1215" i="1" s="1"/>
  <c r="X1215" i="1"/>
  <c r="Y1215" i="1" s="1"/>
  <c r="R1216" i="1"/>
  <c r="T1216" i="1" s="1"/>
  <c r="U1216" i="1" s="1"/>
  <c r="X1216" i="1"/>
  <c r="Y1216" i="1" s="1"/>
  <c r="R1217" i="1"/>
  <c r="X1217" i="1"/>
  <c r="Y1217" i="1" s="1"/>
  <c r="R1218" i="1"/>
  <c r="T1218" i="1" s="1"/>
  <c r="U1218" i="1" s="1"/>
  <c r="X1218" i="1"/>
  <c r="Y1218" i="1" s="1"/>
  <c r="R1219" i="1"/>
  <c r="T1219" i="1" s="1"/>
  <c r="U1219" i="1" s="1"/>
  <c r="X1219" i="1"/>
  <c r="Y1219" i="1" s="1"/>
  <c r="R1220" i="1"/>
  <c r="T1220" i="1" s="1"/>
  <c r="U1220" i="1" s="1"/>
  <c r="X1220" i="1"/>
  <c r="Y1220" i="1" s="1"/>
  <c r="R1221" i="1"/>
  <c r="X1221" i="1"/>
  <c r="Y1221" i="1" s="1"/>
  <c r="R1222" i="1"/>
  <c r="T1222" i="1" s="1"/>
  <c r="U1222" i="1" s="1"/>
  <c r="X1222" i="1"/>
  <c r="Y1222" i="1" s="1"/>
  <c r="R1201" i="1"/>
  <c r="T1201" i="1" s="1"/>
  <c r="U1201" i="1" s="1"/>
  <c r="X1201" i="1"/>
  <c r="Y1201" i="1" s="1"/>
  <c r="R1202" i="1"/>
  <c r="T1202" i="1" s="1"/>
  <c r="U1202" i="1" s="1"/>
  <c r="X1202" i="1"/>
  <c r="Y1202" i="1" s="1"/>
  <c r="R1203" i="1"/>
  <c r="X1203" i="1"/>
  <c r="Y1203" i="1" s="1"/>
  <c r="R1204" i="1"/>
  <c r="T1204" i="1" s="1"/>
  <c r="U1204" i="1" s="1"/>
  <c r="X1204" i="1"/>
  <c r="Y1204" i="1" s="1"/>
  <c r="R1205" i="1"/>
  <c r="T1205" i="1" s="1"/>
  <c r="U1205" i="1" s="1"/>
  <c r="X1205" i="1"/>
  <c r="Y1205" i="1" s="1"/>
  <c r="R1206" i="1"/>
  <c r="T1206" i="1" s="1"/>
  <c r="U1206" i="1" s="1"/>
  <c r="X1206" i="1"/>
  <c r="Y1206" i="1" s="1"/>
  <c r="R1207" i="1"/>
  <c r="X1207" i="1"/>
  <c r="Y1207" i="1" s="1"/>
  <c r="R1208" i="1"/>
  <c r="T1208" i="1" s="1"/>
  <c r="U1208" i="1" s="1"/>
  <c r="X1208" i="1"/>
  <c r="Y1208" i="1" s="1"/>
  <c r="R1209" i="1"/>
  <c r="T1209" i="1" s="1"/>
  <c r="U1209" i="1" s="1"/>
  <c r="X1209" i="1"/>
  <c r="Y1209" i="1" s="1"/>
  <c r="R1210" i="1"/>
  <c r="T1210" i="1" s="1"/>
  <c r="U1210" i="1" s="1"/>
  <c r="X1210" i="1"/>
  <c r="Y1210" i="1" s="1"/>
  <c r="R1195" i="1"/>
  <c r="X1195" i="1"/>
  <c r="Y1195" i="1" s="1"/>
  <c r="R1196" i="1"/>
  <c r="X1196" i="1"/>
  <c r="Y1196" i="1" s="1"/>
  <c r="R1197" i="1"/>
  <c r="T1197" i="1" s="1"/>
  <c r="U1197" i="1" s="1"/>
  <c r="X1197" i="1"/>
  <c r="Y1197" i="1" s="1"/>
  <c r="R1198" i="1"/>
  <c r="T1198" i="1" s="1"/>
  <c r="U1198" i="1" s="1"/>
  <c r="X1198" i="1"/>
  <c r="Y1198" i="1" s="1"/>
  <c r="R1199" i="1"/>
  <c r="X1199" i="1"/>
  <c r="Y1199" i="1" s="1"/>
  <c r="R1200" i="1"/>
  <c r="T1200" i="1" s="1"/>
  <c r="U1200" i="1" s="1"/>
  <c r="X1200" i="1"/>
  <c r="Y1200" i="1" s="1"/>
  <c r="R1188" i="1"/>
  <c r="T1188" i="1" s="1"/>
  <c r="U1188" i="1" s="1"/>
  <c r="X1188" i="1"/>
  <c r="Y1188" i="1" s="1"/>
  <c r="R1189" i="1"/>
  <c r="T1189" i="1" s="1"/>
  <c r="U1189" i="1" s="1"/>
  <c r="X1189" i="1"/>
  <c r="Y1189" i="1" s="1"/>
  <c r="R1190" i="1"/>
  <c r="X1190" i="1"/>
  <c r="Y1190" i="1" s="1"/>
  <c r="R1191" i="1"/>
  <c r="T1191" i="1" s="1"/>
  <c r="U1191" i="1" s="1"/>
  <c r="X1191" i="1"/>
  <c r="Y1191" i="1" s="1"/>
  <c r="R1192" i="1"/>
  <c r="X1192" i="1"/>
  <c r="Y1192" i="1" s="1"/>
  <c r="R1193" i="1"/>
  <c r="X1193" i="1"/>
  <c r="Y1193" i="1" s="1"/>
  <c r="R1194" i="1"/>
  <c r="X1194" i="1"/>
  <c r="Y1194" i="1" s="1"/>
  <c r="R1179" i="1"/>
  <c r="T1179" i="1" s="1"/>
  <c r="U1179" i="1" s="1"/>
  <c r="X1179" i="1"/>
  <c r="Y1179" i="1" s="1"/>
  <c r="R1180" i="1"/>
  <c r="T1180" i="1" s="1"/>
  <c r="U1180" i="1" s="1"/>
  <c r="X1180" i="1"/>
  <c r="Y1180" i="1" s="1"/>
  <c r="R1181" i="1"/>
  <c r="T1181" i="1" s="1"/>
  <c r="U1181" i="1" s="1"/>
  <c r="X1181" i="1"/>
  <c r="Y1181" i="1" s="1"/>
  <c r="R1182" i="1"/>
  <c r="X1182" i="1"/>
  <c r="Y1182" i="1" s="1"/>
  <c r="R1183" i="1"/>
  <c r="X1183" i="1"/>
  <c r="Y1183" i="1" s="1"/>
  <c r="R1184" i="1"/>
  <c r="X1184" i="1"/>
  <c r="Y1184" i="1" s="1"/>
  <c r="R1185" i="1"/>
  <c r="T1185" i="1" s="1"/>
  <c r="U1185" i="1" s="1"/>
  <c r="X1185" i="1"/>
  <c r="Y1185" i="1" s="1"/>
  <c r="R1186" i="1"/>
  <c r="X1186" i="1"/>
  <c r="Y1186" i="1" s="1"/>
  <c r="R1187" i="1"/>
  <c r="T1187" i="1" s="1"/>
  <c r="U1187" i="1" s="1"/>
  <c r="X1187" i="1"/>
  <c r="Y1187" i="1" s="1"/>
  <c r="R1176" i="1"/>
  <c r="T1176" i="1" s="1"/>
  <c r="U1176" i="1" s="1"/>
  <c r="X1176" i="1"/>
  <c r="Y1176" i="1" s="1"/>
  <c r="R1177" i="1"/>
  <c r="T1177" i="1" s="1"/>
  <c r="U1177" i="1" s="1"/>
  <c r="X1177" i="1"/>
  <c r="Y1177" i="1" s="1"/>
  <c r="R1178" i="1"/>
  <c r="X1178" i="1"/>
  <c r="Y1178" i="1" s="1"/>
  <c r="R1171" i="1"/>
  <c r="X1171" i="1"/>
  <c r="Y1171" i="1" s="1"/>
  <c r="R1172" i="1"/>
  <c r="X1172" i="1"/>
  <c r="Y1172" i="1" s="1"/>
  <c r="R1173" i="1"/>
  <c r="X1173" i="1"/>
  <c r="Y1173" i="1" s="1"/>
  <c r="R1174" i="1"/>
  <c r="X1174" i="1"/>
  <c r="Y1174" i="1" s="1"/>
  <c r="R1175" i="1"/>
  <c r="T1175" i="1" s="1"/>
  <c r="U1175" i="1" s="1"/>
  <c r="X1175" i="1"/>
  <c r="Y1175" i="1" s="1"/>
  <c r="R1164" i="1"/>
  <c r="T1164" i="1" s="1"/>
  <c r="U1164" i="1" s="1"/>
  <c r="X1164" i="1"/>
  <c r="Y1164" i="1" s="1"/>
  <c r="R1165" i="1"/>
  <c r="T1165" i="1" s="1"/>
  <c r="U1165" i="1" s="1"/>
  <c r="X1165" i="1"/>
  <c r="Y1165" i="1" s="1"/>
  <c r="R1166" i="1"/>
  <c r="X1166" i="1"/>
  <c r="Y1166" i="1" s="1"/>
  <c r="R1167" i="1"/>
  <c r="X1167" i="1"/>
  <c r="Y1167" i="1" s="1"/>
  <c r="R1168" i="1"/>
  <c r="X1168" i="1"/>
  <c r="Y1168" i="1" s="1"/>
  <c r="R1169" i="1"/>
  <c r="T1169" i="1" s="1"/>
  <c r="U1169" i="1" s="1"/>
  <c r="X1169" i="1"/>
  <c r="Y1169" i="1" s="1"/>
  <c r="R1170" i="1"/>
  <c r="X1170" i="1"/>
  <c r="Y1170" i="1" s="1"/>
  <c r="Q1227" i="1"/>
  <c r="W1227" i="1" s="1"/>
  <c r="Q1228" i="1"/>
  <c r="W1228" i="1" s="1"/>
  <c r="Q1229" i="1"/>
  <c r="W1229" i="1" s="1"/>
  <c r="Q1211" i="1"/>
  <c r="W1211" i="1" s="1"/>
  <c r="Q1212" i="1"/>
  <c r="W1212" i="1" s="1"/>
  <c r="Q1213" i="1"/>
  <c r="W1213" i="1" s="1"/>
  <c r="Q1214" i="1"/>
  <c r="Q1215" i="1"/>
  <c r="W1215" i="1" s="1"/>
  <c r="Q1216" i="1"/>
  <c r="Q1217" i="1"/>
  <c r="W1217" i="1" s="1"/>
  <c r="Q1218" i="1"/>
  <c r="W1218" i="1" s="1"/>
  <c r="Q1219" i="1"/>
  <c r="W1219" i="1" s="1"/>
  <c r="Q1220" i="1"/>
  <c r="W1220" i="1" s="1"/>
  <c r="Q1221" i="1"/>
  <c r="W1221" i="1" s="1"/>
  <c r="Q1222" i="1"/>
  <c r="W1222" i="1" s="1"/>
  <c r="Q1201" i="1"/>
  <c r="W1201" i="1" s="1"/>
  <c r="Q1202" i="1"/>
  <c r="Q1203" i="1"/>
  <c r="W1203" i="1" s="1"/>
  <c r="Q1204" i="1"/>
  <c r="W1204" i="1" s="1"/>
  <c r="Q1205" i="1"/>
  <c r="W1205" i="1" s="1"/>
  <c r="Q1206" i="1"/>
  <c r="W1206" i="1" s="1"/>
  <c r="Q1207" i="1"/>
  <c r="W1207" i="1" s="1"/>
  <c r="Q1208" i="1"/>
  <c r="Q1209" i="1"/>
  <c r="W1209" i="1" s="1"/>
  <c r="Q1210" i="1"/>
  <c r="Q1195" i="1"/>
  <c r="W1195" i="1" s="1"/>
  <c r="Q1196" i="1"/>
  <c r="W1196" i="1" s="1"/>
  <c r="Q1197" i="1"/>
  <c r="W1197" i="1" s="1"/>
  <c r="Q1198" i="1"/>
  <c r="W1198" i="1" s="1"/>
  <c r="Q1199" i="1"/>
  <c r="W1199" i="1" s="1"/>
  <c r="Q1200" i="1"/>
  <c r="W1200" i="1" s="1"/>
  <c r="Q1188" i="1"/>
  <c r="W1188" i="1" s="1"/>
  <c r="Q1189" i="1"/>
  <c r="Q1190" i="1"/>
  <c r="W1190" i="1" s="1"/>
  <c r="Q1191" i="1"/>
  <c r="W1191" i="1" s="1"/>
  <c r="Q1192" i="1"/>
  <c r="W1192" i="1" s="1"/>
  <c r="Q1193" i="1"/>
  <c r="W1193" i="1" s="1"/>
  <c r="Q1194" i="1"/>
  <c r="W1194" i="1" s="1"/>
  <c r="Q1179" i="1"/>
  <c r="W1179" i="1" s="1"/>
  <c r="Q1180" i="1"/>
  <c r="W1180" i="1" s="1"/>
  <c r="Q1181" i="1"/>
  <c r="Q1182" i="1"/>
  <c r="W1182" i="1" s="1"/>
  <c r="Q1183" i="1"/>
  <c r="W1183" i="1" s="1"/>
  <c r="Q1184" i="1"/>
  <c r="W1184" i="1" s="1"/>
  <c r="Q1185" i="1"/>
  <c r="W1185" i="1" s="1"/>
  <c r="Q1186" i="1"/>
  <c r="W1186" i="1" s="1"/>
  <c r="Q1187" i="1"/>
  <c r="Q1176" i="1"/>
  <c r="W1176" i="1" s="1"/>
  <c r="Q1177" i="1"/>
  <c r="Q1178" i="1"/>
  <c r="W1178" i="1" s="1"/>
  <c r="Q1171" i="1"/>
  <c r="W1171" i="1" s="1"/>
  <c r="Q1172" i="1"/>
  <c r="W1172" i="1" s="1"/>
  <c r="Q1173" i="1"/>
  <c r="W1173" i="1" s="1"/>
  <c r="Q1174" i="1"/>
  <c r="W1174" i="1" s="1"/>
  <c r="Q1175" i="1"/>
  <c r="W1175" i="1" s="1"/>
  <c r="Q1164" i="1"/>
  <c r="W1164" i="1" s="1"/>
  <c r="Q1165" i="1"/>
  <c r="W1165" i="1" s="1"/>
  <c r="Q1166" i="1"/>
  <c r="W1166" i="1" s="1"/>
  <c r="Q1167" i="1"/>
  <c r="W1167" i="1" s="1"/>
  <c r="Q1168" i="1"/>
  <c r="W1168" i="1" s="1"/>
  <c r="Q1169" i="1"/>
  <c r="W1169" i="1" s="1"/>
  <c r="Q1170" i="1"/>
  <c r="W1170" i="1" s="1"/>
  <c r="J2" i="7"/>
  <c r="X86" i="1"/>
  <c r="Y86" i="1" s="1"/>
  <c r="X87" i="1"/>
  <c r="Y87" i="1" s="1"/>
  <c r="X88" i="1"/>
  <c r="Y88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63" i="1"/>
  <c r="Y63" i="1" s="1"/>
  <c r="X64" i="1"/>
  <c r="Y64" i="1" s="1"/>
  <c r="X65" i="1"/>
  <c r="Y65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30" i="1"/>
  <c r="Y30" i="1" s="1"/>
  <c r="X31" i="1"/>
  <c r="Y31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29" i="1"/>
  <c r="Y29" i="1" s="1"/>
  <c r="X1282" i="1"/>
  <c r="Y1282" i="1" s="1"/>
  <c r="X1283" i="1"/>
  <c r="Y1283" i="1" s="1"/>
  <c r="X1284" i="1"/>
  <c r="Y1284" i="1" s="1"/>
  <c r="X1285" i="1"/>
  <c r="Y1285" i="1" s="1"/>
  <c r="X1286" i="1"/>
  <c r="Y1286" i="1" s="1"/>
  <c r="X1287" i="1"/>
  <c r="Y1287" i="1" s="1"/>
  <c r="X1280" i="1"/>
  <c r="Y1280" i="1" s="1"/>
  <c r="X1281" i="1"/>
  <c r="Y1281" i="1" s="1"/>
  <c r="X1279" i="1"/>
  <c r="Y1279" i="1" s="1"/>
  <c r="X1278" i="1"/>
  <c r="Y1278" i="1" s="1"/>
  <c r="X1277" i="1"/>
  <c r="Y1277" i="1" s="1"/>
  <c r="X1274" i="1"/>
  <c r="Y1274" i="1" s="1"/>
  <c r="X1275" i="1"/>
  <c r="Y1275" i="1" s="1"/>
  <c r="X1276" i="1"/>
  <c r="Y1276" i="1" s="1"/>
  <c r="X1271" i="1"/>
  <c r="Y1271" i="1" s="1"/>
  <c r="X1272" i="1"/>
  <c r="Y1272" i="1" s="1"/>
  <c r="X1273" i="1"/>
  <c r="Y1273" i="1" s="1"/>
  <c r="X1266" i="1"/>
  <c r="Y1266" i="1" s="1"/>
  <c r="X1267" i="1"/>
  <c r="Y1267" i="1" s="1"/>
  <c r="X1268" i="1"/>
  <c r="Y1268" i="1" s="1"/>
  <c r="X1269" i="1"/>
  <c r="Y1269" i="1" s="1"/>
  <c r="X1270" i="1"/>
  <c r="Y1270" i="1" s="1"/>
  <c r="X1262" i="1"/>
  <c r="Y1262" i="1" s="1"/>
  <c r="X1263" i="1"/>
  <c r="Y1263" i="1" s="1"/>
  <c r="X1264" i="1"/>
  <c r="Y1264" i="1" s="1"/>
  <c r="X1265" i="1"/>
  <c r="Y1265" i="1" s="1"/>
  <c r="X1261" i="1"/>
  <c r="Y1261" i="1" s="1"/>
  <c r="X1259" i="1"/>
  <c r="Y1259" i="1" s="1"/>
  <c r="X1260" i="1"/>
  <c r="Y1260" i="1" s="1"/>
  <c r="X1257" i="1"/>
  <c r="Y1257" i="1" s="1"/>
  <c r="X1258" i="1"/>
  <c r="Y1258" i="1" s="1"/>
  <c r="X1256" i="1"/>
  <c r="Y1256" i="1" s="1"/>
  <c r="X1255" i="1"/>
  <c r="Y1255" i="1" s="1"/>
  <c r="X1245" i="1"/>
  <c r="Y1245" i="1" s="1"/>
  <c r="X1246" i="1"/>
  <c r="Y1246" i="1" s="1"/>
  <c r="X1247" i="1"/>
  <c r="Y1247" i="1" s="1"/>
  <c r="X1248" i="1"/>
  <c r="Y1248" i="1" s="1"/>
  <c r="X1249" i="1"/>
  <c r="Y1249" i="1" s="1"/>
  <c r="X1250" i="1"/>
  <c r="Y1250" i="1" s="1"/>
  <c r="X1251" i="1"/>
  <c r="Y1251" i="1" s="1"/>
  <c r="X1252" i="1"/>
  <c r="Y1252" i="1" s="1"/>
  <c r="X1253" i="1"/>
  <c r="Y1253" i="1" s="1"/>
  <c r="X1254" i="1"/>
  <c r="Y1254" i="1" s="1"/>
  <c r="X1243" i="1"/>
  <c r="Y1243" i="1" s="1"/>
  <c r="X1244" i="1"/>
  <c r="Y1244" i="1" s="1"/>
  <c r="X1240" i="1"/>
  <c r="Y1240" i="1" s="1"/>
  <c r="X1241" i="1"/>
  <c r="Y1241" i="1" s="1"/>
  <c r="X1242" i="1"/>
  <c r="Y1242" i="1" s="1"/>
  <c r="X1239" i="1"/>
  <c r="Y1239" i="1" s="1"/>
  <c r="X1236" i="1"/>
  <c r="Y1236" i="1" s="1"/>
  <c r="X1237" i="1"/>
  <c r="Y1237" i="1" s="1"/>
  <c r="X1238" i="1"/>
  <c r="Y1238" i="1" s="1"/>
  <c r="X1232" i="1"/>
  <c r="Y1232" i="1" s="1"/>
  <c r="X1233" i="1"/>
  <c r="Y1233" i="1" s="1"/>
  <c r="X1234" i="1"/>
  <c r="Y1234" i="1" s="1"/>
  <c r="X1235" i="1"/>
  <c r="Y1235" i="1" s="1"/>
  <c r="X1230" i="1"/>
  <c r="Y1230" i="1" s="1"/>
  <c r="X1231" i="1"/>
  <c r="Y1231" i="1" s="1"/>
  <c r="X1223" i="1"/>
  <c r="Y1223" i="1" s="1"/>
  <c r="X1224" i="1"/>
  <c r="Y1224" i="1" s="1"/>
  <c r="X1225" i="1"/>
  <c r="Y1225" i="1" s="1"/>
  <c r="X1226" i="1"/>
  <c r="Y1226" i="1" s="1"/>
  <c r="R86" i="1"/>
  <c r="T86" i="1" s="1"/>
  <c r="U86" i="1" s="1"/>
  <c r="R87" i="1"/>
  <c r="R88" i="1"/>
  <c r="T88" i="1" s="1"/>
  <c r="U88" i="1" s="1"/>
  <c r="R66" i="1"/>
  <c r="T66" i="1" s="1"/>
  <c r="U66" i="1" s="1"/>
  <c r="R67" i="1"/>
  <c r="T67" i="1" s="1"/>
  <c r="U67" i="1" s="1"/>
  <c r="R68" i="1"/>
  <c r="T68" i="1" s="1"/>
  <c r="U68" i="1" s="1"/>
  <c r="R69" i="1"/>
  <c r="T69" i="1" s="1"/>
  <c r="U69" i="1" s="1"/>
  <c r="R70" i="1"/>
  <c r="R71" i="1"/>
  <c r="T71" i="1" s="1"/>
  <c r="U71" i="1" s="1"/>
  <c r="R72" i="1"/>
  <c r="R73" i="1"/>
  <c r="T73" i="1" s="1"/>
  <c r="U73" i="1" s="1"/>
  <c r="R74" i="1"/>
  <c r="T74" i="1" s="1"/>
  <c r="U74" i="1" s="1"/>
  <c r="R75" i="1"/>
  <c r="T75" i="1" s="1"/>
  <c r="U75" i="1" s="1"/>
  <c r="R76" i="1"/>
  <c r="T76" i="1" s="1"/>
  <c r="U76" i="1" s="1"/>
  <c r="R77" i="1"/>
  <c r="T77" i="1" s="1"/>
  <c r="U77" i="1" s="1"/>
  <c r="R78" i="1"/>
  <c r="R63" i="1"/>
  <c r="T63" i="1" s="1"/>
  <c r="U63" i="1" s="1"/>
  <c r="R64" i="1"/>
  <c r="R65" i="1"/>
  <c r="T65" i="1" s="1"/>
  <c r="U65" i="1" s="1"/>
  <c r="R45" i="1"/>
  <c r="T45" i="1" s="1"/>
  <c r="U45" i="1" s="1"/>
  <c r="R46" i="1"/>
  <c r="T46" i="1" s="1"/>
  <c r="U46" i="1" s="1"/>
  <c r="R47" i="1"/>
  <c r="T47" i="1" s="1"/>
  <c r="U47" i="1" s="1"/>
  <c r="R48" i="1"/>
  <c r="T48" i="1" s="1"/>
  <c r="U48" i="1" s="1"/>
  <c r="R49" i="1"/>
  <c r="R50" i="1"/>
  <c r="T50" i="1" s="1"/>
  <c r="U50" i="1" s="1"/>
  <c r="R51" i="1"/>
  <c r="R52" i="1"/>
  <c r="T52" i="1" s="1"/>
  <c r="U52" i="1" s="1"/>
  <c r="R53" i="1"/>
  <c r="T53" i="1" s="1"/>
  <c r="U53" i="1" s="1"/>
  <c r="R54" i="1"/>
  <c r="T54" i="1" s="1"/>
  <c r="U54" i="1" s="1"/>
  <c r="R55" i="1"/>
  <c r="T55" i="1" s="1"/>
  <c r="U55" i="1" s="1"/>
  <c r="R56" i="1"/>
  <c r="T56" i="1" s="1"/>
  <c r="U56" i="1" s="1"/>
  <c r="R57" i="1"/>
  <c r="R58" i="1"/>
  <c r="T58" i="1" s="1"/>
  <c r="U58" i="1" s="1"/>
  <c r="R59" i="1"/>
  <c r="R60" i="1"/>
  <c r="T60" i="1" s="1"/>
  <c r="U60" i="1" s="1"/>
  <c r="R61" i="1"/>
  <c r="T61" i="1" s="1"/>
  <c r="U61" i="1" s="1"/>
  <c r="R62" i="1"/>
  <c r="T62" i="1" s="1"/>
  <c r="U62" i="1" s="1"/>
  <c r="R32" i="1"/>
  <c r="T32" i="1" s="1"/>
  <c r="U32" i="1" s="1"/>
  <c r="R33" i="1"/>
  <c r="T33" i="1" s="1"/>
  <c r="U33" i="1" s="1"/>
  <c r="R34" i="1"/>
  <c r="R35" i="1"/>
  <c r="T35" i="1" s="1"/>
  <c r="U35" i="1" s="1"/>
  <c r="R36" i="1"/>
  <c r="R37" i="1"/>
  <c r="T37" i="1" s="1"/>
  <c r="U37" i="1" s="1"/>
  <c r="R38" i="1"/>
  <c r="T38" i="1" s="1"/>
  <c r="U38" i="1" s="1"/>
  <c r="R39" i="1"/>
  <c r="T39" i="1" s="1"/>
  <c r="U39" i="1" s="1"/>
  <c r="R40" i="1"/>
  <c r="T40" i="1" s="1"/>
  <c r="U40" i="1" s="1"/>
  <c r="R41" i="1"/>
  <c r="T41" i="1" s="1"/>
  <c r="U41" i="1" s="1"/>
  <c r="R42" i="1"/>
  <c r="R43" i="1"/>
  <c r="R44" i="1"/>
  <c r="T44" i="1" s="1"/>
  <c r="U44" i="1" s="1"/>
  <c r="R30" i="1"/>
  <c r="T30" i="1" s="1"/>
  <c r="U30" i="1" s="1"/>
  <c r="R31" i="1"/>
  <c r="R15" i="1"/>
  <c r="R16" i="1"/>
  <c r="R17" i="1"/>
  <c r="T17" i="1" s="1"/>
  <c r="U17" i="1" s="1"/>
  <c r="R18" i="1"/>
  <c r="T18" i="1" s="1"/>
  <c r="U18" i="1" s="1"/>
  <c r="R19" i="1"/>
  <c r="T19" i="1" s="1"/>
  <c r="U19" i="1" s="1"/>
  <c r="R20" i="1"/>
  <c r="T20" i="1" s="1"/>
  <c r="U20" i="1" s="1"/>
  <c r="R21" i="1"/>
  <c r="T21" i="1" s="1"/>
  <c r="U21" i="1" s="1"/>
  <c r="R22" i="1"/>
  <c r="T22" i="1" s="1"/>
  <c r="U22" i="1" s="1"/>
  <c r="R23" i="1"/>
  <c r="T23" i="1" s="1"/>
  <c r="U23" i="1" s="1"/>
  <c r="R24" i="1"/>
  <c r="T24" i="1" s="1"/>
  <c r="U24" i="1" s="1"/>
  <c r="R25" i="1"/>
  <c r="T25" i="1" s="1"/>
  <c r="U25" i="1" s="1"/>
  <c r="R26" i="1"/>
  <c r="T26" i="1" s="1"/>
  <c r="U26" i="1" s="1"/>
  <c r="R27" i="1"/>
  <c r="T27" i="1" s="1"/>
  <c r="U27" i="1" s="1"/>
  <c r="R28" i="1"/>
  <c r="T28" i="1" s="1"/>
  <c r="U28" i="1" s="1"/>
  <c r="R2" i="1"/>
  <c r="T2" i="1" s="1"/>
  <c r="U2" i="1" s="1"/>
  <c r="R3" i="1"/>
  <c r="T3" i="1" s="1"/>
  <c r="U3" i="1" s="1"/>
  <c r="R4" i="1"/>
  <c r="T4" i="1" s="1"/>
  <c r="U4" i="1" s="1"/>
  <c r="R5" i="1"/>
  <c r="T5" i="1" s="1"/>
  <c r="U5" i="1" s="1"/>
  <c r="R6" i="1"/>
  <c r="T6" i="1" s="1"/>
  <c r="U6" i="1" s="1"/>
  <c r="R7" i="1"/>
  <c r="T7" i="1" s="1"/>
  <c r="U7" i="1" s="1"/>
  <c r="R8" i="1"/>
  <c r="T8" i="1" s="1"/>
  <c r="U8" i="1" s="1"/>
  <c r="R9" i="1"/>
  <c r="T9" i="1" s="1"/>
  <c r="U9" i="1" s="1"/>
  <c r="R10" i="1"/>
  <c r="T10" i="1" s="1"/>
  <c r="U10" i="1" s="1"/>
  <c r="R11" i="1"/>
  <c r="T11" i="1" s="1"/>
  <c r="U11" i="1" s="1"/>
  <c r="R12" i="1"/>
  <c r="T12" i="1" s="1"/>
  <c r="U12" i="1" s="1"/>
  <c r="R13" i="1"/>
  <c r="T13" i="1" s="1"/>
  <c r="U13" i="1" s="1"/>
  <c r="R14" i="1"/>
  <c r="T14" i="1" s="1"/>
  <c r="U14" i="1" s="1"/>
  <c r="R29" i="1"/>
  <c r="T29" i="1" s="1"/>
  <c r="U29" i="1" s="1"/>
  <c r="R1282" i="1"/>
  <c r="T1282" i="1" s="1"/>
  <c r="U1282" i="1" s="1"/>
  <c r="R1283" i="1"/>
  <c r="T1283" i="1" s="1"/>
  <c r="U1283" i="1" s="1"/>
  <c r="R1284" i="1"/>
  <c r="T1284" i="1" s="1"/>
  <c r="U1284" i="1" s="1"/>
  <c r="R1285" i="1"/>
  <c r="T1285" i="1" s="1"/>
  <c r="U1285" i="1" s="1"/>
  <c r="R1286" i="1"/>
  <c r="T1286" i="1" s="1"/>
  <c r="U1286" i="1" s="1"/>
  <c r="R1287" i="1"/>
  <c r="T1287" i="1" s="1"/>
  <c r="U1287" i="1" s="1"/>
  <c r="R1280" i="1"/>
  <c r="T1280" i="1" s="1"/>
  <c r="U1280" i="1" s="1"/>
  <c r="R1281" i="1"/>
  <c r="T1281" i="1" s="1"/>
  <c r="U1281" i="1" s="1"/>
  <c r="R1279" i="1"/>
  <c r="T1279" i="1" s="1"/>
  <c r="U1279" i="1" s="1"/>
  <c r="R1278" i="1"/>
  <c r="T1278" i="1" s="1"/>
  <c r="U1278" i="1" s="1"/>
  <c r="R1277" i="1"/>
  <c r="T1277" i="1" s="1"/>
  <c r="U1277" i="1" s="1"/>
  <c r="R1274" i="1"/>
  <c r="T1274" i="1" s="1"/>
  <c r="U1274" i="1" s="1"/>
  <c r="R1275" i="1"/>
  <c r="T1275" i="1" s="1"/>
  <c r="U1275" i="1" s="1"/>
  <c r="R1276" i="1"/>
  <c r="T1276" i="1" s="1"/>
  <c r="U1276" i="1" s="1"/>
  <c r="R1271" i="1"/>
  <c r="T1271" i="1" s="1"/>
  <c r="U1271" i="1" s="1"/>
  <c r="R1272" i="1"/>
  <c r="T1272" i="1" s="1"/>
  <c r="U1272" i="1" s="1"/>
  <c r="R1273" i="1"/>
  <c r="T1273" i="1" s="1"/>
  <c r="U1273" i="1" s="1"/>
  <c r="R1266" i="1"/>
  <c r="T1266" i="1" s="1"/>
  <c r="U1266" i="1" s="1"/>
  <c r="R1267" i="1"/>
  <c r="T1267" i="1" s="1"/>
  <c r="U1267" i="1" s="1"/>
  <c r="R1268" i="1"/>
  <c r="T1268" i="1" s="1"/>
  <c r="U1268" i="1" s="1"/>
  <c r="R1269" i="1"/>
  <c r="T1269" i="1" s="1"/>
  <c r="U1269" i="1" s="1"/>
  <c r="R1270" i="1"/>
  <c r="T1270" i="1" s="1"/>
  <c r="U1270" i="1" s="1"/>
  <c r="R1262" i="1"/>
  <c r="T1262" i="1" s="1"/>
  <c r="U1262" i="1" s="1"/>
  <c r="R1263" i="1"/>
  <c r="T1263" i="1" s="1"/>
  <c r="U1263" i="1" s="1"/>
  <c r="R1264" i="1"/>
  <c r="T1264" i="1" s="1"/>
  <c r="U1264" i="1" s="1"/>
  <c r="R1265" i="1"/>
  <c r="T1265" i="1" s="1"/>
  <c r="U1265" i="1" s="1"/>
  <c r="R1261" i="1"/>
  <c r="T1261" i="1" s="1"/>
  <c r="U1261" i="1" s="1"/>
  <c r="R1259" i="1"/>
  <c r="T1259" i="1" s="1"/>
  <c r="U1259" i="1" s="1"/>
  <c r="R1260" i="1"/>
  <c r="T1260" i="1" s="1"/>
  <c r="U1260" i="1" s="1"/>
  <c r="R1257" i="1"/>
  <c r="T1257" i="1" s="1"/>
  <c r="U1257" i="1" s="1"/>
  <c r="R1258" i="1"/>
  <c r="T1258" i="1" s="1"/>
  <c r="U1258" i="1" s="1"/>
  <c r="R1256" i="1"/>
  <c r="T1256" i="1" s="1"/>
  <c r="U1256" i="1" s="1"/>
  <c r="R1255" i="1"/>
  <c r="T1255" i="1" s="1"/>
  <c r="U1255" i="1" s="1"/>
  <c r="R1245" i="1"/>
  <c r="T1245" i="1" s="1"/>
  <c r="U1245" i="1" s="1"/>
  <c r="R1246" i="1"/>
  <c r="T1246" i="1" s="1"/>
  <c r="U1246" i="1" s="1"/>
  <c r="R1247" i="1"/>
  <c r="T1247" i="1" s="1"/>
  <c r="U1247" i="1" s="1"/>
  <c r="R1248" i="1"/>
  <c r="T1248" i="1" s="1"/>
  <c r="U1248" i="1" s="1"/>
  <c r="R1249" i="1"/>
  <c r="T1249" i="1" s="1"/>
  <c r="U1249" i="1" s="1"/>
  <c r="R1250" i="1"/>
  <c r="R1251" i="1"/>
  <c r="R1252" i="1"/>
  <c r="T1252" i="1" s="1"/>
  <c r="U1252" i="1" s="1"/>
  <c r="R1253" i="1"/>
  <c r="T1253" i="1" s="1"/>
  <c r="U1253" i="1" s="1"/>
  <c r="R1254" i="1"/>
  <c r="R1243" i="1"/>
  <c r="R1244" i="1"/>
  <c r="T1244" i="1" s="1"/>
  <c r="U1244" i="1" s="1"/>
  <c r="R1240" i="1"/>
  <c r="T1240" i="1" s="1"/>
  <c r="U1240" i="1" s="1"/>
  <c r="R1241" i="1"/>
  <c r="R1242" i="1"/>
  <c r="T1242" i="1" s="1"/>
  <c r="U1242" i="1" s="1"/>
  <c r="R1239" i="1"/>
  <c r="T1239" i="1" s="1"/>
  <c r="U1239" i="1" s="1"/>
  <c r="R1236" i="1"/>
  <c r="T1236" i="1" s="1"/>
  <c r="U1236" i="1" s="1"/>
  <c r="R1237" i="1"/>
  <c r="R1238" i="1"/>
  <c r="R1232" i="1"/>
  <c r="T1232" i="1" s="1"/>
  <c r="U1232" i="1" s="1"/>
  <c r="R1233" i="1"/>
  <c r="T1233" i="1" s="1"/>
  <c r="U1233" i="1" s="1"/>
  <c r="R1234" i="1"/>
  <c r="R1235" i="1"/>
  <c r="R1230" i="1"/>
  <c r="T1230" i="1" s="1"/>
  <c r="U1230" i="1" s="1"/>
  <c r="R1231" i="1"/>
  <c r="T1231" i="1" s="1"/>
  <c r="U1231" i="1" s="1"/>
  <c r="R1223" i="1"/>
  <c r="R1224" i="1"/>
  <c r="T1224" i="1" s="1"/>
  <c r="U1224" i="1" s="1"/>
  <c r="R1225" i="1"/>
  <c r="T1225" i="1" s="1"/>
  <c r="U1225" i="1" s="1"/>
  <c r="R1226" i="1"/>
  <c r="T1226" i="1" s="1"/>
  <c r="U1226" i="1" s="1"/>
  <c r="Q86" i="1"/>
  <c r="W86" i="1" s="1"/>
  <c r="Q87" i="1"/>
  <c r="W87" i="1" s="1"/>
  <c r="Q88" i="1"/>
  <c r="W88" i="1" s="1"/>
  <c r="Q66" i="1"/>
  <c r="W66" i="1" s="1"/>
  <c r="Q67" i="1"/>
  <c r="W67" i="1" s="1"/>
  <c r="Q68" i="1"/>
  <c r="W68" i="1" s="1"/>
  <c r="Q69" i="1"/>
  <c r="W69" i="1" s="1"/>
  <c r="Q70" i="1"/>
  <c r="W70" i="1" s="1"/>
  <c r="Q71" i="1"/>
  <c r="W71" i="1" s="1"/>
  <c r="Q72" i="1"/>
  <c r="W72" i="1" s="1"/>
  <c r="Q73" i="1"/>
  <c r="W73" i="1" s="1"/>
  <c r="Q74" i="1"/>
  <c r="W74" i="1" s="1"/>
  <c r="Q75" i="1"/>
  <c r="W75" i="1" s="1"/>
  <c r="Q76" i="1"/>
  <c r="W76" i="1" s="1"/>
  <c r="Q77" i="1"/>
  <c r="W77" i="1" s="1"/>
  <c r="Q78" i="1"/>
  <c r="W78" i="1" s="1"/>
  <c r="Q63" i="1"/>
  <c r="W63" i="1" s="1"/>
  <c r="Q64" i="1"/>
  <c r="W64" i="1" s="1"/>
  <c r="Q65" i="1"/>
  <c r="W65" i="1" s="1"/>
  <c r="Q45" i="1"/>
  <c r="W45" i="1" s="1"/>
  <c r="Q46" i="1"/>
  <c r="W46" i="1" s="1"/>
  <c r="Q47" i="1"/>
  <c r="W47" i="1" s="1"/>
  <c r="Q48" i="1"/>
  <c r="W48" i="1" s="1"/>
  <c r="Q49" i="1"/>
  <c r="W49" i="1" s="1"/>
  <c r="Q50" i="1"/>
  <c r="W50" i="1" s="1"/>
  <c r="Q51" i="1"/>
  <c r="W51" i="1" s="1"/>
  <c r="Q52" i="1"/>
  <c r="W52" i="1" s="1"/>
  <c r="Q53" i="1"/>
  <c r="W53" i="1" s="1"/>
  <c r="Q54" i="1"/>
  <c r="W54" i="1" s="1"/>
  <c r="Q55" i="1"/>
  <c r="W55" i="1" s="1"/>
  <c r="Q56" i="1"/>
  <c r="W56" i="1" s="1"/>
  <c r="Q57" i="1"/>
  <c r="W57" i="1" s="1"/>
  <c r="Q58" i="1"/>
  <c r="W58" i="1" s="1"/>
  <c r="Q59" i="1"/>
  <c r="W59" i="1" s="1"/>
  <c r="Q60" i="1"/>
  <c r="W60" i="1" s="1"/>
  <c r="Q61" i="1"/>
  <c r="W61" i="1" s="1"/>
  <c r="Q62" i="1"/>
  <c r="W62" i="1" s="1"/>
  <c r="Q32" i="1"/>
  <c r="W32" i="1" s="1"/>
  <c r="Q33" i="1"/>
  <c r="W33" i="1" s="1"/>
  <c r="Q34" i="1"/>
  <c r="W34" i="1" s="1"/>
  <c r="Q35" i="1"/>
  <c r="W35" i="1" s="1"/>
  <c r="Q36" i="1"/>
  <c r="W36" i="1" s="1"/>
  <c r="Q37" i="1"/>
  <c r="W37" i="1" s="1"/>
  <c r="Q38" i="1"/>
  <c r="W38" i="1" s="1"/>
  <c r="Q39" i="1"/>
  <c r="W39" i="1" s="1"/>
  <c r="Q40" i="1"/>
  <c r="W40" i="1" s="1"/>
  <c r="Q41" i="1"/>
  <c r="W41" i="1" s="1"/>
  <c r="Q42" i="1"/>
  <c r="W42" i="1" s="1"/>
  <c r="Q43" i="1"/>
  <c r="W43" i="1" s="1"/>
  <c r="Q44" i="1"/>
  <c r="W44" i="1" s="1"/>
  <c r="Q30" i="1"/>
  <c r="W30" i="1" s="1"/>
  <c r="Q31" i="1"/>
  <c r="W31" i="1" s="1"/>
  <c r="Q15" i="1"/>
  <c r="W15" i="1" s="1"/>
  <c r="Q16" i="1"/>
  <c r="W16" i="1" s="1"/>
  <c r="Q17" i="1"/>
  <c r="W17" i="1" s="1"/>
  <c r="Q18" i="1"/>
  <c r="W18" i="1" s="1"/>
  <c r="Q19" i="1"/>
  <c r="W19" i="1" s="1"/>
  <c r="Q20" i="1"/>
  <c r="W20" i="1" s="1"/>
  <c r="Q21" i="1"/>
  <c r="W21" i="1" s="1"/>
  <c r="Q22" i="1"/>
  <c r="W22" i="1" s="1"/>
  <c r="Q23" i="1"/>
  <c r="W23" i="1" s="1"/>
  <c r="Q24" i="1"/>
  <c r="W24" i="1" s="1"/>
  <c r="Q25" i="1"/>
  <c r="W25" i="1" s="1"/>
  <c r="Q26" i="1"/>
  <c r="W26" i="1" s="1"/>
  <c r="Q27" i="1"/>
  <c r="W27" i="1" s="1"/>
  <c r="Q28" i="1"/>
  <c r="W28" i="1" s="1"/>
  <c r="Q2" i="1"/>
  <c r="W2" i="1" s="1"/>
  <c r="Q3" i="1"/>
  <c r="W3" i="1" s="1"/>
  <c r="Q4" i="1"/>
  <c r="W4" i="1" s="1"/>
  <c r="Q5" i="1"/>
  <c r="W5" i="1" s="1"/>
  <c r="Q6" i="1"/>
  <c r="W6" i="1" s="1"/>
  <c r="Q7" i="1"/>
  <c r="W7" i="1" s="1"/>
  <c r="Q8" i="1"/>
  <c r="W8" i="1" s="1"/>
  <c r="Q9" i="1"/>
  <c r="W9" i="1" s="1"/>
  <c r="Q10" i="1"/>
  <c r="W10" i="1" s="1"/>
  <c r="Q11" i="1"/>
  <c r="W11" i="1" s="1"/>
  <c r="Q12" i="1"/>
  <c r="W12" i="1" s="1"/>
  <c r="Q13" i="1"/>
  <c r="W13" i="1" s="1"/>
  <c r="Q14" i="1"/>
  <c r="W14" i="1" s="1"/>
  <c r="Q29" i="1"/>
  <c r="W29" i="1" s="1"/>
  <c r="Q1282" i="1"/>
  <c r="W1282" i="1" s="1"/>
  <c r="Q1283" i="1"/>
  <c r="W1283" i="1" s="1"/>
  <c r="Q1284" i="1"/>
  <c r="W1284" i="1" s="1"/>
  <c r="Q1285" i="1"/>
  <c r="W1285" i="1" s="1"/>
  <c r="Q1286" i="1"/>
  <c r="W1286" i="1" s="1"/>
  <c r="Q1287" i="1"/>
  <c r="W1287" i="1" s="1"/>
  <c r="Q1280" i="1"/>
  <c r="W1280" i="1" s="1"/>
  <c r="Q1281" i="1"/>
  <c r="W1281" i="1" s="1"/>
  <c r="Q1279" i="1"/>
  <c r="W1279" i="1" s="1"/>
  <c r="Q1278" i="1"/>
  <c r="W1278" i="1" s="1"/>
  <c r="Q1277" i="1"/>
  <c r="W1277" i="1" s="1"/>
  <c r="Q1274" i="1"/>
  <c r="W1274" i="1" s="1"/>
  <c r="Q1275" i="1"/>
  <c r="W1275" i="1" s="1"/>
  <c r="Q1276" i="1"/>
  <c r="W1276" i="1" s="1"/>
  <c r="Q1271" i="1"/>
  <c r="W1271" i="1" s="1"/>
  <c r="Q1272" i="1"/>
  <c r="W1272" i="1" s="1"/>
  <c r="Q1273" i="1"/>
  <c r="W1273" i="1" s="1"/>
  <c r="Q1266" i="1"/>
  <c r="W1266" i="1" s="1"/>
  <c r="Q1267" i="1"/>
  <c r="W1267" i="1" s="1"/>
  <c r="Q1268" i="1"/>
  <c r="W1268" i="1" s="1"/>
  <c r="Q1269" i="1"/>
  <c r="W1269" i="1" s="1"/>
  <c r="Q1270" i="1"/>
  <c r="W1270" i="1" s="1"/>
  <c r="Q1262" i="1"/>
  <c r="W1262" i="1" s="1"/>
  <c r="Q1263" i="1"/>
  <c r="W1263" i="1" s="1"/>
  <c r="Q1264" i="1"/>
  <c r="W1264" i="1" s="1"/>
  <c r="Q1265" i="1"/>
  <c r="W1265" i="1" s="1"/>
  <c r="Q1261" i="1"/>
  <c r="W1261" i="1" s="1"/>
  <c r="Q1259" i="1"/>
  <c r="W1259" i="1" s="1"/>
  <c r="Q1260" i="1"/>
  <c r="W1260" i="1" s="1"/>
  <c r="Q1257" i="1"/>
  <c r="W1257" i="1" s="1"/>
  <c r="Q1258" i="1"/>
  <c r="W1258" i="1" s="1"/>
  <c r="Q1256" i="1"/>
  <c r="W1256" i="1" s="1"/>
  <c r="Q1255" i="1"/>
  <c r="W1255" i="1" s="1"/>
  <c r="Q1245" i="1"/>
  <c r="W1245" i="1" s="1"/>
  <c r="Q1246" i="1"/>
  <c r="W1246" i="1" s="1"/>
  <c r="Q1247" i="1"/>
  <c r="W1247" i="1" s="1"/>
  <c r="Q1248" i="1"/>
  <c r="W1248" i="1" s="1"/>
  <c r="Q1249" i="1"/>
  <c r="Q1250" i="1"/>
  <c r="W1250" i="1" s="1"/>
  <c r="Q1251" i="1"/>
  <c r="W1251" i="1" s="1"/>
  <c r="Q1252" i="1"/>
  <c r="W1252" i="1" s="1"/>
  <c r="Q1253" i="1"/>
  <c r="Q1254" i="1"/>
  <c r="W1254" i="1" s="1"/>
  <c r="Q1243" i="1"/>
  <c r="W1243" i="1" s="1"/>
  <c r="Q1244" i="1"/>
  <c r="W1244" i="1" s="1"/>
  <c r="Q1240" i="1"/>
  <c r="Q1241" i="1"/>
  <c r="W1241" i="1" s="1"/>
  <c r="Q1242" i="1"/>
  <c r="W1242" i="1" s="1"/>
  <c r="Q1239" i="1"/>
  <c r="W1239" i="1" s="1"/>
  <c r="Q1236" i="1"/>
  <c r="Q1237" i="1"/>
  <c r="W1237" i="1" s="1"/>
  <c r="Q1238" i="1"/>
  <c r="W1238" i="1" s="1"/>
  <c r="Q1232" i="1"/>
  <c r="W1232" i="1" s="1"/>
  <c r="Q1233" i="1"/>
  <c r="Q1234" i="1"/>
  <c r="W1234" i="1" s="1"/>
  <c r="Q1235" i="1"/>
  <c r="W1235" i="1" s="1"/>
  <c r="Q1230" i="1"/>
  <c r="W1230" i="1" s="1"/>
  <c r="Q1231" i="1"/>
  <c r="Q1223" i="1"/>
  <c r="W1223" i="1" s="1"/>
  <c r="Q1224" i="1"/>
  <c r="W1224" i="1" s="1"/>
  <c r="Q1225" i="1"/>
  <c r="W1225" i="1" s="1"/>
  <c r="Q1226" i="1"/>
  <c r="X803" i="1"/>
  <c r="Y803" i="1" s="1"/>
  <c r="X804" i="1"/>
  <c r="Y804" i="1" s="1"/>
  <c r="X805" i="1"/>
  <c r="Y805" i="1" s="1"/>
  <c r="X806" i="1"/>
  <c r="Y806" i="1" s="1"/>
  <c r="X807" i="1"/>
  <c r="Y807" i="1" s="1"/>
  <c r="X808" i="1"/>
  <c r="Y808" i="1" s="1"/>
  <c r="X798" i="1"/>
  <c r="Y798" i="1" s="1"/>
  <c r="X799" i="1"/>
  <c r="Y799" i="1" s="1"/>
  <c r="X800" i="1"/>
  <c r="Y800" i="1" s="1"/>
  <c r="X801" i="1"/>
  <c r="Y801" i="1" s="1"/>
  <c r="X793" i="1"/>
  <c r="Y793" i="1" s="1"/>
  <c r="X794" i="1"/>
  <c r="Y794" i="1" s="1"/>
  <c r="X795" i="1"/>
  <c r="Y795" i="1" s="1"/>
  <c r="X796" i="1"/>
  <c r="Y796" i="1" s="1"/>
  <c r="X797" i="1"/>
  <c r="Y797" i="1" s="1"/>
  <c r="X779" i="1"/>
  <c r="Y779" i="1" s="1"/>
  <c r="X780" i="1"/>
  <c r="Y780" i="1" s="1"/>
  <c r="X781" i="1"/>
  <c r="Y781" i="1" s="1"/>
  <c r="X782" i="1"/>
  <c r="Y782" i="1" s="1"/>
  <c r="X783" i="1"/>
  <c r="Y783" i="1" s="1"/>
  <c r="X784" i="1"/>
  <c r="Y784" i="1" s="1"/>
  <c r="X785" i="1"/>
  <c r="Y785" i="1" s="1"/>
  <c r="X786" i="1"/>
  <c r="Y786" i="1" s="1"/>
  <c r="X787" i="1"/>
  <c r="Y787" i="1" s="1"/>
  <c r="X788" i="1"/>
  <c r="Y788" i="1" s="1"/>
  <c r="X789" i="1"/>
  <c r="Y789" i="1" s="1"/>
  <c r="X790" i="1"/>
  <c r="Y790" i="1" s="1"/>
  <c r="X791" i="1"/>
  <c r="Y791" i="1" s="1"/>
  <c r="X792" i="1"/>
  <c r="Y792" i="1" s="1"/>
  <c r="X770" i="1"/>
  <c r="Y770" i="1" s="1"/>
  <c r="X771" i="1"/>
  <c r="Y771" i="1" s="1"/>
  <c r="X772" i="1"/>
  <c r="Y772" i="1" s="1"/>
  <c r="X773" i="1"/>
  <c r="Y773" i="1" s="1"/>
  <c r="X774" i="1"/>
  <c r="Y774" i="1" s="1"/>
  <c r="X775" i="1"/>
  <c r="Y775" i="1" s="1"/>
  <c r="X776" i="1"/>
  <c r="Y776" i="1" s="1"/>
  <c r="X777" i="1"/>
  <c r="Y777" i="1" s="1"/>
  <c r="X778" i="1"/>
  <c r="Y778" i="1" s="1"/>
  <c r="X767" i="1"/>
  <c r="Y767" i="1" s="1"/>
  <c r="X768" i="1"/>
  <c r="Y768" i="1" s="1"/>
  <c r="X769" i="1"/>
  <c r="Y769" i="1" s="1"/>
  <c r="X763" i="1"/>
  <c r="Y763" i="1" s="1"/>
  <c r="X764" i="1"/>
  <c r="Y764" i="1" s="1"/>
  <c r="X765" i="1"/>
  <c r="Y765" i="1" s="1"/>
  <c r="X766" i="1"/>
  <c r="Y766" i="1" s="1"/>
  <c r="X757" i="1"/>
  <c r="Y757" i="1" s="1"/>
  <c r="X758" i="1"/>
  <c r="Y758" i="1" s="1"/>
  <c r="X759" i="1"/>
  <c r="Y759" i="1" s="1"/>
  <c r="X760" i="1"/>
  <c r="Y760" i="1" s="1"/>
  <c r="X761" i="1"/>
  <c r="Y761" i="1" s="1"/>
  <c r="X762" i="1"/>
  <c r="Y762" i="1" s="1"/>
  <c r="X749" i="1"/>
  <c r="Y749" i="1" s="1"/>
  <c r="X750" i="1"/>
  <c r="Y750" i="1" s="1"/>
  <c r="X751" i="1"/>
  <c r="Y751" i="1" s="1"/>
  <c r="X752" i="1"/>
  <c r="Y752" i="1" s="1"/>
  <c r="X753" i="1"/>
  <c r="Y753" i="1" s="1"/>
  <c r="X754" i="1"/>
  <c r="Y754" i="1" s="1"/>
  <c r="X755" i="1"/>
  <c r="Y755" i="1" s="1"/>
  <c r="X756" i="1"/>
  <c r="Y756" i="1" s="1"/>
  <c r="X742" i="1"/>
  <c r="Y742" i="1" s="1"/>
  <c r="X743" i="1"/>
  <c r="Y743" i="1" s="1"/>
  <c r="X744" i="1"/>
  <c r="Y744" i="1" s="1"/>
  <c r="X745" i="1"/>
  <c r="Y745" i="1" s="1"/>
  <c r="X746" i="1"/>
  <c r="Y746" i="1" s="1"/>
  <c r="X747" i="1"/>
  <c r="Y747" i="1" s="1"/>
  <c r="X748" i="1"/>
  <c r="Y748" i="1" s="1"/>
  <c r="X735" i="1"/>
  <c r="Y735" i="1" s="1"/>
  <c r="X736" i="1"/>
  <c r="Y736" i="1" s="1"/>
  <c r="X737" i="1"/>
  <c r="Y737" i="1" s="1"/>
  <c r="X738" i="1"/>
  <c r="Y738" i="1" s="1"/>
  <c r="X739" i="1"/>
  <c r="Y739" i="1" s="1"/>
  <c r="X740" i="1"/>
  <c r="Y740" i="1" s="1"/>
  <c r="X741" i="1"/>
  <c r="Y741" i="1" s="1"/>
  <c r="X729" i="1"/>
  <c r="Y729" i="1" s="1"/>
  <c r="X730" i="1"/>
  <c r="Y730" i="1" s="1"/>
  <c r="X731" i="1"/>
  <c r="Y731" i="1" s="1"/>
  <c r="X732" i="1"/>
  <c r="Y732" i="1" s="1"/>
  <c r="X733" i="1"/>
  <c r="Y733" i="1" s="1"/>
  <c r="X734" i="1"/>
  <c r="Y734" i="1" s="1"/>
  <c r="X725" i="1"/>
  <c r="Y725" i="1" s="1"/>
  <c r="X726" i="1"/>
  <c r="Y726" i="1" s="1"/>
  <c r="X727" i="1"/>
  <c r="Y727" i="1" s="1"/>
  <c r="X728" i="1"/>
  <c r="Y728" i="1" s="1"/>
  <c r="X723" i="1"/>
  <c r="Y723" i="1" s="1"/>
  <c r="X724" i="1"/>
  <c r="Y724" i="1" s="1"/>
  <c r="X721" i="1"/>
  <c r="Y721" i="1" s="1"/>
  <c r="X722" i="1"/>
  <c r="Y722" i="1" s="1"/>
  <c r="X718" i="1"/>
  <c r="Y718" i="1" s="1"/>
  <c r="X719" i="1"/>
  <c r="Y719" i="1" s="1"/>
  <c r="X720" i="1"/>
  <c r="Y720" i="1" s="1"/>
  <c r="X715" i="1"/>
  <c r="Y715" i="1" s="1"/>
  <c r="X716" i="1"/>
  <c r="Y716" i="1" s="1"/>
  <c r="X717" i="1"/>
  <c r="Y717" i="1" s="1"/>
  <c r="X714" i="1"/>
  <c r="Y714" i="1" s="1"/>
  <c r="X713" i="1"/>
  <c r="Y713" i="1" s="1"/>
  <c r="X712" i="1"/>
  <c r="Y712" i="1" s="1"/>
  <c r="X711" i="1"/>
  <c r="Y711" i="1" s="1"/>
  <c r="X706" i="1"/>
  <c r="Y706" i="1" s="1"/>
  <c r="X707" i="1"/>
  <c r="Y707" i="1" s="1"/>
  <c r="X708" i="1"/>
  <c r="Y708" i="1" s="1"/>
  <c r="X709" i="1"/>
  <c r="Y709" i="1" s="1"/>
  <c r="X710" i="1"/>
  <c r="Y710" i="1" s="1"/>
  <c r="X705" i="1"/>
  <c r="Y705" i="1" s="1"/>
  <c r="X699" i="1"/>
  <c r="Y699" i="1" s="1"/>
  <c r="X700" i="1"/>
  <c r="Y700" i="1" s="1"/>
  <c r="X701" i="1"/>
  <c r="Y701" i="1" s="1"/>
  <c r="X702" i="1"/>
  <c r="Y702" i="1" s="1"/>
  <c r="X703" i="1"/>
  <c r="Y703" i="1" s="1"/>
  <c r="X704" i="1"/>
  <c r="Y704" i="1" s="1"/>
  <c r="X697" i="1"/>
  <c r="Y697" i="1" s="1"/>
  <c r="X698" i="1"/>
  <c r="Y698" i="1" s="1"/>
  <c r="X689" i="1"/>
  <c r="Y689" i="1" s="1"/>
  <c r="X690" i="1"/>
  <c r="Y690" i="1" s="1"/>
  <c r="X691" i="1"/>
  <c r="Y691" i="1" s="1"/>
  <c r="X692" i="1"/>
  <c r="Y692" i="1" s="1"/>
  <c r="X693" i="1"/>
  <c r="Y693" i="1" s="1"/>
  <c r="X694" i="1"/>
  <c r="Y694" i="1" s="1"/>
  <c r="X695" i="1"/>
  <c r="Y695" i="1" s="1"/>
  <c r="X696" i="1"/>
  <c r="Y696" i="1" s="1"/>
  <c r="X688" i="1"/>
  <c r="Y688" i="1" s="1"/>
  <c r="X685" i="1"/>
  <c r="Y685" i="1" s="1"/>
  <c r="X686" i="1"/>
  <c r="Y686" i="1" s="1"/>
  <c r="X687" i="1"/>
  <c r="Y687" i="1" s="1"/>
  <c r="X680" i="1"/>
  <c r="Y680" i="1" s="1"/>
  <c r="X681" i="1"/>
  <c r="Y681" i="1" s="1"/>
  <c r="X682" i="1"/>
  <c r="Y682" i="1" s="1"/>
  <c r="X683" i="1"/>
  <c r="Y683" i="1" s="1"/>
  <c r="X684" i="1"/>
  <c r="Y684" i="1" s="1"/>
  <c r="X677" i="1"/>
  <c r="Y677" i="1" s="1"/>
  <c r="X678" i="1"/>
  <c r="Y678" i="1" s="1"/>
  <c r="X679" i="1"/>
  <c r="Y679" i="1" s="1"/>
  <c r="X673" i="1"/>
  <c r="Y673" i="1" s="1"/>
  <c r="X674" i="1"/>
  <c r="Y674" i="1" s="1"/>
  <c r="X675" i="1"/>
  <c r="Y675" i="1" s="1"/>
  <c r="X676" i="1"/>
  <c r="Y676" i="1" s="1"/>
  <c r="X668" i="1"/>
  <c r="Y668" i="1" s="1"/>
  <c r="X669" i="1"/>
  <c r="Y669" i="1" s="1"/>
  <c r="X670" i="1"/>
  <c r="Y670" i="1" s="1"/>
  <c r="X671" i="1"/>
  <c r="Y671" i="1" s="1"/>
  <c r="X672" i="1"/>
  <c r="Y672" i="1" s="1"/>
  <c r="X664" i="1"/>
  <c r="Y664" i="1" s="1"/>
  <c r="X665" i="1"/>
  <c r="Y665" i="1" s="1"/>
  <c r="X666" i="1"/>
  <c r="Y666" i="1" s="1"/>
  <c r="X667" i="1"/>
  <c r="Y667" i="1" s="1"/>
  <c r="X661" i="1"/>
  <c r="Y661" i="1" s="1"/>
  <c r="X662" i="1"/>
  <c r="Y662" i="1" s="1"/>
  <c r="X663" i="1"/>
  <c r="Y663" i="1" s="1"/>
  <c r="X657" i="1"/>
  <c r="Y657" i="1" s="1"/>
  <c r="X658" i="1"/>
  <c r="Y658" i="1" s="1"/>
  <c r="X659" i="1"/>
  <c r="Y659" i="1" s="1"/>
  <c r="X660" i="1"/>
  <c r="Y660" i="1" s="1"/>
  <c r="X655" i="1"/>
  <c r="Y655" i="1" s="1"/>
  <c r="X656" i="1"/>
  <c r="Y656" i="1" s="1"/>
  <c r="X650" i="1"/>
  <c r="Y650" i="1" s="1"/>
  <c r="X651" i="1"/>
  <c r="Y651" i="1" s="1"/>
  <c r="X652" i="1"/>
  <c r="Y652" i="1" s="1"/>
  <c r="X653" i="1"/>
  <c r="Y653" i="1" s="1"/>
  <c r="X654" i="1"/>
  <c r="Y654" i="1" s="1"/>
  <c r="X646" i="1"/>
  <c r="Y646" i="1" s="1"/>
  <c r="X647" i="1"/>
  <c r="Y647" i="1" s="1"/>
  <c r="X648" i="1"/>
  <c r="Y648" i="1" s="1"/>
  <c r="X649" i="1"/>
  <c r="Y649" i="1" s="1"/>
  <c r="X644" i="1"/>
  <c r="Y644" i="1" s="1"/>
  <c r="X645" i="1"/>
  <c r="Y645" i="1" s="1"/>
  <c r="X642" i="1"/>
  <c r="Y642" i="1" s="1"/>
  <c r="X643" i="1"/>
  <c r="Y643" i="1" s="1"/>
  <c r="X639" i="1"/>
  <c r="Y639" i="1" s="1"/>
  <c r="X640" i="1"/>
  <c r="Y640" i="1" s="1"/>
  <c r="X641" i="1"/>
  <c r="Y641" i="1" s="1"/>
  <c r="X635" i="1"/>
  <c r="Y635" i="1" s="1"/>
  <c r="X636" i="1"/>
  <c r="Y636" i="1" s="1"/>
  <c r="X637" i="1"/>
  <c r="Y637" i="1" s="1"/>
  <c r="X638" i="1"/>
  <c r="Y638" i="1" s="1"/>
  <c r="X633" i="1"/>
  <c r="Y633" i="1" s="1"/>
  <c r="X634" i="1"/>
  <c r="Y634" i="1" s="1"/>
  <c r="X631" i="1"/>
  <c r="Y631" i="1" s="1"/>
  <c r="X632" i="1"/>
  <c r="Y632" i="1" s="1"/>
  <c r="X628" i="1"/>
  <c r="Y628" i="1" s="1"/>
  <c r="X629" i="1"/>
  <c r="Y629" i="1" s="1"/>
  <c r="X630" i="1"/>
  <c r="Y630" i="1" s="1"/>
  <c r="X626" i="1"/>
  <c r="Y626" i="1" s="1"/>
  <c r="X627" i="1"/>
  <c r="Y627" i="1" s="1"/>
  <c r="X622" i="1"/>
  <c r="Y622" i="1" s="1"/>
  <c r="X623" i="1"/>
  <c r="Y623" i="1" s="1"/>
  <c r="X624" i="1"/>
  <c r="Y624" i="1" s="1"/>
  <c r="X625" i="1"/>
  <c r="Y625" i="1" s="1"/>
  <c r="X619" i="1"/>
  <c r="Y619" i="1" s="1"/>
  <c r="X620" i="1"/>
  <c r="Y620" i="1" s="1"/>
  <c r="X621" i="1"/>
  <c r="Y621" i="1" s="1"/>
  <c r="X615" i="1"/>
  <c r="Y615" i="1" s="1"/>
  <c r="X616" i="1"/>
  <c r="Y616" i="1" s="1"/>
  <c r="X617" i="1"/>
  <c r="Y617" i="1" s="1"/>
  <c r="X618" i="1"/>
  <c r="Y618" i="1" s="1"/>
  <c r="X613" i="1"/>
  <c r="Y613" i="1" s="1"/>
  <c r="X614" i="1"/>
  <c r="Y614" i="1" s="1"/>
  <c r="X605" i="1"/>
  <c r="Y605" i="1" s="1"/>
  <c r="X606" i="1"/>
  <c r="Y606" i="1" s="1"/>
  <c r="X607" i="1"/>
  <c r="Y607" i="1" s="1"/>
  <c r="X608" i="1"/>
  <c r="Y608" i="1" s="1"/>
  <c r="X609" i="1"/>
  <c r="Y609" i="1" s="1"/>
  <c r="X610" i="1"/>
  <c r="Y610" i="1" s="1"/>
  <c r="X611" i="1"/>
  <c r="Y611" i="1" s="1"/>
  <c r="X612" i="1"/>
  <c r="Y612" i="1" s="1"/>
  <c r="X603" i="1"/>
  <c r="Y603" i="1" s="1"/>
  <c r="X604" i="1"/>
  <c r="Y604" i="1" s="1"/>
  <c r="X600" i="1"/>
  <c r="Y600" i="1" s="1"/>
  <c r="X601" i="1"/>
  <c r="Y601" i="1" s="1"/>
  <c r="X602" i="1"/>
  <c r="Y602" i="1" s="1"/>
  <c r="X596" i="1"/>
  <c r="Y596" i="1" s="1"/>
  <c r="X597" i="1"/>
  <c r="Y597" i="1" s="1"/>
  <c r="X598" i="1"/>
  <c r="Y598" i="1" s="1"/>
  <c r="X599" i="1"/>
  <c r="Y599" i="1" s="1"/>
  <c r="X594" i="1"/>
  <c r="Y594" i="1" s="1"/>
  <c r="X595" i="1"/>
  <c r="Y595" i="1" s="1"/>
  <c r="X592" i="1"/>
  <c r="Y592" i="1" s="1"/>
  <c r="X593" i="1"/>
  <c r="Y593" i="1" s="1"/>
  <c r="X590" i="1"/>
  <c r="Y590" i="1" s="1"/>
  <c r="X591" i="1"/>
  <c r="Y591" i="1" s="1"/>
  <c r="X586" i="1"/>
  <c r="Y586" i="1" s="1"/>
  <c r="X587" i="1"/>
  <c r="Y587" i="1" s="1"/>
  <c r="X588" i="1"/>
  <c r="Y588" i="1" s="1"/>
  <c r="X589" i="1"/>
  <c r="Y589" i="1" s="1"/>
  <c r="X584" i="1"/>
  <c r="Y584" i="1" s="1"/>
  <c r="X585" i="1"/>
  <c r="Y585" i="1" s="1"/>
  <c r="X580" i="1"/>
  <c r="Y580" i="1" s="1"/>
  <c r="X581" i="1"/>
  <c r="Y581" i="1" s="1"/>
  <c r="X582" i="1"/>
  <c r="Y582" i="1" s="1"/>
  <c r="X583" i="1"/>
  <c r="Y583" i="1" s="1"/>
  <c r="X575" i="1"/>
  <c r="Y575" i="1" s="1"/>
  <c r="X576" i="1"/>
  <c r="Y576" i="1" s="1"/>
  <c r="X577" i="1"/>
  <c r="Y577" i="1" s="1"/>
  <c r="X578" i="1"/>
  <c r="Y578" i="1" s="1"/>
  <c r="X579" i="1"/>
  <c r="Y579" i="1" s="1"/>
  <c r="X572" i="1"/>
  <c r="Y572" i="1" s="1"/>
  <c r="X573" i="1"/>
  <c r="Y573" i="1" s="1"/>
  <c r="X574" i="1"/>
  <c r="Y574" i="1" s="1"/>
  <c r="X570" i="1"/>
  <c r="Y570" i="1" s="1"/>
  <c r="X571" i="1"/>
  <c r="Y571" i="1" s="1"/>
  <c r="X564" i="1"/>
  <c r="Y564" i="1" s="1"/>
  <c r="X565" i="1"/>
  <c r="Y565" i="1" s="1"/>
  <c r="X566" i="1"/>
  <c r="Y566" i="1" s="1"/>
  <c r="X567" i="1"/>
  <c r="Y567" i="1" s="1"/>
  <c r="X568" i="1"/>
  <c r="Y568" i="1" s="1"/>
  <c r="X569" i="1"/>
  <c r="Y569" i="1" s="1"/>
  <c r="X560" i="1"/>
  <c r="Y560" i="1" s="1"/>
  <c r="X561" i="1"/>
  <c r="Y561" i="1" s="1"/>
  <c r="X562" i="1"/>
  <c r="Y562" i="1" s="1"/>
  <c r="X563" i="1"/>
  <c r="Y563" i="1" s="1"/>
  <c r="X558" i="1"/>
  <c r="Y558" i="1" s="1"/>
  <c r="X559" i="1"/>
  <c r="Y559" i="1" s="1"/>
  <c r="X557" i="1"/>
  <c r="Y557" i="1" s="1"/>
  <c r="X553" i="1"/>
  <c r="Y553" i="1" s="1"/>
  <c r="X554" i="1"/>
  <c r="Y554" i="1" s="1"/>
  <c r="X555" i="1"/>
  <c r="Y555" i="1" s="1"/>
  <c r="X556" i="1"/>
  <c r="Y556" i="1" s="1"/>
  <c r="X548" i="1"/>
  <c r="Y548" i="1" s="1"/>
  <c r="X549" i="1"/>
  <c r="Y549" i="1" s="1"/>
  <c r="X550" i="1"/>
  <c r="Y550" i="1" s="1"/>
  <c r="X551" i="1"/>
  <c r="Y551" i="1" s="1"/>
  <c r="X552" i="1"/>
  <c r="Y552" i="1" s="1"/>
  <c r="X533" i="1"/>
  <c r="Y533" i="1" s="1"/>
  <c r="X534" i="1"/>
  <c r="Y534" i="1" s="1"/>
  <c r="X535" i="1"/>
  <c r="Y535" i="1" s="1"/>
  <c r="X536" i="1"/>
  <c r="Y536" i="1" s="1"/>
  <c r="X537" i="1"/>
  <c r="Y537" i="1" s="1"/>
  <c r="X538" i="1"/>
  <c r="Y538" i="1" s="1"/>
  <c r="X539" i="1"/>
  <c r="Y539" i="1" s="1"/>
  <c r="X540" i="1"/>
  <c r="Y540" i="1" s="1"/>
  <c r="X541" i="1"/>
  <c r="Y541" i="1" s="1"/>
  <c r="X542" i="1"/>
  <c r="Y542" i="1" s="1"/>
  <c r="X543" i="1"/>
  <c r="Y543" i="1" s="1"/>
  <c r="X544" i="1"/>
  <c r="Y544" i="1" s="1"/>
  <c r="X545" i="1"/>
  <c r="Y545" i="1" s="1"/>
  <c r="X546" i="1"/>
  <c r="Y546" i="1" s="1"/>
  <c r="X547" i="1"/>
  <c r="Y547" i="1" s="1"/>
  <c r="X525" i="1"/>
  <c r="Y525" i="1" s="1"/>
  <c r="X526" i="1"/>
  <c r="Y526" i="1" s="1"/>
  <c r="X527" i="1"/>
  <c r="Y527" i="1" s="1"/>
  <c r="X528" i="1"/>
  <c r="Y528" i="1" s="1"/>
  <c r="X529" i="1"/>
  <c r="Y529" i="1" s="1"/>
  <c r="X530" i="1"/>
  <c r="Y530" i="1" s="1"/>
  <c r="X531" i="1"/>
  <c r="Y531" i="1" s="1"/>
  <c r="X532" i="1"/>
  <c r="Y532" i="1" s="1"/>
  <c r="X518" i="1"/>
  <c r="Y518" i="1" s="1"/>
  <c r="X519" i="1"/>
  <c r="Y519" i="1" s="1"/>
  <c r="X520" i="1"/>
  <c r="Y520" i="1" s="1"/>
  <c r="X521" i="1"/>
  <c r="Y521" i="1" s="1"/>
  <c r="X522" i="1"/>
  <c r="Y522" i="1" s="1"/>
  <c r="X523" i="1"/>
  <c r="Y523" i="1" s="1"/>
  <c r="X524" i="1"/>
  <c r="Y524" i="1" s="1"/>
  <c r="X509" i="1"/>
  <c r="Y509" i="1" s="1"/>
  <c r="X510" i="1"/>
  <c r="Y510" i="1" s="1"/>
  <c r="X511" i="1"/>
  <c r="Y511" i="1" s="1"/>
  <c r="X512" i="1"/>
  <c r="Y512" i="1" s="1"/>
  <c r="X513" i="1"/>
  <c r="Y513" i="1" s="1"/>
  <c r="X514" i="1"/>
  <c r="Y514" i="1" s="1"/>
  <c r="X515" i="1"/>
  <c r="Y515" i="1" s="1"/>
  <c r="X516" i="1"/>
  <c r="Y516" i="1" s="1"/>
  <c r="X517" i="1"/>
  <c r="Y517" i="1" s="1"/>
  <c r="X501" i="1"/>
  <c r="Y501" i="1" s="1"/>
  <c r="X502" i="1"/>
  <c r="Y502" i="1" s="1"/>
  <c r="X503" i="1"/>
  <c r="Y503" i="1" s="1"/>
  <c r="X504" i="1"/>
  <c r="Y504" i="1" s="1"/>
  <c r="X505" i="1"/>
  <c r="Y505" i="1" s="1"/>
  <c r="X506" i="1"/>
  <c r="Y506" i="1" s="1"/>
  <c r="X507" i="1"/>
  <c r="Y507" i="1" s="1"/>
  <c r="X508" i="1"/>
  <c r="Y508" i="1" s="1"/>
  <c r="X495" i="1"/>
  <c r="Y495" i="1" s="1"/>
  <c r="X496" i="1"/>
  <c r="Y496" i="1" s="1"/>
  <c r="X497" i="1"/>
  <c r="Y497" i="1" s="1"/>
  <c r="X498" i="1"/>
  <c r="Y498" i="1" s="1"/>
  <c r="X499" i="1"/>
  <c r="Y499" i="1" s="1"/>
  <c r="X500" i="1"/>
  <c r="Y500" i="1" s="1"/>
  <c r="X491" i="1"/>
  <c r="Y491" i="1" s="1"/>
  <c r="X492" i="1"/>
  <c r="Y492" i="1" s="1"/>
  <c r="X493" i="1"/>
  <c r="Y493" i="1" s="1"/>
  <c r="X494" i="1"/>
  <c r="Y494" i="1" s="1"/>
  <c r="X485" i="1"/>
  <c r="Y485" i="1" s="1"/>
  <c r="X486" i="1"/>
  <c r="Y486" i="1" s="1"/>
  <c r="X487" i="1"/>
  <c r="Y487" i="1" s="1"/>
  <c r="X488" i="1"/>
  <c r="Y488" i="1" s="1"/>
  <c r="X489" i="1"/>
  <c r="Y489" i="1" s="1"/>
  <c r="X490" i="1"/>
  <c r="Y490" i="1" s="1"/>
  <c r="X483" i="1"/>
  <c r="Y483" i="1" s="1"/>
  <c r="X484" i="1"/>
  <c r="Y484" i="1" s="1"/>
  <c r="X475" i="1"/>
  <c r="Y475" i="1" s="1"/>
  <c r="X476" i="1"/>
  <c r="Y476" i="1" s="1"/>
  <c r="X477" i="1"/>
  <c r="Y477" i="1" s="1"/>
  <c r="X478" i="1"/>
  <c r="Y478" i="1" s="1"/>
  <c r="X479" i="1"/>
  <c r="Y479" i="1" s="1"/>
  <c r="X480" i="1"/>
  <c r="Y480" i="1" s="1"/>
  <c r="X481" i="1"/>
  <c r="Y481" i="1" s="1"/>
  <c r="X482" i="1"/>
  <c r="Y482" i="1" s="1"/>
  <c r="X468" i="1"/>
  <c r="Y468" i="1" s="1"/>
  <c r="X469" i="1"/>
  <c r="Y469" i="1" s="1"/>
  <c r="X470" i="1"/>
  <c r="Y470" i="1" s="1"/>
  <c r="X471" i="1"/>
  <c r="Y471" i="1" s="1"/>
  <c r="X472" i="1"/>
  <c r="Y472" i="1" s="1"/>
  <c r="X473" i="1"/>
  <c r="Y473" i="1" s="1"/>
  <c r="X474" i="1"/>
  <c r="Y474" i="1" s="1"/>
  <c r="X464" i="1"/>
  <c r="Y464" i="1" s="1"/>
  <c r="X465" i="1"/>
  <c r="Y465" i="1" s="1"/>
  <c r="X466" i="1"/>
  <c r="Y466" i="1" s="1"/>
  <c r="X467" i="1"/>
  <c r="Y467" i="1" s="1"/>
  <c r="X458" i="1"/>
  <c r="Y458" i="1" s="1"/>
  <c r="X459" i="1"/>
  <c r="Y459" i="1" s="1"/>
  <c r="X460" i="1"/>
  <c r="Y460" i="1" s="1"/>
  <c r="X461" i="1"/>
  <c r="Y461" i="1" s="1"/>
  <c r="X462" i="1"/>
  <c r="Y462" i="1" s="1"/>
  <c r="X463" i="1"/>
  <c r="Y463" i="1" s="1"/>
  <c r="X447" i="1"/>
  <c r="Y447" i="1" s="1"/>
  <c r="X448" i="1"/>
  <c r="Y448" i="1" s="1"/>
  <c r="X449" i="1"/>
  <c r="Y449" i="1" s="1"/>
  <c r="X450" i="1"/>
  <c r="Y450" i="1" s="1"/>
  <c r="X451" i="1"/>
  <c r="Y451" i="1" s="1"/>
  <c r="X452" i="1"/>
  <c r="Y452" i="1" s="1"/>
  <c r="X453" i="1"/>
  <c r="Y453" i="1" s="1"/>
  <c r="X454" i="1"/>
  <c r="Y454" i="1" s="1"/>
  <c r="X455" i="1"/>
  <c r="Y455" i="1" s="1"/>
  <c r="X456" i="1"/>
  <c r="Y456" i="1" s="1"/>
  <c r="X457" i="1"/>
  <c r="Y457" i="1" s="1"/>
  <c r="X439" i="1"/>
  <c r="Y439" i="1" s="1"/>
  <c r="X440" i="1"/>
  <c r="Y440" i="1" s="1"/>
  <c r="X441" i="1"/>
  <c r="Y441" i="1" s="1"/>
  <c r="X442" i="1"/>
  <c r="Y442" i="1" s="1"/>
  <c r="X443" i="1"/>
  <c r="Y443" i="1" s="1"/>
  <c r="X444" i="1"/>
  <c r="Y444" i="1" s="1"/>
  <c r="X445" i="1"/>
  <c r="Y445" i="1" s="1"/>
  <c r="X446" i="1"/>
  <c r="Y446" i="1" s="1"/>
  <c r="X436" i="1"/>
  <c r="Y436" i="1" s="1"/>
  <c r="X437" i="1"/>
  <c r="Y437" i="1" s="1"/>
  <c r="X438" i="1"/>
  <c r="Y438" i="1" s="1"/>
  <c r="X428" i="1"/>
  <c r="Y428" i="1" s="1"/>
  <c r="X429" i="1"/>
  <c r="Y429" i="1" s="1"/>
  <c r="X430" i="1"/>
  <c r="Y430" i="1" s="1"/>
  <c r="X431" i="1"/>
  <c r="Y431" i="1" s="1"/>
  <c r="X432" i="1"/>
  <c r="Y432" i="1" s="1"/>
  <c r="X433" i="1"/>
  <c r="Y433" i="1" s="1"/>
  <c r="X434" i="1"/>
  <c r="Y434" i="1" s="1"/>
  <c r="X435" i="1"/>
  <c r="Y435" i="1" s="1"/>
  <c r="X414" i="1"/>
  <c r="Y414" i="1" s="1"/>
  <c r="X415" i="1"/>
  <c r="Y415" i="1" s="1"/>
  <c r="X416" i="1"/>
  <c r="Y416" i="1" s="1"/>
  <c r="X417" i="1"/>
  <c r="Y417" i="1" s="1"/>
  <c r="X418" i="1"/>
  <c r="Y418" i="1" s="1"/>
  <c r="X419" i="1"/>
  <c r="Y419" i="1" s="1"/>
  <c r="X420" i="1"/>
  <c r="Y420" i="1" s="1"/>
  <c r="X421" i="1"/>
  <c r="Y421" i="1" s="1"/>
  <c r="X422" i="1"/>
  <c r="Y422" i="1" s="1"/>
  <c r="X423" i="1"/>
  <c r="Y423" i="1" s="1"/>
  <c r="X424" i="1"/>
  <c r="Y424" i="1" s="1"/>
  <c r="X425" i="1"/>
  <c r="Y425" i="1" s="1"/>
  <c r="X426" i="1"/>
  <c r="Y426" i="1" s="1"/>
  <c r="X427" i="1"/>
  <c r="Y427" i="1" s="1"/>
  <c r="X398" i="1"/>
  <c r="Y398" i="1" s="1"/>
  <c r="X399" i="1"/>
  <c r="Y399" i="1" s="1"/>
  <c r="X400" i="1"/>
  <c r="Y400" i="1" s="1"/>
  <c r="X401" i="1"/>
  <c r="Y401" i="1" s="1"/>
  <c r="X402" i="1"/>
  <c r="Y402" i="1" s="1"/>
  <c r="X403" i="1"/>
  <c r="Y403" i="1" s="1"/>
  <c r="X404" i="1"/>
  <c r="Y404" i="1" s="1"/>
  <c r="X405" i="1"/>
  <c r="Y405" i="1" s="1"/>
  <c r="X406" i="1"/>
  <c r="Y406" i="1" s="1"/>
  <c r="X407" i="1"/>
  <c r="Y407" i="1" s="1"/>
  <c r="X408" i="1"/>
  <c r="Y408" i="1" s="1"/>
  <c r="X409" i="1"/>
  <c r="Y409" i="1" s="1"/>
  <c r="X410" i="1"/>
  <c r="Y410" i="1" s="1"/>
  <c r="X411" i="1"/>
  <c r="Y411" i="1" s="1"/>
  <c r="X412" i="1"/>
  <c r="Y412" i="1" s="1"/>
  <c r="X413" i="1"/>
  <c r="Y413" i="1" s="1"/>
  <c r="X395" i="1"/>
  <c r="Y395" i="1" s="1"/>
  <c r="X396" i="1"/>
  <c r="Y396" i="1" s="1"/>
  <c r="X397" i="1"/>
  <c r="Y397" i="1" s="1"/>
  <c r="X388" i="1"/>
  <c r="Y388" i="1" s="1"/>
  <c r="X389" i="1"/>
  <c r="Y389" i="1" s="1"/>
  <c r="X390" i="1"/>
  <c r="Y390" i="1" s="1"/>
  <c r="X391" i="1"/>
  <c r="Y391" i="1" s="1"/>
  <c r="X392" i="1"/>
  <c r="Y392" i="1" s="1"/>
  <c r="X393" i="1"/>
  <c r="Y393" i="1" s="1"/>
  <c r="X394" i="1"/>
  <c r="Y394" i="1" s="1"/>
  <c r="X382" i="1"/>
  <c r="Y382" i="1" s="1"/>
  <c r="X383" i="1"/>
  <c r="Y383" i="1" s="1"/>
  <c r="X384" i="1"/>
  <c r="Y384" i="1" s="1"/>
  <c r="X385" i="1"/>
  <c r="Y385" i="1" s="1"/>
  <c r="X386" i="1"/>
  <c r="Y386" i="1" s="1"/>
  <c r="X387" i="1"/>
  <c r="Y387" i="1" s="1"/>
  <c r="X371" i="1"/>
  <c r="Y371" i="1" s="1"/>
  <c r="X372" i="1"/>
  <c r="Y372" i="1" s="1"/>
  <c r="X373" i="1"/>
  <c r="Y373" i="1" s="1"/>
  <c r="X374" i="1"/>
  <c r="Y374" i="1" s="1"/>
  <c r="X375" i="1"/>
  <c r="Y375" i="1" s="1"/>
  <c r="X376" i="1"/>
  <c r="Y376" i="1" s="1"/>
  <c r="X377" i="1"/>
  <c r="Y377" i="1" s="1"/>
  <c r="X378" i="1"/>
  <c r="Y378" i="1" s="1"/>
  <c r="X379" i="1"/>
  <c r="Y379" i="1" s="1"/>
  <c r="X380" i="1"/>
  <c r="Y380" i="1" s="1"/>
  <c r="X381" i="1"/>
  <c r="Y381" i="1" s="1"/>
  <c r="X369" i="1"/>
  <c r="Y369" i="1" s="1"/>
  <c r="X370" i="1"/>
  <c r="Y370" i="1" s="1"/>
  <c r="X362" i="1"/>
  <c r="Y362" i="1" s="1"/>
  <c r="X363" i="1"/>
  <c r="Y363" i="1" s="1"/>
  <c r="X364" i="1"/>
  <c r="Y364" i="1" s="1"/>
  <c r="X365" i="1"/>
  <c r="Y365" i="1" s="1"/>
  <c r="X366" i="1"/>
  <c r="Y366" i="1" s="1"/>
  <c r="X367" i="1"/>
  <c r="Y367" i="1" s="1"/>
  <c r="X368" i="1"/>
  <c r="Y368" i="1" s="1"/>
  <c r="X350" i="1"/>
  <c r="Y350" i="1" s="1"/>
  <c r="X351" i="1"/>
  <c r="Y351" i="1" s="1"/>
  <c r="X352" i="1"/>
  <c r="Y352" i="1" s="1"/>
  <c r="X353" i="1"/>
  <c r="Y353" i="1" s="1"/>
  <c r="X354" i="1"/>
  <c r="Y354" i="1" s="1"/>
  <c r="X355" i="1"/>
  <c r="Y355" i="1" s="1"/>
  <c r="X356" i="1"/>
  <c r="Y356" i="1" s="1"/>
  <c r="X357" i="1"/>
  <c r="Y357" i="1" s="1"/>
  <c r="X358" i="1"/>
  <c r="Y358" i="1" s="1"/>
  <c r="X359" i="1"/>
  <c r="Y359" i="1" s="1"/>
  <c r="X360" i="1"/>
  <c r="Y360" i="1" s="1"/>
  <c r="X361" i="1"/>
  <c r="Y361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Y337" i="1" s="1"/>
  <c r="X338" i="1"/>
  <c r="Y338" i="1" s="1"/>
  <c r="X339" i="1"/>
  <c r="Y339" i="1" s="1"/>
  <c r="X340" i="1"/>
  <c r="Y340" i="1" s="1"/>
  <c r="X341" i="1"/>
  <c r="Y341" i="1" s="1"/>
  <c r="X342" i="1"/>
  <c r="Y342" i="1" s="1"/>
  <c r="X343" i="1"/>
  <c r="Y343" i="1" s="1"/>
  <c r="X344" i="1"/>
  <c r="Y344" i="1" s="1"/>
  <c r="X345" i="1"/>
  <c r="Y345" i="1" s="1"/>
  <c r="X346" i="1"/>
  <c r="Y346" i="1" s="1"/>
  <c r="X347" i="1"/>
  <c r="Y347" i="1" s="1"/>
  <c r="X348" i="1"/>
  <c r="Y348" i="1" s="1"/>
  <c r="X349" i="1"/>
  <c r="Y349" i="1" s="1"/>
  <c r="X325" i="1"/>
  <c r="Y325" i="1" s="1"/>
  <c r="X326" i="1"/>
  <c r="Y326" i="1" s="1"/>
  <c r="X327" i="1"/>
  <c r="Y327" i="1" s="1"/>
  <c r="X328" i="1"/>
  <c r="Y328" i="1" s="1"/>
  <c r="X329" i="1"/>
  <c r="Y329" i="1" s="1"/>
  <c r="X330" i="1"/>
  <c r="Y330" i="1" s="1"/>
  <c r="X320" i="1"/>
  <c r="Y320" i="1" s="1"/>
  <c r="X321" i="1"/>
  <c r="Y321" i="1" s="1"/>
  <c r="X322" i="1"/>
  <c r="Y322" i="1" s="1"/>
  <c r="X323" i="1"/>
  <c r="Y323" i="1" s="1"/>
  <c r="X324" i="1"/>
  <c r="Y324" i="1" s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03" i="1"/>
  <c r="Y303" i="1" s="1"/>
  <c r="X304" i="1"/>
  <c r="Y304" i="1" s="1"/>
  <c r="X305" i="1"/>
  <c r="Y305" i="1" s="1"/>
  <c r="X306" i="1"/>
  <c r="Y306" i="1" s="1"/>
  <c r="X307" i="1"/>
  <c r="Y307" i="1" s="1"/>
  <c r="X308" i="1"/>
  <c r="Y308" i="1" s="1"/>
  <c r="X309" i="1"/>
  <c r="Y309" i="1" s="1"/>
  <c r="X310" i="1"/>
  <c r="Y310" i="1" s="1"/>
  <c r="X295" i="1"/>
  <c r="Y295" i="1" s="1"/>
  <c r="X296" i="1"/>
  <c r="Y296" i="1" s="1"/>
  <c r="X297" i="1"/>
  <c r="Y297" i="1" s="1"/>
  <c r="X298" i="1"/>
  <c r="Y298" i="1" s="1"/>
  <c r="X299" i="1"/>
  <c r="Y299" i="1" s="1"/>
  <c r="X300" i="1"/>
  <c r="Y300" i="1" s="1"/>
  <c r="X301" i="1"/>
  <c r="Y301" i="1" s="1"/>
  <c r="X302" i="1"/>
  <c r="Y302" i="1" s="1"/>
  <c r="X274" i="1"/>
  <c r="Y274" i="1" s="1"/>
  <c r="X275" i="1"/>
  <c r="Y275" i="1" s="1"/>
  <c r="X276" i="1"/>
  <c r="Y276" i="1" s="1"/>
  <c r="X277" i="1"/>
  <c r="Y277" i="1" s="1"/>
  <c r="X278" i="1"/>
  <c r="Y278" i="1" s="1"/>
  <c r="X279" i="1"/>
  <c r="Y279" i="1" s="1"/>
  <c r="X280" i="1"/>
  <c r="Y280" i="1" s="1"/>
  <c r="X281" i="1"/>
  <c r="Y281" i="1" s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Y290" i="1" s="1"/>
  <c r="X291" i="1"/>
  <c r="Y291" i="1" s="1"/>
  <c r="X292" i="1"/>
  <c r="Y292" i="1" s="1"/>
  <c r="X293" i="1"/>
  <c r="Y293" i="1" s="1"/>
  <c r="X294" i="1"/>
  <c r="Y294" i="1" s="1"/>
  <c r="X272" i="1"/>
  <c r="Y272" i="1" s="1"/>
  <c r="X273" i="1"/>
  <c r="Y273" i="1" s="1"/>
  <c r="X270" i="1"/>
  <c r="Y270" i="1" s="1"/>
  <c r="X271" i="1"/>
  <c r="Y271" i="1" s="1"/>
  <c r="X249" i="1"/>
  <c r="Y249" i="1" s="1"/>
  <c r="X250" i="1"/>
  <c r="Y250" i="1" s="1"/>
  <c r="X251" i="1"/>
  <c r="Y251" i="1" s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Y257" i="1" s="1"/>
  <c r="X258" i="1"/>
  <c r="Y258" i="1" s="1"/>
  <c r="X259" i="1"/>
  <c r="Y259" i="1" s="1"/>
  <c r="X260" i="1"/>
  <c r="Y260" i="1" s="1"/>
  <c r="X261" i="1"/>
  <c r="Y261" i="1" s="1"/>
  <c r="X262" i="1"/>
  <c r="Y262" i="1" s="1"/>
  <c r="X263" i="1"/>
  <c r="Y263" i="1" s="1"/>
  <c r="X264" i="1"/>
  <c r="Y264" i="1" s="1"/>
  <c r="X265" i="1"/>
  <c r="Y265" i="1" s="1"/>
  <c r="X266" i="1"/>
  <c r="Y266" i="1" s="1"/>
  <c r="X267" i="1"/>
  <c r="Y267" i="1" s="1"/>
  <c r="X268" i="1"/>
  <c r="Y268" i="1" s="1"/>
  <c r="X269" i="1"/>
  <c r="Y269" i="1" s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Y210" i="1" s="1"/>
  <c r="X211" i="1"/>
  <c r="Y211" i="1" s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Y217" i="1" s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 s="1"/>
  <c r="X233" i="1"/>
  <c r="Y233" i="1" s="1"/>
  <c r="X234" i="1"/>
  <c r="Y234" i="1" s="1"/>
  <c r="X235" i="1"/>
  <c r="Y235" i="1" s="1"/>
  <c r="X236" i="1"/>
  <c r="Y236" i="1" s="1"/>
  <c r="X237" i="1"/>
  <c r="Y237" i="1" s="1"/>
  <c r="X238" i="1"/>
  <c r="Y238" i="1" s="1"/>
  <c r="X239" i="1"/>
  <c r="Y239" i="1" s="1"/>
  <c r="X240" i="1"/>
  <c r="Y240" i="1" s="1"/>
  <c r="X241" i="1"/>
  <c r="Y241" i="1" s="1"/>
  <c r="X242" i="1"/>
  <c r="Y242" i="1" s="1"/>
  <c r="X243" i="1"/>
  <c r="Y243" i="1" s="1"/>
  <c r="X244" i="1"/>
  <c r="Y244" i="1" s="1"/>
  <c r="X245" i="1"/>
  <c r="Y245" i="1" s="1"/>
  <c r="X246" i="1"/>
  <c r="Y246" i="1" s="1"/>
  <c r="X247" i="1"/>
  <c r="Y247" i="1" s="1"/>
  <c r="X248" i="1"/>
  <c r="Y248" i="1" s="1"/>
  <c r="X203" i="1"/>
  <c r="Y203" i="1" s="1"/>
  <c r="X200" i="1"/>
  <c r="Y200" i="1" s="1"/>
  <c r="X201" i="1"/>
  <c r="Y201" i="1" s="1"/>
  <c r="X202" i="1"/>
  <c r="Y202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Y198" i="1" s="1"/>
  <c r="X199" i="1"/>
  <c r="Y199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73" i="1"/>
  <c r="Y173" i="1" s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60" i="1"/>
  <c r="Y160" i="1" s="1"/>
  <c r="X161" i="1"/>
  <c r="Y161" i="1" s="1"/>
  <c r="X162" i="1"/>
  <c r="Y162" i="1" s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33" i="1"/>
  <c r="Y133" i="1" s="1"/>
  <c r="X134" i="1"/>
  <c r="Y134" i="1" s="1"/>
  <c r="X135" i="1"/>
  <c r="Y135" i="1" s="1"/>
  <c r="X136" i="1"/>
  <c r="Y136" i="1" s="1"/>
  <c r="X137" i="1"/>
  <c r="Y137" i="1" s="1"/>
  <c r="X138" i="1"/>
  <c r="Y138" i="1" s="1"/>
  <c r="X139" i="1"/>
  <c r="Y139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Y130" i="1" s="1"/>
  <c r="X131" i="1"/>
  <c r="Y131" i="1" s="1"/>
  <c r="X132" i="1"/>
  <c r="Y132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02" i="1"/>
  <c r="Y802" i="1" s="1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25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6" i="9"/>
  <c r="S72" i="1" l="1"/>
  <c r="S59" i="1"/>
  <c r="S64" i="1"/>
  <c r="S87" i="1"/>
  <c r="S36" i="1"/>
  <c r="S51" i="1"/>
  <c r="S1214" i="1"/>
  <c r="V1214" i="1" s="1"/>
  <c r="S1226" i="1"/>
  <c r="V1226" i="1" s="1"/>
  <c r="S1240" i="1"/>
  <c r="V1240" i="1" s="1"/>
  <c r="S1171" i="1"/>
  <c r="S1208" i="1"/>
  <c r="V1208" i="1" s="1"/>
  <c r="S16" i="1"/>
  <c r="S1192" i="1"/>
  <c r="S43" i="1"/>
  <c r="T64" i="1"/>
  <c r="U64" i="1" s="1"/>
  <c r="V64" i="1" s="1"/>
  <c r="S1187" i="1"/>
  <c r="V1187" i="1" s="1"/>
  <c r="S1170" i="1"/>
  <c r="T87" i="1"/>
  <c r="U87" i="1" s="1"/>
  <c r="S1218" i="1"/>
  <c r="V1218" i="1" s="1"/>
  <c r="T72" i="1"/>
  <c r="U72" i="1" s="1"/>
  <c r="V72" i="1" s="1"/>
  <c r="S1231" i="1"/>
  <c r="V1231" i="1" s="1"/>
  <c r="S1253" i="1"/>
  <c r="V1253" i="1" s="1"/>
  <c r="S34" i="1"/>
  <c r="S49" i="1"/>
  <c r="S70" i="1"/>
  <c r="S1184" i="1"/>
  <c r="S1183" i="1"/>
  <c r="S15" i="1"/>
  <c r="S1233" i="1"/>
  <c r="V1233" i="1" s="1"/>
  <c r="S1249" i="1"/>
  <c r="V1249" i="1" s="1"/>
  <c r="S31" i="1"/>
  <c r="S1168" i="1"/>
  <c r="S1174" i="1"/>
  <c r="S1207" i="1"/>
  <c r="S1236" i="1"/>
  <c r="V1236" i="1" s="1"/>
  <c r="S42" i="1"/>
  <c r="S57" i="1"/>
  <c r="S78" i="1"/>
  <c r="T16" i="1"/>
  <c r="U16" i="1" s="1"/>
  <c r="S1191" i="1"/>
  <c r="V1191" i="1" s="1"/>
  <c r="T43" i="1"/>
  <c r="U43" i="1" s="1"/>
  <c r="T36" i="1"/>
  <c r="U36" i="1" s="1"/>
  <c r="V36" i="1" s="1"/>
  <c r="T59" i="1"/>
  <c r="U59" i="1" s="1"/>
  <c r="V59" i="1" s="1"/>
  <c r="S1186" i="1"/>
  <c r="S1196" i="1"/>
  <c r="T51" i="1"/>
  <c r="U51" i="1" s="1"/>
  <c r="V51" i="1" s="1"/>
  <c r="T1171" i="1"/>
  <c r="U1171" i="1" s="1"/>
  <c r="V87" i="1"/>
  <c r="S1223" i="1"/>
  <c r="S1234" i="1"/>
  <c r="S1237" i="1"/>
  <c r="S1241" i="1"/>
  <c r="S1254" i="1"/>
  <c r="S1250" i="1"/>
  <c r="S1246" i="1"/>
  <c r="V1246" i="1" s="1"/>
  <c r="S1258" i="1"/>
  <c r="V1258" i="1" s="1"/>
  <c r="S1261" i="1"/>
  <c r="V1261" i="1" s="1"/>
  <c r="S1262" i="1"/>
  <c r="V1262" i="1" s="1"/>
  <c r="S1267" i="1"/>
  <c r="V1267" i="1" s="1"/>
  <c r="S1271" i="1"/>
  <c r="V1271" i="1" s="1"/>
  <c r="S1277" i="1"/>
  <c r="V1277" i="1" s="1"/>
  <c r="S1280" i="1"/>
  <c r="V1280" i="1" s="1"/>
  <c r="S1284" i="1"/>
  <c r="V1284" i="1" s="1"/>
  <c r="S14" i="1"/>
  <c r="V14" i="1" s="1"/>
  <c r="S10" i="1"/>
  <c r="V10" i="1" s="1"/>
  <c r="S6" i="1"/>
  <c r="V6" i="1" s="1"/>
  <c r="S2" i="1"/>
  <c r="V2" i="1" s="1"/>
  <c r="S25" i="1"/>
  <c r="V25" i="1" s="1"/>
  <c r="S21" i="1"/>
  <c r="V21" i="1" s="1"/>
  <c r="S17" i="1"/>
  <c r="V17" i="1" s="1"/>
  <c r="S30" i="1"/>
  <c r="V30" i="1" s="1"/>
  <c r="S41" i="1"/>
  <c r="V41" i="1" s="1"/>
  <c r="S37" i="1"/>
  <c r="V37" i="1" s="1"/>
  <c r="S33" i="1"/>
  <c r="V33" i="1" s="1"/>
  <c r="S60" i="1"/>
  <c r="V60" i="1" s="1"/>
  <c r="S56" i="1"/>
  <c r="V56" i="1" s="1"/>
  <c r="S52" i="1"/>
  <c r="V52" i="1" s="1"/>
  <c r="S48" i="1"/>
  <c r="V48" i="1" s="1"/>
  <c r="S65" i="1"/>
  <c r="V65" i="1" s="1"/>
  <c r="S77" i="1"/>
  <c r="V77" i="1" s="1"/>
  <c r="S73" i="1"/>
  <c r="V73" i="1" s="1"/>
  <c r="S69" i="1"/>
  <c r="V69" i="1" s="1"/>
  <c r="S88" i="1"/>
  <c r="V88" i="1" s="1"/>
  <c r="S1245" i="1"/>
  <c r="V1245" i="1" s="1"/>
  <c r="S1257" i="1"/>
  <c r="V1257" i="1" s="1"/>
  <c r="S1265" i="1"/>
  <c r="V1265" i="1" s="1"/>
  <c r="S1270" i="1"/>
  <c r="V1270" i="1" s="1"/>
  <c r="S1266" i="1"/>
  <c r="V1266" i="1" s="1"/>
  <c r="S1276" i="1"/>
  <c r="V1276" i="1" s="1"/>
  <c r="S1278" i="1"/>
  <c r="V1278" i="1" s="1"/>
  <c r="S1287" i="1"/>
  <c r="V1287" i="1" s="1"/>
  <c r="S1283" i="1"/>
  <c r="V1283" i="1" s="1"/>
  <c r="S13" i="1"/>
  <c r="V13" i="1" s="1"/>
  <c r="S9" i="1"/>
  <c r="V9" i="1" s="1"/>
  <c r="S5" i="1"/>
  <c r="V5" i="1" s="1"/>
  <c r="S28" i="1"/>
  <c r="V28" i="1" s="1"/>
  <c r="S24" i="1"/>
  <c r="V24" i="1" s="1"/>
  <c r="S20" i="1"/>
  <c r="V20" i="1" s="1"/>
  <c r="S44" i="1"/>
  <c r="V44" i="1" s="1"/>
  <c r="S40" i="1"/>
  <c r="V40" i="1" s="1"/>
  <c r="S32" i="1"/>
  <c r="V32" i="1" s="1"/>
  <c r="S55" i="1"/>
  <c r="V55" i="1" s="1"/>
  <c r="S47" i="1"/>
  <c r="V47" i="1" s="1"/>
  <c r="S76" i="1"/>
  <c r="V76" i="1" s="1"/>
  <c r="S68" i="1"/>
  <c r="V68" i="1" s="1"/>
  <c r="T15" i="1"/>
  <c r="U15" i="1" s="1"/>
  <c r="T42" i="1"/>
  <c r="U42" i="1" s="1"/>
  <c r="T34" i="1"/>
  <c r="U34" i="1" s="1"/>
  <c r="T57" i="1"/>
  <c r="U57" i="1" s="1"/>
  <c r="T49" i="1"/>
  <c r="U49" i="1" s="1"/>
  <c r="T78" i="1"/>
  <c r="U78" i="1" s="1"/>
  <c r="T70" i="1"/>
  <c r="U70" i="1" s="1"/>
  <c r="S1255" i="1"/>
  <c r="V1255" i="1" s="1"/>
  <c r="S1260" i="1"/>
  <c r="V1260" i="1" s="1"/>
  <c r="S1264" i="1"/>
  <c r="V1264" i="1" s="1"/>
  <c r="S1269" i="1"/>
  <c r="V1269" i="1" s="1"/>
  <c r="S1273" i="1"/>
  <c r="V1273" i="1" s="1"/>
  <c r="S1275" i="1"/>
  <c r="V1275" i="1" s="1"/>
  <c r="S1279" i="1"/>
  <c r="V1279" i="1" s="1"/>
  <c r="S1286" i="1"/>
  <c r="V1286" i="1" s="1"/>
  <c r="S1282" i="1"/>
  <c r="V1282" i="1" s="1"/>
  <c r="S12" i="1"/>
  <c r="V12" i="1" s="1"/>
  <c r="S8" i="1"/>
  <c r="V8" i="1" s="1"/>
  <c r="S4" i="1"/>
  <c r="V4" i="1" s="1"/>
  <c r="S27" i="1"/>
  <c r="V27" i="1" s="1"/>
  <c r="S23" i="1"/>
  <c r="V23" i="1" s="1"/>
  <c r="S19" i="1"/>
  <c r="V19" i="1" s="1"/>
  <c r="S39" i="1"/>
  <c r="V39" i="1" s="1"/>
  <c r="S35" i="1"/>
  <c r="V35" i="1" s="1"/>
  <c r="S62" i="1"/>
  <c r="V62" i="1" s="1"/>
  <c r="S58" i="1"/>
  <c r="V58" i="1" s="1"/>
  <c r="S54" i="1"/>
  <c r="V54" i="1" s="1"/>
  <c r="S50" i="1"/>
  <c r="V50" i="1" s="1"/>
  <c r="S46" i="1"/>
  <c r="V46" i="1" s="1"/>
  <c r="S63" i="1"/>
  <c r="V63" i="1" s="1"/>
  <c r="S75" i="1"/>
  <c r="V75" i="1" s="1"/>
  <c r="S71" i="1"/>
  <c r="V71" i="1" s="1"/>
  <c r="S67" i="1"/>
  <c r="V67" i="1" s="1"/>
  <c r="S86" i="1"/>
  <c r="V86" i="1" s="1"/>
  <c r="T31" i="1"/>
  <c r="U31" i="1" s="1"/>
  <c r="S1235" i="1"/>
  <c r="S1238" i="1"/>
  <c r="S1243" i="1"/>
  <c r="S1251" i="1"/>
  <c r="S1247" i="1"/>
  <c r="V1247" i="1" s="1"/>
  <c r="S1256" i="1"/>
  <c r="V1256" i="1" s="1"/>
  <c r="S1259" i="1"/>
  <c r="V1259" i="1" s="1"/>
  <c r="S1263" i="1"/>
  <c r="V1263" i="1" s="1"/>
  <c r="S1268" i="1"/>
  <c r="V1268" i="1" s="1"/>
  <c r="S1272" i="1"/>
  <c r="V1272" i="1" s="1"/>
  <c r="S1274" i="1"/>
  <c r="V1274" i="1" s="1"/>
  <c r="S1281" i="1"/>
  <c r="V1281" i="1" s="1"/>
  <c r="S1285" i="1"/>
  <c r="V1285" i="1" s="1"/>
  <c r="S29" i="1"/>
  <c r="V29" i="1" s="1"/>
  <c r="S11" i="1"/>
  <c r="V11" i="1" s="1"/>
  <c r="S7" i="1"/>
  <c r="V7" i="1" s="1"/>
  <c r="S3" i="1"/>
  <c r="V3" i="1" s="1"/>
  <c r="S26" i="1"/>
  <c r="V26" i="1" s="1"/>
  <c r="S22" i="1"/>
  <c r="V22" i="1" s="1"/>
  <c r="S18" i="1"/>
  <c r="V18" i="1" s="1"/>
  <c r="S38" i="1"/>
  <c r="V38" i="1" s="1"/>
  <c r="S61" i="1"/>
  <c r="V61" i="1" s="1"/>
  <c r="S53" i="1"/>
  <c r="V53" i="1" s="1"/>
  <c r="S45" i="1"/>
  <c r="V45" i="1" s="1"/>
  <c r="S74" i="1"/>
  <c r="V74" i="1" s="1"/>
  <c r="S66" i="1"/>
  <c r="V66" i="1" s="1"/>
  <c r="W1177" i="1"/>
  <c r="S1177" i="1"/>
  <c r="V1177" i="1" s="1"/>
  <c r="S1181" i="1"/>
  <c r="V1181" i="1" s="1"/>
  <c r="W1181" i="1"/>
  <c r="S1189" i="1"/>
  <c r="V1189" i="1" s="1"/>
  <c r="W1189" i="1"/>
  <c r="S1210" i="1"/>
  <c r="V1210" i="1" s="1"/>
  <c r="W1210" i="1"/>
  <c r="S1202" i="1"/>
  <c r="V1202" i="1" s="1"/>
  <c r="W1202" i="1"/>
  <c r="S1216" i="1"/>
  <c r="V1216" i="1" s="1"/>
  <c r="W1216" i="1"/>
  <c r="S1167" i="1"/>
  <c r="T1167" i="1"/>
  <c r="U1167" i="1" s="1"/>
  <c r="S1165" i="1"/>
  <c r="V1165" i="1" s="1"/>
  <c r="S1172" i="1"/>
  <c r="T1172" i="1"/>
  <c r="U1172" i="1" s="1"/>
  <c r="S1185" i="1"/>
  <c r="V1185" i="1" s="1"/>
  <c r="S1169" i="1"/>
  <c r="V1169" i="1" s="1"/>
  <c r="S1173" i="1"/>
  <c r="T1173" i="1"/>
  <c r="U1173" i="1" s="1"/>
  <c r="S1193" i="1"/>
  <c r="T1168" i="1"/>
  <c r="U1168" i="1" s="1"/>
  <c r="S1164" i="1"/>
  <c r="V1164" i="1" s="1"/>
  <c r="S1178" i="1"/>
  <c r="W1187" i="1"/>
  <c r="T1184" i="1"/>
  <c r="U1184" i="1" s="1"/>
  <c r="S1180" i="1"/>
  <c r="V1180" i="1" s="1"/>
  <c r="S1190" i="1"/>
  <c r="S1188" i="1"/>
  <c r="V1188" i="1" s="1"/>
  <c r="S1198" i="1"/>
  <c r="V1198" i="1" s="1"/>
  <c r="W1208" i="1"/>
  <c r="S1204" i="1"/>
  <c r="V1204" i="1" s="1"/>
  <c r="S1203" i="1"/>
  <c r="S1201" i="1"/>
  <c r="V1201" i="1" s="1"/>
  <c r="S1220" i="1"/>
  <c r="V1220" i="1" s="1"/>
  <c r="W1214" i="1"/>
  <c r="S1229" i="1"/>
  <c r="V1229" i="1" s="1"/>
  <c r="S1228" i="1"/>
  <c r="S1175" i="1"/>
  <c r="V1175" i="1" s="1"/>
  <c r="T1183" i="1"/>
  <c r="U1183" i="1" s="1"/>
  <c r="S1179" i="1"/>
  <c r="V1179" i="1" s="1"/>
  <c r="S1194" i="1"/>
  <c r="T1193" i="1"/>
  <c r="U1193" i="1" s="1"/>
  <c r="S1200" i="1"/>
  <c r="V1200" i="1" s="1"/>
  <c r="S1199" i="1"/>
  <c r="S1197" i="1"/>
  <c r="V1197" i="1" s="1"/>
  <c r="T1196" i="1"/>
  <c r="U1196" i="1" s="1"/>
  <c r="S1222" i="1"/>
  <c r="V1222" i="1" s="1"/>
  <c r="S1221" i="1"/>
  <c r="S1219" i="1"/>
  <c r="V1219" i="1" s="1"/>
  <c r="S1166" i="1"/>
  <c r="S1176" i="1"/>
  <c r="V1176" i="1" s="1"/>
  <c r="S1182" i="1"/>
  <c r="T1192" i="1"/>
  <c r="U1192" i="1" s="1"/>
  <c r="S1195" i="1"/>
  <c r="S1209" i="1"/>
  <c r="V1209" i="1" s="1"/>
  <c r="S1206" i="1"/>
  <c r="V1206" i="1" s="1"/>
  <c r="S1217" i="1"/>
  <c r="S1215" i="1"/>
  <c r="V1215" i="1" s="1"/>
  <c r="S1212" i="1"/>
  <c r="V1212" i="1" s="1"/>
  <c r="S1205" i="1"/>
  <c r="V1205" i="1" s="1"/>
  <c r="S1213" i="1"/>
  <c r="S1211" i="1"/>
  <c r="V1211" i="1" s="1"/>
  <c r="S1227" i="1"/>
  <c r="T1227" i="1"/>
  <c r="U1227" i="1" s="1"/>
  <c r="T1170" i="1"/>
  <c r="U1170" i="1" s="1"/>
  <c r="T1166" i="1"/>
  <c r="U1166" i="1" s="1"/>
  <c r="V1166" i="1" s="1"/>
  <c r="T1174" i="1"/>
  <c r="U1174" i="1" s="1"/>
  <c r="T1178" i="1"/>
  <c r="U1178" i="1" s="1"/>
  <c r="T1186" i="1"/>
  <c r="U1186" i="1" s="1"/>
  <c r="V1186" i="1" s="1"/>
  <c r="T1182" i="1"/>
  <c r="U1182" i="1" s="1"/>
  <c r="T1194" i="1"/>
  <c r="U1194" i="1" s="1"/>
  <c r="T1190" i="1"/>
  <c r="U1190" i="1" s="1"/>
  <c r="T1199" i="1"/>
  <c r="U1199" i="1" s="1"/>
  <c r="T1195" i="1"/>
  <c r="U1195" i="1" s="1"/>
  <c r="T1207" i="1"/>
  <c r="U1207" i="1" s="1"/>
  <c r="T1203" i="1"/>
  <c r="U1203" i="1" s="1"/>
  <c r="T1221" i="1"/>
  <c r="U1221" i="1" s="1"/>
  <c r="T1217" i="1"/>
  <c r="U1217" i="1" s="1"/>
  <c r="T1213" i="1"/>
  <c r="U1213" i="1" s="1"/>
  <c r="T1228" i="1"/>
  <c r="U1228" i="1" s="1"/>
  <c r="W1226" i="1"/>
  <c r="W1231" i="1"/>
  <c r="W1233" i="1"/>
  <c r="W1236" i="1"/>
  <c r="W1240" i="1"/>
  <c r="W1253" i="1"/>
  <c r="W1249" i="1"/>
  <c r="T1235" i="1"/>
  <c r="U1235" i="1" s="1"/>
  <c r="T1243" i="1"/>
  <c r="U1243" i="1" s="1"/>
  <c r="S1225" i="1"/>
  <c r="V1225" i="1" s="1"/>
  <c r="S1230" i="1"/>
  <c r="V1230" i="1" s="1"/>
  <c r="S1232" i="1"/>
  <c r="V1232" i="1" s="1"/>
  <c r="S1239" i="1"/>
  <c r="V1239" i="1" s="1"/>
  <c r="S1244" i="1"/>
  <c r="V1244" i="1" s="1"/>
  <c r="S1252" i="1"/>
  <c r="V1252" i="1" s="1"/>
  <c r="S1248" i="1"/>
  <c r="V1248" i="1" s="1"/>
  <c r="T1223" i="1"/>
  <c r="U1223" i="1" s="1"/>
  <c r="T1234" i="1"/>
  <c r="U1234" i="1" s="1"/>
  <c r="T1237" i="1"/>
  <c r="U1237" i="1" s="1"/>
  <c r="T1241" i="1"/>
  <c r="U1241" i="1" s="1"/>
  <c r="T1254" i="1"/>
  <c r="U1254" i="1" s="1"/>
  <c r="T1250" i="1"/>
  <c r="U1250" i="1" s="1"/>
  <c r="T1238" i="1"/>
  <c r="U1238" i="1" s="1"/>
  <c r="V1238" i="1" s="1"/>
  <c r="T1251" i="1"/>
  <c r="U1251" i="1" s="1"/>
  <c r="S1224" i="1"/>
  <c r="V1224" i="1" s="1"/>
  <c r="S1242" i="1"/>
  <c r="V1242" i="1" s="1"/>
  <c r="A27" i="9"/>
  <c r="A52" i="9"/>
  <c r="A77" i="9"/>
  <c r="A2" i="9"/>
  <c r="V1171" i="1" l="1"/>
  <c r="V1192" i="1"/>
  <c r="V1184" i="1"/>
  <c r="V1251" i="1"/>
  <c r="V1235" i="1"/>
  <c r="V16" i="1"/>
  <c r="V1250" i="1"/>
  <c r="V1174" i="1"/>
  <c r="V1168" i="1"/>
  <c r="V1170" i="1"/>
  <c r="V1173" i="1"/>
  <c r="V1196" i="1"/>
  <c r="V1194" i="1"/>
  <c r="V1234" i="1"/>
  <c r="V1217" i="1"/>
  <c r="V42" i="1"/>
  <c r="V15" i="1"/>
  <c r="V1241" i="1"/>
  <c r="V1228" i="1"/>
  <c r="V1203" i="1"/>
  <c r="V1223" i="1"/>
  <c r="V1207" i="1"/>
  <c r="V43" i="1"/>
  <c r="V1237" i="1"/>
  <c r="V49" i="1"/>
  <c r="V1243" i="1"/>
  <c r="V1172" i="1"/>
  <c r="V1183" i="1"/>
  <c r="V1195" i="1"/>
  <c r="V70" i="1"/>
  <c r="V1199" i="1"/>
  <c r="V78" i="1"/>
  <c r="V1213" i="1"/>
  <c r="V57" i="1"/>
  <c r="V1221" i="1"/>
  <c r="V1254" i="1"/>
  <c r="V1182" i="1"/>
  <c r="V31" i="1"/>
  <c r="V34" i="1"/>
  <c r="V1227" i="1"/>
  <c r="V1193" i="1"/>
  <c r="V1167" i="1"/>
  <c r="V1190" i="1"/>
  <c r="V1178" i="1"/>
  <c r="P10" i="7"/>
  <c r="Q10" i="7" s="1"/>
  <c r="J10" i="7"/>
  <c r="K10" i="7" s="1"/>
  <c r="D10" i="7"/>
  <c r="E10" i="7" s="1"/>
  <c r="P9" i="7"/>
  <c r="Q9" i="7" s="1"/>
  <c r="J9" i="7"/>
  <c r="K9" i="7" s="1"/>
  <c r="D9" i="7"/>
  <c r="E9" i="7" s="1"/>
  <c r="P5" i="7"/>
  <c r="Q5" i="7" s="1"/>
  <c r="J5" i="7"/>
  <c r="K5" i="7" s="1"/>
  <c r="D5" i="7"/>
  <c r="E5" i="7" s="1"/>
  <c r="D3" i="7"/>
  <c r="E3" i="7" s="1"/>
  <c r="D4" i="7"/>
  <c r="E4" i="7" s="1"/>
  <c r="D6" i="7"/>
  <c r="E6" i="7" s="1"/>
  <c r="D7" i="7"/>
  <c r="E7" i="7" s="1"/>
  <c r="D8" i="7"/>
  <c r="E8" i="7" s="1"/>
  <c r="D11" i="7"/>
  <c r="E11" i="7" s="1"/>
  <c r="D12" i="7"/>
  <c r="E12" i="7" s="1"/>
  <c r="D13" i="7"/>
  <c r="E13" i="7" s="1"/>
  <c r="D14" i="7"/>
  <c r="E14" i="7" s="1"/>
  <c r="D15" i="7"/>
  <c r="E15" i="7" s="1"/>
  <c r="D2" i="7"/>
  <c r="E2" i="7" s="1"/>
  <c r="P3" i="7"/>
  <c r="Q3" i="7" s="1"/>
  <c r="P4" i="7"/>
  <c r="Q4" i="7" s="1"/>
  <c r="P6" i="7"/>
  <c r="Q6" i="7" s="1"/>
  <c r="P7" i="7"/>
  <c r="Q7" i="7" s="1"/>
  <c r="P8" i="7"/>
  <c r="Q8" i="7" s="1"/>
  <c r="P11" i="7"/>
  <c r="Q11" i="7" s="1"/>
  <c r="P12" i="7"/>
  <c r="Q12" i="7" s="1"/>
  <c r="P13" i="7"/>
  <c r="Q13" i="7" s="1"/>
  <c r="P14" i="7"/>
  <c r="Q14" i="7" s="1"/>
  <c r="P15" i="7"/>
  <c r="Q15" i="7" s="1"/>
  <c r="J3" i="7"/>
  <c r="K3" i="7" s="1"/>
  <c r="J4" i="7"/>
  <c r="K4" i="7" s="1"/>
  <c r="J6" i="7"/>
  <c r="K6" i="7" s="1"/>
  <c r="J7" i="7"/>
  <c r="K7" i="7" s="1"/>
  <c r="J8" i="7"/>
  <c r="K8" i="7" s="1"/>
  <c r="J11" i="7"/>
  <c r="K11" i="7" s="1"/>
  <c r="J12" i="7"/>
  <c r="K12" i="7" s="1"/>
  <c r="J13" i="7"/>
  <c r="K13" i="7" s="1"/>
  <c r="J14" i="7"/>
  <c r="K14" i="7" s="1"/>
  <c r="J15" i="7"/>
  <c r="K15" i="7" s="1"/>
  <c r="P2" i="7"/>
  <c r="Q2" i="7" s="1"/>
  <c r="K2" i="7"/>
  <c r="T3" i="5"/>
  <c r="U3" i="5" s="1"/>
  <c r="R3" i="5"/>
  <c r="R2" i="5"/>
  <c r="P4" i="5"/>
  <c r="J1" i="6"/>
  <c r="M1" i="5"/>
  <c r="R83" i="1"/>
  <c r="R84" i="1"/>
  <c r="R85" i="1"/>
  <c r="R80" i="1"/>
  <c r="R81" i="1"/>
  <c r="R104" i="1"/>
  <c r="T104" i="1" s="1"/>
  <c r="U104" i="1" s="1"/>
  <c r="R79" i="1"/>
  <c r="R101" i="1"/>
  <c r="R102" i="1"/>
  <c r="T102" i="1" s="1"/>
  <c r="U102" i="1" s="1"/>
  <c r="R103" i="1"/>
  <c r="R98" i="1"/>
  <c r="R99" i="1"/>
  <c r="R100" i="1"/>
  <c r="T100" i="1" s="1"/>
  <c r="U100" i="1" s="1"/>
  <c r="R97" i="1"/>
  <c r="R96" i="1"/>
  <c r="R95" i="1"/>
  <c r="R94" i="1"/>
  <c r="T94" i="1" s="1"/>
  <c r="U94" i="1" s="1"/>
  <c r="R89" i="1"/>
  <c r="R90" i="1"/>
  <c r="R91" i="1"/>
  <c r="R92" i="1"/>
  <c r="R93" i="1"/>
  <c r="R118" i="1"/>
  <c r="R112" i="1"/>
  <c r="R113" i="1"/>
  <c r="R114" i="1"/>
  <c r="R115" i="1"/>
  <c r="R116" i="1"/>
  <c r="R117" i="1"/>
  <c r="R110" i="1"/>
  <c r="R111" i="1"/>
  <c r="T111" i="1" s="1"/>
  <c r="U111" i="1" s="1"/>
  <c r="R130" i="1"/>
  <c r="R131" i="1"/>
  <c r="R132" i="1"/>
  <c r="R105" i="1"/>
  <c r="R106" i="1"/>
  <c r="R107" i="1"/>
  <c r="T107" i="1" s="1"/>
  <c r="U107" i="1" s="1"/>
  <c r="R108" i="1"/>
  <c r="R109" i="1"/>
  <c r="R129" i="1"/>
  <c r="R126" i="1"/>
  <c r="R127" i="1"/>
  <c r="T127" i="1" s="1"/>
  <c r="U127" i="1" s="1"/>
  <c r="R128" i="1"/>
  <c r="R121" i="1"/>
  <c r="R122" i="1"/>
  <c r="R123" i="1"/>
  <c r="R124" i="1"/>
  <c r="R125" i="1"/>
  <c r="T125" i="1" s="1"/>
  <c r="U125" i="1" s="1"/>
  <c r="R139" i="1"/>
  <c r="R119" i="1"/>
  <c r="R120" i="1"/>
  <c r="R135" i="1"/>
  <c r="T135" i="1" s="1"/>
  <c r="U135" i="1" s="1"/>
  <c r="R136" i="1"/>
  <c r="R137" i="1"/>
  <c r="R138" i="1"/>
  <c r="R157" i="1"/>
  <c r="R158" i="1"/>
  <c r="R159" i="1"/>
  <c r="T159" i="1" s="1"/>
  <c r="U159" i="1" s="1"/>
  <c r="R133" i="1"/>
  <c r="R134" i="1"/>
  <c r="R153" i="1"/>
  <c r="R154" i="1"/>
  <c r="R155" i="1"/>
  <c r="R156" i="1"/>
  <c r="R150" i="1"/>
  <c r="R151" i="1"/>
  <c r="R152" i="1"/>
  <c r="R146" i="1"/>
  <c r="T146" i="1" s="1"/>
  <c r="U146" i="1" s="1"/>
  <c r="R147" i="1"/>
  <c r="T147" i="1" s="1"/>
  <c r="U147" i="1" s="1"/>
  <c r="R148" i="1"/>
  <c r="R149" i="1"/>
  <c r="R144" i="1"/>
  <c r="R145" i="1"/>
  <c r="R162" i="1"/>
  <c r="T162" i="1" s="1"/>
  <c r="U162" i="1" s="1"/>
  <c r="R140" i="1"/>
  <c r="R141" i="1"/>
  <c r="R142" i="1"/>
  <c r="R143" i="1"/>
  <c r="R171" i="1"/>
  <c r="R172" i="1"/>
  <c r="R160" i="1"/>
  <c r="R161" i="1"/>
  <c r="R169" i="1"/>
  <c r="R170" i="1"/>
  <c r="T170" i="1" s="1"/>
  <c r="U170" i="1" s="1"/>
  <c r="R167" i="1"/>
  <c r="R168" i="1"/>
  <c r="R164" i="1"/>
  <c r="R165" i="1"/>
  <c r="R166" i="1"/>
  <c r="R184" i="1"/>
  <c r="T184" i="1" s="1"/>
  <c r="U184" i="1" s="1"/>
  <c r="R185" i="1"/>
  <c r="R173" i="1"/>
  <c r="R163" i="1"/>
  <c r="R182" i="1"/>
  <c r="R183" i="1"/>
  <c r="T183" i="1" s="1"/>
  <c r="U183" i="1" s="1"/>
  <c r="R180" i="1"/>
  <c r="R181" i="1"/>
  <c r="R177" i="1"/>
  <c r="R178" i="1"/>
  <c r="R179" i="1"/>
  <c r="R175" i="1"/>
  <c r="T175" i="1" s="1"/>
  <c r="U175" i="1" s="1"/>
  <c r="R176" i="1"/>
  <c r="R197" i="1"/>
  <c r="R198" i="1"/>
  <c r="R199" i="1"/>
  <c r="R174" i="1"/>
  <c r="T174" i="1" s="1"/>
  <c r="U174" i="1" s="1"/>
  <c r="R194" i="1"/>
  <c r="R195" i="1"/>
  <c r="R196" i="1"/>
  <c r="R190" i="1"/>
  <c r="R191" i="1"/>
  <c r="R192" i="1"/>
  <c r="R193" i="1"/>
  <c r="R188" i="1"/>
  <c r="R189" i="1"/>
  <c r="R247" i="1"/>
  <c r="T247" i="1" s="1"/>
  <c r="U247" i="1" s="1"/>
  <c r="R248" i="1"/>
  <c r="R203" i="1"/>
  <c r="R200" i="1"/>
  <c r="R201" i="1"/>
  <c r="R202" i="1"/>
  <c r="R186" i="1"/>
  <c r="T186" i="1" s="1"/>
  <c r="U186" i="1" s="1"/>
  <c r="R187" i="1"/>
  <c r="R245" i="1"/>
  <c r="R246" i="1"/>
  <c r="R242" i="1"/>
  <c r="R243" i="1"/>
  <c r="R244" i="1"/>
  <c r="R238" i="1"/>
  <c r="R239" i="1"/>
  <c r="R240" i="1"/>
  <c r="R241" i="1"/>
  <c r="T241" i="1" s="1"/>
  <c r="U241" i="1" s="1"/>
  <c r="R236" i="1"/>
  <c r="T236" i="1" s="1"/>
  <c r="U236" i="1" s="1"/>
  <c r="R237" i="1"/>
  <c r="R234" i="1"/>
  <c r="R235" i="1"/>
  <c r="R232" i="1"/>
  <c r="R233" i="1"/>
  <c r="T233" i="1" s="1"/>
  <c r="U233" i="1" s="1"/>
  <c r="R228" i="1"/>
  <c r="R229" i="1"/>
  <c r="R230" i="1"/>
  <c r="R231" i="1"/>
  <c r="R226" i="1"/>
  <c r="R227" i="1"/>
  <c r="R222" i="1"/>
  <c r="R223" i="1"/>
  <c r="R224" i="1"/>
  <c r="R225" i="1"/>
  <c r="T225" i="1" s="1"/>
  <c r="U225" i="1" s="1"/>
  <c r="R217" i="1"/>
  <c r="R218" i="1"/>
  <c r="R219" i="1"/>
  <c r="R220" i="1"/>
  <c r="R221" i="1"/>
  <c r="R214" i="1"/>
  <c r="R215" i="1"/>
  <c r="R216" i="1"/>
  <c r="R212" i="1"/>
  <c r="R213" i="1"/>
  <c r="R206" i="1"/>
  <c r="R207" i="1"/>
  <c r="R208" i="1"/>
  <c r="R209" i="1"/>
  <c r="R210" i="1"/>
  <c r="R211" i="1"/>
  <c r="R268" i="1"/>
  <c r="R269" i="1"/>
  <c r="R204" i="1"/>
  <c r="R205" i="1"/>
  <c r="R266" i="1"/>
  <c r="R267" i="1"/>
  <c r="R265" i="1"/>
  <c r="R261" i="1"/>
  <c r="T261" i="1" s="1"/>
  <c r="U261" i="1" s="1"/>
  <c r="R262" i="1"/>
  <c r="R263" i="1"/>
  <c r="R264" i="1"/>
  <c r="R256" i="1"/>
  <c r="T256" i="1" s="1"/>
  <c r="U256" i="1" s="1"/>
  <c r="R257" i="1"/>
  <c r="R258" i="1"/>
  <c r="T258" i="1" s="1"/>
  <c r="U258" i="1" s="1"/>
  <c r="R259" i="1"/>
  <c r="R260" i="1"/>
  <c r="T260" i="1" s="1"/>
  <c r="U260" i="1" s="1"/>
  <c r="R291" i="1"/>
  <c r="R292" i="1"/>
  <c r="R293" i="1"/>
  <c r="T293" i="1" s="1"/>
  <c r="U293" i="1" s="1"/>
  <c r="R294" i="1"/>
  <c r="R272" i="1"/>
  <c r="R273" i="1"/>
  <c r="R270" i="1"/>
  <c r="R271" i="1"/>
  <c r="T271" i="1" s="1"/>
  <c r="U271" i="1" s="1"/>
  <c r="R249" i="1"/>
  <c r="R250" i="1"/>
  <c r="R251" i="1"/>
  <c r="R252" i="1"/>
  <c r="R253" i="1"/>
  <c r="R254" i="1"/>
  <c r="T254" i="1" s="1"/>
  <c r="U254" i="1" s="1"/>
  <c r="R255" i="1"/>
  <c r="R283" i="1"/>
  <c r="R284" i="1"/>
  <c r="R285" i="1"/>
  <c r="R286" i="1"/>
  <c r="R287" i="1"/>
  <c r="R288" i="1"/>
  <c r="R289" i="1"/>
  <c r="R290" i="1"/>
  <c r="R276" i="1"/>
  <c r="T276" i="1" s="1"/>
  <c r="U276" i="1" s="1"/>
  <c r="R277" i="1"/>
  <c r="R278" i="1"/>
  <c r="R279" i="1"/>
  <c r="R280" i="1"/>
  <c r="R281" i="1"/>
  <c r="R282" i="1"/>
  <c r="T282" i="1" s="1"/>
  <c r="U282" i="1" s="1"/>
  <c r="R296" i="1"/>
  <c r="R297" i="1"/>
  <c r="T297" i="1" s="1"/>
  <c r="U297" i="1" s="1"/>
  <c r="R298" i="1"/>
  <c r="R299" i="1"/>
  <c r="R300" i="1"/>
  <c r="T300" i="1" s="1"/>
  <c r="U300" i="1" s="1"/>
  <c r="R301" i="1"/>
  <c r="T301" i="1" s="1"/>
  <c r="U301" i="1" s="1"/>
  <c r="R302" i="1"/>
  <c r="R274" i="1"/>
  <c r="R275" i="1"/>
  <c r="R304" i="1"/>
  <c r="T304" i="1" s="1"/>
  <c r="U304" i="1" s="1"/>
  <c r="R305" i="1"/>
  <c r="R306" i="1"/>
  <c r="R307" i="1"/>
  <c r="R308" i="1"/>
  <c r="R309" i="1"/>
  <c r="R310" i="1"/>
  <c r="T310" i="1" s="1"/>
  <c r="U310" i="1" s="1"/>
  <c r="R295" i="1"/>
  <c r="R315" i="1"/>
  <c r="R316" i="1"/>
  <c r="R317" i="1"/>
  <c r="R318" i="1"/>
  <c r="R319" i="1"/>
  <c r="R303" i="1"/>
  <c r="R311" i="1"/>
  <c r="R312" i="1"/>
  <c r="R313" i="1"/>
  <c r="T313" i="1" s="1"/>
  <c r="U313" i="1" s="1"/>
  <c r="R314" i="1"/>
  <c r="T314" i="1" s="1"/>
  <c r="U314" i="1" s="1"/>
  <c r="R330" i="1"/>
  <c r="R320" i="1"/>
  <c r="R321" i="1"/>
  <c r="R322" i="1"/>
  <c r="R323" i="1"/>
  <c r="T323" i="1" s="1"/>
  <c r="U323" i="1" s="1"/>
  <c r="R324" i="1"/>
  <c r="R328" i="1"/>
  <c r="T328" i="1" s="1"/>
  <c r="U328" i="1" s="1"/>
  <c r="R329" i="1"/>
  <c r="R345" i="1"/>
  <c r="R346" i="1"/>
  <c r="T346" i="1" s="1"/>
  <c r="U346" i="1" s="1"/>
  <c r="R347" i="1"/>
  <c r="R348" i="1"/>
  <c r="R349" i="1"/>
  <c r="R325" i="1"/>
  <c r="R326" i="1"/>
  <c r="T326" i="1" s="1"/>
  <c r="U326" i="1" s="1"/>
  <c r="R327" i="1"/>
  <c r="R338" i="1"/>
  <c r="R339" i="1"/>
  <c r="R340" i="1"/>
  <c r="R341" i="1"/>
  <c r="R342" i="1"/>
  <c r="T342" i="1" s="1"/>
  <c r="U342" i="1" s="1"/>
  <c r="R343" i="1"/>
  <c r="R344" i="1"/>
  <c r="R334" i="1"/>
  <c r="R335" i="1"/>
  <c r="R336" i="1"/>
  <c r="R337" i="1"/>
  <c r="R359" i="1"/>
  <c r="R360" i="1"/>
  <c r="R361" i="1"/>
  <c r="R331" i="1"/>
  <c r="T331" i="1" s="1"/>
  <c r="U331" i="1" s="1"/>
  <c r="R332" i="1"/>
  <c r="R333" i="1"/>
  <c r="R367" i="1"/>
  <c r="R368" i="1"/>
  <c r="R350" i="1"/>
  <c r="R351" i="1"/>
  <c r="T351" i="1" s="1"/>
  <c r="U351" i="1" s="1"/>
  <c r="R352" i="1"/>
  <c r="R353" i="1"/>
  <c r="T353" i="1" s="1"/>
  <c r="U353" i="1" s="1"/>
  <c r="R354" i="1"/>
  <c r="R355" i="1"/>
  <c r="R356" i="1"/>
  <c r="T356" i="1" s="1"/>
  <c r="U356" i="1" s="1"/>
  <c r="R357" i="1"/>
  <c r="T357" i="1" s="1"/>
  <c r="U357" i="1" s="1"/>
  <c r="R358" i="1"/>
  <c r="R381" i="1"/>
  <c r="R369" i="1"/>
  <c r="R370" i="1"/>
  <c r="T370" i="1" s="1"/>
  <c r="U370" i="1" s="1"/>
  <c r="R362" i="1"/>
  <c r="R363" i="1"/>
  <c r="R364" i="1"/>
  <c r="R365" i="1"/>
  <c r="R366" i="1"/>
  <c r="R378" i="1"/>
  <c r="T378" i="1" s="1"/>
  <c r="U378" i="1" s="1"/>
  <c r="R379" i="1"/>
  <c r="R380" i="1"/>
  <c r="R387" i="1"/>
  <c r="R371" i="1"/>
  <c r="R372" i="1"/>
  <c r="R373" i="1"/>
  <c r="R374" i="1"/>
  <c r="R375" i="1"/>
  <c r="R376" i="1"/>
  <c r="R377" i="1"/>
  <c r="T377" i="1" s="1"/>
  <c r="U377" i="1" s="1"/>
  <c r="R396" i="1"/>
  <c r="T396" i="1" s="1"/>
  <c r="U396" i="1" s="1"/>
  <c r="R397" i="1"/>
  <c r="R388" i="1"/>
  <c r="R389" i="1"/>
  <c r="R390" i="1"/>
  <c r="R391" i="1"/>
  <c r="T391" i="1" s="1"/>
  <c r="U391" i="1" s="1"/>
  <c r="R392" i="1"/>
  <c r="R393" i="1"/>
  <c r="T393" i="1" s="1"/>
  <c r="U393" i="1" s="1"/>
  <c r="R394" i="1"/>
  <c r="R382" i="1"/>
  <c r="R383" i="1"/>
  <c r="T383" i="1" s="1"/>
  <c r="U383" i="1" s="1"/>
  <c r="R384" i="1"/>
  <c r="R385" i="1"/>
  <c r="R386" i="1"/>
  <c r="R399" i="1"/>
  <c r="R400" i="1"/>
  <c r="T400" i="1" s="1"/>
  <c r="U400" i="1" s="1"/>
  <c r="R401" i="1"/>
  <c r="R402" i="1"/>
  <c r="R403" i="1"/>
  <c r="R404" i="1"/>
  <c r="R405" i="1"/>
  <c r="R406" i="1"/>
  <c r="T406" i="1" s="1"/>
  <c r="U406" i="1" s="1"/>
  <c r="R407" i="1"/>
  <c r="R408" i="1"/>
  <c r="R409" i="1"/>
  <c r="R410" i="1"/>
  <c r="R411" i="1"/>
  <c r="R412" i="1"/>
  <c r="R413" i="1"/>
  <c r="R395" i="1"/>
  <c r="R426" i="1"/>
  <c r="R427" i="1"/>
  <c r="T427" i="1" s="1"/>
  <c r="U427" i="1" s="1"/>
  <c r="R398" i="1"/>
  <c r="R419" i="1"/>
  <c r="R420" i="1"/>
  <c r="R421" i="1"/>
  <c r="T421" i="1" s="1"/>
  <c r="U421" i="1" s="1"/>
  <c r="R422" i="1"/>
  <c r="R423" i="1"/>
  <c r="R424" i="1"/>
  <c r="R425" i="1"/>
  <c r="T425" i="1" s="1"/>
  <c r="U425" i="1" s="1"/>
  <c r="R435" i="1"/>
  <c r="R414" i="1"/>
  <c r="R415" i="1"/>
  <c r="R416" i="1"/>
  <c r="T416" i="1" s="1"/>
  <c r="U416" i="1" s="1"/>
  <c r="R417" i="1"/>
  <c r="R418" i="1"/>
  <c r="R446" i="1"/>
  <c r="R436" i="1"/>
  <c r="T436" i="1" s="1"/>
  <c r="U436" i="1" s="1"/>
  <c r="R437" i="1"/>
  <c r="R438" i="1"/>
  <c r="R428" i="1"/>
  <c r="R429" i="1"/>
  <c r="T429" i="1" s="1"/>
  <c r="U429" i="1" s="1"/>
  <c r="R430" i="1"/>
  <c r="R431" i="1"/>
  <c r="R432" i="1"/>
  <c r="R433" i="1"/>
  <c r="T433" i="1" s="1"/>
  <c r="U433" i="1" s="1"/>
  <c r="R434" i="1"/>
  <c r="R444" i="1"/>
  <c r="R445" i="1"/>
  <c r="T445" i="1" s="1"/>
  <c r="U445" i="1" s="1"/>
  <c r="R456" i="1"/>
  <c r="T456" i="1" s="1"/>
  <c r="U456" i="1" s="1"/>
  <c r="R457" i="1"/>
  <c r="R439" i="1"/>
  <c r="R440" i="1"/>
  <c r="R441" i="1"/>
  <c r="T441" i="1" s="1"/>
  <c r="U441" i="1" s="1"/>
  <c r="R442" i="1"/>
  <c r="R443" i="1"/>
  <c r="R461" i="1"/>
  <c r="R462" i="1"/>
  <c r="T462" i="1" s="1"/>
  <c r="U462" i="1" s="1"/>
  <c r="R463" i="1"/>
  <c r="R447" i="1"/>
  <c r="R448" i="1"/>
  <c r="R449" i="1"/>
  <c r="T449" i="1" s="1"/>
  <c r="U449" i="1" s="1"/>
  <c r="R450" i="1"/>
  <c r="R451" i="1"/>
  <c r="R452" i="1"/>
  <c r="R453" i="1"/>
  <c r="T453" i="1" s="1"/>
  <c r="U453" i="1" s="1"/>
  <c r="R454" i="1"/>
  <c r="R455" i="1"/>
  <c r="R478" i="1"/>
  <c r="R479" i="1"/>
  <c r="T479" i="1" s="1"/>
  <c r="U479" i="1" s="1"/>
  <c r="R480" i="1"/>
  <c r="R481" i="1"/>
  <c r="R482" i="1"/>
  <c r="R468" i="1"/>
  <c r="T468" i="1" s="1"/>
  <c r="U468" i="1" s="1"/>
  <c r="R469" i="1"/>
  <c r="R470" i="1"/>
  <c r="R471" i="1"/>
  <c r="R472" i="1"/>
  <c r="T472" i="1" s="1"/>
  <c r="U472" i="1" s="1"/>
  <c r="R473" i="1"/>
  <c r="R474" i="1"/>
  <c r="R464" i="1"/>
  <c r="R465" i="1"/>
  <c r="T465" i="1" s="1"/>
  <c r="U465" i="1" s="1"/>
  <c r="R466" i="1"/>
  <c r="R467" i="1"/>
  <c r="R458" i="1"/>
  <c r="R459" i="1"/>
  <c r="T459" i="1" s="1"/>
  <c r="U459" i="1" s="1"/>
  <c r="R460" i="1"/>
  <c r="R490" i="1"/>
  <c r="R483" i="1"/>
  <c r="R484" i="1"/>
  <c r="T484" i="1" s="1"/>
  <c r="U484" i="1" s="1"/>
  <c r="R475" i="1"/>
  <c r="R476" i="1"/>
  <c r="R477" i="1"/>
  <c r="R485" i="1"/>
  <c r="T485" i="1" s="1"/>
  <c r="U485" i="1" s="1"/>
  <c r="R486" i="1"/>
  <c r="R487" i="1"/>
  <c r="R488" i="1"/>
  <c r="R489" i="1"/>
  <c r="T489" i="1" s="1"/>
  <c r="U489" i="1" s="1"/>
  <c r="R496" i="1"/>
  <c r="R497" i="1"/>
  <c r="R498" i="1"/>
  <c r="R499" i="1"/>
  <c r="T499" i="1" s="1"/>
  <c r="U499" i="1" s="1"/>
  <c r="R500" i="1"/>
  <c r="R491" i="1"/>
  <c r="R492" i="1"/>
  <c r="R493" i="1"/>
  <c r="T493" i="1" s="1"/>
  <c r="U493" i="1" s="1"/>
  <c r="R494" i="1"/>
  <c r="R502" i="1"/>
  <c r="R503" i="1"/>
  <c r="R504" i="1"/>
  <c r="T504" i="1" s="1"/>
  <c r="U504" i="1" s="1"/>
  <c r="R505" i="1"/>
  <c r="R506" i="1"/>
  <c r="R507" i="1"/>
  <c r="T507" i="1" s="1"/>
  <c r="U507" i="1" s="1"/>
  <c r="R508" i="1"/>
  <c r="T508" i="1" s="1"/>
  <c r="U508" i="1" s="1"/>
  <c r="R495" i="1"/>
  <c r="R511" i="1"/>
  <c r="R512" i="1"/>
  <c r="R513" i="1"/>
  <c r="T513" i="1" s="1"/>
  <c r="U513" i="1" s="1"/>
  <c r="R514" i="1"/>
  <c r="R515" i="1"/>
  <c r="R516" i="1"/>
  <c r="R517" i="1"/>
  <c r="R501" i="1"/>
  <c r="R544" i="1"/>
  <c r="R545" i="1"/>
  <c r="R546" i="1"/>
  <c r="R547" i="1"/>
  <c r="R525" i="1"/>
  <c r="R526" i="1"/>
  <c r="R527" i="1"/>
  <c r="R528" i="1"/>
  <c r="R529" i="1"/>
  <c r="R530" i="1"/>
  <c r="R531" i="1"/>
  <c r="T531" i="1" s="1"/>
  <c r="U531" i="1" s="1"/>
  <c r="R532" i="1"/>
  <c r="R518" i="1"/>
  <c r="T518" i="1" s="1"/>
  <c r="U518" i="1" s="1"/>
  <c r="R519" i="1"/>
  <c r="R520" i="1"/>
  <c r="R521" i="1"/>
  <c r="R522" i="1"/>
  <c r="R523" i="1"/>
  <c r="R524" i="1"/>
  <c r="T524" i="1" s="1"/>
  <c r="U524" i="1" s="1"/>
  <c r="R509" i="1"/>
  <c r="R510" i="1"/>
  <c r="R542" i="1"/>
  <c r="R543" i="1"/>
  <c r="R540" i="1"/>
  <c r="T540" i="1" s="1"/>
  <c r="U540" i="1" s="1"/>
  <c r="R541" i="1"/>
  <c r="R562" i="1"/>
  <c r="R563" i="1"/>
  <c r="T563" i="1" s="1"/>
  <c r="U563" i="1" s="1"/>
  <c r="R558" i="1"/>
  <c r="R559" i="1"/>
  <c r="R557" i="1"/>
  <c r="T557" i="1" s="1"/>
  <c r="U557" i="1" s="1"/>
  <c r="R553" i="1"/>
  <c r="R554" i="1"/>
  <c r="R555" i="1"/>
  <c r="R556" i="1"/>
  <c r="R548" i="1"/>
  <c r="R549" i="1"/>
  <c r="R550" i="1"/>
  <c r="R551" i="1"/>
  <c r="R552" i="1"/>
  <c r="R533" i="1"/>
  <c r="R534" i="1"/>
  <c r="R535" i="1"/>
  <c r="R536" i="1"/>
  <c r="T536" i="1" s="1"/>
  <c r="U536" i="1" s="1"/>
  <c r="R537" i="1"/>
  <c r="R538" i="1"/>
  <c r="T538" i="1" s="1"/>
  <c r="U538" i="1" s="1"/>
  <c r="R539" i="1"/>
  <c r="R611" i="1"/>
  <c r="R612" i="1"/>
  <c r="R603" i="1"/>
  <c r="T603" i="1" s="1"/>
  <c r="U603" i="1" s="1"/>
  <c r="R604" i="1"/>
  <c r="R600" i="1"/>
  <c r="R601" i="1"/>
  <c r="T601" i="1" s="1"/>
  <c r="U601" i="1" s="1"/>
  <c r="R602" i="1"/>
  <c r="R596" i="1"/>
  <c r="R597" i="1"/>
  <c r="R598" i="1"/>
  <c r="R599" i="1"/>
  <c r="R594" i="1"/>
  <c r="T594" i="1" s="1"/>
  <c r="U594" i="1" s="1"/>
  <c r="R595" i="1"/>
  <c r="R592" i="1"/>
  <c r="R593" i="1"/>
  <c r="R590" i="1"/>
  <c r="R591" i="1"/>
  <c r="R586" i="1"/>
  <c r="R587" i="1"/>
  <c r="T587" i="1" s="1"/>
  <c r="U587" i="1" s="1"/>
  <c r="R588" i="1"/>
  <c r="R589" i="1"/>
  <c r="R584" i="1"/>
  <c r="R585" i="1"/>
  <c r="R580" i="1"/>
  <c r="R581" i="1"/>
  <c r="R582" i="1"/>
  <c r="R583" i="1"/>
  <c r="R575" i="1"/>
  <c r="R576" i="1"/>
  <c r="T576" i="1" s="1"/>
  <c r="U576" i="1" s="1"/>
  <c r="R577" i="1"/>
  <c r="R578" i="1"/>
  <c r="R579" i="1"/>
  <c r="R572" i="1"/>
  <c r="R573" i="1"/>
  <c r="T573" i="1" s="1"/>
  <c r="U573" i="1" s="1"/>
  <c r="R574" i="1"/>
  <c r="T574" i="1" s="1"/>
  <c r="U574" i="1" s="1"/>
  <c r="R570" i="1"/>
  <c r="R571" i="1"/>
  <c r="R564" i="1"/>
  <c r="R565" i="1"/>
  <c r="R566" i="1"/>
  <c r="T566" i="1" s="1"/>
  <c r="U566" i="1" s="1"/>
  <c r="R567" i="1"/>
  <c r="R568" i="1"/>
  <c r="T568" i="1" s="1"/>
  <c r="U568" i="1" s="1"/>
  <c r="R569" i="1"/>
  <c r="R560" i="1"/>
  <c r="R561" i="1"/>
  <c r="T561" i="1" s="1"/>
  <c r="U561" i="1" s="1"/>
  <c r="R610" i="1"/>
  <c r="R607" i="1"/>
  <c r="R608" i="1"/>
  <c r="R609" i="1"/>
  <c r="R623" i="1"/>
  <c r="R624" i="1"/>
  <c r="T624" i="1" s="1"/>
  <c r="U624" i="1" s="1"/>
  <c r="R625" i="1"/>
  <c r="R619" i="1"/>
  <c r="R620" i="1"/>
  <c r="R621" i="1"/>
  <c r="R615" i="1"/>
  <c r="T615" i="1" s="1"/>
  <c r="U615" i="1" s="1"/>
  <c r="R616" i="1"/>
  <c r="R617" i="1"/>
  <c r="R618" i="1"/>
  <c r="R613" i="1"/>
  <c r="R614" i="1"/>
  <c r="T614" i="1" s="1"/>
  <c r="U614" i="1" s="1"/>
  <c r="R605" i="1"/>
  <c r="R606" i="1"/>
  <c r="T606" i="1" s="1"/>
  <c r="U606" i="1" s="1"/>
  <c r="R637" i="1"/>
  <c r="R638" i="1"/>
  <c r="R633" i="1"/>
  <c r="R634" i="1"/>
  <c r="T634" i="1" s="1"/>
  <c r="U634" i="1" s="1"/>
  <c r="R631" i="1"/>
  <c r="R632" i="1"/>
  <c r="R628" i="1"/>
  <c r="T628" i="1" s="1"/>
  <c r="U628" i="1" s="1"/>
  <c r="R629" i="1"/>
  <c r="R630" i="1"/>
  <c r="R626" i="1"/>
  <c r="R627" i="1"/>
  <c r="R622" i="1"/>
  <c r="R636" i="1"/>
  <c r="R648" i="1"/>
  <c r="R649" i="1"/>
  <c r="R644" i="1"/>
  <c r="R645" i="1"/>
  <c r="R642" i="1"/>
  <c r="R643" i="1"/>
  <c r="R639" i="1"/>
  <c r="T639" i="1" s="1"/>
  <c r="U639" i="1" s="1"/>
  <c r="R640" i="1"/>
  <c r="R641" i="1"/>
  <c r="R635" i="1"/>
  <c r="R654" i="1"/>
  <c r="R646" i="1"/>
  <c r="R647" i="1"/>
  <c r="R670" i="1"/>
  <c r="R671" i="1"/>
  <c r="T671" i="1" s="1"/>
  <c r="U671" i="1" s="1"/>
  <c r="R672" i="1"/>
  <c r="R664" i="1"/>
  <c r="T664" i="1" s="1"/>
  <c r="U664" i="1" s="1"/>
  <c r="R665" i="1"/>
  <c r="R666" i="1"/>
  <c r="R667" i="1"/>
  <c r="R661" i="1"/>
  <c r="R662" i="1"/>
  <c r="T662" i="1" s="1"/>
  <c r="U662" i="1" s="1"/>
  <c r="R663" i="1"/>
  <c r="T663" i="1" s="1"/>
  <c r="U663" i="1" s="1"/>
  <c r="R657" i="1"/>
  <c r="R658" i="1"/>
  <c r="R659" i="1"/>
  <c r="R660" i="1"/>
  <c r="R655" i="1"/>
  <c r="T655" i="1" s="1"/>
  <c r="U655" i="1" s="1"/>
  <c r="R656" i="1"/>
  <c r="R650" i="1"/>
  <c r="R651" i="1"/>
  <c r="R652" i="1"/>
  <c r="R653" i="1"/>
  <c r="T653" i="1" s="1"/>
  <c r="U653" i="1" s="1"/>
  <c r="R679" i="1"/>
  <c r="R673" i="1"/>
  <c r="R674" i="1"/>
  <c r="R675" i="1"/>
  <c r="R676" i="1"/>
  <c r="R668" i="1"/>
  <c r="T668" i="1" s="1"/>
  <c r="U668" i="1" s="1"/>
  <c r="R669" i="1"/>
  <c r="R694" i="1"/>
  <c r="R695" i="1"/>
  <c r="R696" i="1"/>
  <c r="R688" i="1"/>
  <c r="T688" i="1" s="1"/>
  <c r="U688" i="1" s="1"/>
  <c r="R685" i="1"/>
  <c r="R686" i="1"/>
  <c r="R687" i="1"/>
  <c r="R680" i="1"/>
  <c r="R681" i="1"/>
  <c r="T681" i="1" s="1"/>
  <c r="U681" i="1" s="1"/>
  <c r="R682" i="1"/>
  <c r="R683" i="1"/>
  <c r="T683" i="1" s="1"/>
  <c r="U683" i="1" s="1"/>
  <c r="R684" i="1"/>
  <c r="R677" i="1"/>
  <c r="R678" i="1"/>
  <c r="R705" i="1"/>
  <c r="T705" i="1" s="1"/>
  <c r="U705" i="1" s="1"/>
  <c r="R699" i="1"/>
  <c r="R700" i="1"/>
  <c r="R701" i="1"/>
  <c r="R702" i="1"/>
  <c r="R703" i="1"/>
  <c r="R704" i="1"/>
  <c r="R697" i="1"/>
  <c r="R698" i="1"/>
  <c r="R689" i="1"/>
  <c r="R690" i="1"/>
  <c r="R691" i="1"/>
  <c r="R692" i="1"/>
  <c r="R693" i="1"/>
  <c r="R722" i="1"/>
  <c r="R718" i="1"/>
  <c r="R719" i="1"/>
  <c r="T719" i="1" s="1"/>
  <c r="U719" i="1" s="1"/>
  <c r="R720" i="1"/>
  <c r="R715" i="1"/>
  <c r="R716" i="1"/>
  <c r="R717" i="1"/>
  <c r="R714" i="1"/>
  <c r="R713" i="1"/>
  <c r="R712" i="1"/>
  <c r="R711" i="1"/>
  <c r="T711" i="1" s="1"/>
  <c r="U711" i="1" s="1"/>
  <c r="R706" i="1"/>
  <c r="R707" i="1"/>
  <c r="T707" i="1" s="1"/>
  <c r="U707" i="1" s="1"/>
  <c r="R708" i="1"/>
  <c r="R709" i="1"/>
  <c r="R710" i="1"/>
  <c r="R732" i="1"/>
  <c r="R733" i="1"/>
  <c r="R734" i="1"/>
  <c r="T734" i="1" s="1"/>
  <c r="U734" i="1" s="1"/>
  <c r="R725" i="1"/>
  <c r="R726" i="1"/>
  <c r="R727" i="1"/>
  <c r="R728" i="1"/>
  <c r="R723" i="1"/>
  <c r="T723" i="1" s="1"/>
  <c r="U723" i="1" s="1"/>
  <c r="R724" i="1"/>
  <c r="R721" i="1"/>
  <c r="R746" i="1"/>
  <c r="R747" i="1"/>
  <c r="R748" i="1"/>
  <c r="T748" i="1" s="1"/>
  <c r="U748" i="1" s="1"/>
  <c r="R735" i="1"/>
  <c r="R736" i="1"/>
  <c r="R737" i="1"/>
  <c r="R738" i="1"/>
  <c r="R739" i="1"/>
  <c r="R740" i="1"/>
  <c r="T740" i="1" s="1"/>
  <c r="U740" i="1" s="1"/>
  <c r="R741" i="1"/>
  <c r="R729" i="1"/>
  <c r="R730" i="1"/>
  <c r="R731" i="1"/>
  <c r="T731" i="1" s="1"/>
  <c r="U731" i="1" s="1"/>
  <c r="R743" i="1"/>
  <c r="T743" i="1" s="1"/>
  <c r="U743" i="1" s="1"/>
  <c r="R744" i="1"/>
  <c r="R745" i="1"/>
  <c r="R764" i="1"/>
  <c r="R765" i="1"/>
  <c r="R766" i="1"/>
  <c r="T766" i="1" s="1"/>
  <c r="U766" i="1" s="1"/>
  <c r="R757" i="1"/>
  <c r="R758" i="1"/>
  <c r="R759" i="1"/>
  <c r="R760" i="1"/>
  <c r="R761" i="1"/>
  <c r="R762" i="1"/>
  <c r="T762" i="1" s="1"/>
  <c r="U762" i="1" s="1"/>
  <c r="R749" i="1"/>
  <c r="R750" i="1"/>
  <c r="R751" i="1"/>
  <c r="R752" i="1"/>
  <c r="R753" i="1"/>
  <c r="R754" i="1"/>
  <c r="R755" i="1"/>
  <c r="R756" i="1"/>
  <c r="R742" i="1"/>
  <c r="R770" i="1"/>
  <c r="R771" i="1"/>
  <c r="R772" i="1"/>
  <c r="R773" i="1"/>
  <c r="R774" i="1"/>
  <c r="R775" i="1"/>
  <c r="R776" i="1"/>
  <c r="T776" i="1" s="1"/>
  <c r="U776" i="1" s="1"/>
  <c r="R777" i="1"/>
  <c r="T777" i="1" s="1"/>
  <c r="U777" i="1" s="1"/>
  <c r="R778" i="1"/>
  <c r="R767" i="1"/>
  <c r="R768" i="1"/>
  <c r="R769" i="1"/>
  <c r="R763" i="1"/>
  <c r="R791" i="1"/>
  <c r="R792" i="1"/>
  <c r="R795" i="1"/>
  <c r="R796" i="1"/>
  <c r="T796" i="1" s="1"/>
  <c r="U796" i="1" s="1"/>
  <c r="R797" i="1"/>
  <c r="R779" i="1"/>
  <c r="R780" i="1"/>
  <c r="R781" i="1"/>
  <c r="R782" i="1"/>
  <c r="R783" i="1"/>
  <c r="T783" i="1" s="1"/>
  <c r="U783" i="1" s="1"/>
  <c r="R784" i="1"/>
  <c r="R785" i="1"/>
  <c r="R786" i="1"/>
  <c r="R787" i="1"/>
  <c r="R788" i="1"/>
  <c r="T788" i="1" s="1"/>
  <c r="U788" i="1" s="1"/>
  <c r="R789" i="1"/>
  <c r="R802" i="1"/>
  <c r="R803" i="1"/>
  <c r="R804" i="1"/>
  <c r="R805" i="1"/>
  <c r="R806" i="1"/>
  <c r="R807" i="1"/>
  <c r="R808" i="1"/>
  <c r="T808" i="1" s="1"/>
  <c r="U808" i="1" s="1"/>
  <c r="R798" i="1"/>
  <c r="R799" i="1"/>
  <c r="R800" i="1"/>
  <c r="T800" i="1" s="1"/>
  <c r="U800" i="1" s="1"/>
  <c r="R801" i="1"/>
  <c r="R793" i="1"/>
  <c r="R794" i="1"/>
  <c r="R790" i="1"/>
  <c r="R82" i="1"/>
  <c r="Q83" i="1"/>
  <c r="W83" i="1" s="1"/>
  <c r="Q84" i="1"/>
  <c r="W84" i="1" s="1"/>
  <c r="Q85" i="1"/>
  <c r="W85" i="1" s="1"/>
  <c r="Q80" i="1"/>
  <c r="W80" i="1" s="1"/>
  <c r="Q81" i="1"/>
  <c r="W81" i="1" s="1"/>
  <c r="Q104" i="1"/>
  <c r="W104" i="1" s="1"/>
  <c r="Q79" i="1"/>
  <c r="W79" i="1" s="1"/>
  <c r="Q101" i="1"/>
  <c r="W101" i="1" s="1"/>
  <c r="Q102" i="1"/>
  <c r="W102" i="1" s="1"/>
  <c r="Q103" i="1"/>
  <c r="W103" i="1" s="1"/>
  <c r="Q98" i="1"/>
  <c r="W98" i="1" s="1"/>
  <c r="Q99" i="1"/>
  <c r="W99" i="1" s="1"/>
  <c r="Q100" i="1"/>
  <c r="W100" i="1" s="1"/>
  <c r="Q97" i="1"/>
  <c r="W97" i="1" s="1"/>
  <c r="Q96" i="1"/>
  <c r="W96" i="1" s="1"/>
  <c r="Q95" i="1"/>
  <c r="W95" i="1" s="1"/>
  <c r="Q94" i="1"/>
  <c r="W94" i="1" s="1"/>
  <c r="Q89" i="1"/>
  <c r="W89" i="1" s="1"/>
  <c r="Q90" i="1"/>
  <c r="W90" i="1" s="1"/>
  <c r="Q91" i="1"/>
  <c r="W91" i="1" s="1"/>
  <c r="Q92" i="1"/>
  <c r="W92" i="1" s="1"/>
  <c r="Q93" i="1"/>
  <c r="W93" i="1" s="1"/>
  <c r="Q118" i="1"/>
  <c r="W118" i="1" s="1"/>
  <c r="Q112" i="1"/>
  <c r="W112" i="1" s="1"/>
  <c r="Q113" i="1"/>
  <c r="W113" i="1" s="1"/>
  <c r="Q114" i="1"/>
  <c r="W114" i="1" s="1"/>
  <c r="Q115" i="1"/>
  <c r="W115" i="1" s="1"/>
  <c r="Q116" i="1"/>
  <c r="W116" i="1" s="1"/>
  <c r="Q117" i="1"/>
  <c r="W117" i="1" s="1"/>
  <c r="Q110" i="1"/>
  <c r="W110" i="1" s="1"/>
  <c r="Q111" i="1"/>
  <c r="W111" i="1" s="1"/>
  <c r="Q130" i="1"/>
  <c r="W130" i="1" s="1"/>
  <c r="Q131" i="1"/>
  <c r="W131" i="1" s="1"/>
  <c r="Q132" i="1"/>
  <c r="W132" i="1" s="1"/>
  <c r="Q105" i="1"/>
  <c r="W105" i="1" s="1"/>
  <c r="Q106" i="1"/>
  <c r="W106" i="1" s="1"/>
  <c r="Q107" i="1"/>
  <c r="W107" i="1" s="1"/>
  <c r="Q108" i="1"/>
  <c r="W108" i="1" s="1"/>
  <c r="Q109" i="1"/>
  <c r="W109" i="1" s="1"/>
  <c r="Q129" i="1"/>
  <c r="W129" i="1" s="1"/>
  <c r="Q126" i="1"/>
  <c r="W126" i="1" s="1"/>
  <c r="Q127" i="1"/>
  <c r="W127" i="1" s="1"/>
  <c r="Q128" i="1"/>
  <c r="W128" i="1" s="1"/>
  <c r="Q121" i="1"/>
  <c r="W121" i="1" s="1"/>
  <c r="Q122" i="1"/>
  <c r="W122" i="1" s="1"/>
  <c r="Q123" i="1"/>
  <c r="W123" i="1" s="1"/>
  <c r="Q124" i="1"/>
  <c r="W124" i="1" s="1"/>
  <c r="Q125" i="1"/>
  <c r="W125" i="1" s="1"/>
  <c r="Q139" i="1"/>
  <c r="W139" i="1" s="1"/>
  <c r="Q119" i="1"/>
  <c r="W119" i="1" s="1"/>
  <c r="Q120" i="1"/>
  <c r="W120" i="1" s="1"/>
  <c r="Q135" i="1"/>
  <c r="W135" i="1" s="1"/>
  <c r="Q136" i="1"/>
  <c r="W136" i="1" s="1"/>
  <c r="Q137" i="1"/>
  <c r="W137" i="1" s="1"/>
  <c r="Q138" i="1"/>
  <c r="W138" i="1" s="1"/>
  <c r="Q157" i="1"/>
  <c r="W157" i="1" s="1"/>
  <c r="Q158" i="1"/>
  <c r="W158" i="1" s="1"/>
  <c r="Q159" i="1"/>
  <c r="W159" i="1" s="1"/>
  <c r="Q133" i="1"/>
  <c r="W133" i="1" s="1"/>
  <c r="Q134" i="1"/>
  <c r="W134" i="1" s="1"/>
  <c r="Q153" i="1"/>
  <c r="W153" i="1" s="1"/>
  <c r="Q154" i="1"/>
  <c r="W154" i="1" s="1"/>
  <c r="Q155" i="1"/>
  <c r="W155" i="1" s="1"/>
  <c r="Q156" i="1"/>
  <c r="W156" i="1" s="1"/>
  <c r="Q150" i="1"/>
  <c r="W150" i="1" s="1"/>
  <c r="Q151" i="1"/>
  <c r="W151" i="1" s="1"/>
  <c r="Q152" i="1"/>
  <c r="W152" i="1" s="1"/>
  <c r="Q146" i="1"/>
  <c r="W146" i="1" s="1"/>
  <c r="Q147" i="1"/>
  <c r="W147" i="1" s="1"/>
  <c r="Q148" i="1"/>
  <c r="W148" i="1" s="1"/>
  <c r="Q149" i="1"/>
  <c r="W149" i="1" s="1"/>
  <c r="Q144" i="1"/>
  <c r="W144" i="1" s="1"/>
  <c r="Q145" i="1"/>
  <c r="W145" i="1" s="1"/>
  <c r="Q162" i="1"/>
  <c r="W162" i="1" s="1"/>
  <c r="Q140" i="1"/>
  <c r="W140" i="1" s="1"/>
  <c r="Q141" i="1"/>
  <c r="W141" i="1" s="1"/>
  <c r="Q142" i="1"/>
  <c r="W142" i="1" s="1"/>
  <c r="Q143" i="1"/>
  <c r="W143" i="1" s="1"/>
  <c r="Q171" i="1"/>
  <c r="W171" i="1" s="1"/>
  <c r="Q172" i="1"/>
  <c r="W172" i="1" s="1"/>
  <c r="Q160" i="1"/>
  <c r="W160" i="1" s="1"/>
  <c r="Q161" i="1"/>
  <c r="W161" i="1" s="1"/>
  <c r="Q169" i="1"/>
  <c r="W169" i="1" s="1"/>
  <c r="Q170" i="1"/>
  <c r="W170" i="1" s="1"/>
  <c r="Q167" i="1"/>
  <c r="W167" i="1" s="1"/>
  <c r="Q168" i="1"/>
  <c r="W168" i="1" s="1"/>
  <c r="Q164" i="1"/>
  <c r="W164" i="1" s="1"/>
  <c r="Q165" i="1"/>
  <c r="W165" i="1" s="1"/>
  <c r="Q166" i="1"/>
  <c r="W166" i="1" s="1"/>
  <c r="Q184" i="1"/>
  <c r="Q185" i="1"/>
  <c r="W185" i="1" s="1"/>
  <c r="Q173" i="1"/>
  <c r="W173" i="1" s="1"/>
  <c r="Q163" i="1"/>
  <c r="W163" i="1" s="1"/>
  <c r="Q182" i="1"/>
  <c r="W182" i="1" s="1"/>
  <c r="Q183" i="1"/>
  <c r="W183" i="1" s="1"/>
  <c r="Q180" i="1"/>
  <c r="W180" i="1" s="1"/>
  <c r="Q181" i="1"/>
  <c r="W181" i="1" s="1"/>
  <c r="Q177" i="1"/>
  <c r="W177" i="1" s="1"/>
  <c r="Q178" i="1"/>
  <c r="W178" i="1" s="1"/>
  <c r="Q179" i="1"/>
  <c r="W179" i="1" s="1"/>
  <c r="Q175" i="1"/>
  <c r="W175" i="1" s="1"/>
  <c r="Q176" i="1"/>
  <c r="W176" i="1" s="1"/>
  <c r="Q197" i="1"/>
  <c r="W197" i="1" s="1"/>
  <c r="Q198" i="1"/>
  <c r="W198" i="1" s="1"/>
  <c r="Q199" i="1"/>
  <c r="W199" i="1" s="1"/>
  <c r="Q174" i="1"/>
  <c r="W174" i="1" s="1"/>
  <c r="Q194" i="1"/>
  <c r="W194" i="1" s="1"/>
  <c r="Q195" i="1"/>
  <c r="W195" i="1" s="1"/>
  <c r="Q196" i="1"/>
  <c r="W196" i="1" s="1"/>
  <c r="Q190" i="1"/>
  <c r="W190" i="1" s="1"/>
  <c r="Q191" i="1"/>
  <c r="W191" i="1" s="1"/>
  <c r="Q192" i="1"/>
  <c r="W192" i="1" s="1"/>
  <c r="Q193" i="1"/>
  <c r="W193" i="1" s="1"/>
  <c r="Q188" i="1"/>
  <c r="W188" i="1" s="1"/>
  <c r="Q189" i="1"/>
  <c r="W189" i="1" s="1"/>
  <c r="Q247" i="1"/>
  <c r="W247" i="1" s="1"/>
  <c r="Q248" i="1"/>
  <c r="W248" i="1" s="1"/>
  <c r="Q203" i="1"/>
  <c r="W203" i="1" s="1"/>
  <c r="Q200" i="1"/>
  <c r="W200" i="1" s="1"/>
  <c r="Q201" i="1"/>
  <c r="W201" i="1" s="1"/>
  <c r="Q202" i="1"/>
  <c r="W202" i="1" s="1"/>
  <c r="Q186" i="1"/>
  <c r="W186" i="1" s="1"/>
  <c r="Q187" i="1"/>
  <c r="W187" i="1" s="1"/>
  <c r="Q245" i="1"/>
  <c r="W245" i="1" s="1"/>
  <c r="Q246" i="1"/>
  <c r="W246" i="1" s="1"/>
  <c r="Q242" i="1"/>
  <c r="W242" i="1" s="1"/>
  <c r="Q243" i="1"/>
  <c r="W243" i="1" s="1"/>
  <c r="Q244" i="1"/>
  <c r="W244" i="1" s="1"/>
  <c r="Q238" i="1"/>
  <c r="W238" i="1" s="1"/>
  <c r="Q239" i="1"/>
  <c r="W239" i="1" s="1"/>
  <c r="Q240" i="1"/>
  <c r="W240" i="1" s="1"/>
  <c r="Q241" i="1"/>
  <c r="W241" i="1" s="1"/>
  <c r="Q236" i="1"/>
  <c r="W236" i="1" s="1"/>
  <c r="Q237" i="1"/>
  <c r="W237" i="1" s="1"/>
  <c r="Q234" i="1"/>
  <c r="W234" i="1" s="1"/>
  <c r="Q235" i="1"/>
  <c r="W235" i="1" s="1"/>
  <c r="Q232" i="1"/>
  <c r="W232" i="1" s="1"/>
  <c r="Q233" i="1"/>
  <c r="W233" i="1" s="1"/>
  <c r="Q228" i="1"/>
  <c r="W228" i="1" s="1"/>
  <c r="Q229" i="1"/>
  <c r="W229" i="1" s="1"/>
  <c r="Q230" i="1"/>
  <c r="W230" i="1" s="1"/>
  <c r="Q231" i="1"/>
  <c r="W231" i="1" s="1"/>
  <c r="Q226" i="1"/>
  <c r="W226" i="1" s="1"/>
  <c r="Q227" i="1"/>
  <c r="W227" i="1" s="1"/>
  <c r="Q222" i="1"/>
  <c r="W222" i="1" s="1"/>
  <c r="Q223" i="1"/>
  <c r="W223" i="1" s="1"/>
  <c r="Q224" i="1"/>
  <c r="W224" i="1" s="1"/>
  <c r="Q225" i="1"/>
  <c r="W225" i="1" s="1"/>
  <c r="Q217" i="1"/>
  <c r="W217" i="1" s="1"/>
  <c r="Q218" i="1"/>
  <c r="W218" i="1" s="1"/>
  <c r="Q219" i="1"/>
  <c r="W219" i="1" s="1"/>
  <c r="Q220" i="1"/>
  <c r="W220" i="1" s="1"/>
  <c r="Q221" i="1"/>
  <c r="W221" i="1" s="1"/>
  <c r="Q214" i="1"/>
  <c r="W214" i="1" s="1"/>
  <c r="Q215" i="1"/>
  <c r="W215" i="1" s="1"/>
  <c r="Q216" i="1"/>
  <c r="W216" i="1" s="1"/>
  <c r="Q212" i="1"/>
  <c r="W212" i="1" s="1"/>
  <c r="Q213" i="1"/>
  <c r="W213" i="1" s="1"/>
  <c r="Q206" i="1"/>
  <c r="W206" i="1" s="1"/>
  <c r="Q207" i="1"/>
  <c r="W207" i="1" s="1"/>
  <c r="Q208" i="1"/>
  <c r="W208" i="1" s="1"/>
  <c r="Q209" i="1"/>
  <c r="W209" i="1" s="1"/>
  <c r="Q210" i="1"/>
  <c r="W210" i="1" s="1"/>
  <c r="Q211" i="1"/>
  <c r="W211" i="1" s="1"/>
  <c r="Q268" i="1"/>
  <c r="W268" i="1" s="1"/>
  <c r="Q269" i="1"/>
  <c r="W269" i="1" s="1"/>
  <c r="Q204" i="1"/>
  <c r="W204" i="1" s="1"/>
  <c r="Q205" i="1"/>
  <c r="W205" i="1" s="1"/>
  <c r="Q266" i="1"/>
  <c r="W266" i="1" s="1"/>
  <c r="Q267" i="1"/>
  <c r="W267" i="1" s="1"/>
  <c r="Q265" i="1"/>
  <c r="W265" i="1" s="1"/>
  <c r="Q261" i="1"/>
  <c r="W261" i="1" s="1"/>
  <c r="Q262" i="1"/>
  <c r="W262" i="1" s="1"/>
  <c r="Q263" i="1"/>
  <c r="W263" i="1" s="1"/>
  <c r="Q264" i="1"/>
  <c r="W264" i="1" s="1"/>
  <c r="Q256" i="1"/>
  <c r="Q257" i="1"/>
  <c r="W257" i="1" s="1"/>
  <c r="Q258" i="1"/>
  <c r="W258" i="1" s="1"/>
  <c r="Q259" i="1"/>
  <c r="W259" i="1" s="1"/>
  <c r="Q260" i="1"/>
  <c r="W260" i="1" s="1"/>
  <c r="Q291" i="1"/>
  <c r="W291" i="1" s="1"/>
  <c r="Q292" i="1"/>
  <c r="W292" i="1" s="1"/>
  <c r="Q293" i="1"/>
  <c r="W293" i="1" s="1"/>
  <c r="Q294" i="1"/>
  <c r="W294" i="1" s="1"/>
  <c r="Q272" i="1"/>
  <c r="W272" i="1" s="1"/>
  <c r="Q273" i="1"/>
  <c r="W273" i="1" s="1"/>
  <c r="Q270" i="1"/>
  <c r="W270" i="1" s="1"/>
  <c r="Q271" i="1"/>
  <c r="W271" i="1" s="1"/>
  <c r="Q249" i="1"/>
  <c r="W249" i="1" s="1"/>
  <c r="Q250" i="1"/>
  <c r="W250" i="1" s="1"/>
  <c r="Q251" i="1"/>
  <c r="W251" i="1" s="1"/>
  <c r="Q252" i="1"/>
  <c r="W252" i="1" s="1"/>
  <c r="Q253" i="1"/>
  <c r="W253" i="1" s="1"/>
  <c r="Q254" i="1"/>
  <c r="W254" i="1" s="1"/>
  <c r="Q255" i="1"/>
  <c r="W255" i="1" s="1"/>
  <c r="Q283" i="1"/>
  <c r="W283" i="1" s="1"/>
  <c r="Q284" i="1"/>
  <c r="W284" i="1" s="1"/>
  <c r="Q285" i="1"/>
  <c r="W285" i="1" s="1"/>
  <c r="Q286" i="1"/>
  <c r="W286" i="1" s="1"/>
  <c r="Q287" i="1"/>
  <c r="W287" i="1" s="1"/>
  <c r="Q288" i="1"/>
  <c r="W288" i="1" s="1"/>
  <c r="Q289" i="1"/>
  <c r="W289" i="1" s="1"/>
  <c r="Q290" i="1"/>
  <c r="W290" i="1" s="1"/>
  <c r="Q276" i="1"/>
  <c r="W276" i="1" s="1"/>
  <c r="Q277" i="1"/>
  <c r="W277" i="1" s="1"/>
  <c r="Q278" i="1"/>
  <c r="W278" i="1" s="1"/>
  <c r="Q279" i="1"/>
  <c r="W279" i="1" s="1"/>
  <c r="Q280" i="1"/>
  <c r="W280" i="1" s="1"/>
  <c r="Q281" i="1"/>
  <c r="W281" i="1" s="1"/>
  <c r="Q282" i="1"/>
  <c r="W282" i="1" s="1"/>
  <c r="Q296" i="1"/>
  <c r="W296" i="1" s="1"/>
  <c r="Q297" i="1"/>
  <c r="W297" i="1" s="1"/>
  <c r="Q298" i="1"/>
  <c r="W298" i="1" s="1"/>
  <c r="Q299" i="1"/>
  <c r="W299" i="1" s="1"/>
  <c r="Q300" i="1"/>
  <c r="W300" i="1" s="1"/>
  <c r="Q301" i="1"/>
  <c r="W301" i="1" s="1"/>
  <c r="Q302" i="1"/>
  <c r="W302" i="1" s="1"/>
  <c r="Q274" i="1"/>
  <c r="W274" i="1" s="1"/>
  <c r="Q275" i="1"/>
  <c r="W275" i="1" s="1"/>
  <c r="Q304" i="1"/>
  <c r="W304" i="1" s="1"/>
  <c r="Q305" i="1"/>
  <c r="W305" i="1" s="1"/>
  <c r="Q306" i="1"/>
  <c r="W306" i="1" s="1"/>
  <c r="Q307" i="1"/>
  <c r="W307" i="1" s="1"/>
  <c r="Q308" i="1"/>
  <c r="W308" i="1" s="1"/>
  <c r="Q309" i="1"/>
  <c r="W309" i="1" s="1"/>
  <c r="Q310" i="1"/>
  <c r="W310" i="1" s="1"/>
  <c r="Q295" i="1"/>
  <c r="W295" i="1" s="1"/>
  <c r="Q315" i="1"/>
  <c r="W315" i="1" s="1"/>
  <c r="Q316" i="1"/>
  <c r="W316" i="1" s="1"/>
  <c r="Q317" i="1"/>
  <c r="W317" i="1" s="1"/>
  <c r="Q318" i="1"/>
  <c r="W318" i="1" s="1"/>
  <c r="Q319" i="1"/>
  <c r="W319" i="1" s="1"/>
  <c r="Q303" i="1"/>
  <c r="W303" i="1" s="1"/>
  <c r="Q311" i="1"/>
  <c r="W311" i="1" s="1"/>
  <c r="Q312" i="1"/>
  <c r="W312" i="1" s="1"/>
  <c r="Q313" i="1"/>
  <c r="W313" i="1" s="1"/>
  <c r="Q314" i="1"/>
  <c r="W314" i="1" s="1"/>
  <c r="Q330" i="1"/>
  <c r="W330" i="1" s="1"/>
  <c r="Q320" i="1"/>
  <c r="W320" i="1" s="1"/>
  <c r="Q321" i="1"/>
  <c r="W321" i="1" s="1"/>
  <c r="Q322" i="1"/>
  <c r="W322" i="1" s="1"/>
  <c r="Q323" i="1"/>
  <c r="W323" i="1" s="1"/>
  <c r="Q324" i="1"/>
  <c r="W324" i="1" s="1"/>
  <c r="Q328" i="1"/>
  <c r="W328" i="1" s="1"/>
  <c r="Q329" i="1"/>
  <c r="W329" i="1" s="1"/>
  <c r="Q345" i="1"/>
  <c r="W345" i="1" s="1"/>
  <c r="Q346" i="1"/>
  <c r="W346" i="1" s="1"/>
  <c r="Q347" i="1"/>
  <c r="W347" i="1" s="1"/>
  <c r="Q348" i="1"/>
  <c r="W348" i="1" s="1"/>
  <c r="Q349" i="1"/>
  <c r="W349" i="1" s="1"/>
  <c r="Q325" i="1"/>
  <c r="W325" i="1" s="1"/>
  <c r="Q326" i="1"/>
  <c r="W326" i="1" s="1"/>
  <c r="Q327" i="1"/>
  <c r="W327" i="1" s="1"/>
  <c r="Q338" i="1"/>
  <c r="W338" i="1" s="1"/>
  <c r="Q339" i="1"/>
  <c r="W339" i="1" s="1"/>
  <c r="Q340" i="1"/>
  <c r="W340" i="1" s="1"/>
  <c r="Q341" i="1"/>
  <c r="W341" i="1" s="1"/>
  <c r="Q342" i="1"/>
  <c r="W342" i="1" s="1"/>
  <c r="Q343" i="1"/>
  <c r="W343" i="1" s="1"/>
  <c r="Q344" i="1"/>
  <c r="W344" i="1" s="1"/>
  <c r="Q334" i="1"/>
  <c r="W334" i="1" s="1"/>
  <c r="Q335" i="1"/>
  <c r="W335" i="1" s="1"/>
  <c r="Q336" i="1"/>
  <c r="W336" i="1" s="1"/>
  <c r="Q337" i="1"/>
  <c r="W337" i="1" s="1"/>
  <c r="Q359" i="1"/>
  <c r="W359" i="1" s="1"/>
  <c r="Q360" i="1"/>
  <c r="W360" i="1" s="1"/>
  <c r="Q361" i="1"/>
  <c r="W361" i="1" s="1"/>
  <c r="Q331" i="1"/>
  <c r="W331" i="1" s="1"/>
  <c r="Q332" i="1"/>
  <c r="W332" i="1" s="1"/>
  <c r="Q333" i="1"/>
  <c r="W333" i="1" s="1"/>
  <c r="Q367" i="1"/>
  <c r="W367" i="1" s="1"/>
  <c r="Q368" i="1"/>
  <c r="W368" i="1" s="1"/>
  <c r="Q350" i="1"/>
  <c r="W350" i="1" s="1"/>
  <c r="Q351" i="1"/>
  <c r="W351" i="1" s="1"/>
  <c r="Q352" i="1"/>
  <c r="W352" i="1" s="1"/>
  <c r="Q353" i="1"/>
  <c r="W353" i="1" s="1"/>
  <c r="Q354" i="1"/>
  <c r="W354" i="1" s="1"/>
  <c r="Q355" i="1"/>
  <c r="W355" i="1" s="1"/>
  <c r="Q356" i="1"/>
  <c r="W356" i="1" s="1"/>
  <c r="Q357" i="1"/>
  <c r="Q358" i="1"/>
  <c r="W358" i="1" s="1"/>
  <c r="Q381" i="1"/>
  <c r="W381" i="1" s="1"/>
  <c r="Q369" i="1"/>
  <c r="W369" i="1" s="1"/>
  <c r="Q370" i="1"/>
  <c r="W370" i="1" s="1"/>
  <c r="Q362" i="1"/>
  <c r="W362" i="1" s="1"/>
  <c r="Q363" i="1"/>
  <c r="W363" i="1" s="1"/>
  <c r="Q364" i="1"/>
  <c r="W364" i="1" s="1"/>
  <c r="Q365" i="1"/>
  <c r="W365" i="1" s="1"/>
  <c r="Q366" i="1"/>
  <c r="W366" i="1" s="1"/>
  <c r="Q378" i="1"/>
  <c r="W378" i="1" s="1"/>
  <c r="Q379" i="1"/>
  <c r="W379" i="1" s="1"/>
  <c r="Q380" i="1"/>
  <c r="W380" i="1" s="1"/>
  <c r="Q387" i="1"/>
  <c r="W387" i="1" s="1"/>
  <c r="Q371" i="1"/>
  <c r="W371" i="1" s="1"/>
  <c r="Q372" i="1"/>
  <c r="W372" i="1" s="1"/>
  <c r="Q373" i="1"/>
  <c r="W373" i="1" s="1"/>
  <c r="Q374" i="1"/>
  <c r="W374" i="1" s="1"/>
  <c r="Q375" i="1"/>
  <c r="W375" i="1" s="1"/>
  <c r="Q376" i="1"/>
  <c r="W376" i="1" s="1"/>
  <c r="Q377" i="1"/>
  <c r="W377" i="1" s="1"/>
  <c r="Q396" i="1"/>
  <c r="W396" i="1" s="1"/>
  <c r="Q397" i="1"/>
  <c r="W397" i="1" s="1"/>
  <c r="Q388" i="1"/>
  <c r="W388" i="1" s="1"/>
  <c r="Q389" i="1"/>
  <c r="W389" i="1" s="1"/>
  <c r="Q390" i="1"/>
  <c r="W390" i="1" s="1"/>
  <c r="Q391" i="1"/>
  <c r="W391" i="1" s="1"/>
  <c r="Q392" i="1"/>
  <c r="W392" i="1" s="1"/>
  <c r="Q393" i="1"/>
  <c r="W393" i="1" s="1"/>
  <c r="Q394" i="1"/>
  <c r="W394" i="1" s="1"/>
  <c r="Q382" i="1"/>
  <c r="W382" i="1" s="1"/>
  <c r="Q383" i="1"/>
  <c r="W383" i="1" s="1"/>
  <c r="Q384" i="1"/>
  <c r="W384" i="1" s="1"/>
  <c r="Q385" i="1"/>
  <c r="W385" i="1" s="1"/>
  <c r="Q386" i="1"/>
  <c r="W386" i="1" s="1"/>
  <c r="Q399" i="1"/>
  <c r="W399" i="1" s="1"/>
  <c r="Q400" i="1"/>
  <c r="W400" i="1" s="1"/>
  <c r="Q401" i="1"/>
  <c r="W401" i="1" s="1"/>
  <c r="Q402" i="1"/>
  <c r="W402" i="1" s="1"/>
  <c r="Q403" i="1"/>
  <c r="W403" i="1" s="1"/>
  <c r="Q404" i="1"/>
  <c r="W404" i="1" s="1"/>
  <c r="Q405" i="1"/>
  <c r="W405" i="1" s="1"/>
  <c r="Q406" i="1"/>
  <c r="W406" i="1" s="1"/>
  <c r="Q407" i="1"/>
  <c r="W407" i="1" s="1"/>
  <c r="Q408" i="1"/>
  <c r="W408" i="1" s="1"/>
  <c r="Q409" i="1"/>
  <c r="W409" i="1" s="1"/>
  <c r="Q410" i="1"/>
  <c r="W410" i="1" s="1"/>
  <c r="Q411" i="1"/>
  <c r="W411" i="1" s="1"/>
  <c r="Q412" i="1"/>
  <c r="W412" i="1" s="1"/>
  <c r="Q413" i="1"/>
  <c r="W413" i="1" s="1"/>
  <c r="Q395" i="1"/>
  <c r="W395" i="1" s="1"/>
  <c r="Q426" i="1"/>
  <c r="W426" i="1" s="1"/>
  <c r="Q427" i="1"/>
  <c r="W427" i="1" s="1"/>
  <c r="Q398" i="1"/>
  <c r="W398" i="1" s="1"/>
  <c r="Q419" i="1"/>
  <c r="W419" i="1" s="1"/>
  <c r="Q420" i="1"/>
  <c r="W420" i="1" s="1"/>
  <c r="Q421" i="1"/>
  <c r="W421" i="1" s="1"/>
  <c r="Q422" i="1"/>
  <c r="W422" i="1" s="1"/>
  <c r="Q423" i="1"/>
  <c r="W423" i="1" s="1"/>
  <c r="Q424" i="1"/>
  <c r="W424" i="1" s="1"/>
  <c r="Q425" i="1"/>
  <c r="W425" i="1" s="1"/>
  <c r="Q435" i="1"/>
  <c r="W435" i="1" s="1"/>
  <c r="Q414" i="1"/>
  <c r="W414" i="1" s="1"/>
  <c r="Q415" i="1"/>
  <c r="W415" i="1" s="1"/>
  <c r="Q416" i="1"/>
  <c r="W416" i="1" s="1"/>
  <c r="Q417" i="1"/>
  <c r="W417" i="1" s="1"/>
  <c r="Q418" i="1"/>
  <c r="W418" i="1" s="1"/>
  <c r="Q446" i="1"/>
  <c r="W446" i="1" s="1"/>
  <c r="Q436" i="1"/>
  <c r="W436" i="1" s="1"/>
  <c r="Q437" i="1"/>
  <c r="W437" i="1" s="1"/>
  <c r="Q438" i="1"/>
  <c r="W438" i="1" s="1"/>
  <c r="Q428" i="1"/>
  <c r="W428" i="1" s="1"/>
  <c r="Q429" i="1"/>
  <c r="W429" i="1" s="1"/>
  <c r="Q430" i="1"/>
  <c r="W430" i="1" s="1"/>
  <c r="Q431" i="1"/>
  <c r="W431" i="1" s="1"/>
  <c r="Q432" i="1"/>
  <c r="W432" i="1" s="1"/>
  <c r="Q433" i="1"/>
  <c r="W433" i="1" s="1"/>
  <c r="Q434" i="1"/>
  <c r="W434" i="1" s="1"/>
  <c r="Q444" i="1"/>
  <c r="W444" i="1" s="1"/>
  <c r="Q445" i="1"/>
  <c r="W445" i="1" s="1"/>
  <c r="Q456" i="1"/>
  <c r="W456" i="1" s="1"/>
  <c r="Q457" i="1"/>
  <c r="W457" i="1" s="1"/>
  <c r="Q439" i="1"/>
  <c r="W439" i="1" s="1"/>
  <c r="Q440" i="1"/>
  <c r="W440" i="1" s="1"/>
  <c r="Q441" i="1"/>
  <c r="W441" i="1" s="1"/>
  <c r="Q442" i="1"/>
  <c r="W442" i="1" s="1"/>
  <c r="Q443" i="1"/>
  <c r="W443" i="1" s="1"/>
  <c r="Q461" i="1"/>
  <c r="W461" i="1" s="1"/>
  <c r="Q462" i="1"/>
  <c r="W462" i="1" s="1"/>
  <c r="Q463" i="1"/>
  <c r="W463" i="1" s="1"/>
  <c r="Q447" i="1"/>
  <c r="W447" i="1" s="1"/>
  <c r="Q448" i="1"/>
  <c r="W448" i="1" s="1"/>
  <c r="Q449" i="1"/>
  <c r="W449" i="1" s="1"/>
  <c r="Q450" i="1"/>
  <c r="W450" i="1" s="1"/>
  <c r="Q451" i="1"/>
  <c r="W451" i="1" s="1"/>
  <c r="Q452" i="1"/>
  <c r="W452" i="1" s="1"/>
  <c r="Q453" i="1"/>
  <c r="W453" i="1" s="1"/>
  <c r="Q454" i="1"/>
  <c r="W454" i="1" s="1"/>
  <c r="Q455" i="1"/>
  <c r="W455" i="1" s="1"/>
  <c r="Q478" i="1"/>
  <c r="W478" i="1" s="1"/>
  <c r="Q479" i="1"/>
  <c r="W479" i="1" s="1"/>
  <c r="Q480" i="1"/>
  <c r="W480" i="1" s="1"/>
  <c r="Q481" i="1"/>
  <c r="W481" i="1" s="1"/>
  <c r="Q482" i="1"/>
  <c r="W482" i="1" s="1"/>
  <c r="Q468" i="1"/>
  <c r="W468" i="1" s="1"/>
  <c r="Q469" i="1"/>
  <c r="W469" i="1" s="1"/>
  <c r="Q470" i="1"/>
  <c r="W470" i="1" s="1"/>
  <c r="Q471" i="1"/>
  <c r="W471" i="1" s="1"/>
  <c r="Q472" i="1"/>
  <c r="W472" i="1" s="1"/>
  <c r="Q473" i="1"/>
  <c r="W473" i="1" s="1"/>
  <c r="Q474" i="1"/>
  <c r="W474" i="1" s="1"/>
  <c r="Q464" i="1"/>
  <c r="W464" i="1" s="1"/>
  <c r="Q465" i="1"/>
  <c r="W465" i="1" s="1"/>
  <c r="Q466" i="1"/>
  <c r="W466" i="1" s="1"/>
  <c r="Q467" i="1"/>
  <c r="W467" i="1" s="1"/>
  <c r="Q458" i="1"/>
  <c r="W458" i="1" s="1"/>
  <c r="Q459" i="1"/>
  <c r="W459" i="1" s="1"/>
  <c r="Q460" i="1"/>
  <c r="W460" i="1" s="1"/>
  <c r="Q490" i="1"/>
  <c r="W490" i="1" s="1"/>
  <c r="Q483" i="1"/>
  <c r="W483" i="1" s="1"/>
  <c r="Q484" i="1"/>
  <c r="W484" i="1" s="1"/>
  <c r="Q475" i="1"/>
  <c r="W475" i="1" s="1"/>
  <c r="Q476" i="1"/>
  <c r="W476" i="1" s="1"/>
  <c r="Q477" i="1"/>
  <c r="W477" i="1" s="1"/>
  <c r="Q485" i="1"/>
  <c r="W485" i="1" s="1"/>
  <c r="Q486" i="1"/>
  <c r="W486" i="1" s="1"/>
  <c r="Q487" i="1"/>
  <c r="W487" i="1" s="1"/>
  <c r="Q488" i="1"/>
  <c r="W488" i="1" s="1"/>
  <c r="Q489" i="1"/>
  <c r="W489" i="1" s="1"/>
  <c r="Q496" i="1"/>
  <c r="W496" i="1" s="1"/>
  <c r="Q497" i="1"/>
  <c r="W497" i="1" s="1"/>
  <c r="Q498" i="1"/>
  <c r="W498" i="1" s="1"/>
  <c r="Q499" i="1"/>
  <c r="W499" i="1" s="1"/>
  <c r="Q500" i="1"/>
  <c r="W500" i="1" s="1"/>
  <c r="Q491" i="1"/>
  <c r="W491" i="1" s="1"/>
  <c r="Q492" i="1"/>
  <c r="W492" i="1" s="1"/>
  <c r="Q493" i="1"/>
  <c r="W493" i="1" s="1"/>
  <c r="Q494" i="1"/>
  <c r="W494" i="1" s="1"/>
  <c r="Q502" i="1"/>
  <c r="W502" i="1" s="1"/>
  <c r="Q503" i="1"/>
  <c r="W503" i="1" s="1"/>
  <c r="Q504" i="1"/>
  <c r="W504" i="1" s="1"/>
  <c r="Q505" i="1"/>
  <c r="W505" i="1" s="1"/>
  <c r="Q506" i="1"/>
  <c r="W506" i="1" s="1"/>
  <c r="Q507" i="1"/>
  <c r="Q508" i="1"/>
  <c r="W508" i="1" s="1"/>
  <c r="Q495" i="1"/>
  <c r="W495" i="1" s="1"/>
  <c r="Q511" i="1"/>
  <c r="W511" i="1" s="1"/>
  <c r="Q512" i="1"/>
  <c r="W512" i="1" s="1"/>
  <c r="Q513" i="1"/>
  <c r="W513" i="1" s="1"/>
  <c r="Q514" i="1"/>
  <c r="W514" i="1" s="1"/>
  <c r="Q515" i="1"/>
  <c r="W515" i="1" s="1"/>
  <c r="Q516" i="1"/>
  <c r="W516" i="1" s="1"/>
  <c r="Q517" i="1"/>
  <c r="W517" i="1" s="1"/>
  <c r="Q501" i="1"/>
  <c r="W501" i="1" s="1"/>
  <c r="Q544" i="1"/>
  <c r="W544" i="1" s="1"/>
  <c r="Q545" i="1"/>
  <c r="W545" i="1" s="1"/>
  <c r="Q546" i="1"/>
  <c r="W546" i="1" s="1"/>
  <c r="Q547" i="1"/>
  <c r="W547" i="1" s="1"/>
  <c r="Q525" i="1"/>
  <c r="W525" i="1" s="1"/>
  <c r="Q526" i="1"/>
  <c r="W526" i="1" s="1"/>
  <c r="Q527" i="1"/>
  <c r="W527" i="1" s="1"/>
  <c r="Q528" i="1"/>
  <c r="W528" i="1" s="1"/>
  <c r="Q529" i="1"/>
  <c r="W529" i="1" s="1"/>
  <c r="Q530" i="1"/>
  <c r="W530" i="1" s="1"/>
  <c r="Q531" i="1"/>
  <c r="W531" i="1" s="1"/>
  <c r="Q532" i="1"/>
  <c r="W532" i="1" s="1"/>
  <c r="Q518" i="1"/>
  <c r="W518" i="1" s="1"/>
  <c r="Q519" i="1"/>
  <c r="W519" i="1" s="1"/>
  <c r="Q520" i="1"/>
  <c r="W520" i="1" s="1"/>
  <c r="Q521" i="1"/>
  <c r="W521" i="1" s="1"/>
  <c r="Q522" i="1"/>
  <c r="W522" i="1" s="1"/>
  <c r="Q523" i="1"/>
  <c r="W523" i="1" s="1"/>
  <c r="Q524" i="1"/>
  <c r="W524" i="1" s="1"/>
  <c r="Q509" i="1"/>
  <c r="W509" i="1" s="1"/>
  <c r="Q510" i="1"/>
  <c r="W510" i="1" s="1"/>
  <c r="Q542" i="1"/>
  <c r="W542" i="1" s="1"/>
  <c r="Q543" i="1"/>
  <c r="W543" i="1" s="1"/>
  <c r="Q540" i="1"/>
  <c r="W540" i="1" s="1"/>
  <c r="Q541" i="1"/>
  <c r="W541" i="1" s="1"/>
  <c r="Q562" i="1"/>
  <c r="W562" i="1" s="1"/>
  <c r="Q563" i="1"/>
  <c r="W563" i="1" s="1"/>
  <c r="Q558" i="1"/>
  <c r="W558" i="1" s="1"/>
  <c r="Q559" i="1"/>
  <c r="W559" i="1" s="1"/>
  <c r="Q557" i="1"/>
  <c r="W557" i="1" s="1"/>
  <c r="Q553" i="1"/>
  <c r="W553" i="1" s="1"/>
  <c r="Q554" i="1"/>
  <c r="W554" i="1" s="1"/>
  <c r="Q555" i="1"/>
  <c r="W555" i="1" s="1"/>
  <c r="Q556" i="1"/>
  <c r="W556" i="1" s="1"/>
  <c r="Q548" i="1"/>
  <c r="W548" i="1" s="1"/>
  <c r="Q549" i="1"/>
  <c r="W549" i="1" s="1"/>
  <c r="Q550" i="1"/>
  <c r="W550" i="1" s="1"/>
  <c r="Q551" i="1"/>
  <c r="W551" i="1" s="1"/>
  <c r="Q552" i="1"/>
  <c r="W552" i="1" s="1"/>
  <c r="Q533" i="1"/>
  <c r="W533" i="1" s="1"/>
  <c r="Q534" i="1"/>
  <c r="W534" i="1" s="1"/>
  <c r="Q535" i="1"/>
  <c r="W535" i="1" s="1"/>
  <c r="Q536" i="1"/>
  <c r="W536" i="1" s="1"/>
  <c r="Q537" i="1"/>
  <c r="W537" i="1" s="1"/>
  <c r="Q538" i="1"/>
  <c r="W538" i="1" s="1"/>
  <c r="Q539" i="1"/>
  <c r="W539" i="1" s="1"/>
  <c r="Q611" i="1"/>
  <c r="W611" i="1" s="1"/>
  <c r="Q612" i="1"/>
  <c r="W612" i="1" s="1"/>
  <c r="Q603" i="1"/>
  <c r="W603" i="1" s="1"/>
  <c r="Q604" i="1"/>
  <c r="W604" i="1" s="1"/>
  <c r="Q600" i="1"/>
  <c r="W600" i="1" s="1"/>
  <c r="Q601" i="1"/>
  <c r="W601" i="1" s="1"/>
  <c r="Q602" i="1"/>
  <c r="W602" i="1" s="1"/>
  <c r="Q596" i="1"/>
  <c r="W596" i="1" s="1"/>
  <c r="Q597" i="1"/>
  <c r="W597" i="1" s="1"/>
  <c r="Q598" i="1"/>
  <c r="W598" i="1" s="1"/>
  <c r="Q599" i="1"/>
  <c r="W599" i="1" s="1"/>
  <c r="Q594" i="1"/>
  <c r="W594" i="1" s="1"/>
  <c r="Q595" i="1"/>
  <c r="W595" i="1" s="1"/>
  <c r="Q592" i="1"/>
  <c r="W592" i="1" s="1"/>
  <c r="Q593" i="1"/>
  <c r="W593" i="1" s="1"/>
  <c r="Q590" i="1"/>
  <c r="W590" i="1" s="1"/>
  <c r="Q591" i="1"/>
  <c r="W591" i="1" s="1"/>
  <c r="Q586" i="1"/>
  <c r="W586" i="1" s="1"/>
  <c r="Q587" i="1"/>
  <c r="W587" i="1" s="1"/>
  <c r="Q588" i="1"/>
  <c r="W588" i="1" s="1"/>
  <c r="Q589" i="1"/>
  <c r="W589" i="1" s="1"/>
  <c r="Q584" i="1"/>
  <c r="W584" i="1" s="1"/>
  <c r="Q585" i="1"/>
  <c r="W585" i="1" s="1"/>
  <c r="Q580" i="1"/>
  <c r="W580" i="1" s="1"/>
  <c r="Q581" i="1"/>
  <c r="W581" i="1" s="1"/>
  <c r="Q582" i="1"/>
  <c r="W582" i="1" s="1"/>
  <c r="Q583" i="1"/>
  <c r="W583" i="1" s="1"/>
  <c r="Q575" i="1"/>
  <c r="W575" i="1" s="1"/>
  <c r="Q576" i="1"/>
  <c r="W576" i="1" s="1"/>
  <c r="Q577" i="1"/>
  <c r="W577" i="1" s="1"/>
  <c r="Q578" i="1"/>
  <c r="W578" i="1" s="1"/>
  <c r="Q579" i="1"/>
  <c r="W579" i="1" s="1"/>
  <c r="Q572" i="1"/>
  <c r="W572" i="1" s="1"/>
  <c r="Q573" i="1"/>
  <c r="W573" i="1" s="1"/>
  <c r="Q574" i="1"/>
  <c r="W574" i="1" s="1"/>
  <c r="Q570" i="1"/>
  <c r="W570" i="1" s="1"/>
  <c r="Q571" i="1"/>
  <c r="W571" i="1" s="1"/>
  <c r="Q564" i="1"/>
  <c r="W564" i="1" s="1"/>
  <c r="Q565" i="1"/>
  <c r="W565" i="1" s="1"/>
  <c r="Q566" i="1"/>
  <c r="W566" i="1" s="1"/>
  <c r="Q567" i="1"/>
  <c r="W567" i="1" s="1"/>
  <c r="Q568" i="1"/>
  <c r="Q569" i="1"/>
  <c r="W569" i="1" s="1"/>
  <c r="Q560" i="1"/>
  <c r="W560" i="1" s="1"/>
  <c r="Q561" i="1"/>
  <c r="W561" i="1" s="1"/>
  <c r="Q610" i="1"/>
  <c r="W610" i="1" s="1"/>
  <c r="Q607" i="1"/>
  <c r="W607" i="1" s="1"/>
  <c r="Q608" i="1"/>
  <c r="W608" i="1" s="1"/>
  <c r="Q609" i="1"/>
  <c r="W609" i="1" s="1"/>
  <c r="Q623" i="1"/>
  <c r="W623" i="1" s="1"/>
  <c r="Q624" i="1"/>
  <c r="W624" i="1" s="1"/>
  <c r="Q625" i="1"/>
  <c r="W625" i="1" s="1"/>
  <c r="Q619" i="1"/>
  <c r="W619" i="1" s="1"/>
  <c r="Q620" i="1"/>
  <c r="W620" i="1" s="1"/>
  <c r="Q621" i="1"/>
  <c r="W621" i="1" s="1"/>
  <c r="Q615" i="1"/>
  <c r="W615" i="1" s="1"/>
  <c r="Q616" i="1"/>
  <c r="W616" i="1" s="1"/>
  <c r="Q617" i="1"/>
  <c r="W617" i="1" s="1"/>
  <c r="Q618" i="1"/>
  <c r="W618" i="1" s="1"/>
  <c r="Q613" i="1"/>
  <c r="W613" i="1" s="1"/>
  <c r="Q614" i="1"/>
  <c r="W614" i="1" s="1"/>
  <c r="Q605" i="1"/>
  <c r="W605" i="1" s="1"/>
  <c r="Q606" i="1"/>
  <c r="W606" i="1" s="1"/>
  <c r="Q637" i="1"/>
  <c r="W637" i="1" s="1"/>
  <c r="Q638" i="1"/>
  <c r="W638" i="1" s="1"/>
  <c r="Q633" i="1"/>
  <c r="W633" i="1" s="1"/>
  <c r="Q634" i="1"/>
  <c r="W634" i="1" s="1"/>
  <c r="Q631" i="1"/>
  <c r="W631" i="1" s="1"/>
  <c r="Q632" i="1"/>
  <c r="W632" i="1" s="1"/>
  <c r="Q628" i="1"/>
  <c r="W628" i="1" s="1"/>
  <c r="Q629" i="1"/>
  <c r="W629" i="1" s="1"/>
  <c r="Q630" i="1"/>
  <c r="W630" i="1" s="1"/>
  <c r="Q626" i="1"/>
  <c r="W626" i="1" s="1"/>
  <c r="Q627" i="1"/>
  <c r="W627" i="1" s="1"/>
  <c r="Q622" i="1"/>
  <c r="W622" i="1" s="1"/>
  <c r="Q636" i="1"/>
  <c r="W636" i="1" s="1"/>
  <c r="Q648" i="1"/>
  <c r="W648" i="1" s="1"/>
  <c r="Q649" i="1"/>
  <c r="W649" i="1" s="1"/>
  <c r="Q644" i="1"/>
  <c r="W644" i="1" s="1"/>
  <c r="Q645" i="1"/>
  <c r="W645" i="1" s="1"/>
  <c r="Q642" i="1"/>
  <c r="W642" i="1" s="1"/>
  <c r="Q643" i="1"/>
  <c r="W643" i="1" s="1"/>
  <c r="Q639" i="1"/>
  <c r="W639" i="1" s="1"/>
  <c r="Q640" i="1"/>
  <c r="W640" i="1" s="1"/>
  <c r="Q641" i="1"/>
  <c r="W641" i="1" s="1"/>
  <c r="Q635" i="1"/>
  <c r="W635" i="1" s="1"/>
  <c r="Q654" i="1"/>
  <c r="W654" i="1" s="1"/>
  <c r="Q646" i="1"/>
  <c r="W646" i="1" s="1"/>
  <c r="Q647" i="1"/>
  <c r="W647" i="1" s="1"/>
  <c r="Q670" i="1"/>
  <c r="W670" i="1" s="1"/>
  <c r="Q671" i="1"/>
  <c r="W671" i="1" s="1"/>
  <c r="Q672" i="1"/>
  <c r="W672" i="1" s="1"/>
  <c r="Q664" i="1"/>
  <c r="W664" i="1" s="1"/>
  <c r="Q665" i="1"/>
  <c r="W665" i="1" s="1"/>
  <c r="Q666" i="1"/>
  <c r="W666" i="1" s="1"/>
  <c r="Q667" i="1"/>
  <c r="W667" i="1" s="1"/>
  <c r="Q661" i="1"/>
  <c r="W661" i="1" s="1"/>
  <c r="Q662" i="1"/>
  <c r="W662" i="1" s="1"/>
  <c r="Q663" i="1"/>
  <c r="W663" i="1" s="1"/>
  <c r="Q657" i="1"/>
  <c r="W657" i="1" s="1"/>
  <c r="Q658" i="1"/>
  <c r="W658" i="1" s="1"/>
  <c r="Q659" i="1"/>
  <c r="W659" i="1" s="1"/>
  <c r="Q660" i="1"/>
  <c r="W660" i="1" s="1"/>
  <c r="Q655" i="1"/>
  <c r="W655" i="1" s="1"/>
  <c r="Q656" i="1"/>
  <c r="W656" i="1" s="1"/>
  <c r="Q650" i="1"/>
  <c r="W650" i="1" s="1"/>
  <c r="Q651" i="1"/>
  <c r="W651" i="1" s="1"/>
  <c r="Q652" i="1"/>
  <c r="W652" i="1" s="1"/>
  <c r="Q653" i="1"/>
  <c r="W653" i="1" s="1"/>
  <c r="Q679" i="1"/>
  <c r="W679" i="1" s="1"/>
  <c r="Q673" i="1"/>
  <c r="W673" i="1" s="1"/>
  <c r="Q674" i="1"/>
  <c r="W674" i="1" s="1"/>
  <c r="Q675" i="1"/>
  <c r="W675" i="1" s="1"/>
  <c r="Q676" i="1"/>
  <c r="W676" i="1" s="1"/>
  <c r="Q668" i="1"/>
  <c r="W668" i="1" s="1"/>
  <c r="Q669" i="1"/>
  <c r="W669" i="1" s="1"/>
  <c r="Q694" i="1"/>
  <c r="W694" i="1" s="1"/>
  <c r="Q695" i="1"/>
  <c r="W695" i="1" s="1"/>
  <c r="Q696" i="1"/>
  <c r="W696" i="1" s="1"/>
  <c r="Q688" i="1"/>
  <c r="W688" i="1" s="1"/>
  <c r="Q685" i="1"/>
  <c r="W685" i="1" s="1"/>
  <c r="Q686" i="1"/>
  <c r="W686" i="1" s="1"/>
  <c r="Q687" i="1"/>
  <c r="W687" i="1" s="1"/>
  <c r="Q680" i="1"/>
  <c r="W680" i="1" s="1"/>
  <c r="Q681" i="1"/>
  <c r="W681" i="1" s="1"/>
  <c r="Q682" i="1"/>
  <c r="W682" i="1" s="1"/>
  <c r="Q683" i="1"/>
  <c r="Q684" i="1"/>
  <c r="W684" i="1" s="1"/>
  <c r="Q677" i="1"/>
  <c r="W677" i="1" s="1"/>
  <c r="Q678" i="1"/>
  <c r="W678" i="1" s="1"/>
  <c r="Q705" i="1"/>
  <c r="W705" i="1" s="1"/>
  <c r="Q699" i="1"/>
  <c r="W699" i="1" s="1"/>
  <c r="Q700" i="1"/>
  <c r="W700" i="1" s="1"/>
  <c r="Q701" i="1"/>
  <c r="W701" i="1" s="1"/>
  <c r="Q702" i="1"/>
  <c r="W702" i="1" s="1"/>
  <c r="Q703" i="1"/>
  <c r="W703" i="1" s="1"/>
  <c r="Q704" i="1"/>
  <c r="W704" i="1" s="1"/>
  <c r="Q697" i="1"/>
  <c r="W697" i="1" s="1"/>
  <c r="Q698" i="1"/>
  <c r="W698" i="1" s="1"/>
  <c r="Q689" i="1"/>
  <c r="W689" i="1" s="1"/>
  <c r="Q690" i="1"/>
  <c r="W690" i="1" s="1"/>
  <c r="Q691" i="1"/>
  <c r="W691" i="1" s="1"/>
  <c r="Q692" i="1"/>
  <c r="W692" i="1" s="1"/>
  <c r="Q693" i="1"/>
  <c r="W693" i="1" s="1"/>
  <c r="Q722" i="1"/>
  <c r="W722" i="1" s="1"/>
  <c r="Q718" i="1"/>
  <c r="W718" i="1" s="1"/>
  <c r="Q719" i="1"/>
  <c r="W719" i="1" s="1"/>
  <c r="Q720" i="1"/>
  <c r="W720" i="1" s="1"/>
  <c r="Q715" i="1"/>
  <c r="W715" i="1" s="1"/>
  <c r="Q716" i="1"/>
  <c r="W716" i="1" s="1"/>
  <c r="Q717" i="1"/>
  <c r="W717" i="1" s="1"/>
  <c r="Q714" i="1"/>
  <c r="W714" i="1" s="1"/>
  <c r="Q713" i="1"/>
  <c r="W713" i="1" s="1"/>
  <c r="Q712" i="1"/>
  <c r="W712" i="1" s="1"/>
  <c r="Q711" i="1"/>
  <c r="Q706" i="1"/>
  <c r="W706" i="1" s="1"/>
  <c r="Q707" i="1"/>
  <c r="W707" i="1" s="1"/>
  <c r="Q708" i="1"/>
  <c r="W708" i="1" s="1"/>
  <c r="Q709" i="1"/>
  <c r="W709" i="1" s="1"/>
  <c r="Q710" i="1"/>
  <c r="W710" i="1" s="1"/>
  <c r="Q732" i="1"/>
  <c r="W732" i="1" s="1"/>
  <c r="Q733" i="1"/>
  <c r="W733" i="1" s="1"/>
  <c r="Q734" i="1"/>
  <c r="W734" i="1" s="1"/>
  <c r="Q725" i="1"/>
  <c r="W725" i="1" s="1"/>
  <c r="Q726" i="1"/>
  <c r="W726" i="1" s="1"/>
  <c r="Q727" i="1"/>
  <c r="W727" i="1" s="1"/>
  <c r="Q728" i="1"/>
  <c r="W728" i="1" s="1"/>
  <c r="Q723" i="1"/>
  <c r="W723" i="1" s="1"/>
  <c r="Q724" i="1"/>
  <c r="W724" i="1" s="1"/>
  <c r="Q721" i="1"/>
  <c r="W721" i="1" s="1"/>
  <c r="Q746" i="1"/>
  <c r="W746" i="1" s="1"/>
  <c r="Q747" i="1"/>
  <c r="W747" i="1" s="1"/>
  <c r="Q748" i="1"/>
  <c r="W748" i="1" s="1"/>
  <c r="Q735" i="1"/>
  <c r="W735" i="1" s="1"/>
  <c r="Q736" i="1"/>
  <c r="W736" i="1" s="1"/>
  <c r="Q737" i="1"/>
  <c r="W737" i="1" s="1"/>
  <c r="Q738" i="1"/>
  <c r="W738" i="1" s="1"/>
  <c r="Q739" i="1"/>
  <c r="W739" i="1" s="1"/>
  <c r="Q740" i="1"/>
  <c r="W740" i="1" s="1"/>
  <c r="Q741" i="1"/>
  <c r="W741" i="1" s="1"/>
  <c r="Q729" i="1"/>
  <c r="W729" i="1" s="1"/>
  <c r="Q730" i="1"/>
  <c r="W730" i="1" s="1"/>
  <c r="Q731" i="1"/>
  <c r="Q743" i="1"/>
  <c r="W743" i="1" s="1"/>
  <c r="Q744" i="1"/>
  <c r="W744" i="1" s="1"/>
  <c r="Q745" i="1"/>
  <c r="W745" i="1" s="1"/>
  <c r="Q764" i="1"/>
  <c r="W764" i="1" s="1"/>
  <c r="Q765" i="1"/>
  <c r="W765" i="1" s="1"/>
  <c r="Q766" i="1"/>
  <c r="W766" i="1" s="1"/>
  <c r="Q757" i="1"/>
  <c r="W757" i="1" s="1"/>
  <c r="Q758" i="1"/>
  <c r="W758" i="1" s="1"/>
  <c r="Q759" i="1"/>
  <c r="W759" i="1" s="1"/>
  <c r="Q760" i="1"/>
  <c r="W760" i="1" s="1"/>
  <c r="Q761" i="1"/>
  <c r="W761" i="1" s="1"/>
  <c r="Q762" i="1"/>
  <c r="W762" i="1" s="1"/>
  <c r="Q749" i="1"/>
  <c r="W749" i="1" s="1"/>
  <c r="Q750" i="1"/>
  <c r="W750" i="1" s="1"/>
  <c r="Q751" i="1"/>
  <c r="W751" i="1" s="1"/>
  <c r="Q752" i="1"/>
  <c r="W752" i="1" s="1"/>
  <c r="Q753" i="1"/>
  <c r="W753" i="1" s="1"/>
  <c r="Q754" i="1"/>
  <c r="W754" i="1" s="1"/>
  <c r="Q755" i="1"/>
  <c r="W755" i="1" s="1"/>
  <c r="Q756" i="1"/>
  <c r="W756" i="1" s="1"/>
  <c r="Q742" i="1"/>
  <c r="W742" i="1" s="1"/>
  <c r="Q770" i="1"/>
  <c r="W770" i="1" s="1"/>
  <c r="Q771" i="1"/>
  <c r="W771" i="1" s="1"/>
  <c r="Q772" i="1"/>
  <c r="W772" i="1" s="1"/>
  <c r="Q773" i="1"/>
  <c r="W773" i="1" s="1"/>
  <c r="Q774" i="1"/>
  <c r="W774" i="1" s="1"/>
  <c r="Q775" i="1"/>
  <c r="W775" i="1" s="1"/>
  <c r="Q776" i="1"/>
  <c r="W776" i="1" s="1"/>
  <c r="Q777" i="1"/>
  <c r="W777" i="1" s="1"/>
  <c r="Q778" i="1"/>
  <c r="W778" i="1" s="1"/>
  <c r="Q767" i="1"/>
  <c r="W767" i="1" s="1"/>
  <c r="Q768" i="1"/>
  <c r="W768" i="1" s="1"/>
  <c r="Q769" i="1"/>
  <c r="W769" i="1" s="1"/>
  <c r="Q763" i="1"/>
  <c r="W763" i="1" s="1"/>
  <c r="Q791" i="1"/>
  <c r="W791" i="1" s="1"/>
  <c r="Q792" i="1"/>
  <c r="W792" i="1" s="1"/>
  <c r="Q795" i="1"/>
  <c r="W795" i="1" s="1"/>
  <c r="Q796" i="1"/>
  <c r="W796" i="1" s="1"/>
  <c r="Q797" i="1"/>
  <c r="W797" i="1" s="1"/>
  <c r="Q779" i="1"/>
  <c r="W779" i="1" s="1"/>
  <c r="Q780" i="1"/>
  <c r="W780" i="1" s="1"/>
  <c r="Q781" i="1"/>
  <c r="W781" i="1" s="1"/>
  <c r="Q782" i="1"/>
  <c r="W782" i="1" s="1"/>
  <c r="Q783" i="1"/>
  <c r="W783" i="1" s="1"/>
  <c r="Q784" i="1"/>
  <c r="W784" i="1" s="1"/>
  <c r="Q785" i="1"/>
  <c r="W785" i="1" s="1"/>
  <c r="Q786" i="1"/>
  <c r="W786" i="1" s="1"/>
  <c r="Q787" i="1"/>
  <c r="W787" i="1" s="1"/>
  <c r="Q788" i="1"/>
  <c r="W788" i="1" s="1"/>
  <c r="Q789" i="1"/>
  <c r="W789" i="1" s="1"/>
  <c r="Q802" i="1"/>
  <c r="W802" i="1" s="1"/>
  <c r="Q803" i="1"/>
  <c r="W803" i="1" s="1"/>
  <c r="Q804" i="1"/>
  <c r="W804" i="1" s="1"/>
  <c r="Q805" i="1"/>
  <c r="W805" i="1" s="1"/>
  <c r="Q806" i="1"/>
  <c r="W806" i="1" s="1"/>
  <c r="Q807" i="1"/>
  <c r="W807" i="1" s="1"/>
  <c r="Q808" i="1"/>
  <c r="W808" i="1" s="1"/>
  <c r="Q798" i="1"/>
  <c r="W798" i="1" s="1"/>
  <c r="Q799" i="1"/>
  <c r="W799" i="1" s="1"/>
  <c r="Q800" i="1"/>
  <c r="W800" i="1" s="1"/>
  <c r="Q801" i="1"/>
  <c r="W801" i="1" s="1"/>
  <c r="Q793" i="1"/>
  <c r="W793" i="1" s="1"/>
  <c r="Q794" i="1"/>
  <c r="W794" i="1" s="1"/>
  <c r="Q790" i="1"/>
  <c r="W790" i="1" s="1"/>
  <c r="Q82" i="1"/>
  <c r="W82" i="1" s="1"/>
  <c r="S711" i="1" l="1"/>
  <c r="V711" i="1" s="1"/>
  <c r="R4" i="7"/>
  <c r="S4" i="7" s="1"/>
  <c r="R13" i="7"/>
  <c r="S13" i="7" s="1"/>
  <c r="R15" i="7"/>
  <c r="S15" i="7" s="1"/>
  <c r="R7" i="7"/>
  <c r="S7" i="7" s="1"/>
  <c r="R5" i="7"/>
  <c r="S5" i="7" s="1"/>
  <c r="R11" i="7"/>
  <c r="S11" i="7" s="1"/>
  <c r="R14" i="7"/>
  <c r="S14" i="7" s="1"/>
  <c r="R3" i="7"/>
  <c r="S3" i="7" s="1"/>
  <c r="R9" i="7"/>
  <c r="S9" i="7" s="1"/>
  <c r="R2" i="7"/>
  <c r="S2" i="7" s="1"/>
  <c r="R12" i="7"/>
  <c r="S12" i="7" s="1"/>
  <c r="R6" i="7"/>
  <c r="S6" i="7" s="1"/>
  <c r="R10" i="7"/>
  <c r="S10" i="7" s="1"/>
  <c r="R8" i="7"/>
  <c r="S8" i="7" s="1"/>
  <c r="R4" i="5"/>
  <c r="Q4" i="5" s="1"/>
  <c r="S507" i="1"/>
  <c r="V507" i="1" s="1"/>
  <c r="W507" i="1"/>
  <c r="S731" i="1"/>
  <c r="V731" i="1" s="1"/>
  <c r="W731" i="1"/>
  <c r="S683" i="1"/>
  <c r="V683" i="1" s="1"/>
  <c r="W683" i="1"/>
  <c r="S184" i="1"/>
  <c r="V184" i="1" s="1"/>
  <c r="W184" i="1"/>
  <c r="W711" i="1"/>
  <c r="S568" i="1"/>
  <c r="V568" i="1" s="1"/>
  <c r="W568" i="1"/>
  <c r="S357" i="1"/>
  <c r="V357" i="1" s="1"/>
  <c r="W357" i="1"/>
  <c r="S256" i="1"/>
  <c r="V256" i="1" s="1"/>
  <c r="W256" i="1"/>
  <c r="S794" i="1"/>
  <c r="T794" i="1"/>
  <c r="U794" i="1" s="1"/>
  <c r="S799" i="1"/>
  <c r="T799" i="1"/>
  <c r="U799" i="1" s="1"/>
  <c r="S806" i="1"/>
  <c r="T806" i="1"/>
  <c r="U806" i="1" s="1"/>
  <c r="T802" i="1"/>
  <c r="U802" i="1" s="1"/>
  <c r="S802" i="1"/>
  <c r="S786" i="1"/>
  <c r="T786" i="1"/>
  <c r="U786" i="1" s="1"/>
  <c r="T782" i="1"/>
  <c r="U782" i="1" s="1"/>
  <c r="S782" i="1"/>
  <c r="S797" i="1"/>
  <c r="T797" i="1"/>
  <c r="U797" i="1" s="1"/>
  <c r="S791" i="1"/>
  <c r="T791" i="1"/>
  <c r="U791" i="1" s="1"/>
  <c r="S767" i="1"/>
  <c r="T767" i="1"/>
  <c r="U767" i="1" s="1"/>
  <c r="S775" i="1"/>
  <c r="T775" i="1"/>
  <c r="U775" i="1" s="1"/>
  <c r="S771" i="1"/>
  <c r="T771" i="1"/>
  <c r="U771" i="1" s="1"/>
  <c r="S755" i="1"/>
  <c r="T755" i="1"/>
  <c r="U755" i="1" s="1"/>
  <c r="T751" i="1"/>
  <c r="U751" i="1" s="1"/>
  <c r="S751" i="1"/>
  <c r="S761" i="1"/>
  <c r="T761" i="1"/>
  <c r="U761" i="1" s="1"/>
  <c r="S757" i="1"/>
  <c r="T757" i="1"/>
  <c r="U757" i="1" s="1"/>
  <c r="S745" i="1"/>
  <c r="T745" i="1"/>
  <c r="U745" i="1" s="1"/>
  <c r="S730" i="1"/>
  <c r="T730" i="1"/>
  <c r="U730" i="1" s="1"/>
  <c r="S739" i="1"/>
  <c r="T739" i="1"/>
  <c r="U739" i="1" s="1"/>
  <c r="S735" i="1"/>
  <c r="T735" i="1"/>
  <c r="U735" i="1" s="1"/>
  <c r="T721" i="1"/>
  <c r="U721" i="1" s="1"/>
  <c r="S721" i="1"/>
  <c r="S727" i="1"/>
  <c r="T727" i="1"/>
  <c r="U727" i="1" s="1"/>
  <c r="T733" i="1"/>
  <c r="U733" i="1" s="1"/>
  <c r="S733" i="1"/>
  <c r="S708" i="1"/>
  <c r="T708" i="1"/>
  <c r="U708" i="1" s="1"/>
  <c r="S712" i="1"/>
  <c r="T712" i="1"/>
  <c r="U712" i="1" s="1"/>
  <c r="S716" i="1"/>
  <c r="T716" i="1"/>
  <c r="U716" i="1" s="1"/>
  <c r="S718" i="1"/>
  <c r="T718" i="1"/>
  <c r="U718" i="1" s="1"/>
  <c r="S691" i="1"/>
  <c r="T691" i="1"/>
  <c r="U691" i="1" s="1"/>
  <c r="S697" i="1"/>
  <c r="T697" i="1"/>
  <c r="U697" i="1" s="1"/>
  <c r="T701" i="1"/>
  <c r="U701" i="1" s="1"/>
  <c r="S701" i="1"/>
  <c r="S678" i="1"/>
  <c r="T678" i="1"/>
  <c r="U678" i="1" s="1"/>
  <c r="S682" i="1"/>
  <c r="T682" i="1"/>
  <c r="U682" i="1" s="1"/>
  <c r="S686" i="1"/>
  <c r="T686" i="1"/>
  <c r="U686" i="1" s="1"/>
  <c r="S695" i="1"/>
  <c r="T695" i="1"/>
  <c r="U695" i="1" s="1"/>
  <c r="S676" i="1"/>
  <c r="T676" i="1"/>
  <c r="U676" i="1" s="1"/>
  <c r="S679" i="1"/>
  <c r="T679" i="1"/>
  <c r="U679" i="1" s="1"/>
  <c r="T650" i="1"/>
  <c r="U650" i="1" s="1"/>
  <c r="S650" i="1"/>
  <c r="S659" i="1"/>
  <c r="T659" i="1"/>
  <c r="U659" i="1" s="1"/>
  <c r="S665" i="1"/>
  <c r="T665" i="1"/>
  <c r="U665" i="1" s="1"/>
  <c r="S670" i="1"/>
  <c r="T670" i="1"/>
  <c r="U670" i="1" s="1"/>
  <c r="S635" i="1"/>
  <c r="T635" i="1"/>
  <c r="U635" i="1" s="1"/>
  <c r="S643" i="1"/>
  <c r="T643" i="1"/>
  <c r="U643" i="1" s="1"/>
  <c r="S649" i="1"/>
  <c r="T649" i="1"/>
  <c r="U649" i="1" s="1"/>
  <c r="S627" i="1"/>
  <c r="T627" i="1"/>
  <c r="U627" i="1" s="1"/>
  <c r="S633" i="1"/>
  <c r="T633" i="1"/>
  <c r="U633" i="1" s="1"/>
  <c r="S605" i="1"/>
  <c r="T605" i="1"/>
  <c r="U605" i="1" s="1"/>
  <c r="S617" i="1"/>
  <c r="T617" i="1"/>
  <c r="U617" i="1" s="1"/>
  <c r="S620" i="1"/>
  <c r="T620" i="1"/>
  <c r="U620" i="1" s="1"/>
  <c r="S623" i="1"/>
  <c r="T623" i="1"/>
  <c r="U623" i="1" s="1"/>
  <c r="S628" i="1"/>
  <c r="V628" i="1" s="1"/>
  <c r="S82" i="1"/>
  <c r="T82" i="1"/>
  <c r="U82" i="1" s="1"/>
  <c r="S793" i="1"/>
  <c r="T793" i="1"/>
  <c r="U793" i="1" s="1"/>
  <c r="S798" i="1"/>
  <c r="T798" i="1"/>
  <c r="U798" i="1" s="1"/>
  <c r="S805" i="1"/>
  <c r="S789" i="1"/>
  <c r="T789" i="1"/>
  <c r="U789" i="1" s="1"/>
  <c r="S785" i="1"/>
  <c r="T785" i="1"/>
  <c r="U785" i="1" s="1"/>
  <c r="S781" i="1"/>
  <c r="T781" i="1"/>
  <c r="U781" i="1" s="1"/>
  <c r="S796" i="1"/>
  <c r="V796" i="1" s="1"/>
  <c r="S763" i="1"/>
  <c r="T763" i="1"/>
  <c r="U763" i="1" s="1"/>
  <c r="S778" i="1"/>
  <c r="T778" i="1"/>
  <c r="U778" i="1" s="1"/>
  <c r="S774" i="1"/>
  <c r="T774" i="1"/>
  <c r="U774" i="1" s="1"/>
  <c r="S770" i="1"/>
  <c r="S754" i="1"/>
  <c r="T754" i="1"/>
  <c r="U754" i="1" s="1"/>
  <c r="S750" i="1"/>
  <c r="T750" i="1"/>
  <c r="U750" i="1" s="1"/>
  <c r="S760" i="1"/>
  <c r="T760" i="1"/>
  <c r="U760" i="1" s="1"/>
  <c r="S766" i="1"/>
  <c r="V766" i="1" s="1"/>
  <c r="S744" i="1"/>
  <c r="T744" i="1"/>
  <c r="U744" i="1" s="1"/>
  <c r="S729" i="1"/>
  <c r="T729" i="1"/>
  <c r="U729" i="1" s="1"/>
  <c r="S738" i="1"/>
  <c r="T738" i="1"/>
  <c r="U738" i="1" s="1"/>
  <c r="S748" i="1"/>
  <c r="V748" i="1" s="1"/>
  <c r="S724" i="1"/>
  <c r="T724" i="1"/>
  <c r="U724" i="1" s="1"/>
  <c r="S726" i="1"/>
  <c r="T726" i="1"/>
  <c r="U726" i="1" s="1"/>
  <c r="S732" i="1"/>
  <c r="T732" i="1"/>
  <c r="U732" i="1" s="1"/>
  <c r="S707" i="1"/>
  <c r="V707" i="1" s="1"/>
  <c r="S713" i="1"/>
  <c r="T713" i="1"/>
  <c r="U713" i="1" s="1"/>
  <c r="S715" i="1"/>
  <c r="T715" i="1"/>
  <c r="U715" i="1" s="1"/>
  <c r="S722" i="1"/>
  <c r="T722" i="1"/>
  <c r="U722" i="1" s="1"/>
  <c r="S690" i="1"/>
  <c r="S704" i="1"/>
  <c r="T704" i="1"/>
  <c r="U704" i="1" s="1"/>
  <c r="S700" i="1"/>
  <c r="T700" i="1"/>
  <c r="U700" i="1" s="1"/>
  <c r="S677" i="1"/>
  <c r="T677" i="1"/>
  <c r="U677" i="1" s="1"/>
  <c r="S681" i="1"/>
  <c r="V681" i="1" s="1"/>
  <c r="S685" i="1"/>
  <c r="T685" i="1"/>
  <c r="U685" i="1" s="1"/>
  <c r="S694" i="1"/>
  <c r="T694" i="1"/>
  <c r="U694" i="1" s="1"/>
  <c r="S675" i="1"/>
  <c r="T675" i="1"/>
  <c r="U675" i="1" s="1"/>
  <c r="S653" i="1"/>
  <c r="V653" i="1" s="1"/>
  <c r="S656" i="1"/>
  <c r="T656" i="1"/>
  <c r="U656" i="1" s="1"/>
  <c r="S658" i="1"/>
  <c r="T658" i="1"/>
  <c r="U658" i="1" s="1"/>
  <c r="S661" i="1"/>
  <c r="T661" i="1"/>
  <c r="U661" i="1" s="1"/>
  <c r="S664" i="1"/>
  <c r="V664" i="1" s="1"/>
  <c r="S647" i="1"/>
  <c r="T647" i="1"/>
  <c r="U647" i="1" s="1"/>
  <c r="S641" i="1"/>
  <c r="T641" i="1"/>
  <c r="U641" i="1" s="1"/>
  <c r="S642" i="1"/>
  <c r="T642" i="1"/>
  <c r="U642" i="1" s="1"/>
  <c r="S648" i="1"/>
  <c r="S626" i="1"/>
  <c r="T626" i="1"/>
  <c r="U626" i="1" s="1"/>
  <c r="S632" i="1"/>
  <c r="T632" i="1"/>
  <c r="U632" i="1" s="1"/>
  <c r="S638" i="1"/>
  <c r="T638" i="1"/>
  <c r="U638" i="1" s="1"/>
  <c r="S614" i="1"/>
  <c r="V614" i="1" s="1"/>
  <c r="S616" i="1"/>
  <c r="T616" i="1"/>
  <c r="U616" i="1" s="1"/>
  <c r="S619" i="1"/>
  <c r="T619" i="1"/>
  <c r="U619" i="1" s="1"/>
  <c r="S609" i="1"/>
  <c r="T609" i="1"/>
  <c r="U609" i="1" s="1"/>
  <c r="S561" i="1"/>
  <c r="V561" i="1" s="1"/>
  <c r="S567" i="1"/>
  <c r="T567" i="1"/>
  <c r="U567" i="1" s="1"/>
  <c r="S571" i="1"/>
  <c r="T571" i="1"/>
  <c r="U571" i="1" s="1"/>
  <c r="S572" i="1"/>
  <c r="T572" i="1"/>
  <c r="U572" i="1" s="1"/>
  <c r="S576" i="1"/>
  <c r="V576" i="1" s="1"/>
  <c r="S581" i="1"/>
  <c r="T581" i="1"/>
  <c r="U581" i="1" s="1"/>
  <c r="S589" i="1"/>
  <c r="T589" i="1"/>
  <c r="U589" i="1" s="1"/>
  <c r="S591" i="1"/>
  <c r="T591" i="1"/>
  <c r="U591" i="1" s="1"/>
  <c r="S595" i="1"/>
  <c r="S597" i="1"/>
  <c r="T597" i="1"/>
  <c r="U597" i="1" s="1"/>
  <c r="S600" i="1"/>
  <c r="T600" i="1"/>
  <c r="U600" i="1" s="1"/>
  <c r="S611" i="1"/>
  <c r="T611" i="1"/>
  <c r="U611" i="1" s="1"/>
  <c r="S536" i="1"/>
  <c r="V536" i="1" s="1"/>
  <c r="S552" i="1"/>
  <c r="T552" i="1"/>
  <c r="U552" i="1" s="1"/>
  <c r="S548" i="1"/>
  <c r="S553" i="1"/>
  <c r="T553" i="1"/>
  <c r="U553" i="1" s="1"/>
  <c r="S563" i="1"/>
  <c r="V563" i="1" s="1"/>
  <c r="S543" i="1"/>
  <c r="T543" i="1"/>
  <c r="U543" i="1" s="1"/>
  <c r="S524" i="1"/>
  <c r="V524" i="1" s="1"/>
  <c r="S520" i="1"/>
  <c r="T520" i="1"/>
  <c r="U520" i="1" s="1"/>
  <c r="S531" i="1"/>
  <c r="V531" i="1" s="1"/>
  <c r="S527" i="1"/>
  <c r="T527" i="1"/>
  <c r="U527" i="1" s="1"/>
  <c r="S546" i="1"/>
  <c r="S517" i="1"/>
  <c r="T517" i="1"/>
  <c r="U517" i="1" s="1"/>
  <c r="S513" i="1"/>
  <c r="V513" i="1" s="1"/>
  <c r="T770" i="1"/>
  <c r="U770" i="1" s="1"/>
  <c r="T690" i="1"/>
  <c r="U690" i="1" s="1"/>
  <c r="T648" i="1"/>
  <c r="U648" i="1" s="1"/>
  <c r="T595" i="1"/>
  <c r="U595" i="1" s="1"/>
  <c r="T548" i="1"/>
  <c r="U548" i="1" s="1"/>
  <c r="T546" i="1"/>
  <c r="U546" i="1" s="1"/>
  <c r="S445" i="1"/>
  <c r="V445" i="1" s="1"/>
  <c r="S801" i="1"/>
  <c r="T801" i="1"/>
  <c r="U801" i="1" s="1"/>
  <c r="S804" i="1"/>
  <c r="T804" i="1"/>
  <c r="U804" i="1" s="1"/>
  <c r="S788" i="1"/>
  <c r="V788" i="1" s="1"/>
  <c r="S784" i="1"/>
  <c r="T784" i="1"/>
  <c r="U784" i="1" s="1"/>
  <c r="S780" i="1"/>
  <c r="T780" i="1"/>
  <c r="U780" i="1" s="1"/>
  <c r="S795" i="1"/>
  <c r="T795" i="1"/>
  <c r="U795" i="1" s="1"/>
  <c r="S769" i="1"/>
  <c r="S773" i="1"/>
  <c r="T773" i="1"/>
  <c r="U773" i="1" s="1"/>
  <c r="S742" i="1"/>
  <c r="T742" i="1"/>
  <c r="U742" i="1" s="1"/>
  <c r="S753" i="1"/>
  <c r="S749" i="1"/>
  <c r="T749" i="1"/>
  <c r="U749" i="1" s="1"/>
  <c r="S759" i="1"/>
  <c r="T759" i="1"/>
  <c r="U759" i="1" s="1"/>
  <c r="S765" i="1"/>
  <c r="T765" i="1"/>
  <c r="U765" i="1" s="1"/>
  <c r="S743" i="1"/>
  <c r="V743" i="1" s="1"/>
  <c r="S741" i="1"/>
  <c r="T741" i="1"/>
  <c r="U741" i="1" s="1"/>
  <c r="T737" i="1"/>
  <c r="U737" i="1" s="1"/>
  <c r="S737" i="1"/>
  <c r="S747" i="1"/>
  <c r="T747" i="1"/>
  <c r="U747" i="1" s="1"/>
  <c r="S723" i="1"/>
  <c r="V723" i="1" s="1"/>
  <c r="S725" i="1"/>
  <c r="T725" i="1"/>
  <c r="U725" i="1" s="1"/>
  <c r="S710" i="1"/>
  <c r="T710" i="1"/>
  <c r="U710" i="1" s="1"/>
  <c r="S706" i="1"/>
  <c r="T706" i="1"/>
  <c r="U706" i="1" s="1"/>
  <c r="S714" i="1"/>
  <c r="T720" i="1"/>
  <c r="U720" i="1" s="1"/>
  <c r="S720" i="1"/>
  <c r="S693" i="1"/>
  <c r="T693" i="1"/>
  <c r="U693" i="1" s="1"/>
  <c r="S689" i="1"/>
  <c r="T689" i="1"/>
  <c r="U689" i="1" s="1"/>
  <c r="S703" i="1"/>
  <c r="S699" i="1"/>
  <c r="T699" i="1"/>
  <c r="U699" i="1" s="1"/>
  <c r="S684" i="1"/>
  <c r="T684" i="1"/>
  <c r="U684" i="1" s="1"/>
  <c r="S680" i="1"/>
  <c r="T680" i="1"/>
  <c r="U680" i="1" s="1"/>
  <c r="S688" i="1"/>
  <c r="V688" i="1" s="1"/>
  <c r="S669" i="1"/>
  <c r="T669" i="1"/>
  <c r="U669" i="1" s="1"/>
  <c r="S674" i="1"/>
  <c r="T674" i="1"/>
  <c r="U674" i="1" s="1"/>
  <c r="S652" i="1"/>
  <c r="T652" i="1"/>
  <c r="U652" i="1" s="1"/>
  <c r="S655" i="1"/>
  <c r="V655" i="1" s="1"/>
  <c r="S657" i="1"/>
  <c r="T657" i="1"/>
  <c r="U657" i="1" s="1"/>
  <c r="S667" i="1"/>
  <c r="T667" i="1"/>
  <c r="U667" i="1" s="1"/>
  <c r="S672" i="1"/>
  <c r="T672" i="1"/>
  <c r="U672" i="1" s="1"/>
  <c r="S646" i="1"/>
  <c r="T640" i="1"/>
  <c r="U640" i="1" s="1"/>
  <c r="S640" i="1"/>
  <c r="S645" i="1"/>
  <c r="T645" i="1"/>
  <c r="U645" i="1" s="1"/>
  <c r="S636" i="1"/>
  <c r="T636" i="1"/>
  <c r="U636" i="1" s="1"/>
  <c r="S630" i="1"/>
  <c r="S631" i="1"/>
  <c r="T631" i="1"/>
  <c r="U631" i="1" s="1"/>
  <c r="S637" i="1"/>
  <c r="T637" i="1"/>
  <c r="U637" i="1" s="1"/>
  <c r="S613" i="1"/>
  <c r="T613" i="1"/>
  <c r="U613" i="1" s="1"/>
  <c r="S615" i="1"/>
  <c r="V615" i="1" s="1"/>
  <c r="S625" i="1"/>
  <c r="T625" i="1"/>
  <c r="U625" i="1" s="1"/>
  <c r="S608" i="1"/>
  <c r="T608" i="1"/>
  <c r="U608" i="1" s="1"/>
  <c r="S560" i="1"/>
  <c r="T560" i="1"/>
  <c r="U560" i="1" s="1"/>
  <c r="S566" i="1"/>
  <c r="V566" i="1" s="1"/>
  <c r="S570" i="1"/>
  <c r="T570" i="1"/>
  <c r="U570" i="1" s="1"/>
  <c r="S579" i="1"/>
  <c r="T579" i="1"/>
  <c r="U579" i="1" s="1"/>
  <c r="S575" i="1"/>
  <c r="T575" i="1"/>
  <c r="U575" i="1" s="1"/>
  <c r="S580" i="1"/>
  <c r="S588" i="1"/>
  <c r="T588" i="1"/>
  <c r="U588" i="1" s="1"/>
  <c r="S590" i="1"/>
  <c r="T590" i="1"/>
  <c r="U590" i="1" s="1"/>
  <c r="S596" i="1"/>
  <c r="S604" i="1"/>
  <c r="T604" i="1"/>
  <c r="U604" i="1" s="1"/>
  <c r="S539" i="1"/>
  <c r="T539" i="1"/>
  <c r="U539" i="1" s="1"/>
  <c r="T535" i="1"/>
  <c r="U535" i="1" s="1"/>
  <c r="S535" i="1"/>
  <c r="S551" i="1"/>
  <c r="T551" i="1"/>
  <c r="U551" i="1" s="1"/>
  <c r="T556" i="1"/>
  <c r="U556" i="1" s="1"/>
  <c r="S556" i="1"/>
  <c r="T562" i="1"/>
  <c r="U562" i="1" s="1"/>
  <c r="S562" i="1"/>
  <c r="S542" i="1"/>
  <c r="T542" i="1"/>
  <c r="U542" i="1" s="1"/>
  <c r="T523" i="1"/>
  <c r="U523" i="1" s="1"/>
  <c r="S523" i="1"/>
  <c r="S519" i="1"/>
  <c r="T519" i="1"/>
  <c r="U519" i="1" s="1"/>
  <c r="T530" i="1"/>
  <c r="U530" i="1" s="1"/>
  <c r="S530" i="1"/>
  <c r="S526" i="1"/>
  <c r="T526" i="1"/>
  <c r="U526" i="1" s="1"/>
  <c r="T545" i="1"/>
  <c r="U545" i="1" s="1"/>
  <c r="S545" i="1"/>
  <c r="S516" i="1"/>
  <c r="T516" i="1"/>
  <c r="U516" i="1" s="1"/>
  <c r="S512" i="1"/>
  <c r="T512" i="1"/>
  <c r="U512" i="1" s="1"/>
  <c r="T503" i="1"/>
  <c r="U503" i="1" s="1"/>
  <c r="S503" i="1"/>
  <c r="T492" i="1"/>
  <c r="U492" i="1" s="1"/>
  <c r="S492" i="1"/>
  <c r="S498" i="1"/>
  <c r="T498" i="1"/>
  <c r="U498" i="1" s="1"/>
  <c r="T488" i="1"/>
  <c r="U488" i="1" s="1"/>
  <c r="S488" i="1"/>
  <c r="T477" i="1"/>
  <c r="U477" i="1" s="1"/>
  <c r="S477" i="1"/>
  <c r="T483" i="1"/>
  <c r="U483" i="1" s="1"/>
  <c r="S483" i="1"/>
  <c r="S458" i="1"/>
  <c r="T458" i="1"/>
  <c r="U458" i="1" s="1"/>
  <c r="T464" i="1"/>
  <c r="U464" i="1" s="1"/>
  <c r="S464" i="1"/>
  <c r="T471" i="1"/>
  <c r="U471" i="1" s="1"/>
  <c r="S471" i="1"/>
  <c r="T482" i="1"/>
  <c r="U482" i="1" s="1"/>
  <c r="S482" i="1"/>
  <c r="S478" i="1"/>
  <c r="T478" i="1"/>
  <c r="U478" i="1" s="1"/>
  <c r="T452" i="1"/>
  <c r="U452" i="1" s="1"/>
  <c r="S452" i="1"/>
  <c r="T448" i="1"/>
  <c r="U448" i="1" s="1"/>
  <c r="S448" i="1"/>
  <c r="T461" i="1"/>
  <c r="U461" i="1" s="1"/>
  <c r="S461" i="1"/>
  <c r="S440" i="1"/>
  <c r="T440" i="1"/>
  <c r="U440" i="1" s="1"/>
  <c r="T432" i="1"/>
  <c r="U432" i="1" s="1"/>
  <c r="S432" i="1"/>
  <c r="T428" i="1"/>
  <c r="U428" i="1" s="1"/>
  <c r="S428" i="1"/>
  <c r="S446" i="1"/>
  <c r="T446" i="1"/>
  <c r="U446" i="1" s="1"/>
  <c r="T415" i="1"/>
  <c r="U415" i="1" s="1"/>
  <c r="S415" i="1"/>
  <c r="S424" i="1"/>
  <c r="T424" i="1"/>
  <c r="U424" i="1" s="1"/>
  <c r="S420" i="1"/>
  <c r="T420" i="1"/>
  <c r="U420" i="1" s="1"/>
  <c r="S426" i="1"/>
  <c r="T426" i="1"/>
  <c r="U426" i="1" s="1"/>
  <c r="S411" i="1"/>
  <c r="T411" i="1"/>
  <c r="U411" i="1" s="1"/>
  <c r="S407" i="1"/>
  <c r="T407" i="1"/>
  <c r="U407" i="1" s="1"/>
  <c r="S403" i="1"/>
  <c r="T403" i="1"/>
  <c r="U403" i="1" s="1"/>
  <c r="S399" i="1"/>
  <c r="T399" i="1"/>
  <c r="U399" i="1" s="1"/>
  <c r="S383" i="1"/>
  <c r="V383" i="1" s="1"/>
  <c r="S392" i="1"/>
  <c r="T392" i="1"/>
  <c r="U392" i="1" s="1"/>
  <c r="S388" i="1"/>
  <c r="T388" i="1"/>
  <c r="U388" i="1" s="1"/>
  <c r="S376" i="1"/>
  <c r="T376" i="1"/>
  <c r="U376" i="1" s="1"/>
  <c r="S372" i="1"/>
  <c r="T372" i="1"/>
  <c r="U372" i="1" s="1"/>
  <c r="S379" i="1"/>
  <c r="T379" i="1"/>
  <c r="U379" i="1" s="1"/>
  <c r="S364" i="1"/>
  <c r="T364" i="1"/>
  <c r="U364" i="1" s="1"/>
  <c r="S369" i="1"/>
  <c r="T369" i="1"/>
  <c r="U369" i="1" s="1"/>
  <c r="S356" i="1"/>
  <c r="V356" i="1" s="1"/>
  <c r="S352" i="1"/>
  <c r="T352" i="1"/>
  <c r="U352" i="1" s="1"/>
  <c r="S367" i="1"/>
  <c r="T367" i="1"/>
  <c r="U367" i="1" s="1"/>
  <c r="S361" i="1"/>
  <c r="T361" i="1"/>
  <c r="U361" i="1" s="1"/>
  <c r="S336" i="1"/>
  <c r="T336" i="1"/>
  <c r="U336" i="1" s="1"/>
  <c r="S343" i="1"/>
  <c r="T343" i="1"/>
  <c r="U343" i="1" s="1"/>
  <c r="S339" i="1"/>
  <c r="T339" i="1"/>
  <c r="U339" i="1" s="1"/>
  <c r="S325" i="1"/>
  <c r="T325" i="1"/>
  <c r="U325" i="1" s="1"/>
  <c r="S346" i="1"/>
  <c r="V346" i="1" s="1"/>
  <c r="S324" i="1"/>
  <c r="T324" i="1"/>
  <c r="U324" i="1" s="1"/>
  <c r="S320" i="1"/>
  <c r="T320" i="1"/>
  <c r="U320" i="1" s="1"/>
  <c r="S312" i="1"/>
  <c r="T312" i="1"/>
  <c r="U312" i="1" s="1"/>
  <c r="S318" i="1"/>
  <c r="T318" i="1"/>
  <c r="U318" i="1" s="1"/>
  <c r="S295" i="1"/>
  <c r="T295" i="1"/>
  <c r="U295" i="1" s="1"/>
  <c r="S307" i="1"/>
  <c r="T307" i="1"/>
  <c r="U307" i="1" s="1"/>
  <c r="S275" i="1"/>
  <c r="T275" i="1"/>
  <c r="U275" i="1" s="1"/>
  <c r="S300" i="1"/>
  <c r="V300" i="1" s="1"/>
  <c r="S296" i="1"/>
  <c r="T296" i="1"/>
  <c r="U296" i="1" s="1"/>
  <c r="S279" i="1"/>
  <c r="T279" i="1"/>
  <c r="U279" i="1" s="1"/>
  <c r="S290" i="1"/>
  <c r="T290" i="1"/>
  <c r="U290" i="1" s="1"/>
  <c r="S286" i="1"/>
  <c r="T286" i="1"/>
  <c r="U286" i="1" s="1"/>
  <c r="S255" i="1"/>
  <c r="T255" i="1"/>
  <c r="U255" i="1" s="1"/>
  <c r="S251" i="1"/>
  <c r="T251" i="1"/>
  <c r="U251" i="1" s="1"/>
  <c r="S270" i="1"/>
  <c r="T270" i="1"/>
  <c r="U270" i="1" s="1"/>
  <c r="S293" i="1"/>
  <c r="V293" i="1" s="1"/>
  <c r="S259" i="1"/>
  <c r="T259" i="1"/>
  <c r="U259" i="1" s="1"/>
  <c r="S264" i="1"/>
  <c r="T264" i="1"/>
  <c r="U264" i="1" s="1"/>
  <c r="S265" i="1"/>
  <c r="T265" i="1"/>
  <c r="U265" i="1" s="1"/>
  <c r="S204" i="1"/>
  <c r="T204" i="1"/>
  <c r="U204" i="1" s="1"/>
  <c r="S210" i="1"/>
  <c r="T210" i="1"/>
  <c r="U210" i="1" s="1"/>
  <c r="S206" i="1"/>
  <c r="S215" i="1"/>
  <c r="T215" i="1"/>
  <c r="U215" i="1" s="1"/>
  <c r="S219" i="1"/>
  <c r="T219" i="1"/>
  <c r="U219" i="1" s="1"/>
  <c r="S224" i="1"/>
  <c r="T224" i="1"/>
  <c r="U224" i="1" s="1"/>
  <c r="S226" i="1"/>
  <c r="T226" i="1"/>
  <c r="U226" i="1" s="1"/>
  <c r="S228" i="1"/>
  <c r="T228" i="1"/>
  <c r="U228" i="1" s="1"/>
  <c r="S234" i="1"/>
  <c r="T234" i="1"/>
  <c r="U234" i="1" s="1"/>
  <c r="S240" i="1"/>
  <c r="T240" i="1"/>
  <c r="U240" i="1" s="1"/>
  <c r="S243" i="1"/>
  <c r="T243" i="1"/>
  <c r="U243" i="1" s="1"/>
  <c r="S187" i="1"/>
  <c r="T187" i="1"/>
  <c r="U187" i="1" s="1"/>
  <c r="S200" i="1"/>
  <c r="T200" i="1"/>
  <c r="U200" i="1" s="1"/>
  <c r="S189" i="1"/>
  <c r="T189" i="1"/>
  <c r="U189" i="1" s="1"/>
  <c r="S191" i="1"/>
  <c r="T191" i="1"/>
  <c r="U191" i="1" s="1"/>
  <c r="S194" i="1"/>
  <c r="T194" i="1"/>
  <c r="U194" i="1" s="1"/>
  <c r="S197" i="1"/>
  <c r="T197" i="1"/>
  <c r="U197" i="1" s="1"/>
  <c r="S178" i="1"/>
  <c r="T178" i="1"/>
  <c r="U178" i="1" s="1"/>
  <c r="S183" i="1"/>
  <c r="V183" i="1" s="1"/>
  <c r="S185" i="1"/>
  <c r="T185" i="1"/>
  <c r="U185" i="1" s="1"/>
  <c r="S164" i="1"/>
  <c r="T164" i="1"/>
  <c r="U164" i="1" s="1"/>
  <c r="S169" i="1"/>
  <c r="T169" i="1"/>
  <c r="U169" i="1" s="1"/>
  <c r="S171" i="1"/>
  <c r="T171" i="1"/>
  <c r="U171" i="1" s="1"/>
  <c r="S140" i="1"/>
  <c r="T140" i="1"/>
  <c r="U140" i="1" s="1"/>
  <c r="S149" i="1"/>
  <c r="T149" i="1"/>
  <c r="U149" i="1" s="1"/>
  <c r="S152" i="1"/>
  <c r="T152" i="1"/>
  <c r="U152" i="1" s="1"/>
  <c r="S155" i="1"/>
  <c r="T155" i="1"/>
  <c r="U155" i="1" s="1"/>
  <c r="S133" i="1"/>
  <c r="T133" i="1"/>
  <c r="U133" i="1" s="1"/>
  <c r="S138" i="1"/>
  <c r="T138" i="1"/>
  <c r="U138" i="1" s="1"/>
  <c r="S120" i="1"/>
  <c r="T120" i="1"/>
  <c r="U120" i="1" s="1"/>
  <c r="S124" i="1"/>
  <c r="T124" i="1"/>
  <c r="U124" i="1" s="1"/>
  <c r="S128" i="1"/>
  <c r="T128" i="1"/>
  <c r="U128" i="1" s="1"/>
  <c r="S109" i="1"/>
  <c r="T109" i="1"/>
  <c r="U109" i="1" s="1"/>
  <c r="S105" i="1"/>
  <c r="T105" i="1"/>
  <c r="U105" i="1" s="1"/>
  <c r="S111" i="1"/>
  <c r="V111" i="1" s="1"/>
  <c r="S115" i="1"/>
  <c r="T115" i="1"/>
  <c r="U115" i="1" s="1"/>
  <c r="S118" i="1"/>
  <c r="T118" i="1"/>
  <c r="U118" i="1" s="1"/>
  <c r="S90" i="1"/>
  <c r="T90" i="1"/>
  <c r="U90" i="1" s="1"/>
  <c r="S96" i="1"/>
  <c r="T96" i="1"/>
  <c r="U96" i="1" s="1"/>
  <c r="S98" i="1"/>
  <c r="T98" i="1"/>
  <c r="U98" i="1" s="1"/>
  <c r="S79" i="1"/>
  <c r="T79" i="1"/>
  <c r="U79" i="1" s="1"/>
  <c r="S85" i="1"/>
  <c r="T85" i="1"/>
  <c r="U85" i="1" s="1"/>
  <c r="T753" i="1"/>
  <c r="U753" i="1" s="1"/>
  <c r="T703" i="1"/>
  <c r="U703" i="1" s="1"/>
  <c r="T630" i="1"/>
  <c r="U630" i="1" s="1"/>
  <c r="T596" i="1"/>
  <c r="U596" i="1" s="1"/>
  <c r="S808" i="1"/>
  <c r="V808" i="1" s="1"/>
  <c r="S594" i="1"/>
  <c r="V594" i="1" s="1"/>
  <c r="S790" i="1"/>
  <c r="T790" i="1"/>
  <c r="U790" i="1" s="1"/>
  <c r="S800" i="1"/>
  <c r="V800" i="1" s="1"/>
  <c r="S807" i="1"/>
  <c r="T807" i="1"/>
  <c r="U807" i="1" s="1"/>
  <c r="S803" i="1"/>
  <c r="T803" i="1"/>
  <c r="U803" i="1" s="1"/>
  <c r="S787" i="1"/>
  <c r="T787" i="1"/>
  <c r="U787" i="1" s="1"/>
  <c r="S783" i="1"/>
  <c r="V783" i="1" s="1"/>
  <c r="S779" i="1"/>
  <c r="T779" i="1"/>
  <c r="U779" i="1" s="1"/>
  <c r="S792" i="1"/>
  <c r="T792" i="1"/>
  <c r="U792" i="1" s="1"/>
  <c r="S768" i="1"/>
  <c r="S758" i="1"/>
  <c r="S696" i="1"/>
  <c r="S621" i="1"/>
  <c r="S583" i="1"/>
  <c r="S550" i="1"/>
  <c r="S406" i="1"/>
  <c r="V406" i="1" s="1"/>
  <c r="S342" i="1"/>
  <c r="V342" i="1" s="1"/>
  <c r="T805" i="1"/>
  <c r="U805" i="1" s="1"/>
  <c r="T769" i="1"/>
  <c r="U769" i="1" s="1"/>
  <c r="T714" i="1"/>
  <c r="U714" i="1" s="1"/>
  <c r="T646" i="1"/>
  <c r="U646" i="1" s="1"/>
  <c r="T580" i="1"/>
  <c r="U580" i="1" s="1"/>
  <c r="T206" i="1"/>
  <c r="U206" i="1" s="1"/>
  <c r="S777" i="1"/>
  <c r="V777" i="1" s="1"/>
  <c r="S662" i="1"/>
  <c r="V662" i="1" s="1"/>
  <c r="S557" i="1"/>
  <c r="V557" i="1" s="1"/>
  <c r="S776" i="1"/>
  <c r="V776" i="1" s="1"/>
  <c r="S772" i="1"/>
  <c r="S756" i="1"/>
  <c r="S752" i="1"/>
  <c r="S762" i="1"/>
  <c r="V762" i="1" s="1"/>
  <c r="S764" i="1"/>
  <c r="S740" i="1"/>
  <c r="V740" i="1" s="1"/>
  <c r="S736" i="1"/>
  <c r="S746" i="1"/>
  <c r="S728" i="1"/>
  <c r="S734" i="1"/>
  <c r="V734" i="1" s="1"/>
  <c r="S709" i="1"/>
  <c r="S717" i="1"/>
  <c r="S719" i="1"/>
  <c r="V719" i="1" s="1"/>
  <c r="S692" i="1"/>
  <c r="S698" i="1"/>
  <c r="S702" i="1"/>
  <c r="S705" i="1"/>
  <c r="V705" i="1" s="1"/>
  <c r="S687" i="1"/>
  <c r="S668" i="1"/>
  <c r="V668" i="1" s="1"/>
  <c r="S673" i="1"/>
  <c r="S651" i="1"/>
  <c r="S660" i="1"/>
  <c r="S663" i="1"/>
  <c r="V663" i="1" s="1"/>
  <c r="S666" i="1"/>
  <c r="S654" i="1"/>
  <c r="S639" i="1"/>
  <c r="V639" i="1" s="1"/>
  <c r="S644" i="1"/>
  <c r="S622" i="1"/>
  <c r="S629" i="1"/>
  <c r="S634" i="1"/>
  <c r="V634" i="1" s="1"/>
  <c r="S618" i="1"/>
  <c r="S624" i="1"/>
  <c r="V624" i="1" s="1"/>
  <c r="S607" i="1"/>
  <c r="S569" i="1"/>
  <c r="S565" i="1"/>
  <c r="S574" i="1"/>
  <c r="V574" i="1" s="1"/>
  <c r="S578" i="1"/>
  <c r="S585" i="1"/>
  <c r="S587" i="1"/>
  <c r="V587" i="1" s="1"/>
  <c r="S593" i="1"/>
  <c r="S599" i="1"/>
  <c r="S602" i="1"/>
  <c r="S603" i="1"/>
  <c r="V603" i="1" s="1"/>
  <c r="S534" i="1"/>
  <c r="S555" i="1"/>
  <c r="S559" i="1"/>
  <c r="S541" i="1"/>
  <c r="S510" i="1"/>
  <c r="S522" i="1"/>
  <c r="S529" i="1"/>
  <c r="S525" i="1"/>
  <c r="S544" i="1"/>
  <c r="S515" i="1"/>
  <c r="S511" i="1"/>
  <c r="S506" i="1"/>
  <c r="S502" i="1"/>
  <c r="S491" i="1"/>
  <c r="S497" i="1"/>
  <c r="S487" i="1"/>
  <c r="S476" i="1"/>
  <c r="S490" i="1"/>
  <c r="S467" i="1"/>
  <c r="S474" i="1"/>
  <c r="S470" i="1"/>
  <c r="S481" i="1"/>
  <c r="S455" i="1"/>
  <c r="S451" i="1"/>
  <c r="S447" i="1"/>
  <c r="S443" i="1"/>
  <c r="S439" i="1"/>
  <c r="S444" i="1"/>
  <c r="S431" i="1"/>
  <c r="S438" i="1"/>
  <c r="S418" i="1"/>
  <c r="S414" i="1"/>
  <c r="S423" i="1"/>
  <c r="S419" i="1"/>
  <c r="S395" i="1"/>
  <c r="S410" i="1"/>
  <c r="T410" i="1"/>
  <c r="U410" i="1" s="1"/>
  <c r="S402" i="1"/>
  <c r="T402" i="1"/>
  <c r="U402" i="1" s="1"/>
  <c r="S386" i="1"/>
  <c r="S382" i="1"/>
  <c r="T382" i="1"/>
  <c r="U382" i="1" s="1"/>
  <c r="S391" i="1"/>
  <c r="V391" i="1" s="1"/>
  <c r="S397" i="1"/>
  <c r="T397" i="1"/>
  <c r="U397" i="1" s="1"/>
  <c r="S375" i="1"/>
  <c r="S371" i="1"/>
  <c r="T371" i="1"/>
  <c r="U371" i="1" s="1"/>
  <c r="S378" i="1"/>
  <c r="V378" i="1" s="1"/>
  <c r="S363" i="1"/>
  <c r="T363" i="1"/>
  <c r="U363" i="1" s="1"/>
  <c r="S381" i="1"/>
  <c r="S355" i="1"/>
  <c r="T355" i="1"/>
  <c r="U355" i="1" s="1"/>
  <c r="S351" i="1"/>
  <c r="V351" i="1" s="1"/>
  <c r="S333" i="1"/>
  <c r="T333" i="1"/>
  <c r="U333" i="1" s="1"/>
  <c r="S360" i="1"/>
  <c r="S335" i="1"/>
  <c r="T335" i="1"/>
  <c r="U335" i="1" s="1"/>
  <c r="S338" i="1"/>
  <c r="T338" i="1"/>
  <c r="U338" i="1" s="1"/>
  <c r="S349" i="1"/>
  <c r="S345" i="1"/>
  <c r="T345" i="1"/>
  <c r="U345" i="1" s="1"/>
  <c r="S323" i="1"/>
  <c r="V323" i="1" s="1"/>
  <c r="S330" i="1"/>
  <c r="T330" i="1"/>
  <c r="U330" i="1" s="1"/>
  <c r="S311" i="1"/>
  <c r="S317" i="1"/>
  <c r="T317" i="1"/>
  <c r="U317" i="1" s="1"/>
  <c r="S310" i="1"/>
  <c r="V310" i="1" s="1"/>
  <c r="S306" i="1"/>
  <c r="T306" i="1"/>
  <c r="U306" i="1" s="1"/>
  <c r="S274" i="1"/>
  <c r="S299" i="1"/>
  <c r="T299" i="1"/>
  <c r="U299" i="1" s="1"/>
  <c r="S282" i="1"/>
  <c r="V282" i="1" s="1"/>
  <c r="S278" i="1"/>
  <c r="T278" i="1"/>
  <c r="U278" i="1" s="1"/>
  <c r="S289" i="1"/>
  <c r="S285" i="1"/>
  <c r="T285" i="1"/>
  <c r="U285" i="1" s="1"/>
  <c r="S254" i="1"/>
  <c r="V254" i="1" s="1"/>
  <c r="S250" i="1"/>
  <c r="T250" i="1"/>
  <c r="U250" i="1" s="1"/>
  <c r="S273" i="1"/>
  <c r="S292" i="1"/>
  <c r="T292" i="1"/>
  <c r="U292" i="1" s="1"/>
  <c r="S258" i="1"/>
  <c r="V258" i="1" s="1"/>
  <c r="S263" i="1"/>
  <c r="T263" i="1"/>
  <c r="U263" i="1" s="1"/>
  <c r="S267" i="1"/>
  <c r="S269" i="1"/>
  <c r="T269" i="1"/>
  <c r="U269" i="1" s="1"/>
  <c r="S209" i="1"/>
  <c r="T209" i="1"/>
  <c r="U209" i="1" s="1"/>
  <c r="S213" i="1"/>
  <c r="T213" i="1"/>
  <c r="U213" i="1" s="1"/>
  <c r="S214" i="1"/>
  <c r="S218" i="1"/>
  <c r="T218" i="1"/>
  <c r="U218" i="1" s="1"/>
  <c r="S223" i="1"/>
  <c r="T223" i="1"/>
  <c r="U223" i="1" s="1"/>
  <c r="S231" i="1"/>
  <c r="T231" i="1"/>
  <c r="U231" i="1" s="1"/>
  <c r="S233" i="1"/>
  <c r="V233" i="1" s="1"/>
  <c r="S237" i="1"/>
  <c r="T237" i="1"/>
  <c r="U237" i="1" s="1"/>
  <c r="S239" i="1"/>
  <c r="T239" i="1"/>
  <c r="U239" i="1" s="1"/>
  <c r="S242" i="1"/>
  <c r="T242" i="1"/>
  <c r="U242" i="1" s="1"/>
  <c r="S186" i="1"/>
  <c r="V186" i="1" s="1"/>
  <c r="S203" i="1"/>
  <c r="T203" i="1"/>
  <c r="U203" i="1" s="1"/>
  <c r="S188" i="1"/>
  <c r="T188" i="1"/>
  <c r="U188" i="1" s="1"/>
  <c r="S190" i="1"/>
  <c r="T190" i="1"/>
  <c r="U190" i="1" s="1"/>
  <c r="S174" i="1"/>
  <c r="V174" i="1" s="1"/>
  <c r="S176" i="1"/>
  <c r="T176" i="1"/>
  <c r="U176" i="1" s="1"/>
  <c r="S177" i="1"/>
  <c r="T177" i="1"/>
  <c r="U177" i="1" s="1"/>
  <c r="S182" i="1"/>
  <c r="T182" i="1"/>
  <c r="U182" i="1" s="1"/>
  <c r="S168" i="1"/>
  <c r="T168" i="1"/>
  <c r="U168" i="1" s="1"/>
  <c r="S161" i="1"/>
  <c r="T161" i="1"/>
  <c r="U161" i="1" s="1"/>
  <c r="S143" i="1"/>
  <c r="T143" i="1"/>
  <c r="U143" i="1" s="1"/>
  <c r="S162" i="1"/>
  <c r="V162" i="1" s="1"/>
  <c r="S148" i="1"/>
  <c r="T148" i="1"/>
  <c r="U148" i="1" s="1"/>
  <c r="S151" i="1"/>
  <c r="T151" i="1"/>
  <c r="U151" i="1" s="1"/>
  <c r="S154" i="1"/>
  <c r="T154" i="1"/>
  <c r="U154" i="1" s="1"/>
  <c r="S159" i="1"/>
  <c r="V159" i="1" s="1"/>
  <c r="S137" i="1"/>
  <c r="T137" i="1"/>
  <c r="U137" i="1" s="1"/>
  <c r="S119" i="1"/>
  <c r="T119" i="1"/>
  <c r="U119" i="1" s="1"/>
  <c r="S123" i="1"/>
  <c r="T123" i="1"/>
  <c r="U123" i="1" s="1"/>
  <c r="S127" i="1"/>
  <c r="V127" i="1" s="1"/>
  <c r="S108" i="1"/>
  <c r="T108" i="1"/>
  <c r="U108" i="1" s="1"/>
  <c r="S132" i="1"/>
  <c r="T132" i="1"/>
  <c r="U132" i="1" s="1"/>
  <c r="S110" i="1"/>
  <c r="T110" i="1"/>
  <c r="U110" i="1" s="1"/>
  <c r="S114" i="1"/>
  <c r="S93" i="1"/>
  <c r="T93" i="1"/>
  <c r="U93" i="1" s="1"/>
  <c r="S89" i="1"/>
  <c r="T89" i="1"/>
  <c r="U89" i="1" s="1"/>
  <c r="S97" i="1"/>
  <c r="T97" i="1"/>
  <c r="U97" i="1" s="1"/>
  <c r="S103" i="1"/>
  <c r="T103" i="1"/>
  <c r="U103" i="1" s="1"/>
  <c r="S104" i="1"/>
  <c r="V104" i="1" s="1"/>
  <c r="S84" i="1"/>
  <c r="T84" i="1"/>
  <c r="U84" i="1" s="1"/>
  <c r="T768" i="1"/>
  <c r="U768" i="1" s="1"/>
  <c r="T752" i="1"/>
  <c r="U752" i="1" s="1"/>
  <c r="T728" i="1"/>
  <c r="U728" i="1" s="1"/>
  <c r="T717" i="1"/>
  <c r="U717" i="1" s="1"/>
  <c r="T702" i="1"/>
  <c r="U702" i="1" s="1"/>
  <c r="T696" i="1"/>
  <c r="U696" i="1" s="1"/>
  <c r="T660" i="1"/>
  <c r="U660" i="1" s="1"/>
  <c r="T654" i="1"/>
  <c r="U654" i="1" s="1"/>
  <c r="T629" i="1"/>
  <c r="U629" i="1" s="1"/>
  <c r="T621" i="1"/>
  <c r="U621" i="1" s="1"/>
  <c r="T565" i="1"/>
  <c r="U565" i="1" s="1"/>
  <c r="T585" i="1"/>
  <c r="U585" i="1" s="1"/>
  <c r="T602" i="1"/>
  <c r="U602" i="1" s="1"/>
  <c r="T534" i="1"/>
  <c r="U534" i="1" s="1"/>
  <c r="T555" i="1"/>
  <c r="U555" i="1" s="1"/>
  <c r="T541" i="1"/>
  <c r="U541" i="1" s="1"/>
  <c r="T522" i="1"/>
  <c r="U522" i="1" s="1"/>
  <c r="T529" i="1"/>
  <c r="U529" i="1" s="1"/>
  <c r="T544" i="1"/>
  <c r="U544" i="1" s="1"/>
  <c r="T511" i="1"/>
  <c r="U511" i="1" s="1"/>
  <c r="T502" i="1"/>
  <c r="U502" i="1" s="1"/>
  <c r="T497" i="1"/>
  <c r="U497" i="1" s="1"/>
  <c r="T476" i="1"/>
  <c r="U476" i="1" s="1"/>
  <c r="T467" i="1"/>
  <c r="U467" i="1" s="1"/>
  <c r="T470" i="1"/>
  <c r="U470" i="1" s="1"/>
  <c r="T455" i="1"/>
  <c r="U455" i="1" s="1"/>
  <c r="T447" i="1"/>
  <c r="U447" i="1" s="1"/>
  <c r="T439" i="1"/>
  <c r="U439" i="1" s="1"/>
  <c r="T431" i="1"/>
  <c r="U431" i="1" s="1"/>
  <c r="T418" i="1"/>
  <c r="U418" i="1" s="1"/>
  <c r="T423" i="1"/>
  <c r="U423" i="1" s="1"/>
  <c r="T395" i="1"/>
  <c r="U395" i="1" s="1"/>
  <c r="T375" i="1"/>
  <c r="U375" i="1" s="1"/>
  <c r="T360" i="1"/>
  <c r="U360" i="1" s="1"/>
  <c r="T311" i="1"/>
  <c r="U311" i="1" s="1"/>
  <c r="T289" i="1"/>
  <c r="U289" i="1" s="1"/>
  <c r="T267" i="1"/>
  <c r="U267" i="1" s="1"/>
  <c r="T214" i="1"/>
  <c r="U214" i="1" s="1"/>
  <c r="T114" i="1"/>
  <c r="U114" i="1" s="1"/>
  <c r="S671" i="1"/>
  <c r="V671" i="1" s="1"/>
  <c r="S606" i="1"/>
  <c r="V606" i="1" s="1"/>
  <c r="S573" i="1"/>
  <c r="V573" i="1" s="1"/>
  <c r="S601" i="1"/>
  <c r="V601" i="1" s="1"/>
  <c r="S540" i="1"/>
  <c r="V540" i="1" s="1"/>
  <c r="S236" i="1"/>
  <c r="V236" i="1" s="1"/>
  <c r="S610" i="1"/>
  <c r="T610" i="1"/>
  <c r="U610" i="1" s="1"/>
  <c r="S564" i="1"/>
  <c r="T564" i="1"/>
  <c r="U564" i="1" s="1"/>
  <c r="S577" i="1"/>
  <c r="T577" i="1"/>
  <c r="U577" i="1" s="1"/>
  <c r="S582" i="1"/>
  <c r="T582" i="1"/>
  <c r="U582" i="1" s="1"/>
  <c r="S584" i="1"/>
  <c r="T584" i="1"/>
  <c r="U584" i="1" s="1"/>
  <c r="S586" i="1"/>
  <c r="T586" i="1"/>
  <c r="U586" i="1" s="1"/>
  <c r="S592" i="1"/>
  <c r="T592" i="1"/>
  <c r="U592" i="1" s="1"/>
  <c r="S598" i="1"/>
  <c r="T598" i="1"/>
  <c r="U598" i="1" s="1"/>
  <c r="S612" i="1"/>
  <c r="T612" i="1"/>
  <c r="U612" i="1" s="1"/>
  <c r="S537" i="1"/>
  <c r="T537" i="1"/>
  <c r="U537" i="1" s="1"/>
  <c r="S533" i="1"/>
  <c r="T533" i="1"/>
  <c r="U533" i="1" s="1"/>
  <c r="S549" i="1"/>
  <c r="T549" i="1"/>
  <c r="U549" i="1" s="1"/>
  <c r="S554" i="1"/>
  <c r="T554" i="1"/>
  <c r="U554" i="1" s="1"/>
  <c r="S558" i="1"/>
  <c r="T558" i="1"/>
  <c r="U558" i="1" s="1"/>
  <c r="S509" i="1"/>
  <c r="T509" i="1"/>
  <c r="U509" i="1" s="1"/>
  <c r="S521" i="1"/>
  <c r="T521" i="1"/>
  <c r="U521" i="1" s="1"/>
  <c r="S532" i="1"/>
  <c r="T532" i="1"/>
  <c r="U532" i="1" s="1"/>
  <c r="S528" i="1"/>
  <c r="T528" i="1"/>
  <c r="U528" i="1" s="1"/>
  <c r="S547" i="1"/>
  <c r="T547" i="1"/>
  <c r="U547" i="1" s="1"/>
  <c r="S501" i="1"/>
  <c r="T501" i="1"/>
  <c r="U501" i="1" s="1"/>
  <c r="S514" i="1"/>
  <c r="T514" i="1"/>
  <c r="U514" i="1" s="1"/>
  <c r="S495" i="1"/>
  <c r="T495" i="1"/>
  <c r="U495" i="1" s="1"/>
  <c r="S505" i="1"/>
  <c r="T505" i="1"/>
  <c r="U505" i="1" s="1"/>
  <c r="S494" i="1"/>
  <c r="T494" i="1"/>
  <c r="U494" i="1" s="1"/>
  <c r="S500" i="1"/>
  <c r="T500" i="1"/>
  <c r="U500" i="1" s="1"/>
  <c r="S496" i="1"/>
  <c r="T496" i="1"/>
  <c r="U496" i="1" s="1"/>
  <c r="S486" i="1"/>
  <c r="T486" i="1"/>
  <c r="U486" i="1" s="1"/>
  <c r="S475" i="1"/>
  <c r="T475" i="1"/>
  <c r="U475" i="1" s="1"/>
  <c r="S460" i="1"/>
  <c r="T460" i="1"/>
  <c r="U460" i="1" s="1"/>
  <c r="S466" i="1"/>
  <c r="T466" i="1"/>
  <c r="U466" i="1" s="1"/>
  <c r="S473" i="1"/>
  <c r="T473" i="1"/>
  <c r="U473" i="1" s="1"/>
  <c r="S469" i="1"/>
  <c r="T469" i="1"/>
  <c r="U469" i="1" s="1"/>
  <c r="S480" i="1"/>
  <c r="T480" i="1"/>
  <c r="U480" i="1" s="1"/>
  <c r="S454" i="1"/>
  <c r="T454" i="1"/>
  <c r="U454" i="1" s="1"/>
  <c r="S450" i="1"/>
  <c r="T450" i="1"/>
  <c r="U450" i="1" s="1"/>
  <c r="S463" i="1"/>
  <c r="T463" i="1"/>
  <c r="U463" i="1" s="1"/>
  <c r="S442" i="1"/>
  <c r="T442" i="1"/>
  <c r="U442" i="1" s="1"/>
  <c r="S457" i="1"/>
  <c r="T457" i="1"/>
  <c r="U457" i="1" s="1"/>
  <c r="S434" i="1"/>
  <c r="T434" i="1"/>
  <c r="U434" i="1" s="1"/>
  <c r="S430" i="1"/>
  <c r="T430" i="1"/>
  <c r="U430" i="1" s="1"/>
  <c r="S437" i="1"/>
  <c r="T437" i="1"/>
  <c r="U437" i="1" s="1"/>
  <c r="S417" i="1"/>
  <c r="T417" i="1"/>
  <c r="U417" i="1" s="1"/>
  <c r="S435" i="1"/>
  <c r="T435" i="1"/>
  <c r="U435" i="1" s="1"/>
  <c r="S422" i="1"/>
  <c r="T422" i="1"/>
  <c r="U422" i="1" s="1"/>
  <c r="S398" i="1"/>
  <c r="T398" i="1"/>
  <c r="U398" i="1" s="1"/>
  <c r="S413" i="1"/>
  <c r="T413" i="1"/>
  <c r="U413" i="1" s="1"/>
  <c r="S409" i="1"/>
  <c r="T409" i="1"/>
  <c r="U409" i="1" s="1"/>
  <c r="S405" i="1"/>
  <c r="T405" i="1"/>
  <c r="U405" i="1" s="1"/>
  <c r="T401" i="1"/>
  <c r="U401" i="1" s="1"/>
  <c r="S401" i="1"/>
  <c r="S385" i="1"/>
  <c r="T385" i="1"/>
  <c r="U385" i="1" s="1"/>
  <c r="S394" i="1"/>
  <c r="T394" i="1"/>
  <c r="U394" i="1" s="1"/>
  <c r="S390" i="1"/>
  <c r="T390" i="1"/>
  <c r="U390" i="1" s="1"/>
  <c r="S374" i="1"/>
  <c r="T374" i="1"/>
  <c r="U374" i="1" s="1"/>
  <c r="S387" i="1"/>
  <c r="T387" i="1"/>
  <c r="U387" i="1" s="1"/>
  <c r="S366" i="1"/>
  <c r="T366" i="1"/>
  <c r="U366" i="1" s="1"/>
  <c r="T362" i="1"/>
  <c r="U362" i="1" s="1"/>
  <c r="S362" i="1"/>
  <c r="S358" i="1"/>
  <c r="T358" i="1"/>
  <c r="U358" i="1" s="1"/>
  <c r="S354" i="1"/>
  <c r="T354" i="1"/>
  <c r="U354" i="1" s="1"/>
  <c r="S350" i="1"/>
  <c r="T350" i="1"/>
  <c r="U350" i="1" s="1"/>
  <c r="T332" i="1"/>
  <c r="U332" i="1" s="1"/>
  <c r="S332" i="1"/>
  <c r="S359" i="1"/>
  <c r="T359" i="1"/>
  <c r="U359" i="1" s="1"/>
  <c r="S334" i="1"/>
  <c r="T334" i="1"/>
  <c r="U334" i="1" s="1"/>
  <c r="S341" i="1"/>
  <c r="T341" i="1"/>
  <c r="U341" i="1" s="1"/>
  <c r="T327" i="1"/>
  <c r="U327" i="1" s="1"/>
  <c r="S327" i="1"/>
  <c r="S348" i="1"/>
  <c r="T348" i="1"/>
  <c r="U348" i="1" s="1"/>
  <c r="S329" i="1"/>
  <c r="T329" i="1"/>
  <c r="U329" i="1" s="1"/>
  <c r="S322" i="1"/>
  <c r="T322" i="1"/>
  <c r="U322" i="1" s="1"/>
  <c r="S303" i="1"/>
  <c r="T303" i="1"/>
  <c r="U303" i="1" s="1"/>
  <c r="S316" i="1"/>
  <c r="T316" i="1"/>
  <c r="U316" i="1" s="1"/>
  <c r="S309" i="1"/>
  <c r="T309" i="1"/>
  <c r="U309" i="1" s="1"/>
  <c r="T305" i="1"/>
  <c r="U305" i="1" s="1"/>
  <c r="S305" i="1"/>
  <c r="S302" i="1"/>
  <c r="T302" i="1"/>
  <c r="U302" i="1" s="1"/>
  <c r="S298" i="1"/>
  <c r="T298" i="1"/>
  <c r="U298" i="1" s="1"/>
  <c r="S281" i="1"/>
  <c r="T281" i="1"/>
  <c r="U281" i="1" s="1"/>
  <c r="S277" i="1"/>
  <c r="T277" i="1"/>
  <c r="U277" i="1" s="1"/>
  <c r="S288" i="1"/>
  <c r="T288" i="1"/>
  <c r="U288" i="1" s="1"/>
  <c r="T284" i="1"/>
  <c r="U284" i="1" s="1"/>
  <c r="S284" i="1"/>
  <c r="S253" i="1"/>
  <c r="T253" i="1"/>
  <c r="U253" i="1" s="1"/>
  <c r="S249" i="1"/>
  <c r="T249" i="1"/>
  <c r="U249" i="1" s="1"/>
  <c r="S272" i="1"/>
  <c r="T272" i="1"/>
  <c r="U272" i="1" s="1"/>
  <c r="S291" i="1"/>
  <c r="T291" i="1"/>
  <c r="U291" i="1" s="1"/>
  <c r="S257" i="1"/>
  <c r="T257" i="1"/>
  <c r="U257" i="1" s="1"/>
  <c r="S262" i="1"/>
  <c r="T262" i="1"/>
  <c r="U262" i="1" s="1"/>
  <c r="S266" i="1"/>
  <c r="T266" i="1"/>
  <c r="U266" i="1" s="1"/>
  <c r="T268" i="1"/>
  <c r="U268" i="1" s="1"/>
  <c r="S268" i="1"/>
  <c r="S208" i="1"/>
  <c r="T208" i="1"/>
  <c r="U208" i="1" s="1"/>
  <c r="S212" i="1"/>
  <c r="T212" i="1"/>
  <c r="U212" i="1" s="1"/>
  <c r="S221" i="1"/>
  <c r="T221" i="1"/>
  <c r="U221" i="1" s="1"/>
  <c r="S217" i="1"/>
  <c r="T217" i="1"/>
  <c r="U217" i="1" s="1"/>
  <c r="S222" i="1"/>
  <c r="T222" i="1"/>
  <c r="U222" i="1" s="1"/>
  <c r="S230" i="1"/>
  <c r="T230" i="1"/>
  <c r="U230" i="1" s="1"/>
  <c r="S232" i="1"/>
  <c r="T232" i="1"/>
  <c r="U232" i="1" s="1"/>
  <c r="S238" i="1"/>
  <c r="T238" i="1"/>
  <c r="U238" i="1" s="1"/>
  <c r="S246" i="1"/>
  <c r="T246" i="1"/>
  <c r="U246" i="1" s="1"/>
  <c r="S202" i="1"/>
  <c r="T202" i="1"/>
  <c r="U202" i="1" s="1"/>
  <c r="S248" i="1"/>
  <c r="T248" i="1"/>
  <c r="U248" i="1" s="1"/>
  <c r="S193" i="1"/>
  <c r="T193" i="1"/>
  <c r="U193" i="1" s="1"/>
  <c r="S196" i="1"/>
  <c r="T196" i="1"/>
  <c r="U196" i="1" s="1"/>
  <c r="S199" i="1"/>
  <c r="T199" i="1"/>
  <c r="U199" i="1" s="1"/>
  <c r="T756" i="1"/>
  <c r="U756" i="1" s="1"/>
  <c r="T764" i="1"/>
  <c r="U764" i="1" s="1"/>
  <c r="T746" i="1"/>
  <c r="U746" i="1" s="1"/>
  <c r="T698" i="1"/>
  <c r="U698" i="1" s="1"/>
  <c r="T687" i="1"/>
  <c r="U687" i="1" s="1"/>
  <c r="T651" i="1"/>
  <c r="U651" i="1" s="1"/>
  <c r="T622" i="1"/>
  <c r="U622" i="1" s="1"/>
  <c r="T618" i="1"/>
  <c r="U618" i="1" s="1"/>
  <c r="T569" i="1"/>
  <c r="U569" i="1" s="1"/>
  <c r="T583" i="1"/>
  <c r="U583" i="1" s="1"/>
  <c r="T599" i="1"/>
  <c r="U599" i="1" s="1"/>
  <c r="S538" i="1"/>
  <c r="V538" i="1" s="1"/>
  <c r="S518" i="1"/>
  <c r="V518" i="1" s="1"/>
  <c r="S314" i="1"/>
  <c r="V314" i="1" s="1"/>
  <c r="S508" i="1"/>
  <c r="V508" i="1" s="1"/>
  <c r="S504" i="1"/>
  <c r="V504" i="1" s="1"/>
  <c r="S493" i="1"/>
  <c r="V493" i="1" s="1"/>
  <c r="S499" i="1"/>
  <c r="V499" i="1" s="1"/>
  <c r="S489" i="1"/>
  <c r="V489" i="1" s="1"/>
  <c r="S485" i="1"/>
  <c r="V485" i="1" s="1"/>
  <c r="S484" i="1"/>
  <c r="V484" i="1" s="1"/>
  <c r="S459" i="1"/>
  <c r="V459" i="1" s="1"/>
  <c r="S465" i="1"/>
  <c r="V465" i="1" s="1"/>
  <c r="S472" i="1"/>
  <c r="V472" i="1" s="1"/>
  <c r="S468" i="1"/>
  <c r="V468" i="1" s="1"/>
  <c r="S479" i="1"/>
  <c r="V479" i="1" s="1"/>
  <c r="S453" i="1"/>
  <c r="V453" i="1" s="1"/>
  <c r="S449" i="1"/>
  <c r="V449" i="1" s="1"/>
  <c r="S462" i="1"/>
  <c r="V462" i="1" s="1"/>
  <c r="S441" i="1"/>
  <c r="V441" i="1" s="1"/>
  <c r="S456" i="1"/>
  <c r="V456" i="1" s="1"/>
  <c r="S433" i="1"/>
  <c r="V433" i="1" s="1"/>
  <c r="S429" i="1"/>
  <c r="V429" i="1" s="1"/>
  <c r="S436" i="1"/>
  <c r="V436" i="1" s="1"/>
  <c r="S416" i="1"/>
  <c r="V416" i="1" s="1"/>
  <c r="S425" i="1"/>
  <c r="V425" i="1" s="1"/>
  <c r="S421" i="1"/>
  <c r="V421" i="1" s="1"/>
  <c r="S427" i="1"/>
  <c r="V427" i="1" s="1"/>
  <c r="S412" i="1"/>
  <c r="T412" i="1"/>
  <c r="U412" i="1" s="1"/>
  <c r="S408" i="1"/>
  <c r="S404" i="1"/>
  <c r="T404" i="1"/>
  <c r="U404" i="1" s="1"/>
  <c r="S400" i="1"/>
  <c r="V400" i="1" s="1"/>
  <c r="S384" i="1"/>
  <c r="T384" i="1"/>
  <c r="U384" i="1" s="1"/>
  <c r="S393" i="1"/>
  <c r="V393" i="1" s="1"/>
  <c r="S389" i="1"/>
  <c r="T389" i="1"/>
  <c r="U389" i="1" s="1"/>
  <c r="S377" i="1"/>
  <c r="V377" i="1" s="1"/>
  <c r="S373" i="1"/>
  <c r="T373" i="1"/>
  <c r="U373" i="1" s="1"/>
  <c r="S380" i="1"/>
  <c r="S365" i="1"/>
  <c r="T365" i="1"/>
  <c r="U365" i="1" s="1"/>
  <c r="S370" i="1"/>
  <c r="V370" i="1" s="1"/>
  <c r="S353" i="1"/>
  <c r="V353" i="1" s="1"/>
  <c r="S368" i="1"/>
  <c r="T368" i="1"/>
  <c r="U368" i="1" s="1"/>
  <c r="S331" i="1"/>
  <c r="V331" i="1" s="1"/>
  <c r="S337" i="1"/>
  <c r="T337" i="1"/>
  <c r="U337" i="1" s="1"/>
  <c r="S344" i="1"/>
  <c r="S340" i="1"/>
  <c r="T340" i="1"/>
  <c r="U340" i="1" s="1"/>
  <c r="S326" i="1"/>
  <c r="V326" i="1" s="1"/>
  <c r="S347" i="1"/>
  <c r="T347" i="1"/>
  <c r="U347" i="1" s="1"/>
  <c r="S328" i="1"/>
  <c r="V328" i="1" s="1"/>
  <c r="S321" i="1"/>
  <c r="T321" i="1"/>
  <c r="U321" i="1" s="1"/>
  <c r="S313" i="1"/>
  <c r="V313" i="1" s="1"/>
  <c r="S319" i="1"/>
  <c r="T319" i="1"/>
  <c r="U319" i="1" s="1"/>
  <c r="S315" i="1"/>
  <c r="S308" i="1"/>
  <c r="T308" i="1"/>
  <c r="U308" i="1" s="1"/>
  <c r="S304" i="1"/>
  <c r="V304" i="1" s="1"/>
  <c r="S297" i="1"/>
  <c r="V297" i="1" s="1"/>
  <c r="T280" i="1"/>
  <c r="U280" i="1" s="1"/>
  <c r="S280" i="1"/>
  <c r="S276" i="1"/>
  <c r="V276" i="1" s="1"/>
  <c r="S287" i="1"/>
  <c r="T287" i="1"/>
  <c r="U287" i="1" s="1"/>
  <c r="S283" i="1"/>
  <c r="S252" i="1"/>
  <c r="T252" i="1"/>
  <c r="U252" i="1" s="1"/>
  <c r="S271" i="1"/>
  <c r="V271" i="1" s="1"/>
  <c r="S294" i="1"/>
  <c r="T294" i="1"/>
  <c r="U294" i="1" s="1"/>
  <c r="S260" i="1"/>
  <c r="V260" i="1" s="1"/>
  <c r="S261" i="1"/>
  <c r="V261" i="1" s="1"/>
  <c r="S205" i="1"/>
  <c r="T205" i="1"/>
  <c r="U205" i="1" s="1"/>
  <c r="S211" i="1"/>
  <c r="S207" i="1"/>
  <c r="T207" i="1"/>
  <c r="U207" i="1" s="1"/>
  <c r="S216" i="1"/>
  <c r="T216" i="1"/>
  <c r="U216" i="1" s="1"/>
  <c r="S220" i="1"/>
  <c r="T220" i="1"/>
  <c r="U220" i="1" s="1"/>
  <c r="S225" i="1"/>
  <c r="V225" i="1" s="1"/>
  <c r="S227" i="1"/>
  <c r="T227" i="1"/>
  <c r="U227" i="1" s="1"/>
  <c r="S229" i="1"/>
  <c r="T229" i="1"/>
  <c r="U229" i="1" s="1"/>
  <c r="S235" i="1"/>
  <c r="T235" i="1"/>
  <c r="U235" i="1" s="1"/>
  <c r="S241" i="1"/>
  <c r="V241" i="1" s="1"/>
  <c r="S244" i="1"/>
  <c r="T244" i="1"/>
  <c r="U244" i="1" s="1"/>
  <c r="S245" i="1"/>
  <c r="T245" i="1"/>
  <c r="U245" i="1" s="1"/>
  <c r="S201" i="1"/>
  <c r="T201" i="1"/>
  <c r="U201" i="1" s="1"/>
  <c r="S247" i="1"/>
  <c r="V247" i="1" s="1"/>
  <c r="T192" i="1"/>
  <c r="U192" i="1" s="1"/>
  <c r="S192" i="1"/>
  <c r="S195" i="1"/>
  <c r="T195" i="1"/>
  <c r="U195" i="1" s="1"/>
  <c r="S198" i="1"/>
  <c r="T198" i="1"/>
  <c r="U198" i="1" s="1"/>
  <c r="S179" i="1"/>
  <c r="S180" i="1"/>
  <c r="T180" i="1"/>
  <c r="U180" i="1" s="1"/>
  <c r="S173" i="1"/>
  <c r="T173" i="1"/>
  <c r="U173" i="1" s="1"/>
  <c r="S165" i="1"/>
  <c r="T165" i="1"/>
  <c r="U165" i="1" s="1"/>
  <c r="S170" i="1"/>
  <c r="V170" i="1" s="1"/>
  <c r="T172" i="1"/>
  <c r="U172" i="1" s="1"/>
  <c r="S172" i="1"/>
  <c r="S141" i="1"/>
  <c r="T141" i="1"/>
  <c r="U141" i="1" s="1"/>
  <c r="S144" i="1"/>
  <c r="T144" i="1"/>
  <c r="U144" i="1" s="1"/>
  <c r="S146" i="1"/>
  <c r="V146" i="1" s="1"/>
  <c r="S156" i="1"/>
  <c r="T156" i="1"/>
  <c r="U156" i="1" s="1"/>
  <c r="S134" i="1"/>
  <c r="T134" i="1"/>
  <c r="U134" i="1" s="1"/>
  <c r="S157" i="1"/>
  <c r="T157" i="1"/>
  <c r="U157" i="1" s="1"/>
  <c r="S135" i="1"/>
  <c r="V135" i="1" s="1"/>
  <c r="S121" i="1"/>
  <c r="T121" i="1"/>
  <c r="U121" i="1" s="1"/>
  <c r="S129" i="1"/>
  <c r="T129" i="1"/>
  <c r="U129" i="1" s="1"/>
  <c r="S106" i="1"/>
  <c r="S130" i="1"/>
  <c r="T130" i="1"/>
  <c r="U130" i="1" s="1"/>
  <c r="S116" i="1"/>
  <c r="T116" i="1"/>
  <c r="U116" i="1" s="1"/>
  <c r="S112" i="1"/>
  <c r="T112" i="1"/>
  <c r="U112" i="1" s="1"/>
  <c r="S91" i="1"/>
  <c r="T91" i="1"/>
  <c r="U91" i="1" s="1"/>
  <c r="T95" i="1"/>
  <c r="U95" i="1" s="1"/>
  <c r="S95" i="1"/>
  <c r="S99" i="1"/>
  <c r="T99" i="1"/>
  <c r="U99" i="1" s="1"/>
  <c r="S101" i="1"/>
  <c r="T101" i="1"/>
  <c r="U101" i="1" s="1"/>
  <c r="S80" i="1"/>
  <c r="T80" i="1"/>
  <c r="U80" i="1" s="1"/>
  <c r="T772" i="1"/>
  <c r="U772" i="1" s="1"/>
  <c r="T758" i="1"/>
  <c r="U758" i="1" s="1"/>
  <c r="T736" i="1"/>
  <c r="U736" i="1" s="1"/>
  <c r="T709" i="1"/>
  <c r="U709" i="1" s="1"/>
  <c r="T692" i="1"/>
  <c r="U692" i="1" s="1"/>
  <c r="T673" i="1"/>
  <c r="U673" i="1" s="1"/>
  <c r="T666" i="1"/>
  <c r="U666" i="1" s="1"/>
  <c r="T644" i="1"/>
  <c r="U644" i="1" s="1"/>
  <c r="T607" i="1"/>
  <c r="U607" i="1" s="1"/>
  <c r="T578" i="1"/>
  <c r="U578" i="1" s="1"/>
  <c r="T593" i="1"/>
  <c r="U593" i="1" s="1"/>
  <c r="T550" i="1"/>
  <c r="U550" i="1" s="1"/>
  <c r="T559" i="1"/>
  <c r="U559" i="1" s="1"/>
  <c r="T510" i="1"/>
  <c r="U510" i="1" s="1"/>
  <c r="T525" i="1"/>
  <c r="U525" i="1" s="1"/>
  <c r="T515" i="1"/>
  <c r="U515" i="1" s="1"/>
  <c r="T506" i="1"/>
  <c r="U506" i="1" s="1"/>
  <c r="T491" i="1"/>
  <c r="U491" i="1" s="1"/>
  <c r="T487" i="1"/>
  <c r="U487" i="1" s="1"/>
  <c r="T490" i="1"/>
  <c r="U490" i="1" s="1"/>
  <c r="T474" i="1"/>
  <c r="U474" i="1" s="1"/>
  <c r="T481" i="1"/>
  <c r="U481" i="1" s="1"/>
  <c r="T451" i="1"/>
  <c r="U451" i="1" s="1"/>
  <c r="T443" i="1"/>
  <c r="U443" i="1" s="1"/>
  <c r="T444" i="1"/>
  <c r="U444" i="1" s="1"/>
  <c r="T438" i="1"/>
  <c r="U438" i="1" s="1"/>
  <c r="T414" i="1"/>
  <c r="U414" i="1" s="1"/>
  <c r="T419" i="1"/>
  <c r="U419" i="1" s="1"/>
  <c r="T408" i="1"/>
  <c r="U408" i="1" s="1"/>
  <c r="T386" i="1"/>
  <c r="U386" i="1" s="1"/>
  <c r="T380" i="1"/>
  <c r="U380" i="1" s="1"/>
  <c r="T381" i="1"/>
  <c r="U381" i="1" s="1"/>
  <c r="T344" i="1"/>
  <c r="U344" i="1" s="1"/>
  <c r="T349" i="1"/>
  <c r="U349" i="1" s="1"/>
  <c r="T315" i="1"/>
  <c r="U315" i="1" s="1"/>
  <c r="T274" i="1"/>
  <c r="U274" i="1" s="1"/>
  <c r="T283" i="1"/>
  <c r="U283" i="1" s="1"/>
  <c r="T273" i="1"/>
  <c r="U273" i="1" s="1"/>
  <c r="T211" i="1"/>
  <c r="U211" i="1" s="1"/>
  <c r="T179" i="1"/>
  <c r="U179" i="1" s="1"/>
  <c r="T106" i="1"/>
  <c r="U106" i="1" s="1"/>
  <c r="S396" i="1"/>
  <c r="V396" i="1" s="1"/>
  <c r="S301" i="1"/>
  <c r="V301" i="1" s="1"/>
  <c r="S125" i="1"/>
  <c r="V125" i="1" s="1"/>
  <c r="S181" i="1"/>
  <c r="T181" i="1"/>
  <c r="U181" i="1" s="1"/>
  <c r="S163" i="1"/>
  <c r="T163" i="1"/>
  <c r="U163" i="1" s="1"/>
  <c r="S166" i="1"/>
  <c r="T166" i="1"/>
  <c r="U166" i="1" s="1"/>
  <c r="S167" i="1"/>
  <c r="T167" i="1"/>
  <c r="U167" i="1" s="1"/>
  <c r="S160" i="1"/>
  <c r="T160" i="1"/>
  <c r="U160" i="1" s="1"/>
  <c r="S142" i="1"/>
  <c r="T142" i="1"/>
  <c r="U142" i="1" s="1"/>
  <c r="S145" i="1"/>
  <c r="T145" i="1"/>
  <c r="U145" i="1" s="1"/>
  <c r="S150" i="1"/>
  <c r="T150" i="1"/>
  <c r="U150" i="1" s="1"/>
  <c r="S153" i="1"/>
  <c r="T153" i="1"/>
  <c r="U153" i="1" s="1"/>
  <c r="S158" i="1"/>
  <c r="T158" i="1"/>
  <c r="U158" i="1" s="1"/>
  <c r="S136" i="1"/>
  <c r="T136" i="1"/>
  <c r="U136" i="1" s="1"/>
  <c r="S139" i="1"/>
  <c r="T139" i="1"/>
  <c r="U139" i="1" s="1"/>
  <c r="S122" i="1"/>
  <c r="T122" i="1"/>
  <c r="U122" i="1" s="1"/>
  <c r="S126" i="1"/>
  <c r="T126" i="1"/>
  <c r="U126" i="1" s="1"/>
  <c r="S131" i="1"/>
  <c r="T131" i="1"/>
  <c r="U131" i="1" s="1"/>
  <c r="S117" i="1"/>
  <c r="T117" i="1"/>
  <c r="U117" i="1" s="1"/>
  <c r="S113" i="1"/>
  <c r="T113" i="1"/>
  <c r="U113" i="1" s="1"/>
  <c r="S92" i="1"/>
  <c r="T92" i="1"/>
  <c r="U92" i="1" s="1"/>
  <c r="S94" i="1"/>
  <c r="V94" i="1" s="1"/>
  <c r="S100" i="1"/>
  <c r="V100" i="1" s="1"/>
  <c r="S102" i="1"/>
  <c r="V102" i="1" s="1"/>
  <c r="S81" i="1"/>
  <c r="T81" i="1"/>
  <c r="U81" i="1" s="1"/>
  <c r="S83" i="1"/>
  <c r="S107" i="1"/>
  <c r="V107" i="1" s="1"/>
  <c r="S147" i="1"/>
  <c r="V147" i="1" s="1"/>
  <c r="T83" i="1"/>
  <c r="U83" i="1" s="1"/>
  <c r="S175" i="1"/>
  <c r="V175" i="1" s="1"/>
  <c r="V129" i="1" l="1"/>
  <c r="V144" i="1"/>
  <c r="V195" i="1"/>
  <c r="V235" i="1"/>
  <c r="V227" i="1"/>
  <c r="V287" i="1"/>
  <c r="V347" i="1"/>
  <c r="V373" i="1"/>
  <c r="V412" i="1"/>
  <c r="V199" i="1"/>
  <c r="V193" i="1"/>
  <c r="V202" i="1"/>
  <c r="V238" i="1"/>
  <c r="V230" i="1"/>
  <c r="V217" i="1"/>
  <c r="V212" i="1"/>
  <c r="V262" i="1"/>
  <c r="V291" i="1"/>
  <c r="V249" i="1"/>
  <c r="V277" i="1"/>
  <c r="V298" i="1"/>
  <c r="V316" i="1"/>
  <c r="V322" i="1"/>
  <c r="V348" i="1"/>
  <c r="V341" i="1"/>
  <c r="V359" i="1"/>
  <c r="V350" i="1"/>
  <c r="V358" i="1"/>
  <c r="V366" i="1"/>
  <c r="V374" i="1"/>
  <c r="V394" i="1"/>
  <c r="V409" i="1"/>
  <c r="V398" i="1"/>
  <c r="V435" i="1"/>
  <c r="V437" i="1"/>
  <c r="V434" i="1"/>
  <c r="V442" i="1"/>
  <c r="V450" i="1"/>
  <c r="V480" i="1"/>
  <c r="V473" i="1"/>
  <c r="V460" i="1"/>
  <c r="V486" i="1"/>
  <c r="V500" i="1"/>
  <c r="V505" i="1"/>
  <c r="V514" i="1"/>
  <c r="V547" i="1"/>
  <c r="V532" i="1"/>
  <c r="V509" i="1"/>
  <c r="V554" i="1"/>
  <c r="V533" i="1"/>
  <c r="V612" i="1"/>
  <c r="V592" i="1"/>
  <c r="V584" i="1"/>
  <c r="V577" i="1"/>
  <c r="V610" i="1"/>
  <c r="V97" i="1"/>
  <c r="V93" i="1"/>
  <c r="V119" i="1"/>
  <c r="V143" i="1"/>
  <c r="V168" i="1"/>
  <c r="V177" i="1"/>
  <c r="V242" i="1"/>
  <c r="V237" i="1"/>
  <c r="V209" i="1"/>
  <c r="V292" i="1"/>
  <c r="V299" i="1"/>
  <c r="V345" i="1"/>
  <c r="V333" i="1"/>
  <c r="V397" i="1"/>
  <c r="V410" i="1"/>
  <c r="V779" i="1"/>
  <c r="V79" i="1"/>
  <c r="V96" i="1"/>
  <c r="V118" i="1"/>
  <c r="V178" i="1"/>
  <c r="V194" i="1"/>
  <c r="V189" i="1"/>
  <c r="V187" i="1"/>
  <c r="V240" i="1"/>
  <c r="V228" i="1"/>
  <c r="V224" i="1"/>
  <c r="V215" i="1"/>
  <c r="V251" i="1"/>
  <c r="V286" i="1"/>
  <c r="V279" i="1"/>
  <c r="V325" i="1"/>
  <c r="V343" i="1"/>
  <c r="V361" i="1"/>
  <c r="V352" i="1"/>
  <c r="V403" i="1"/>
  <c r="V411" i="1"/>
  <c r="V420" i="1"/>
  <c r="V440" i="1"/>
  <c r="V478" i="1"/>
  <c r="V458" i="1"/>
  <c r="V498" i="1"/>
  <c r="V516" i="1"/>
  <c r="V526" i="1"/>
  <c r="V519" i="1"/>
  <c r="V542" i="1"/>
  <c r="V604" i="1"/>
  <c r="V575" i="1"/>
  <c r="V570" i="1"/>
  <c r="V637" i="1"/>
  <c r="V672" i="1"/>
  <c r="V657" i="1"/>
  <c r="V684" i="1"/>
  <c r="V706" i="1"/>
  <c r="V725" i="1"/>
  <c r="V759" i="1"/>
  <c r="V780" i="1"/>
  <c r="V527" i="1"/>
  <c r="V552" i="1"/>
  <c r="V589" i="1"/>
  <c r="V609" i="1"/>
  <c r="V616" i="1"/>
  <c r="V641" i="1"/>
  <c r="V675" i="1"/>
  <c r="V685" i="1"/>
  <c r="V211" i="1"/>
  <c r="V114" i="1"/>
  <c r="V595" i="1"/>
  <c r="V715" i="1"/>
  <c r="V738" i="1"/>
  <c r="V744" i="1"/>
  <c r="V778" i="1"/>
  <c r="V798" i="1"/>
  <c r="V82" i="1"/>
  <c r="V131" i="1"/>
  <c r="V153" i="1"/>
  <c r="V160" i="1"/>
  <c r="V181" i="1"/>
  <c r="V101" i="1"/>
  <c r="V112" i="1"/>
  <c r="V156" i="1"/>
  <c r="V216" i="1"/>
  <c r="V365" i="1"/>
  <c r="V280" i="1"/>
  <c r="V380" i="1"/>
  <c r="V360" i="1"/>
  <c r="V438" i="1"/>
  <c r="V481" i="1"/>
  <c r="V491" i="1"/>
  <c r="V555" i="1"/>
  <c r="V599" i="1"/>
  <c r="V578" i="1"/>
  <c r="V728" i="1"/>
  <c r="V696" i="1"/>
  <c r="V580" i="1"/>
  <c r="V805" i="1"/>
  <c r="V650" i="1"/>
  <c r="V733" i="1"/>
  <c r="V721" i="1"/>
  <c r="V782" i="1"/>
  <c r="V802" i="1"/>
  <c r="V122" i="1"/>
  <c r="V113" i="1"/>
  <c r="V136" i="1"/>
  <c r="V145" i="1"/>
  <c r="V166" i="1"/>
  <c r="V130" i="1"/>
  <c r="V157" i="1"/>
  <c r="V173" i="1"/>
  <c r="V201" i="1"/>
  <c r="V244" i="1"/>
  <c r="V252" i="1"/>
  <c r="V321" i="1"/>
  <c r="V368" i="1"/>
  <c r="V404" i="1"/>
  <c r="V132" i="1"/>
  <c r="V154" i="1"/>
  <c r="V148" i="1"/>
  <c r="V190" i="1"/>
  <c r="V203" i="1"/>
  <c r="V223" i="1"/>
  <c r="V263" i="1"/>
  <c r="V278" i="1"/>
  <c r="V330" i="1"/>
  <c r="V335" i="1"/>
  <c r="V371" i="1"/>
  <c r="V660" i="1"/>
  <c r="V803" i="1"/>
  <c r="V105" i="1"/>
  <c r="V128" i="1"/>
  <c r="V120" i="1"/>
  <c r="V133" i="1"/>
  <c r="V152" i="1"/>
  <c r="V140" i="1"/>
  <c r="V169" i="1"/>
  <c r="V185" i="1"/>
  <c r="V206" i="1"/>
  <c r="V204" i="1"/>
  <c r="V264" i="1"/>
  <c r="V275" i="1"/>
  <c r="V295" i="1"/>
  <c r="V312" i="1"/>
  <c r="V324" i="1"/>
  <c r="V364" i="1"/>
  <c r="V372" i="1"/>
  <c r="V388" i="1"/>
  <c r="V588" i="1"/>
  <c r="V608" i="1"/>
  <c r="V636" i="1"/>
  <c r="V674" i="1"/>
  <c r="V689" i="1"/>
  <c r="V742" i="1"/>
  <c r="V804" i="1"/>
  <c r="V517" i="1"/>
  <c r="V553" i="1"/>
  <c r="V600" i="1"/>
  <c r="V572" i="1"/>
  <c r="V567" i="1"/>
  <c r="V632" i="1"/>
  <c r="V661" i="1"/>
  <c r="V656" i="1"/>
  <c r="V700" i="1"/>
  <c r="V732" i="1"/>
  <c r="V724" i="1"/>
  <c r="V750" i="1"/>
  <c r="V781" i="1"/>
  <c r="V789" i="1"/>
  <c r="V620" i="1"/>
  <c r="V605" i="1"/>
  <c r="V627" i="1"/>
  <c r="V643" i="1"/>
  <c r="V670" i="1"/>
  <c r="V659" i="1"/>
  <c r="V679" i="1"/>
  <c r="V695" i="1"/>
  <c r="V682" i="1"/>
  <c r="V691" i="1"/>
  <c r="V716" i="1"/>
  <c r="V708" i="1"/>
  <c r="V727" i="1"/>
  <c r="V735" i="1"/>
  <c r="V730" i="1"/>
  <c r="V757" i="1"/>
  <c r="V771" i="1"/>
  <c r="V767" i="1"/>
  <c r="V797" i="1"/>
  <c r="V786" i="1"/>
  <c r="V192" i="1"/>
  <c r="V327" i="1"/>
  <c r="V332" i="1"/>
  <c r="V362" i="1"/>
  <c r="V273" i="1"/>
  <c r="V274" i="1"/>
  <c r="V349" i="1"/>
  <c r="V395" i="1"/>
  <c r="V418" i="1"/>
  <c r="V439" i="1"/>
  <c r="V455" i="1"/>
  <c r="V467" i="1"/>
  <c r="V497" i="1"/>
  <c r="V511" i="1"/>
  <c r="V529" i="1"/>
  <c r="V585" i="1"/>
  <c r="V569" i="1"/>
  <c r="V687" i="1"/>
  <c r="V756" i="1"/>
  <c r="V621" i="1"/>
  <c r="V432" i="1"/>
  <c r="V461" i="1"/>
  <c r="V452" i="1"/>
  <c r="V482" i="1"/>
  <c r="V464" i="1"/>
  <c r="V483" i="1"/>
  <c r="V488" i="1"/>
  <c r="V492" i="1"/>
  <c r="V545" i="1"/>
  <c r="V530" i="1"/>
  <c r="V523" i="1"/>
  <c r="V562" i="1"/>
  <c r="V806" i="1"/>
  <c r="V794" i="1"/>
  <c r="V106" i="1"/>
  <c r="V141" i="1"/>
  <c r="V294" i="1"/>
  <c r="V283" i="1"/>
  <c r="V319" i="1"/>
  <c r="V337" i="1"/>
  <c r="V196" i="1"/>
  <c r="V232" i="1"/>
  <c r="V208" i="1"/>
  <c r="V253" i="1"/>
  <c r="V302" i="1"/>
  <c r="V329" i="1"/>
  <c r="V387" i="1"/>
  <c r="V413" i="1"/>
  <c r="V430" i="1"/>
  <c r="V454" i="1"/>
  <c r="V475" i="1"/>
  <c r="V558" i="1"/>
  <c r="V559" i="1"/>
  <c r="V692" i="1"/>
  <c r="V596" i="1"/>
  <c r="V121" i="1"/>
  <c r="V198" i="1"/>
  <c r="V205" i="1"/>
  <c r="V384" i="1"/>
  <c r="V246" i="1"/>
  <c r="V221" i="1"/>
  <c r="V257" i="1"/>
  <c r="V288" i="1"/>
  <c r="V309" i="1"/>
  <c r="V385" i="1"/>
  <c r="V422" i="1"/>
  <c r="V457" i="1"/>
  <c r="V469" i="1"/>
  <c r="V494" i="1"/>
  <c r="V549" i="1"/>
  <c r="V602" i="1"/>
  <c r="V81" i="1"/>
  <c r="V229" i="1"/>
  <c r="V408" i="1"/>
  <c r="V248" i="1"/>
  <c r="V222" i="1"/>
  <c r="V266" i="1"/>
  <c r="V272" i="1"/>
  <c r="V281" i="1"/>
  <c r="V303" i="1"/>
  <c r="V334" i="1"/>
  <c r="V354" i="1"/>
  <c r="V390" i="1"/>
  <c r="V405" i="1"/>
  <c r="V417" i="1"/>
  <c r="V463" i="1"/>
  <c r="V466" i="1"/>
  <c r="V496" i="1"/>
  <c r="V495" i="1"/>
  <c r="V501" i="1"/>
  <c r="V528" i="1"/>
  <c r="V521" i="1"/>
  <c r="V598" i="1"/>
  <c r="V564" i="1"/>
  <c r="V89" i="1"/>
  <c r="V123" i="1"/>
  <c r="V269" i="1"/>
  <c r="V490" i="1"/>
  <c r="V522" i="1"/>
  <c r="V651" i="1"/>
  <c r="V90" i="1"/>
  <c r="V197" i="1"/>
  <c r="V243" i="1"/>
  <c r="V270" i="1"/>
  <c r="V367" i="1"/>
  <c r="V407" i="1"/>
  <c r="V446" i="1"/>
  <c r="V551" i="1"/>
  <c r="V613" i="1"/>
  <c r="V667" i="1"/>
  <c r="V699" i="1"/>
  <c r="V714" i="1"/>
  <c r="V765" i="1"/>
  <c r="V548" i="1"/>
  <c r="V581" i="1"/>
  <c r="V619" i="1"/>
  <c r="V647" i="1"/>
  <c r="V694" i="1"/>
  <c r="V763" i="1"/>
  <c r="V586" i="1"/>
  <c r="V103" i="1"/>
  <c r="V137" i="1"/>
  <c r="V161" i="1"/>
  <c r="V176" i="1"/>
  <c r="V239" i="1"/>
  <c r="V213" i="1"/>
  <c r="V363" i="1"/>
  <c r="V402" i="1"/>
  <c r="V443" i="1"/>
  <c r="V629" i="1"/>
  <c r="V772" i="1"/>
  <c r="V85" i="1"/>
  <c r="V191" i="1"/>
  <c r="V234" i="1"/>
  <c r="V219" i="1"/>
  <c r="V290" i="1"/>
  <c r="V339" i="1"/>
  <c r="V399" i="1"/>
  <c r="V426" i="1"/>
  <c r="V539" i="1"/>
  <c r="V579" i="1"/>
  <c r="V631" i="1"/>
  <c r="V646" i="1"/>
  <c r="V680" i="1"/>
  <c r="V710" i="1"/>
  <c r="V749" i="1"/>
  <c r="V784" i="1"/>
  <c r="V546" i="1"/>
  <c r="V543" i="1"/>
  <c r="V591" i="1"/>
  <c r="V642" i="1"/>
  <c r="V722" i="1"/>
  <c r="V713" i="1"/>
  <c r="V729" i="1"/>
  <c r="V774" i="1"/>
  <c r="V793" i="1"/>
  <c r="V92" i="1"/>
  <c r="V117" i="1"/>
  <c r="V126" i="1"/>
  <c r="V139" i="1"/>
  <c r="V158" i="1"/>
  <c r="V150" i="1"/>
  <c r="V142" i="1"/>
  <c r="V167" i="1"/>
  <c r="V163" i="1"/>
  <c r="V80" i="1"/>
  <c r="V99" i="1"/>
  <c r="V91" i="1"/>
  <c r="V116" i="1"/>
  <c r="V134" i="1"/>
  <c r="V172" i="1"/>
  <c r="V165" i="1"/>
  <c r="V180" i="1"/>
  <c r="V245" i="1"/>
  <c r="V220" i="1"/>
  <c r="V207" i="1"/>
  <c r="V308" i="1"/>
  <c r="V340" i="1"/>
  <c r="V389" i="1"/>
  <c r="V268" i="1"/>
  <c r="V284" i="1"/>
  <c r="V305" i="1"/>
  <c r="V401" i="1"/>
  <c r="V84" i="1"/>
  <c r="V110" i="1"/>
  <c r="V108" i="1"/>
  <c r="V151" i="1"/>
  <c r="V188" i="1"/>
  <c r="V231" i="1"/>
  <c r="V218" i="1"/>
  <c r="V267" i="1"/>
  <c r="V250" i="1"/>
  <c r="V289" i="1"/>
  <c r="V306" i="1"/>
  <c r="V311" i="1"/>
  <c r="V338" i="1"/>
  <c r="V355" i="1"/>
  <c r="V382" i="1"/>
  <c r="V423" i="1"/>
  <c r="V431" i="1"/>
  <c r="V447" i="1"/>
  <c r="V470" i="1"/>
  <c r="V476" i="1"/>
  <c r="V502" i="1"/>
  <c r="V544" i="1"/>
  <c r="V510" i="1"/>
  <c r="V534" i="1"/>
  <c r="V593" i="1"/>
  <c r="V622" i="1"/>
  <c r="V666" i="1"/>
  <c r="V673" i="1"/>
  <c r="V702" i="1"/>
  <c r="V717" i="1"/>
  <c r="V746" i="1"/>
  <c r="V550" i="1"/>
  <c r="V758" i="1"/>
  <c r="V787" i="1"/>
  <c r="V807" i="1"/>
  <c r="V109" i="1"/>
  <c r="V124" i="1"/>
  <c r="V138" i="1"/>
  <c r="V155" i="1"/>
  <c r="V149" i="1"/>
  <c r="V171" i="1"/>
  <c r="V164" i="1"/>
  <c r="V210" i="1"/>
  <c r="V265" i="1"/>
  <c r="V259" i="1"/>
  <c r="V307" i="1"/>
  <c r="V318" i="1"/>
  <c r="V320" i="1"/>
  <c r="V369" i="1"/>
  <c r="V379" i="1"/>
  <c r="V376" i="1"/>
  <c r="V392" i="1"/>
  <c r="V415" i="1"/>
  <c r="V428" i="1"/>
  <c r="V448" i="1"/>
  <c r="V471" i="1"/>
  <c r="V477" i="1"/>
  <c r="V503" i="1"/>
  <c r="V556" i="1"/>
  <c r="V535" i="1"/>
  <c r="V590" i="1"/>
  <c r="V560" i="1"/>
  <c r="V625" i="1"/>
  <c r="V630" i="1"/>
  <c r="V645" i="1"/>
  <c r="V652" i="1"/>
  <c r="V669" i="1"/>
  <c r="V703" i="1"/>
  <c r="V693" i="1"/>
  <c r="V747" i="1"/>
  <c r="V741" i="1"/>
  <c r="V753" i="1"/>
  <c r="V773" i="1"/>
  <c r="V801" i="1"/>
  <c r="V520" i="1"/>
  <c r="V611" i="1"/>
  <c r="V597" i="1"/>
  <c r="V571" i="1"/>
  <c r="V638" i="1"/>
  <c r="V626" i="1"/>
  <c r="V658" i="1"/>
  <c r="V677" i="1"/>
  <c r="V704" i="1"/>
  <c r="V726" i="1"/>
  <c r="V760" i="1"/>
  <c r="V754" i="1"/>
  <c r="V785" i="1"/>
  <c r="V623" i="1"/>
  <c r="V617" i="1"/>
  <c r="V633" i="1"/>
  <c r="V649" i="1"/>
  <c r="V635" i="1"/>
  <c r="V665" i="1"/>
  <c r="V676" i="1"/>
  <c r="V686" i="1"/>
  <c r="V678" i="1"/>
  <c r="V697" i="1"/>
  <c r="V718" i="1"/>
  <c r="V712" i="1"/>
  <c r="V739" i="1"/>
  <c r="V745" i="1"/>
  <c r="V761" i="1"/>
  <c r="V755" i="1"/>
  <c r="V775" i="1"/>
  <c r="V791" i="1"/>
  <c r="V799" i="1"/>
  <c r="V537" i="1"/>
  <c r="V582" i="1"/>
  <c r="V182" i="1"/>
  <c r="V285" i="1"/>
  <c r="V317" i="1"/>
  <c r="V375" i="1"/>
  <c r="V419" i="1"/>
  <c r="V515" i="1"/>
  <c r="V607" i="1"/>
  <c r="V654" i="1"/>
  <c r="V764" i="1"/>
  <c r="V792" i="1"/>
  <c r="V790" i="1"/>
  <c r="V98" i="1"/>
  <c r="V115" i="1"/>
  <c r="V200" i="1"/>
  <c r="V226" i="1"/>
  <c r="V255" i="1"/>
  <c r="V296" i="1"/>
  <c r="V336" i="1"/>
  <c r="V424" i="1"/>
  <c r="V512" i="1"/>
  <c r="V795" i="1"/>
  <c r="V83" i="1"/>
  <c r="V95" i="1"/>
  <c r="V179" i="1"/>
  <c r="V315" i="1"/>
  <c r="V344" i="1"/>
  <c r="V214" i="1"/>
  <c r="V381" i="1"/>
  <c r="V386" i="1"/>
  <c r="V414" i="1"/>
  <c r="V444" i="1"/>
  <c r="V451" i="1"/>
  <c r="V474" i="1"/>
  <c r="V487" i="1"/>
  <c r="V506" i="1"/>
  <c r="V525" i="1"/>
  <c r="V541" i="1"/>
  <c r="V565" i="1"/>
  <c r="V618" i="1"/>
  <c r="V644" i="1"/>
  <c r="V698" i="1"/>
  <c r="V709" i="1"/>
  <c r="V736" i="1"/>
  <c r="V752" i="1"/>
  <c r="V583" i="1"/>
  <c r="V768" i="1"/>
  <c r="V640" i="1"/>
  <c r="V720" i="1"/>
  <c r="V737" i="1"/>
  <c r="V769" i="1"/>
  <c r="V648" i="1"/>
  <c r="V690" i="1"/>
  <c r="V770" i="1"/>
  <c r="V701" i="1"/>
  <c r="V751" i="1"/>
</calcChain>
</file>

<file path=xl/sharedStrings.xml><?xml version="1.0" encoding="utf-8"?>
<sst xmlns="http://schemas.openxmlformats.org/spreadsheetml/2006/main" count="6766" uniqueCount="2037">
  <si>
    <t>Trade Date</t>
  </si>
  <si>
    <t>Contract Descriptor</t>
  </si>
  <si>
    <t>Exch</t>
  </si>
  <si>
    <t>Action</t>
  </si>
  <si>
    <t>Qty</t>
  </si>
  <si>
    <t>LTP</t>
  </si>
  <si>
    <t>Price</t>
  </si>
  <si>
    <t>Value</t>
  </si>
  <si>
    <t>Order Ref.</t>
  </si>
  <si>
    <t>Securities Transaction Tax-STT</t>
  </si>
  <si>
    <t>Transaction Charges</t>
  </si>
  <si>
    <t>Stamp Duty</t>
  </si>
  <si>
    <t>SEBI Turnover Charges</t>
  </si>
  <si>
    <t>Brokerage</t>
  </si>
  <si>
    <t>Service Tax On Brokerage</t>
  </si>
  <si>
    <t>Total Charges</t>
  </si>
  <si>
    <t>OPT-NIFTY-12-Dec-2024-24650-P-E-I</t>
  </si>
  <si>
    <t>NSE</t>
  </si>
  <si>
    <t>Sell</t>
  </si>
  <si>
    <t>#202412113700016642</t>
  </si>
  <si>
    <t>OPT-NIFTY-12-Dec-2024-24350-P-E-I</t>
  </si>
  <si>
    <t>#202412113700006420</t>
  </si>
  <si>
    <t>Buy</t>
  </si>
  <si>
    <t>#202412113700004424</t>
  </si>
  <si>
    <t>OPT-CNXBAN-24-Dec-2024-49000-P-E-I</t>
  </si>
  <si>
    <t>#202412113700000644</t>
  </si>
  <si>
    <t>#202412103700009401</t>
  </si>
  <si>
    <t>#202412103700001564</t>
  </si>
  <si>
    <t>OPT-NIFTY-12-Dec-2024-24700-P-E-I</t>
  </si>
  <si>
    <t>#202412093700015341</t>
  </si>
  <si>
    <t>#202412093700010715</t>
  </si>
  <si>
    <t>#202412063700007927</t>
  </si>
  <si>
    <t>#202412063700004140</t>
  </si>
  <si>
    <t>#202412063700002690</t>
  </si>
  <si>
    <t>#202412043700012019</t>
  </si>
  <si>
    <t>OPT-NIFTY-05-Dec-2024-24400-P-E-I</t>
  </si>
  <si>
    <t>#202412043700011560</t>
  </si>
  <si>
    <t>#202412043700010215</t>
  </si>
  <si>
    <t>#202412033700009477</t>
  </si>
  <si>
    <t>#202412023700007623</t>
  </si>
  <si>
    <t>#202411293700018464</t>
  </si>
  <si>
    <t>OPT-CNXBAN-27-Nov-2024-49000-P-E-I</t>
  </si>
  <si>
    <t>#202411263700019660</t>
  </si>
  <si>
    <t>#202411213700019130</t>
  </si>
  <si>
    <t>OPT-NIFTY-21-Nov-2024-23300-C-E-I</t>
  </si>
  <si>
    <t>#202411213700010450</t>
  </si>
  <si>
    <t>#202411213700009633</t>
  </si>
  <si>
    <t>#202411213700009035</t>
  </si>
  <si>
    <t>OPT-CNXBAN-27-Nov-2024-50000-P-E-I</t>
  </si>
  <si>
    <t>#202411213700001653</t>
  </si>
  <si>
    <t>#202411193700022342</t>
  </si>
  <si>
    <t>OPT-CNXBAN-06-Nov-2024-53000-C-E-I</t>
  </si>
  <si>
    <t>#202411063700020506</t>
  </si>
  <si>
    <t>#202411063700020488</t>
  </si>
  <si>
    <t>#202411063700020450</t>
  </si>
  <si>
    <t>#202411063700008941</t>
  </si>
  <si>
    <t>#202411063700005998</t>
  </si>
  <si>
    <t>#202411062500000737</t>
  </si>
  <si>
    <t>OPT-CNXBAN-06-Nov-2024-52000-C-E-I</t>
  </si>
  <si>
    <t>#202411053700010395</t>
  </si>
  <si>
    <t>#202411053700010072</t>
  </si>
  <si>
    <t>OPT-CNXBAN-01-Oct-2024-52600-P-E-I</t>
  </si>
  <si>
    <t>#202410013700016116</t>
  </si>
  <si>
    <t>#202410013700016095</t>
  </si>
  <si>
    <t>#202410013700016052</t>
  </si>
  <si>
    <t>#202410013700015064</t>
  </si>
  <si>
    <t>#202410013700014274</t>
  </si>
  <si>
    <t>#202410013700014076</t>
  </si>
  <si>
    <t>#202410013700013040</t>
  </si>
  <si>
    <t>#202410013700012956</t>
  </si>
  <si>
    <t>OPT-CNXBAN-25-Sep-2024-53400-P-E-I</t>
  </si>
  <si>
    <t>#202409253700018335</t>
  </si>
  <si>
    <t>#202409243700019760</t>
  </si>
  <si>
    <t>#202409243700005081</t>
  </si>
  <si>
    <t>#202409243700002217</t>
  </si>
  <si>
    <t>#202409203700028224</t>
  </si>
  <si>
    <t>#202409203700027816</t>
  </si>
  <si>
    <t>#202409203700027257</t>
  </si>
  <si>
    <t>OPT-CNXBAN-25-Sep-2024-53600-P-E-I</t>
  </si>
  <si>
    <t>#202409203700018721</t>
  </si>
  <si>
    <t>#202409203700017858</t>
  </si>
  <si>
    <t>OPT-CNXBAN-14-Aug-2024-49600-C-E-I</t>
  </si>
  <si>
    <t>#202408143700013405</t>
  </si>
  <si>
    <t>#202408143700012472</t>
  </si>
  <si>
    <t>#202408143700006914</t>
  </si>
  <si>
    <t>OPT-CNXBAN-07-Aug-2024-50200-C-E-I</t>
  </si>
  <si>
    <t>#202408073700023365</t>
  </si>
  <si>
    <t>#202408073700023346</t>
  </si>
  <si>
    <t>#202408073700017198</t>
  </si>
  <si>
    <t>#202408073700010955</t>
  </si>
  <si>
    <t>OPT-CNXBAN-24-Jul-2024-52500-C-E-I</t>
  </si>
  <si>
    <t>#202407243700012998</t>
  </si>
  <si>
    <t>#202407243700012974</t>
  </si>
  <si>
    <t>#202407243700012951</t>
  </si>
  <si>
    <t>#202407243700011697</t>
  </si>
  <si>
    <t>#202407243700001880</t>
  </si>
  <si>
    <t>#202407233700015906</t>
  </si>
  <si>
    <t>#202407233700008621</t>
  </si>
  <si>
    <t>OPT-CNXBAN-24-Jul-2024-51500-P-E-I</t>
  </si>
  <si>
    <t>#202407233700007998</t>
  </si>
  <si>
    <t>#202407233700002991</t>
  </si>
  <si>
    <t>OPT-NIFSEL-22-Jul-2024-12125-P-E-I</t>
  </si>
  <si>
    <t>#202407223700012072</t>
  </si>
  <si>
    <t>#202407223700011357</t>
  </si>
  <si>
    <t>#202407223700007233</t>
  </si>
  <si>
    <t>OPT-NIFTY-25-Jul-2024-24600-P-E-I</t>
  </si>
  <si>
    <t>#202407193700016606</t>
  </si>
  <si>
    <t>OPT-CNXBAN-24-Jul-2024-52600-C-E-I</t>
  </si>
  <si>
    <t>#202407193700013431</t>
  </si>
  <si>
    <t>#202407193700013322</t>
  </si>
  <si>
    <t>#202407193700011349</t>
  </si>
  <si>
    <t>OPT-NIFTY-18-Jul-2024-24500-P-E-I</t>
  </si>
  <si>
    <t>#202407184500001624</t>
  </si>
  <si>
    <t>#202407184500000398</t>
  </si>
  <si>
    <t>OPT-CNXBAN-16-Jul-2024-52500-P-E-I</t>
  </si>
  <si>
    <t>#202407163700011252</t>
  </si>
  <si>
    <t>#202407163700007196</t>
  </si>
  <si>
    <t>#202407163700006591</t>
  </si>
  <si>
    <t>OPT-CNXBAN-16-Jul-2024-52600-P-E-I</t>
  </si>
  <si>
    <t>#202407163700002279</t>
  </si>
  <si>
    <t>#202407163700002137</t>
  </si>
  <si>
    <t>OPT-CNXBAN-16-Jul-2024-52500-C-E-I</t>
  </si>
  <si>
    <t>#202407153700010258</t>
  </si>
  <si>
    <t>#202407153700004138</t>
  </si>
  <si>
    <t>#202407153700002786</t>
  </si>
  <si>
    <t>#202407153700002087</t>
  </si>
  <si>
    <t>#202407123700015606</t>
  </si>
  <si>
    <t>#202407123700013084</t>
  </si>
  <si>
    <t>OPT-CNXBAN-16-Jul-2024-52100-P-E-I</t>
  </si>
  <si>
    <t>#202407113700008862</t>
  </si>
  <si>
    <t>#202407113700003655</t>
  </si>
  <si>
    <t>OPT-CNXBAN-10-Jul-2024-52100-P-E-I</t>
  </si>
  <si>
    <t>#202407103700011144</t>
  </si>
  <si>
    <t>#202407103700010063</t>
  </si>
  <si>
    <t>#202407103700009739</t>
  </si>
  <si>
    <t>OPT-CNXBAN-10-Jul-2024-52600-P-E-I</t>
  </si>
  <si>
    <t>#202407093700011453</t>
  </si>
  <si>
    <t>OPT-NIFTY-11-Jul-2024-24300-C-E-I</t>
  </si>
  <si>
    <t>#202407093700011257</t>
  </si>
  <si>
    <t>#202407093700011156</t>
  </si>
  <si>
    <t>#202407093700008695</t>
  </si>
  <si>
    <t>OPT-CNXBAN-10-Jul-2024-52600-C-E-I</t>
  </si>
  <si>
    <t>#202407083700006549</t>
  </si>
  <si>
    <t>#202407083700004851</t>
  </si>
  <si>
    <t>OPT-CNXBAN-10-Jul-2024-52500-C-E-I</t>
  </si>
  <si>
    <t>#202407053700014938</t>
  </si>
  <si>
    <t>#202407053700010353</t>
  </si>
  <si>
    <t>OPT-CNXBAN-10-Jul-2024-53100-P-E-I</t>
  </si>
  <si>
    <t>#202407043700011781</t>
  </si>
  <si>
    <t>#202407043700005510</t>
  </si>
  <si>
    <t>#202407043700001154</t>
  </si>
  <si>
    <t>OPT-CNXBAN-03-Jul-2024-53000-P-E-I</t>
  </si>
  <si>
    <t>#202407033700026505</t>
  </si>
  <si>
    <t>#202407033700026043</t>
  </si>
  <si>
    <t>OPT-CNXBAN-03-Jul-2024-52300-C-E-I</t>
  </si>
  <si>
    <t>#202407023700026525</t>
  </si>
  <si>
    <t>#202407023700024978</t>
  </si>
  <si>
    <t>OPT-CNXBAN-03-Jul-2024-52100-P-E-I</t>
  </si>
  <si>
    <t>#202407023700024661</t>
  </si>
  <si>
    <t>#202407023700024209</t>
  </si>
  <si>
    <t>OPT-NIFSEL-24-Jun-2024-12100-P-E-I</t>
  </si>
  <si>
    <t>#202406243700014822</t>
  </si>
  <si>
    <t>#202406243700008253</t>
  </si>
  <si>
    <t>#202406243700002933</t>
  </si>
  <si>
    <t>OPT-CNXBAN-19-Jun-2024-50000-C-E-I</t>
  </si>
  <si>
    <t>#202406133700021077</t>
  </si>
  <si>
    <t>#202406133700014581</t>
  </si>
  <si>
    <t>OPT-NIFTY-13-Jun-2024-23500-P-E-I</t>
  </si>
  <si>
    <t>#202406133700003896</t>
  </si>
  <si>
    <t>#202406133700001549</t>
  </si>
  <si>
    <t>OPT-NIFTY-13-Jun-2024-23350-C-E-I</t>
  </si>
  <si>
    <t>#202406123700022328</t>
  </si>
  <si>
    <t>#202406123700013173</t>
  </si>
  <si>
    <t>OPT-NIFTY-06-Jun-2024-22900-C-E-I</t>
  </si>
  <si>
    <t>#202406063700026553</t>
  </si>
  <si>
    <t>#202406063700017792</t>
  </si>
  <si>
    <t>#202406063700015166</t>
  </si>
  <si>
    <t>#202406063700013681</t>
  </si>
  <si>
    <t>OPT-CNXBAN-12-Jun-2024-49800-C-E-I</t>
  </si>
  <si>
    <t>#202406063700011347</t>
  </si>
  <si>
    <t>#202406063700009153</t>
  </si>
  <si>
    <t>OPT-NIFTY-06-Jun-2024-22650-C-E-I</t>
  </si>
  <si>
    <t>#202406063700001912</t>
  </si>
  <si>
    <t>#202406063700001493</t>
  </si>
  <si>
    <t>OPT-CNXBAN-05-Jun-2024-47800-C-E-I</t>
  </si>
  <si>
    <t>#202406053700025024</t>
  </si>
  <si>
    <t>#202406053700017678</t>
  </si>
  <si>
    <t>OPT-CNXBAN-05-Jun-2024-48500-P-E-I</t>
  </si>
  <si>
    <t>#202406043700012701</t>
  </si>
  <si>
    <t>#202406043700005883</t>
  </si>
  <si>
    <t>#202406043700002587</t>
  </si>
  <si>
    <t>OPT-NIFTY-30-May-2024-22700-C-E-I</t>
  </si>
  <si>
    <t>#202405303700011119</t>
  </si>
  <si>
    <t>#202405303700009416</t>
  </si>
  <si>
    <t>#202405303700006317</t>
  </si>
  <si>
    <t>#202405303700001910</t>
  </si>
  <si>
    <t>OPT-CNXBAN-29-May-2024-48400-P-E-I</t>
  </si>
  <si>
    <t>#202405293700006389</t>
  </si>
  <si>
    <t>#202405293700004625</t>
  </si>
  <si>
    <t>OPT-CNXBAN-29-May-2024-49200-C-E-I</t>
  </si>
  <si>
    <t>#202405283700018918</t>
  </si>
  <si>
    <t>#202405283700018833</t>
  </si>
  <si>
    <t>OPT-CNXBAN-15-May-2024-48000-C-E-I</t>
  </si>
  <si>
    <t>#202405153700018923</t>
  </si>
  <si>
    <t>#202405153700015744</t>
  </si>
  <si>
    <t>OPT-CNXBAN-15-May-2024-48300-C-E-I</t>
  </si>
  <si>
    <t>#202405093700006756</t>
  </si>
  <si>
    <t>#202405093700004861</t>
  </si>
  <si>
    <t>#202405093700002392</t>
  </si>
  <si>
    <t>#202405093700000908</t>
  </si>
  <si>
    <t>OPT-CNXBAN-08-May-2024-48100-P-E-I</t>
  </si>
  <si>
    <t>#202405083700014214</t>
  </si>
  <si>
    <t>#202405083700006706</t>
  </si>
  <si>
    <t>OPT-CNXBAN-08-May-2024-49000-C-E-I</t>
  </si>
  <si>
    <t>#202405073700018858</t>
  </si>
  <si>
    <t>#202405073700017930</t>
  </si>
  <si>
    <t>#202405073700014847</t>
  </si>
  <si>
    <t>#202405073700011715</t>
  </si>
  <si>
    <t>OPT-CNXBAN-08-May-2024-48500-P-E-I</t>
  </si>
  <si>
    <t>#202405063700051514</t>
  </si>
  <si>
    <t>#202405063700049716</t>
  </si>
  <si>
    <t>OPT-CNXBAN-08-May-2024-49200-C-E-I</t>
  </si>
  <si>
    <t>#202405063700049432</t>
  </si>
  <si>
    <t>#202405063700045791</t>
  </si>
  <si>
    <t>#202405063700042400</t>
  </si>
  <si>
    <t>OPT-NIFTY-02-May-2024-22650-P-E-I</t>
  </si>
  <si>
    <t>#202405023700023691</t>
  </si>
  <si>
    <t>#202405023700022750</t>
  </si>
  <si>
    <t>#202405023700022717</t>
  </si>
  <si>
    <t>OPT-NIFFIN-30-Apr-2024-22050-C-E-I</t>
  </si>
  <si>
    <t>#202404303700025073</t>
  </si>
  <si>
    <t>#202404303700024057</t>
  </si>
  <si>
    <t>OPT-NIFTY-02-May-2024-22550-C-E-I</t>
  </si>
  <si>
    <t>#202404263700016483</t>
  </si>
  <si>
    <t>#202404263700013098</t>
  </si>
  <si>
    <t>#202404263700011485</t>
  </si>
  <si>
    <t>#202404263700011140</t>
  </si>
  <si>
    <t>OPT-CNXBAN-30-Apr-2024-48500-C-E-I</t>
  </si>
  <si>
    <t>#202404263700010858</t>
  </si>
  <si>
    <t>#202404263700010262</t>
  </si>
  <si>
    <t>OPT-CNXBAN-24-Apr-2024-47900-P-E-I</t>
  </si>
  <si>
    <t>#202404243700019658</t>
  </si>
  <si>
    <t>#202404243700015770</t>
  </si>
  <si>
    <t>OPT-CNXBAN-24-Apr-2024-46600-P-E-I</t>
  </si>
  <si>
    <t>#202404243700006563</t>
  </si>
  <si>
    <t>#202404243700006531</t>
  </si>
  <si>
    <t>#202404233700007432</t>
  </si>
  <si>
    <t>#202404233700004074</t>
  </si>
  <si>
    <t>#202404193700010218</t>
  </si>
  <si>
    <t>OPT-CNXBAN-24-Apr-2024-47400-P-E-I</t>
  </si>
  <si>
    <t>#202404183700016719</t>
  </si>
  <si>
    <t>OPT-NIFTY-18-Apr-2024-22200-C-E-I</t>
  </si>
  <si>
    <t>#202404183700010588</t>
  </si>
  <si>
    <t>#202404183700010181</t>
  </si>
  <si>
    <t>#202404183700002844</t>
  </si>
  <si>
    <t>OPT-CNXBAN-16-Apr-2024-47500-C-E-I</t>
  </si>
  <si>
    <t>#202404163700018156</t>
  </si>
  <si>
    <t>OPT-NIFTY-18-Apr-2024-22250-C-E-I</t>
  </si>
  <si>
    <t>#202404163700017777</t>
  </si>
  <si>
    <t>#202404163700010095</t>
  </si>
  <si>
    <t>#202404163700006753</t>
  </si>
  <si>
    <t>#202404163700006684</t>
  </si>
  <si>
    <t>OPT-NIFSEL-15-Apr-2024-11000-C-E-I</t>
  </si>
  <si>
    <t>#202404153700016657</t>
  </si>
  <si>
    <t>OPT-CNXBAN-16-Apr-2024-48000-C-E-I</t>
  </si>
  <si>
    <t>#202404153700016614</t>
  </si>
  <si>
    <t>#202404153700015471</t>
  </si>
  <si>
    <t>#202404153700011498</t>
  </si>
  <si>
    <t>#202404153700011440</t>
  </si>
  <si>
    <t>#202404153700011351</t>
  </si>
  <si>
    <t>#202404153700009208</t>
  </si>
  <si>
    <t>#202404153700009198</t>
  </si>
  <si>
    <t>#202404153700009195</t>
  </si>
  <si>
    <t>#202404153700009164</t>
  </si>
  <si>
    <t>#202404153700006121</t>
  </si>
  <si>
    <t>#202404153700002557</t>
  </si>
  <si>
    <t>#202404153700002536</t>
  </si>
  <si>
    <t>#202404153700002520</t>
  </si>
  <si>
    <t>#202404153700002380</t>
  </si>
  <si>
    <t>OPT-CNXBAN-16-Apr-2024-48800-C-E-I</t>
  </si>
  <si>
    <t>#202404123700022820</t>
  </si>
  <si>
    <t>OPT-NIFSEL-15-Apr-2024-11025-C-E-I</t>
  </si>
  <si>
    <t>#202404123700018998</t>
  </si>
  <si>
    <t>#202404123700015253</t>
  </si>
  <si>
    <t>#202404123700013990</t>
  </si>
  <si>
    <t>OPT-CNXBAN-16-Apr-2024-48900-C-E-I</t>
  </si>
  <si>
    <t>#202404123700011879</t>
  </si>
  <si>
    <t>#202404123700011348</t>
  </si>
  <si>
    <t>#202404123700008911</t>
  </si>
  <si>
    <t>#202404123700004941</t>
  </si>
  <si>
    <t>OPT-CNXBAN-10-Apr-2024-48700-P-E-I</t>
  </si>
  <si>
    <t>#202404103700017713</t>
  </si>
  <si>
    <t>#202404103700016211</t>
  </si>
  <si>
    <t>#202404103700015266</t>
  </si>
  <si>
    <t>#202404103700015135</t>
  </si>
  <si>
    <t>OPT-CNXBAN-10-Apr-2024-48800-C-E-I</t>
  </si>
  <si>
    <t>#202404103700002828</t>
  </si>
  <si>
    <t>#202404103700001265</t>
  </si>
  <si>
    <t>#202404103700000917</t>
  </si>
  <si>
    <t>#202404093700024551</t>
  </si>
  <si>
    <t>#202404093700024014</t>
  </si>
  <si>
    <t>OPT-NIFFIN-09-Apr-2024-21700-C-E-I</t>
  </si>
  <si>
    <t>#202404093700013097</t>
  </si>
  <si>
    <t>#202404093700010297</t>
  </si>
  <si>
    <t>#202404093700009234</t>
  </si>
  <si>
    <t>#202404093700008916</t>
  </si>
  <si>
    <t>OPT-CNXBAN-10-Apr-2024-48700-C-E-I</t>
  </si>
  <si>
    <t>#202404093700002688</t>
  </si>
  <si>
    <t>#202404093700002064</t>
  </si>
  <si>
    <t>#202404093700001158</t>
  </si>
  <si>
    <t>OPT-CNXBAN-10-Apr-2024-48500-C-E-I</t>
  </si>
  <si>
    <t>#202404083700042500</t>
  </si>
  <si>
    <t>#202404083700040839</t>
  </si>
  <si>
    <t>#202404083700032225</t>
  </si>
  <si>
    <t>#202404083700029477</t>
  </si>
  <si>
    <t>#202404083700025775</t>
  </si>
  <si>
    <t>#202404083700025210</t>
  </si>
  <si>
    <t>#202404083700024250</t>
  </si>
  <si>
    <t>#202404083700023756</t>
  </si>
  <si>
    <t>OPT-NIFTY-04-Apr-2024-22450-C-E-I</t>
  </si>
  <si>
    <t>#202404043700020035</t>
  </si>
  <si>
    <t>#202404043700017729</t>
  </si>
  <si>
    <t>#202404043700009521</t>
  </si>
  <si>
    <t>#202404043700008241</t>
  </si>
  <si>
    <t>OPT-CNXBAN-10-Apr-2024-48000-C-E-I</t>
  </si>
  <si>
    <t>#202404043700008023</t>
  </si>
  <si>
    <t>#202404043700006997</t>
  </si>
  <si>
    <t>OPT-CNXBAN-03-Apr-2024-47600-C-E-I</t>
  </si>
  <si>
    <t>#202404033700015082</t>
  </si>
  <si>
    <t>#202404033700011930</t>
  </si>
  <si>
    <t>#202404033700007430</t>
  </si>
  <si>
    <t>#202404033700002508</t>
  </si>
  <si>
    <t>OPT-CNXBAN-03-Apr-2024-47500-P-E-I</t>
  </si>
  <si>
    <t>#202404023700008850</t>
  </si>
  <si>
    <t>#202404023700006743</t>
  </si>
  <si>
    <t>#202404023700006137</t>
  </si>
  <si>
    <t>#202404023700004482</t>
  </si>
  <si>
    <t>#202404023700001769</t>
  </si>
  <si>
    <t>#202404023700001118</t>
  </si>
  <si>
    <t>#202404013700016590</t>
  </si>
  <si>
    <t>#202404013700004194</t>
  </si>
  <si>
    <t>OPT-CNXBAN-27-Mar-2024-47200-C-E-I</t>
  </si>
  <si>
    <t>#202403273700018100</t>
  </si>
  <si>
    <t>#202403273700015189</t>
  </si>
  <si>
    <t>#202403273700014315</t>
  </si>
  <si>
    <t>#202403273700011202</t>
  </si>
  <si>
    <t>#202403273700010986</t>
  </si>
  <si>
    <t>#202403273700009855</t>
  </si>
  <si>
    <t>#202403273700009592</t>
  </si>
  <si>
    <t>#202403273700008776</t>
  </si>
  <si>
    <t>OPT-CNXBAN-27-Mar-2024-46900-C-E-I</t>
  </si>
  <si>
    <t>#202403223700013517</t>
  </si>
  <si>
    <t>#202403223700008732</t>
  </si>
  <si>
    <t>OPT-CNXBAN-27-Mar-2024-46500-P-E-I</t>
  </si>
  <si>
    <t>#202403223700006428</t>
  </si>
  <si>
    <t>#202403223700004542</t>
  </si>
  <si>
    <t>#202403223700003689</t>
  </si>
  <si>
    <t>#202403223700003294</t>
  </si>
  <si>
    <t>#202403223700001634</t>
  </si>
  <si>
    <t>OPT-CNXBAN-27-Mar-2024-46800-C-E-I</t>
  </si>
  <si>
    <t>#202403213700027141</t>
  </si>
  <si>
    <t>OPT-NIFTY-21-Mar-2024-22000-P-E-I</t>
  </si>
  <si>
    <t>#202403213700022754</t>
  </si>
  <si>
    <t>#202403213700022566</t>
  </si>
  <si>
    <t>#202403213700017871</t>
  </si>
  <si>
    <t>OPT-CNXBAN-20-Mar-2024-46600-C-E-I</t>
  </si>
  <si>
    <t>#202403203700021967</t>
  </si>
  <si>
    <t>#202403203700021930</t>
  </si>
  <si>
    <t>#202403203700021876</t>
  </si>
  <si>
    <t>#202403203700011994</t>
  </si>
  <si>
    <t>#202403203700005947</t>
  </si>
  <si>
    <t>#202403203700003021</t>
  </si>
  <si>
    <t>OPT-NIFTY-21-Mar-2024-22000-C-E-I</t>
  </si>
  <si>
    <t>#202403193700022859</t>
  </si>
  <si>
    <t>OPT-CNXBAN-20-Mar-2024-46200-P-E-I</t>
  </si>
  <si>
    <t>#202403193700021940</t>
  </si>
  <si>
    <t>#202403193700021654</t>
  </si>
  <si>
    <t>#202403193700021321</t>
  </si>
  <si>
    <t>#202403193700020919</t>
  </si>
  <si>
    <t>OPT-CNXBAN-20-Mar-2024-46400-C-E-I</t>
  </si>
  <si>
    <t>#202403193700020838</t>
  </si>
  <si>
    <t>#202403193700020637</t>
  </si>
  <si>
    <t>#202403193700020425</t>
  </si>
  <si>
    <t>#202403193700017748</t>
  </si>
  <si>
    <t>#202403193700016546</t>
  </si>
  <si>
    <t>#202403193700009631</t>
  </si>
  <si>
    <t>OPT-CNXBAN-20-Mar-2024-46100-P-E-I</t>
  </si>
  <si>
    <t>#202403183700015510</t>
  </si>
  <si>
    <t>#202403183700012135</t>
  </si>
  <si>
    <t>#202403183700010537</t>
  </si>
  <si>
    <t>OPT-CNXBAN-20-Mar-2024-47900-C-E-I</t>
  </si>
  <si>
    <t>#202403183700010440</t>
  </si>
  <si>
    <t>OPT-CNXBAN-20-Mar-2024-46400-P-E-I</t>
  </si>
  <si>
    <t>#202403183700010355</t>
  </si>
  <si>
    <t>#202403183700008229</t>
  </si>
  <si>
    <t>OPT-CNXBAN-20-Mar-2024-46500-P-E-I</t>
  </si>
  <si>
    <t>#202403183700005755</t>
  </si>
  <si>
    <t>#202403183700005668</t>
  </si>
  <si>
    <t>#202403153700023749</t>
  </si>
  <si>
    <t>#202403153700020770</t>
  </si>
  <si>
    <t>#202403153700019525</t>
  </si>
  <si>
    <t>OPT-CNXBAN-20-Mar-2024-47200-C-E-I</t>
  </si>
  <si>
    <t>#202403143700025858</t>
  </si>
  <si>
    <t>#202403143700016131</t>
  </si>
  <si>
    <t>#202403143700012519</t>
  </si>
  <si>
    <t>OPT-CNXBAN-20-Mar-2024-46800-C-E-I</t>
  </si>
  <si>
    <t>#202403143700008272</t>
  </si>
  <si>
    <t>#202403143700004465</t>
  </si>
  <si>
    <t>#202403143700003320</t>
  </si>
  <si>
    <t>OPT-CNXBAN-20-Mar-2024-46700-C-E-I</t>
  </si>
  <si>
    <t>#202403143700001174</t>
  </si>
  <si>
    <t>#202403143700001014</t>
  </si>
  <si>
    <t>OPT-CNXBAN-13-Mar-2024-46900-P-E-I</t>
  </si>
  <si>
    <t>#202403133700022718</t>
  </si>
  <si>
    <t>#202403133700019248</t>
  </si>
  <si>
    <t>OPT-CNXBAN-13-Mar-2024-47100-P-E-I</t>
  </si>
  <si>
    <t>#202403133700017623</t>
  </si>
  <si>
    <t>#202403133700014950</t>
  </si>
  <si>
    <t>OPT-CNXBAN-13-Mar-2024-47400-C-E-I</t>
  </si>
  <si>
    <t>#202403133700012884</t>
  </si>
  <si>
    <t>#202403133700011981</t>
  </si>
  <si>
    <t>#202403133700010327</t>
  </si>
  <si>
    <t>#202403133700009175</t>
  </si>
  <si>
    <t>#202403133700007747</t>
  </si>
  <si>
    <t>OPT-CNXBAN-13-Mar-2024-47300-P-E-I</t>
  </si>
  <si>
    <t>#202403133700005032</t>
  </si>
  <si>
    <t>#202403133700004972</t>
  </si>
  <si>
    <t>#202403133700004486</t>
  </si>
  <si>
    <t>#202403133700004054</t>
  </si>
  <si>
    <t>#202403133700002093</t>
  </si>
  <si>
    <t>#202403123700027080</t>
  </si>
  <si>
    <t>#202403123700025035</t>
  </si>
  <si>
    <t>#202403123700024762</t>
  </si>
  <si>
    <t>OPT-CNXBAN-13-Mar-2024-47300-C-E-I</t>
  </si>
  <si>
    <t>#202403123700017350</t>
  </si>
  <si>
    <t>#202403123700017207</t>
  </si>
  <si>
    <t>#202403123700016542</t>
  </si>
  <si>
    <t>#202403123700016265</t>
  </si>
  <si>
    <t>OPT-CNXBAN-13-Mar-2024-47600-C-E-I</t>
  </si>
  <si>
    <t>#202403123700010420</t>
  </si>
  <si>
    <t>#202403123700009658</t>
  </si>
  <si>
    <t>#202403123700009535</t>
  </si>
  <si>
    <t>#202403123700008861</t>
  </si>
  <si>
    <t>OPT-CNXBAN-13-Mar-2024-48000-C-E-I</t>
  </si>
  <si>
    <t>#202403123700004000</t>
  </si>
  <si>
    <t>#202403123700003914</t>
  </si>
  <si>
    <t>#202403123700002227</t>
  </si>
  <si>
    <t>#202403123700001972</t>
  </si>
  <si>
    <t>#202403123700001482</t>
  </si>
  <si>
    <t>OPT-CNXBAN-13-Mar-2024-47600-P-E-I</t>
  </si>
  <si>
    <t>#202403113700013207</t>
  </si>
  <si>
    <t>#202403112500002974</t>
  </si>
  <si>
    <t>#202403112500002490</t>
  </si>
  <si>
    <t>#202403073700021762</t>
  </si>
  <si>
    <t>OPT-CNXBAN-13-Mar-2024-47800-P-E-I</t>
  </si>
  <si>
    <t>#202403073700012820</t>
  </si>
  <si>
    <t>#202403073700011941</t>
  </si>
  <si>
    <t>OPT-CNXBAN-13-Mar-2024-47800-C-E-I</t>
  </si>
  <si>
    <t>#202403073700010084</t>
  </si>
  <si>
    <t>#202403073700009680</t>
  </si>
  <si>
    <t>OPT-NIFTY-07-Mar-2024-22500-C-E-I</t>
  </si>
  <si>
    <t>#202403073700005493</t>
  </si>
  <si>
    <t>#202403073700004328</t>
  </si>
  <si>
    <t>OPT-CNXBAN-06-Mar-2024-48200-C-E-I</t>
  </si>
  <si>
    <t>#202403063700022683</t>
  </si>
  <si>
    <t>#202403063700016795</t>
  </si>
  <si>
    <t>OPT-CNXBAN-06-Mar-2024-47500-P-E-I</t>
  </si>
  <si>
    <t>#202403063700013002</t>
  </si>
  <si>
    <t>#202403063700010613</t>
  </si>
  <si>
    <t>#202403063700009269</t>
  </si>
  <si>
    <t>#202403063700002291</t>
  </si>
  <si>
    <t>OPT-CNXBAN-06-Mar-2024-47300-P-E-I</t>
  </si>
  <si>
    <t>#202403053700017959</t>
  </si>
  <si>
    <t>#202403053700017892</t>
  </si>
  <si>
    <t>OPT-CNXBAN-06-Mar-2024-47400-C-E-I</t>
  </si>
  <si>
    <t>#202403053700015796</t>
  </si>
  <si>
    <t>#202403053700015784</t>
  </si>
  <si>
    <t>#202403053700012944</t>
  </si>
  <si>
    <t>#202403053700010297</t>
  </si>
  <si>
    <t>#202403053700007167</t>
  </si>
  <si>
    <t>#202403053700005723</t>
  </si>
  <si>
    <t>#202403053700004949</t>
  </si>
  <si>
    <t>#202403053700004830</t>
  </si>
  <si>
    <t>#202403053700003408</t>
  </si>
  <si>
    <t>OPT-CNXBAN-06-Mar-2024-47300-C-E-I</t>
  </si>
  <si>
    <t>#202403043700042511</t>
  </si>
  <si>
    <t>#202403043700042460</t>
  </si>
  <si>
    <t>OPT-NIFFIN-05-Mar-2024-20900-C-E-I</t>
  </si>
  <si>
    <t>#202403013700020685</t>
  </si>
  <si>
    <t>#202403013700020474</t>
  </si>
  <si>
    <t>OPT-NIFTY-07-Mar-2024-22250-C-E-I</t>
  </si>
  <si>
    <t>#202403013700011864</t>
  </si>
  <si>
    <t>#202403013700011370</t>
  </si>
  <si>
    <t>OPT-NIFSEL-04-Mar-2024-10800-P-E-I</t>
  </si>
  <si>
    <t>#202403013700009839</t>
  </si>
  <si>
    <t>#202403013700006175</t>
  </si>
  <si>
    <t>#202403013700002612</t>
  </si>
  <si>
    <t>OPT-CNXBAN-29-Feb-2024-46600-C-E-I</t>
  </si>
  <si>
    <t>#202402293700028090</t>
  </si>
  <si>
    <t>#202402293700028072</t>
  </si>
  <si>
    <t>#202402293700028043</t>
  </si>
  <si>
    <t>#202402293700027521</t>
  </si>
  <si>
    <t>#202402293700027454</t>
  </si>
  <si>
    <t>#202402293700027419</t>
  </si>
  <si>
    <t>#202402293700025531</t>
  </si>
  <si>
    <t>#202402293700016432</t>
  </si>
  <si>
    <t>#202402293700016335</t>
  </si>
  <si>
    <t>#202402293700016296</t>
  </si>
  <si>
    <t>#202402293700008897</t>
  </si>
  <si>
    <t>#202402293700001087</t>
  </si>
  <si>
    <t>#202402283700028151</t>
  </si>
  <si>
    <t>#202402283700017286</t>
  </si>
  <si>
    <t>#202402283700016620</t>
  </si>
  <si>
    <t>#202402283700012865</t>
  </si>
  <si>
    <t>#202402283700009861</t>
  </si>
  <si>
    <t>#202402283700009008</t>
  </si>
  <si>
    <t>#202402283700008712</t>
  </si>
  <si>
    <t>#202402283700007754</t>
  </si>
  <si>
    <t>#202402283700007662</t>
  </si>
  <si>
    <t>#202402283700005124</t>
  </si>
  <si>
    <t>#202402283700004969</t>
  </si>
  <si>
    <t>OPT-CNXBAN-29-Feb-2024-46600-P-E-I</t>
  </si>
  <si>
    <t>#202402283700004304</t>
  </si>
  <si>
    <t>#202402283700003498</t>
  </si>
  <si>
    <t>#202402283700002316</t>
  </si>
  <si>
    <t>#202402283700002128</t>
  </si>
  <si>
    <t>#202402283700002122</t>
  </si>
  <si>
    <t>#202402283700001855</t>
  </si>
  <si>
    <t>#202402283700001762</t>
  </si>
  <si>
    <t>#202402283700001523</t>
  </si>
  <si>
    <t>OPT-NIFTY-29-Feb-2024-22250-C-E-I</t>
  </si>
  <si>
    <t>#202402273700026919</t>
  </si>
  <si>
    <t>#202402273700024779</t>
  </si>
  <si>
    <t>OPT-NIFTY-29-Feb-2024-22150-C-E-I</t>
  </si>
  <si>
    <t>#202402273700016118</t>
  </si>
  <si>
    <t>OPT-NIFFIN-27-Feb-2024-20600-C-E-I</t>
  </si>
  <si>
    <t>#202402273700007789</t>
  </si>
  <si>
    <t>#202402273700007447</t>
  </si>
  <si>
    <t>#202402273700003545</t>
  </si>
  <si>
    <t>OPT-NIFTY-29-Feb-2024-22300-C-E-I</t>
  </si>
  <si>
    <t>#202402263700007254</t>
  </si>
  <si>
    <t>OPT-NIFSEL-26-Feb-2024-11050-C-E-I</t>
  </si>
  <si>
    <t>#202402263700007190</t>
  </si>
  <si>
    <t>#202402263700005441</t>
  </si>
  <si>
    <t>#202402263700004132</t>
  </si>
  <si>
    <t>#202402263700003264</t>
  </si>
  <si>
    <t>OPT-NIFFIN-27-Feb-2024-20650-P-E-I</t>
  </si>
  <si>
    <t>#202402233700022232</t>
  </si>
  <si>
    <t>#202402233700013561</t>
  </si>
  <si>
    <t>#202402233700011703</t>
  </si>
  <si>
    <t>#202402233700009985</t>
  </si>
  <si>
    <t>#202402233700008998</t>
  </si>
  <si>
    <t>#202402233700008153</t>
  </si>
  <si>
    <t>OPT-NIFTY-29-Feb-2024-22200-P-E-I</t>
  </si>
  <si>
    <t>#202402233700007069</t>
  </si>
  <si>
    <t>#202402233700003825</t>
  </si>
  <si>
    <t>#202402233700002965</t>
  </si>
  <si>
    <t>OPT-NIFTY-22-Feb-2024-21900-P-E-I</t>
  </si>
  <si>
    <t>#202402223700017940</t>
  </si>
  <si>
    <t>#202402223700016314</t>
  </si>
  <si>
    <t>#202402223700015316</t>
  </si>
  <si>
    <t>#202402223700014837</t>
  </si>
  <si>
    <t>#202402223700014598</t>
  </si>
  <si>
    <t>#202402223700014129</t>
  </si>
  <si>
    <t>OPT-NIFTY-22-Feb-2024-22000-P-E-I</t>
  </si>
  <si>
    <t>#202402223700008533</t>
  </si>
  <si>
    <t>#202402223700007266</t>
  </si>
  <si>
    <t>OPT-CNXBAN-21-Feb-2024-47200-C-E-I</t>
  </si>
  <si>
    <t>#202402213700020089</t>
  </si>
  <si>
    <t>#202402213700018547</t>
  </si>
  <si>
    <t>OPT-CNXBAN-21-Feb-2024-47000-P-E-I</t>
  </si>
  <si>
    <t>#202402213700018507</t>
  </si>
  <si>
    <t>#202402213700012658</t>
  </si>
  <si>
    <t>#202402213700012075</t>
  </si>
  <si>
    <t>#202402213700005424</t>
  </si>
  <si>
    <t>#202402213700004280</t>
  </si>
  <si>
    <t>#202402213700002257</t>
  </si>
  <si>
    <t>OPT-NIFFIN-20-Feb-2024-20500-P-E-I</t>
  </si>
  <si>
    <t>#202402203700015322</t>
  </si>
  <si>
    <t>#202402203700015296</t>
  </si>
  <si>
    <t>#202402203700013783</t>
  </si>
  <si>
    <t>#202402203700013737</t>
  </si>
  <si>
    <t>OPT-RBLBAN-29-Feb-2024-270-C-E-S</t>
  </si>
  <si>
    <t>#202402203700012677</t>
  </si>
  <si>
    <t>#202402203700012423</t>
  </si>
  <si>
    <t>#202402203700011941</t>
  </si>
  <si>
    <t>#202402203700011029</t>
  </si>
  <si>
    <t>#202402203700008469</t>
  </si>
  <si>
    <t>#202402203700008463</t>
  </si>
  <si>
    <t>#202402203700008451</t>
  </si>
  <si>
    <t>#202402203700008395</t>
  </si>
  <si>
    <t>#202402203700008188</t>
  </si>
  <si>
    <t>#202402203700008177</t>
  </si>
  <si>
    <t>#202402203700008170</t>
  </si>
  <si>
    <t>#202402203700007642</t>
  </si>
  <si>
    <t>#202402203700007418</t>
  </si>
  <si>
    <t>#202402203700007160</t>
  </si>
  <si>
    <t>#202402203700006913</t>
  </si>
  <si>
    <t>#202402203700006778</t>
  </si>
  <si>
    <t>#202402203700004937</t>
  </si>
  <si>
    <t>OPT-NIFFIN-20-Feb-2024-20550-C-E-I</t>
  </si>
  <si>
    <t>#202402193700010047</t>
  </si>
  <si>
    <t>#202402193700008262</t>
  </si>
  <si>
    <t>OPT-NIFTY-15-Feb-2024-21900-C-E-I</t>
  </si>
  <si>
    <t>#202402153700028195</t>
  </si>
  <si>
    <t>#202402153700027982</t>
  </si>
  <si>
    <t>OPT-NIFTY-15-Feb-2024-21550-P-E-I</t>
  </si>
  <si>
    <t>#202402143700021174</t>
  </si>
  <si>
    <t>#202402143700012687</t>
  </si>
  <si>
    <t>#202402143700011711</t>
  </si>
  <si>
    <t>OPT-NIFTY-15-Feb-2024-21650-C-E-I</t>
  </si>
  <si>
    <t>#202402143700011378</t>
  </si>
  <si>
    <t>#202402143700009360</t>
  </si>
  <si>
    <t>#202402143700009186</t>
  </si>
  <si>
    <t>OPT-CNXBAN-14-Feb-2024-45000-P-E-I</t>
  </si>
  <si>
    <t>#202402143700008683</t>
  </si>
  <si>
    <t>#202402143700008180</t>
  </si>
  <si>
    <t>#202402143700008104</t>
  </si>
  <si>
    <t>#202402143700007825</t>
  </si>
  <si>
    <t>OPT-CNXBAN-14-Feb-2024-46000-C-E-I</t>
  </si>
  <si>
    <t>#202402143700007602</t>
  </si>
  <si>
    <t>#202402143700007219</t>
  </si>
  <si>
    <t>#202402143700003585</t>
  </si>
  <si>
    <t>#202402143700003174</t>
  </si>
  <si>
    <t>#202402143700001092</t>
  </si>
  <si>
    <t>#202402143700001063</t>
  </si>
  <si>
    <t>#202402143700001047</t>
  </si>
  <si>
    <t>#202402143700001031</t>
  </si>
  <si>
    <t>#202402143700001020</t>
  </si>
  <si>
    <t>#202402143700001015</t>
  </si>
  <si>
    <t>#202402143700000980</t>
  </si>
  <si>
    <t>OPT-NIFFIN-13-Feb-2024-20150-P-E-I</t>
  </si>
  <si>
    <t>#202402133700017680</t>
  </si>
  <si>
    <t>#202402133700015322</t>
  </si>
  <si>
    <t>#202402133700013031</t>
  </si>
  <si>
    <t>#202402133700012350</t>
  </si>
  <si>
    <t>#202402133700012125</t>
  </si>
  <si>
    <t>#202402133700012057</t>
  </si>
  <si>
    <t>OPT-NIFFIN-13-Feb-2024-19700-P-E-I</t>
  </si>
  <si>
    <t>#202402133700009129</t>
  </si>
  <si>
    <t>#202402133700004028</t>
  </si>
  <si>
    <t>#202402133700004022</t>
  </si>
  <si>
    <t>#202402133700004018</t>
  </si>
  <si>
    <t>#202402133700003925</t>
  </si>
  <si>
    <t>#202402133700003914</t>
  </si>
  <si>
    <t>#202402133700003898</t>
  </si>
  <si>
    <t>#202402133700003831</t>
  </si>
  <si>
    <t>#202402133700003814</t>
  </si>
  <si>
    <t>#202402133700003775</t>
  </si>
  <si>
    <t>#202402133700003764</t>
  </si>
  <si>
    <t>#202402133700003757</t>
  </si>
  <si>
    <t>#202402133700003751</t>
  </si>
  <si>
    <t>#202402133700003738</t>
  </si>
  <si>
    <t>#202402133700003733</t>
  </si>
  <si>
    <t>#202402133700003229</t>
  </si>
  <si>
    <t>#202402133700003180</t>
  </si>
  <si>
    <t>#202402133700003139</t>
  </si>
  <si>
    <t>#202402133700003113</t>
  </si>
  <si>
    <t>#202402133700003085</t>
  </si>
  <si>
    <t>#202402133700003066</t>
  </si>
  <si>
    <t>#202402133700003041</t>
  </si>
  <si>
    <t>#202402133700003011</t>
  </si>
  <si>
    <t>#202402133700002984</t>
  </si>
  <si>
    <t>#202402133700002957</t>
  </si>
  <si>
    <t>#202402133700002934</t>
  </si>
  <si>
    <t>#202402133700001883</t>
  </si>
  <si>
    <t>#202402133700001846</t>
  </si>
  <si>
    <t>#202402133700001779</t>
  </si>
  <si>
    <t>#202402133700001752</t>
  </si>
  <si>
    <t>#202402133700001696</t>
  </si>
  <si>
    <t>#202402133700001661</t>
  </si>
  <si>
    <t>#202402133700001635</t>
  </si>
  <si>
    <t>#202402133700001606</t>
  </si>
  <si>
    <t>#202402133700001590</t>
  </si>
  <si>
    <t>#202402133700001527</t>
  </si>
  <si>
    <t>#202402133700001482</t>
  </si>
  <si>
    <t>#202402133700001444</t>
  </si>
  <si>
    <t>#202402133700001411</t>
  </si>
  <si>
    <t>OPT-NIFTY-15-Feb-2024-21700-P-E-I</t>
  </si>
  <si>
    <t>#202402123700013602</t>
  </si>
  <si>
    <t>#202402093700012593</t>
  </si>
  <si>
    <t>#202402093700008677</t>
  </si>
  <si>
    <t>#202402093700004745</t>
  </si>
  <si>
    <t>OPT-NIFTY-08-Feb-2024-21750-P-E-I</t>
  </si>
  <si>
    <t>#202402083700018971</t>
  </si>
  <si>
    <t>#202402083700018472</t>
  </si>
  <si>
    <t>OPT-NIFTY-08-Feb-2024-22000-C-E-I</t>
  </si>
  <si>
    <t>#202402083700017431</t>
  </si>
  <si>
    <t>#202402083700016414</t>
  </si>
  <si>
    <t>#202402083700015702</t>
  </si>
  <si>
    <t>#202402083700014192</t>
  </si>
  <si>
    <t>#202402083700014183</t>
  </si>
  <si>
    <t>#202402083700014006</t>
  </si>
  <si>
    <t>#202402083700013938</t>
  </si>
  <si>
    <t>#202402083700013884</t>
  </si>
  <si>
    <t>#202402083700010850</t>
  </si>
  <si>
    <t>#202402083700009731</t>
  </si>
  <si>
    <t>OPT-NIFTY-08-Feb-2024-22000-P-E-I</t>
  </si>
  <si>
    <t>#202402083700004004</t>
  </si>
  <si>
    <t>#202402083700002795</t>
  </si>
  <si>
    <t>OPT-CNXBAN-07-Feb-2024-45800-C-E-I</t>
  </si>
  <si>
    <t>#202402073700021837</t>
  </si>
  <si>
    <t>#202402073700021327</t>
  </si>
  <si>
    <t>OPT-CNXBAN-07-Feb-2024-45900-C-E-I</t>
  </si>
  <si>
    <t>#202402073700019616</t>
  </si>
  <si>
    <t>#202402073700018478</t>
  </si>
  <si>
    <t>#202402073700015304</t>
  </si>
  <si>
    <t>#202402073700012883</t>
  </si>
  <si>
    <t>#202402073700010509</t>
  </si>
  <si>
    <t>#202402073700010460</t>
  </si>
  <si>
    <t>#202402073700010356</t>
  </si>
  <si>
    <t>#202402073700009047</t>
  </si>
  <si>
    <t>#202402073700007071</t>
  </si>
  <si>
    <t>#202402073700004645</t>
  </si>
  <si>
    <t>OPT-HCLTEC-29-Feb-2024-1600-C-E-S</t>
  </si>
  <si>
    <t>#202402063700021088</t>
  </si>
  <si>
    <t>OPT-NIFFIN-06-Feb-2024-20350-P-E-I</t>
  </si>
  <si>
    <t>#202402053700049655</t>
  </si>
  <si>
    <t>#202402053700038894</t>
  </si>
  <si>
    <t>#202402053700038641</t>
  </si>
  <si>
    <t>#202402053700036149</t>
  </si>
  <si>
    <t>#202402053700035872</t>
  </si>
  <si>
    <t>#202402053700035685</t>
  </si>
  <si>
    <t>#202402053700035362</t>
  </si>
  <si>
    <t>#202402053700033760</t>
  </si>
  <si>
    <t>#202402053700032491</t>
  </si>
  <si>
    <t>#202402053700031966</t>
  </si>
  <si>
    <t>#202402023700011780</t>
  </si>
  <si>
    <t>OPT-NIFTY-08-Feb-2024-21800-P-E-I</t>
  </si>
  <si>
    <t>#202402023700007581</t>
  </si>
  <si>
    <t>#202402023700003395</t>
  </si>
  <si>
    <t>OPT-CNXBAN-07-Feb-2024-45800-P-E-I</t>
  </si>
  <si>
    <t>#202402013700022935</t>
  </si>
  <si>
    <t>#202402013700019042</t>
  </si>
  <si>
    <t>#202402013700018850</t>
  </si>
  <si>
    <t>#202402013700018265</t>
  </si>
  <si>
    <t>#202402013700017520</t>
  </si>
  <si>
    <t>#202402013700017329</t>
  </si>
  <si>
    <t>#202402013700017148</t>
  </si>
  <si>
    <t>#202402013700017013</t>
  </si>
  <si>
    <t>OPT-NIFTY-01-Feb-2024-22500-C-E-I</t>
  </si>
  <si>
    <t>#202402013700012044</t>
  </si>
  <si>
    <t>#202402013700012043</t>
  </si>
  <si>
    <t>#202402013700011260</t>
  </si>
  <si>
    <t>#202402013700011236</t>
  </si>
  <si>
    <t>OPT-NIFTY-01-Feb-2024-21800-C-E-I</t>
  </si>
  <si>
    <t>#202402013700009806</t>
  </si>
  <si>
    <t>#202402013700008059</t>
  </si>
  <si>
    <t>#202402013700006332</t>
  </si>
  <si>
    <t>OPT-CNXBAN-07-Feb-2024-46000-C-E-I</t>
  </si>
  <si>
    <t>#202402013700005706</t>
  </si>
  <si>
    <t>#202402013700005369</t>
  </si>
  <si>
    <t>#202402013700005094</t>
  </si>
  <si>
    <t>#202402013700004640</t>
  </si>
  <si>
    <t>#202402013700004518</t>
  </si>
  <si>
    <t>OPT-CNXBAN-31-Jan-2024-46100-P-E-I</t>
  </si>
  <si>
    <t>#202401313700017720</t>
  </si>
  <si>
    <t>#202401313700016090</t>
  </si>
  <si>
    <t>#202401313700015820</t>
  </si>
  <si>
    <t>#202401313700015591</t>
  </si>
  <si>
    <t>#202401313700015453</t>
  </si>
  <si>
    <t>#202401313700015234</t>
  </si>
  <si>
    <t>#202401313700015147</t>
  </si>
  <si>
    <t>OPT-NIFTY-01-Feb-2024-21700-P-E-I</t>
  </si>
  <si>
    <t>#202401304500007011</t>
  </si>
  <si>
    <t>#202401304500004896</t>
  </si>
  <si>
    <t>OPT-NIFFIN-30-Jan-2024-20300-P-E-I</t>
  </si>
  <si>
    <t>#202401304500004622</t>
  </si>
  <si>
    <t>#202401304500004527</t>
  </si>
  <si>
    <t>#202401304500003924</t>
  </si>
  <si>
    <t>#202401304500003453</t>
  </si>
  <si>
    <t>#202401304500003418</t>
  </si>
  <si>
    <t>#202401304500003415</t>
  </si>
  <si>
    <t>#202401304500002794</t>
  </si>
  <si>
    <t>#202401304500002207</t>
  </si>
  <si>
    <t>#202401304500001436</t>
  </si>
  <si>
    <t>#202401304500000968</t>
  </si>
  <si>
    <t>#202401304500000931</t>
  </si>
  <si>
    <t>#202401304500000927</t>
  </si>
  <si>
    <t>OPT-NIFTY-01-Feb-2024-21500-P-E-I</t>
  </si>
  <si>
    <t>#202401293700018860</t>
  </si>
  <si>
    <t>#202401293700015173</t>
  </si>
  <si>
    <t>#202401293700014382</t>
  </si>
  <si>
    <t>OPT-NIFSEL-29-Jan-2024-10450-P-E-I</t>
  </si>
  <si>
    <t>#202401293700014362</t>
  </si>
  <si>
    <t>#202401293700012467</t>
  </si>
  <si>
    <t>#202401293700011964</t>
  </si>
  <si>
    <t>#202401293700011420</t>
  </si>
  <si>
    <t>#202401293700010256</t>
  </si>
  <si>
    <t>#202401293700007052</t>
  </si>
  <si>
    <t>#202401293700005726</t>
  </si>
  <si>
    <t>OPT-NIFSEL-29-Jan-2024-10600-C-E-I</t>
  </si>
  <si>
    <t>#202401293700004864</t>
  </si>
  <si>
    <t>#202401293700004771</t>
  </si>
  <si>
    <t>#202401293700001543</t>
  </si>
  <si>
    <t>#202401293700001118</t>
  </si>
  <si>
    <t>OPT-NIFTY-25-Jan-2024-21300-P-E-I</t>
  </si>
  <si>
    <t>#202401253700020304</t>
  </si>
  <si>
    <t>#202401253700020156</t>
  </si>
  <si>
    <t>#202401253700017592</t>
  </si>
  <si>
    <t>#202401253700016766</t>
  </si>
  <si>
    <t>OPT-NIFTY-25-Jan-2024-21400-C-E-I</t>
  </si>
  <si>
    <t>#202401253700016679</t>
  </si>
  <si>
    <t>#202401253700015563</t>
  </si>
  <si>
    <t>#202401253700015418</t>
  </si>
  <si>
    <t>#202401253700013772</t>
  </si>
  <si>
    <t>#202401253700010839</t>
  </si>
  <si>
    <t>#202401253700009131</t>
  </si>
  <si>
    <t>OPT-NIFTY-25-Jan-2024-21400-P-E-I</t>
  </si>
  <si>
    <t>#202401253700008328</t>
  </si>
  <si>
    <t>#202401253700006833</t>
  </si>
  <si>
    <t>#202401253700006307</t>
  </si>
  <si>
    <t>#202401253700005092</t>
  </si>
  <si>
    <t>#202401253700004529</t>
  </si>
  <si>
    <t>#202401252500000521</t>
  </si>
  <si>
    <t>OPT-CNXBAN-25-Jan-2024-44800-C-E-I</t>
  </si>
  <si>
    <t>#202401243700025304</t>
  </si>
  <si>
    <t>#202401243700023874</t>
  </si>
  <si>
    <t>OPT-CNXBAN-25-Jan-2024-45500-C-E-I</t>
  </si>
  <si>
    <t>#202401243700013686</t>
  </si>
  <si>
    <t>#202401243700013685</t>
  </si>
  <si>
    <t>#202401243700012661</t>
  </si>
  <si>
    <t>#202401243700012385</t>
  </si>
  <si>
    <t>OPT-CNXBAN-25-Jan-2024-45000-P-E-I</t>
  </si>
  <si>
    <t>#202401243700012190</t>
  </si>
  <si>
    <t>#202401243700012189</t>
  </si>
  <si>
    <t>#202401243700010306</t>
  </si>
  <si>
    <t>#202401243700009876</t>
  </si>
  <si>
    <t>OPT-GUJGA-25-Jan-2024-560-C-E-S</t>
  </si>
  <si>
    <t>#202401233700026904</t>
  </si>
  <si>
    <t>#202401233700016186</t>
  </si>
  <si>
    <t>OPT-NIFFIN-23-Jan-2024-20700-C-E-I</t>
  </si>
  <si>
    <t>#202401233700008238</t>
  </si>
  <si>
    <t>#202401233700007908</t>
  </si>
  <si>
    <t>#202401233700007202</t>
  </si>
  <si>
    <t>OPT-NIFTY-25-Jan-2024-21700-P-E-I</t>
  </si>
  <si>
    <t>#202401233700004840</t>
  </si>
  <si>
    <t>#202401233700004524</t>
  </si>
  <si>
    <t>#202401233700004149</t>
  </si>
  <si>
    <t>#202401233700003692</t>
  </si>
  <si>
    <t>#202401233700002870</t>
  </si>
  <si>
    <t>#202401233700002650</t>
  </si>
  <si>
    <t>#202401233700002287</t>
  </si>
  <si>
    <t>#202401233700001458</t>
  </si>
  <si>
    <t>OPT-CNXBAN-25-Jan-2024-46000-P-E-I</t>
  </si>
  <si>
    <t>#202401193700009376</t>
  </si>
  <si>
    <t>#202401193700008227</t>
  </si>
  <si>
    <t>#202401193700007925</t>
  </si>
  <si>
    <t>OPT-NIFTY-18-Jan-2024-21450-P-E-I</t>
  </si>
  <si>
    <t>#202401183700024967</t>
  </si>
  <si>
    <t>#202401183700023948</t>
  </si>
  <si>
    <t>#202401183700019735</t>
  </si>
  <si>
    <t>#202401183700016202</t>
  </si>
  <si>
    <t>OPT-NIFTY-18-Jan-2024-21300-P-E-I</t>
  </si>
  <si>
    <t>#202401183700015997</t>
  </si>
  <si>
    <t>#202401183700015996</t>
  </si>
  <si>
    <t>#202401183700015950</t>
  </si>
  <si>
    <t>#202401183700015851</t>
  </si>
  <si>
    <t>#202401183700015105</t>
  </si>
  <si>
    <t>#202401183700014798</t>
  </si>
  <si>
    <t>#202401183700011974</t>
  </si>
  <si>
    <t>#202401183700011826</t>
  </si>
  <si>
    <t>OPT-NIFTY-18-Jan-2024-21500-C-E-I</t>
  </si>
  <si>
    <t>#202401183700010258</t>
  </si>
  <si>
    <t>#202401183700010257</t>
  </si>
  <si>
    <t>#202401183700007449</t>
  </si>
  <si>
    <t>#202401183700007239</t>
  </si>
  <si>
    <t>OPT-NIFTY-18-Jan-2024-21600-C-E-I</t>
  </si>
  <si>
    <t>#202401183700004493</t>
  </si>
  <si>
    <t>#202401183700001475</t>
  </si>
  <si>
    <t>OPT-CNXBAN-17-Jan-2024-46700-C-E-I</t>
  </si>
  <si>
    <t>#202401173700021397</t>
  </si>
  <si>
    <t>#202401173700021119</t>
  </si>
  <si>
    <t>#202401173700018837</t>
  </si>
  <si>
    <t>#202401173700017802</t>
  </si>
  <si>
    <t>#202401173700016080</t>
  </si>
  <si>
    <t>#202401173700015246</t>
  </si>
  <si>
    <t>#202401173700014614</t>
  </si>
  <si>
    <t>#202401173700013513</t>
  </si>
  <si>
    <t>#202401173700012803</t>
  </si>
  <si>
    <t>#202401173700012740</t>
  </si>
  <si>
    <t>#202401173700012675</t>
  </si>
  <si>
    <t>#202401173700012615</t>
  </si>
  <si>
    <t>#202401173700012540</t>
  </si>
  <si>
    <t>OPT-NIFFIN-16-Jan-2024-21200-P-E-I</t>
  </si>
  <si>
    <t>#202401113700017478</t>
  </si>
  <si>
    <t>#202401113700017099</t>
  </si>
  <si>
    <t>OPT-CNXBAN-10-Jan-2024-47200-P-E-I</t>
  </si>
  <si>
    <t>#202401103700027464</t>
  </si>
  <si>
    <t>#202401103700026722</t>
  </si>
  <si>
    <t>#202401103700026628</t>
  </si>
  <si>
    <t>#202401103700026486</t>
  </si>
  <si>
    <t>#202401103700025116</t>
  </si>
  <si>
    <t>#202401103700024931</t>
  </si>
  <si>
    <t>#202401103700024096</t>
  </si>
  <si>
    <t>OPT-CIPLA-25-Jan-2024-1320-C-E-S</t>
  </si>
  <si>
    <t>#202401103700023218</t>
  </si>
  <si>
    <t>#202401103700022327</t>
  </si>
  <si>
    <t>#202401103700021865</t>
  </si>
  <si>
    <t>#202401103700021744</t>
  </si>
  <si>
    <t>#202401103700015608</t>
  </si>
  <si>
    <t>#202401103700014851</t>
  </si>
  <si>
    <t>#202401103700008838</t>
  </si>
  <si>
    <t>OPT-NIFFIN-09-Jan-2024-21450-P-E-I</t>
  </si>
  <si>
    <t>#202401093700019945</t>
  </si>
  <si>
    <t>#202401093700017300</t>
  </si>
  <si>
    <t>#202401093700015973</t>
  </si>
  <si>
    <t>#202401093700015743</t>
  </si>
  <si>
    <t>#202401093700015658</t>
  </si>
  <si>
    <t>#202401093700015607</t>
  </si>
  <si>
    <t>#202401093700014789</t>
  </si>
  <si>
    <t>#202401093700014597</t>
  </si>
  <si>
    <t>#202401093700014487</t>
  </si>
  <si>
    <t>#202401093700014363</t>
  </si>
  <si>
    <t>#202401093700014217</t>
  </si>
  <si>
    <t>#202401093700013489</t>
  </si>
  <si>
    <t>#202401093700013380</t>
  </si>
  <si>
    <t>Buy Closeout</t>
  </si>
  <si>
    <t>#Exchange Initiated</t>
  </si>
  <si>
    <t>CalYear</t>
  </si>
  <si>
    <t>CalMonth</t>
  </si>
  <si>
    <t>FinYear</t>
  </si>
  <si>
    <t>FinMonth</t>
  </si>
  <si>
    <t>MonthName</t>
  </si>
  <si>
    <t>FinMonth2</t>
  </si>
  <si>
    <t>FinPeriod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</si>
  <si>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</si>
  <si>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</si>
  <si>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</si>
  <si>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</si>
  <si>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</si>
  <si>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</si>
  <si>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</si>
  <si>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</si>
  <si>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</si>
  <si>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</si>
  <si>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</si>
  <si>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</si>
  <si>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Grand Total</t>
  </si>
  <si>
    <t>Amount</t>
  </si>
  <si>
    <t>Sum of Amount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</si>
  <si>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</si>
  <si>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</si>
  <si>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</si>
  <si>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</si>
  <si>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</si>
  <si>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</si>
  <si>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</si>
  <si>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</si>
  <si>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</si>
  <si>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</si>
  <si>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</si>
  <si>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</si>
  <si>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Date</t>
  </si>
  <si>
    <t>Rule</t>
  </si>
  <si>
    <t>Candle</t>
  </si>
  <si>
    <t>RSI</t>
  </si>
  <si>
    <t>P SAR</t>
  </si>
  <si>
    <t>Below Candle</t>
  </si>
  <si>
    <t>&gt;50</t>
  </si>
  <si>
    <t>&lt;50</t>
  </si>
  <si>
    <t>First Green above MA</t>
  </si>
  <si>
    <t>Total</t>
  </si>
  <si>
    <t>Slno</t>
  </si>
  <si>
    <t>Lot</t>
  </si>
  <si>
    <t>Amnt</t>
  </si>
  <si>
    <t>Above Candle</t>
  </si>
  <si>
    <t>Remarks</t>
  </si>
  <si>
    <t>Rule Follwed, Good</t>
  </si>
  <si>
    <t>Scrip</t>
  </si>
  <si>
    <t>LTIM</t>
  </si>
  <si>
    <t>Follwed</t>
  </si>
  <si>
    <t>Not Follwed</t>
  </si>
  <si>
    <t>16th Red above MA</t>
  </si>
  <si>
    <t>Blind Thought of Trend Reversal</t>
  </si>
  <si>
    <t>call OI</t>
  </si>
  <si>
    <t>Put OI</t>
  </si>
  <si>
    <t>Diff</t>
  </si>
  <si>
    <t>Go with</t>
  </si>
  <si>
    <t>low</t>
  </si>
  <si>
    <t>middle</t>
  </si>
  <si>
    <t>high</t>
  </si>
  <si>
    <t>Strong Call</t>
  </si>
  <si>
    <t>Turning to Put</t>
  </si>
  <si>
    <t>waiting for call breakout</t>
  </si>
  <si>
    <t>NA</t>
  </si>
  <si>
    <t>Turning to Call</t>
  </si>
  <si>
    <t>Put</t>
  </si>
  <si>
    <t>Strong Put</t>
  </si>
  <si>
    <t>Rangebound</t>
  </si>
  <si>
    <t>Call</t>
  </si>
  <si>
    <t>Wait</t>
  </si>
  <si>
    <t>Rangebound to break</t>
  </si>
  <si>
    <t>ColA</t>
  </si>
  <si>
    <t>Strategy</t>
  </si>
  <si>
    <t>Breakout to Happen</t>
  </si>
  <si>
    <t>Outcome</t>
  </si>
  <si>
    <t>Bal</t>
  </si>
  <si>
    <t>Jan-25</t>
  </si>
  <si>
    <t>Feb-25</t>
  </si>
  <si>
    <t>Stop Loss Followed</t>
  </si>
  <si>
    <t>Later Trading</t>
  </si>
  <si>
    <t>Opposite Trading</t>
  </si>
  <si>
    <t>OPT-NIFTY-19-Dec-2024-24650-C-E-I</t>
  </si>
  <si>
    <t>#202412133700021488</t>
  </si>
  <si>
    <t>#202412133700021055</t>
  </si>
  <si>
    <t>OPT-NIFTY-19-Dec-2024-24550-C-E-I</t>
  </si>
  <si>
    <t>#202412133700018623</t>
  </si>
  <si>
    <t>#202412133700018408</t>
  </si>
  <si>
    <t>OPT-NIFTY-19-Dec-2024-24500-P-E-I</t>
  </si>
  <si>
    <t>#202412133700001539</t>
  </si>
  <si>
    <t>#202412133700001262</t>
  </si>
  <si>
    <t>OPT-NIFTY-19-Dec-2024-24700-P-E-I</t>
  </si>
  <si>
    <t>#202412163700016230</t>
  </si>
  <si>
    <t>OPT-NIFTY-19-Dec-2024-24600-P-E-I</t>
  </si>
  <si>
    <t>#202412163700011988</t>
  </si>
  <si>
    <t>#202412163700009840</t>
  </si>
  <si>
    <t>OPT-NIFTY-19-Dec-2024-24650-P-E-I</t>
  </si>
  <si>
    <t>#202412163700007081</t>
  </si>
  <si>
    <t>#202412163700006128</t>
  </si>
  <si>
    <t>OPT-NIFTY-19-Dec-2024-24350-P-E-I</t>
  </si>
  <si>
    <t>#202412163700003620</t>
  </si>
  <si>
    <t>#202412163700003194</t>
  </si>
  <si>
    <t>#202412173700018637</t>
  </si>
  <si>
    <t>#202412173700015309</t>
  </si>
  <si>
    <t>OPT-NIFTY-19-Dec-2024-24450-C-E-I</t>
  </si>
  <si>
    <t>#202412173700011243</t>
  </si>
  <si>
    <t>#202412173700009485</t>
  </si>
  <si>
    <t>#202412173700009159</t>
  </si>
  <si>
    <t>#202412173700009048</t>
  </si>
  <si>
    <t>#202412173700001238</t>
  </si>
  <si>
    <t>OPT-NIFTY-19-Dec-2024-24150-P-E-I</t>
  </si>
  <si>
    <t>#202412183700014911</t>
  </si>
  <si>
    <t>#202412183700014869</t>
  </si>
  <si>
    <t>OPT-NIFTY-19-Dec-2024-24200-C-E-I</t>
  </si>
  <si>
    <t>#202412183700013252</t>
  </si>
  <si>
    <t>#202412183700013214</t>
  </si>
  <si>
    <t>#202412183700013129</t>
  </si>
  <si>
    <t>#202412183700012938</t>
  </si>
  <si>
    <t>OPT-ICIBAN-26-Dec-2024-1320-P-E-S</t>
  </si>
  <si>
    <t>#202412183700001568</t>
  </si>
  <si>
    <t>#202412183700000937</t>
  </si>
  <si>
    <t>OPT-ICIBAN-26-Dec-2024-1290-P-E-S</t>
  </si>
  <si>
    <t>#202412193700021166</t>
  </si>
  <si>
    <t>#202412193700021008</t>
  </si>
  <si>
    <t>#202412193700020177</t>
  </si>
  <si>
    <t>OPT-LTINFO-26-Dec-2024-6300-P-E-S</t>
  </si>
  <si>
    <t>#202412193700010102</t>
  </si>
  <si>
    <t>#202412193700009588</t>
  </si>
  <si>
    <t>#202412192500000280</t>
  </si>
  <si>
    <t>OPT-NIFTY-26-Dec-2024-23850-C-E-I</t>
  </si>
  <si>
    <t>#202412203700021315</t>
  </si>
  <si>
    <t>#202412203700016167</t>
  </si>
  <si>
    <t>#202412203700013661</t>
  </si>
  <si>
    <t>#202412203700013103</t>
  </si>
  <si>
    <t>OPT-ICIBAN-26-Dec-2024-1300-C-E-S</t>
  </si>
  <si>
    <t>#202412233700012667</t>
  </si>
  <si>
    <t>#202412233700009108</t>
  </si>
  <si>
    <t>#202412233700005004</t>
  </si>
  <si>
    <t>OPT-NIFTY-26-Dec-2024-23800-C-E-I</t>
  </si>
  <si>
    <t>#202412243700022529</t>
  </si>
  <si>
    <t>#202412243700019033</t>
  </si>
  <si>
    <t>#202412243700018377</t>
  </si>
  <si>
    <t>#202412243700017127</t>
  </si>
  <si>
    <t>#202412243700016418</t>
  </si>
  <si>
    <t>#202412243700015467</t>
  </si>
  <si>
    <t>OPT-NIFTY-26-Dec-2024-23800-P-E-I</t>
  </si>
  <si>
    <t>#202412243700009333</t>
  </si>
  <si>
    <t>#202412243700008331</t>
  </si>
  <si>
    <t>#202412243700008245</t>
  </si>
  <si>
    <t>OPT-NIFTY-26-Dec-2024-23700-P-E-I</t>
  </si>
  <si>
    <t>#202412263700015100</t>
  </si>
  <si>
    <t>#202412263700013854</t>
  </si>
  <si>
    <t>#202412263700011676</t>
  </si>
  <si>
    <t>#202412263700010390</t>
  </si>
  <si>
    <t>#202412263700010114</t>
  </si>
  <si>
    <t>#202412263700009863</t>
  </si>
  <si>
    <t>#202412263700008976</t>
  </si>
  <si>
    <t>#202412263700008945</t>
  </si>
  <si>
    <t>OPT-NIFTY-26-Dec-2024-23850-P-E-I</t>
  </si>
  <si>
    <t>#202412263700007561</t>
  </si>
  <si>
    <t>#202412263700007406</t>
  </si>
  <si>
    <t>#202412263700007045</t>
  </si>
  <si>
    <t>#202412263700006944</t>
  </si>
  <si>
    <t>#202412263700005137</t>
  </si>
  <si>
    <t>#202412263700005075</t>
  </si>
  <si>
    <t>OPT-NIFTY-02-Jan-2025-23800-P-E-I</t>
  </si>
  <si>
    <t>#202412273700011712</t>
  </si>
  <si>
    <t>#202412273700007531</t>
  </si>
  <si>
    <t>#202412273700005662</t>
  </si>
  <si>
    <t>#202412273700001345</t>
  </si>
  <si>
    <t>#202412273700001191</t>
  </si>
  <si>
    <t>#202412303700010121</t>
  </si>
  <si>
    <t>#202412303700009866</t>
  </si>
  <si>
    <t>OPT-NIFTY-02-Jan-2025-23800-C-E-I</t>
  </si>
  <si>
    <t>#202412303700002104</t>
  </si>
  <si>
    <t>#202412303700001524</t>
  </si>
  <si>
    <t>OPT-NIFTY-02-Jan-2025-23550-P-E-I</t>
  </si>
  <si>
    <t>#202412313700008524</t>
  </si>
  <si>
    <t>#202412313700008342</t>
  </si>
  <si>
    <t>#202412313700007309</t>
  </si>
  <si>
    <t>OPT-NIFTY-02-Jan-2025-23550-C-E-I</t>
  </si>
  <si>
    <t>#202412313700004232</t>
  </si>
  <si>
    <t>#202412313700004183</t>
  </si>
  <si>
    <t>#202412313700001647</t>
  </si>
  <si>
    <t>#202412313700001475</t>
  </si>
  <si>
    <t>OPT-NIFTY-02-Jan-2025-23700-C-E-I</t>
  </si>
  <si>
    <t>#202501013700009702</t>
  </si>
  <si>
    <t>#202501013700009410</t>
  </si>
  <si>
    <t>OPT-NIFTY-02-Jan-2025-23650-C-E-I</t>
  </si>
  <si>
    <t>#202501013700003215</t>
  </si>
  <si>
    <t>#202501013700003149</t>
  </si>
  <si>
    <t>OPT-NIFTY-02-Jan-2025-23650-P-E-I</t>
  </si>
  <si>
    <t>#202501013700001757</t>
  </si>
  <si>
    <t>#202501013700001371</t>
  </si>
  <si>
    <t>#202501013700001293</t>
  </si>
  <si>
    <t>#202501013700000301</t>
  </si>
  <si>
    <t>#202501023700009907</t>
  </si>
  <si>
    <t>#202501023700006484</t>
  </si>
  <si>
    <t>#202501023700004522</t>
  </si>
  <si>
    <t>#202501023700002128</t>
  </si>
  <si>
    <t>#202501023700001889</t>
  </si>
  <si>
    <t>OPT-NIFTY-09-Jan-2025-23050-P-E-I</t>
  </si>
  <si>
    <t>#202501073700004513</t>
  </si>
  <si>
    <t>#202501073700003772</t>
  </si>
  <si>
    <t>#202501083700023138</t>
  </si>
  <si>
    <t>#202501083700005951</t>
  </si>
  <si>
    <t>OPT-NIFTY-16-Jan-2025-23200-C-E-I</t>
  </si>
  <si>
    <t>#202501153700014989</t>
  </si>
  <si>
    <t>#202501153700014377</t>
  </si>
  <si>
    <t>OPT-NIFTY-30-Jan-2025-23800-C-E-I</t>
  </si>
  <si>
    <t>#202501243700020422</t>
  </si>
  <si>
    <t>#202501243700011763</t>
  </si>
  <si>
    <t>#202501283700003738</t>
  </si>
  <si>
    <t>OPT-NIFTY-30-Jan-2025-23200-C-E-I</t>
  </si>
  <si>
    <t>#202501303700012285</t>
  </si>
  <si>
    <t>#202501303700011667</t>
  </si>
  <si>
    <t>#202501303700005629</t>
  </si>
  <si>
    <t>#202501303700002724</t>
  </si>
  <si>
    <t>OPT-NIFTY-06-Feb-2025-23450-C-E-I</t>
  </si>
  <si>
    <t>#202501313700014454</t>
  </si>
  <si>
    <t>#202501313700013663</t>
  </si>
  <si>
    <t>#202501313700010076</t>
  </si>
  <si>
    <t>#202501313700009811</t>
  </si>
  <si>
    <t>OPT-NIFTY-06-Feb-2025-23400-P-E-I</t>
  </si>
  <si>
    <t>#202501313700007943</t>
  </si>
  <si>
    <t>#202501313700007785</t>
  </si>
  <si>
    <t>#202501313700007702</t>
  </si>
  <si>
    <t>#202501313700007564</t>
  </si>
  <si>
    <t>#202501313700006901</t>
  </si>
  <si>
    <t>#202501313700006839</t>
  </si>
  <si>
    <t>OPT-NIFTY-06-Feb-2025-23600-C-E-I</t>
  </si>
  <si>
    <t>#202502013700022569</t>
  </si>
  <si>
    <t>#202502013700009017</t>
  </si>
  <si>
    <t>#202502013700008356</t>
  </si>
  <si>
    <t>#202502013700007399</t>
  </si>
  <si>
    <t>#202502013700006973</t>
  </si>
  <si>
    <t>OPT-NIFTY-06-Feb-2025-23300-C-E-I</t>
  </si>
  <si>
    <t>#202502033700012940</t>
  </si>
  <si>
    <t>#202502033700010414</t>
  </si>
  <si>
    <t>#202502033700002244</t>
  </si>
  <si>
    <t>OPT-NIFTY-06-Feb-2025-23700-P-E-I</t>
  </si>
  <si>
    <t>#202502043700016451</t>
  </si>
  <si>
    <t>#202502043700016083</t>
  </si>
  <si>
    <t>#202502043700015061</t>
  </si>
  <si>
    <t>OPT-NIFTY-06-Feb-2025-23350-P-E-I</t>
  </si>
  <si>
    <t>#202502043700005707</t>
  </si>
  <si>
    <t>OPT-NIFTY-06-Feb-2025-23600-P-E-I</t>
  </si>
  <si>
    <t>#202502043700005659</t>
  </si>
  <si>
    <t>#202502043700004836</t>
  </si>
  <si>
    <t>#202502043700002651</t>
  </si>
  <si>
    <t>OPT-NIFTY-06-Feb-2025-23750-P-E-I</t>
  </si>
  <si>
    <t>#202502053700010640</t>
  </si>
  <si>
    <t>#202502053700007071</t>
  </si>
  <si>
    <t>#202502053700005846</t>
  </si>
  <si>
    <t>#202502053700005009</t>
  </si>
  <si>
    <t>#202502053700004932</t>
  </si>
  <si>
    <t>#202502053700004768</t>
  </si>
  <si>
    <t>OPT-NIFTY-06-Feb-2025-23650-C-E-I</t>
  </si>
  <si>
    <t>#202502063700012203</t>
  </si>
  <si>
    <t>#202502063700009958</t>
  </si>
  <si>
    <t>#202502063700007918</t>
  </si>
  <si>
    <t>#202502063700007382</t>
  </si>
  <si>
    <t>#202502063700006734</t>
  </si>
  <si>
    <t>202410</t>
  </si>
  <si>
    <t>202411</t>
  </si>
  <si>
    <t>OPT-NIFTY-13-Feb-2025-23750-C-E-I</t>
  </si>
  <si>
    <t>#202502073700015043</t>
  </si>
  <si>
    <t>#202502073700014524</t>
  </si>
  <si>
    <t>#202502073700012222</t>
  </si>
  <si>
    <t>OPT-NIFTY-13-Feb-2025-23550-P-E-I</t>
  </si>
  <si>
    <t>#202502073700010081</t>
  </si>
  <si>
    <t>#202502073700009473</t>
  </si>
  <si>
    <t>#202502073700003436</t>
  </si>
  <si>
    <t>#202502073700002997</t>
  </si>
  <si>
    <t>#202502073700002641</t>
  </si>
  <si>
    <t>#202502073700002307</t>
  </si>
  <si>
    <t>OPT-NIFTY-13-Feb-2025-23150-P-E-I</t>
  </si>
  <si>
    <t>#202502113700013444</t>
  </si>
  <si>
    <t>#202502113700009822</t>
  </si>
  <si>
    <t>OPT-NIFTY-13-Feb-2025-23300-C-E-I</t>
  </si>
  <si>
    <t>#202502123700019547</t>
  </si>
  <si>
    <t>OPT-NIFTY-13-Feb-2025-22950-P-E-I</t>
  </si>
  <si>
    <t>#202502123700019440</t>
  </si>
  <si>
    <t>#202502123700015237</t>
  </si>
  <si>
    <t>OPT-NIFTY-13-Feb-2025-23050-C-E-I</t>
  </si>
  <si>
    <t>#202502123700015017</t>
  </si>
  <si>
    <t>#202502123700013613</t>
  </si>
  <si>
    <t>#202502123700012516</t>
  </si>
  <si>
    <t>OPT-NIFTY-13-Feb-2025-22850-C-E-I</t>
  </si>
  <si>
    <t>#202502123700007865</t>
  </si>
  <si>
    <t>#202502123700006341</t>
  </si>
  <si>
    <t>#202502133700015608</t>
  </si>
  <si>
    <t>OPT-NIFTY-20-Feb-2025-23000-C-E-I</t>
  </si>
  <si>
    <t>#202502173700017869</t>
  </si>
  <si>
    <t>#202502173700017763</t>
  </si>
  <si>
    <t>#202502173700017102</t>
  </si>
  <si>
    <t>#202502173700016857</t>
  </si>
  <si>
    <t>OPT-NIFTY-20-Feb-2025-22900-P-E-I</t>
  </si>
  <si>
    <t>#202502173700011242</t>
  </si>
  <si>
    <t>#202502173700011022</t>
  </si>
  <si>
    <t>OPT-NIFTY-20-Feb-2025-22900-C-E-I</t>
  </si>
  <si>
    <t>#202502173700010940</t>
  </si>
  <si>
    <t>#202502173700010799</t>
  </si>
  <si>
    <t>OPT-NIFTY-20-Feb-2025-22850-P-E-I</t>
  </si>
  <si>
    <t>#202502173700008838</t>
  </si>
  <si>
    <t>#202502173700008426</t>
  </si>
  <si>
    <t>#202502173700008311</t>
  </si>
  <si>
    <t>#202502173700008195</t>
  </si>
  <si>
    <t>OPT-NIFTY-20-Feb-2025-22800-C-E-I</t>
  </si>
  <si>
    <t>#202502173700004814</t>
  </si>
  <si>
    <t>#202502173700004606</t>
  </si>
  <si>
    <t>OPT-NIFTY-20-Feb-2025-22950-C-E-I</t>
  </si>
  <si>
    <t>#202502183700014491</t>
  </si>
  <si>
    <t>#202502183700014446</t>
  </si>
  <si>
    <t>#202502183700014287</t>
  </si>
  <si>
    <t>#202502183700014265</t>
  </si>
  <si>
    <t>#202502183700010168</t>
  </si>
  <si>
    <t>#202502183700010049</t>
  </si>
  <si>
    <t>#202502183700009964</t>
  </si>
  <si>
    <t>OPT-NIFTY-20-Feb-2025-22850-C-E-I</t>
  </si>
  <si>
    <t>#202502183700007062</t>
  </si>
  <si>
    <t>#202502183700006742</t>
  </si>
  <si>
    <t>#202502183700006724</t>
  </si>
  <si>
    <t>OPT-NIFTY-20-Feb-2025-22950-P-E-I</t>
  </si>
  <si>
    <t>#202502183700004846</t>
  </si>
  <si>
    <t>#202502183700004719</t>
  </si>
  <si>
    <t>#202502183700004414</t>
  </si>
  <si>
    <t>#202502183700004187</t>
  </si>
  <si>
    <t>#202502183700003457</t>
  </si>
  <si>
    <t>#202502183700002728</t>
  </si>
  <si>
    <t>#202502183700002653</t>
  </si>
  <si>
    <t>#202502193700011444</t>
  </si>
  <si>
    <t>#202502193700011259</t>
  </si>
  <si>
    <t>#202502193700010832</t>
  </si>
  <si>
    <t>#202502193700010239</t>
  </si>
  <si>
    <t>#202502193700010144</t>
  </si>
  <si>
    <t>#202502193700010039</t>
  </si>
  <si>
    <t>#202502193700009911</t>
  </si>
  <si>
    <t>#202502193700009845</t>
  </si>
  <si>
    <t>#202502193700009713</t>
  </si>
  <si>
    <t>#202502193700003793</t>
  </si>
  <si>
    <t>#202502193700003625</t>
  </si>
  <si>
    <t>#202502203700011276</t>
  </si>
  <si>
    <t>#202502203700010856</t>
  </si>
  <si>
    <t>#202502203700009964</t>
  </si>
  <si>
    <t>#202502203700006754</t>
  </si>
  <si>
    <t>#202502203700005523</t>
  </si>
  <si>
    <t>#202502203700003732</t>
  </si>
  <si>
    <t>#202502203700003334</t>
  </si>
  <si>
    <t>#202502203700003084</t>
  </si>
  <si>
    <t>OPT-NIFTY-27-Feb-2025-22600-C-E-I</t>
  </si>
  <si>
    <t>#202502253700008694</t>
  </si>
  <si>
    <t>#202502253700006941</t>
  </si>
  <si>
    <t>OPT-NIFTY-27-Feb-2025-22600-P-E-I</t>
  </si>
  <si>
    <t>#202502253700006563</t>
  </si>
  <si>
    <t>#202502253700006254</t>
  </si>
  <si>
    <t>In Hand</t>
  </si>
  <si>
    <t>Avl for Trade</t>
  </si>
  <si>
    <t>Trade Amnt 1</t>
  </si>
  <si>
    <t>Trade Amnt 2</t>
  </si>
  <si>
    <t>Trade Amnt 3</t>
  </si>
  <si>
    <t>Amnt Total</t>
  </si>
  <si>
    <t>Continous Strong Put/Call implies Rangebound Trade</t>
  </si>
  <si>
    <t>OPT-NIFTY-03-Apr-2025-23300-P-E-I</t>
  </si>
  <si>
    <t>#202504033700018010</t>
  </si>
  <si>
    <t>#202504033700017781</t>
  </si>
  <si>
    <t>#202504033700016758</t>
  </si>
  <si>
    <t>#202504033700015423</t>
  </si>
  <si>
    <t>#202504033700014502</t>
  </si>
  <si>
    <t>#202504033700014083</t>
  </si>
  <si>
    <t>OPT-STABAN-24-Apr-2025-770-P-E-S</t>
  </si>
  <si>
    <t>#202504033700013624</t>
  </si>
  <si>
    <t>#202504033700010526</t>
  </si>
  <si>
    <t>OPT-NIFTY-03-Apr-2025-22550-P-E-I</t>
  </si>
  <si>
    <t>#202504023700014292</t>
  </si>
  <si>
    <t>OPT-NIFTY-03-Apr-2025-23150-P-E-I</t>
  </si>
  <si>
    <t>#202504023700014277</t>
  </si>
  <si>
    <t>#202504023700006643</t>
  </si>
  <si>
    <t>#202504023700005458</t>
  </si>
  <si>
    <t>#202504023700004964</t>
  </si>
  <si>
    <t>#202504023700003256</t>
  </si>
  <si>
    <t>#202504023700002403</t>
  </si>
  <si>
    <t>#202504023700001891</t>
  </si>
  <si>
    <t>#202504023700001347</t>
  </si>
  <si>
    <t>OPT-NIFTY-03-Apr-2025-23250-C-E-I</t>
  </si>
  <si>
    <t>#202504023700001224</t>
  </si>
  <si>
    <t>#202504023700000692</t>
  </si>
  <si>
    <t>#202504013700015773</t>
  </si>
  <si>
    <t>OPT-NIFTY-03-Apr-2025-23500-P-E-I</t>
  </si>
  <si>
    <t>#202504013700006262</t>
  </si>
  <si>
    <t>#202504013700005299</t>
  </si>
  <si>
    <t>#202504013700004870</t>
  </si>
  <si>
    <t>#202504013700004775</t>
  </si>
  <si>
    <t>#202504013700004563</t>
  </si>
  <si>
    <t>OPT-NIFTY-03-Apr-2025-23500-C-E-I</t>
  </si>
  <si>
    <t>#202504013700003041</t>
  </si>
  <si>
    <t>#202504013700002731</t>
  </si>
  <si>
    <t>OPT-NIFTY-03-Apr-2025-23250-P-E-I</t>
  </si>
  <si>
    <t>#202503283700008186</t>
  </si>
  <si>
    <t>#202503283700008114</t>
  </si>
  <si>
    <t>#202503283700006001</t>
  </si>
  <si>
    <t>#202503283700001412</t>
  </si>
  <si>
    <t>OPT-NIFTY-27-Mar-2025-23650-C-E-I</t>
  </si>
  <si>
    <t>#202503273700015756</t>
  </si>
  <si>
    <t>#202503273700012658</t>
  </si>
  <si>
    <t>#202503273700012529</t>
  </si>
  <si>
    <t>OPT-NIFTY-27-Mar-2025-23550-C-E-I</t>
  </si>
  <si>
    <t>#202503273700006827</t>
  </si>
  <si>
    <t>#202503273700006519</t>
  </si>
  <si>
    <t>OPT-NIFTY-27-Mar-2025-23450-P-E-I</t>
  </si>
  <si>
    <t>#202503263700018572</t>
  </si>
  <si>
    <t>#202503263700018211</t>
  </si>
  <si>
    <t>OPT-NIFTY-27-Mar-2025-23700-C-E-I</t>
  </si>
  <si>
    <t>#202503263700006640</t>
  </si>
  <si>
    <t>#202503263700005766</t>
  </si>
  <si>
    <t>OPT-NIFTY-20-Mar-2025-23100-C-E-I</t>
  </si>
  <si>
    <t>#202503203700016230</t>
  </si>
  <si>
    <t>#202503203700014633</t>
  </si>
  <si>
    <t>#202503203700014266</t>
  </si>
  <si>
    <t>OPT-NIFTY-20-Mar-2025-22950-C-E-I</t>
  </si>
  <si>
    <t>#202503193700017435</t>
  </si>
  <si>
    <t>#202503193700017393</t>
  </si>
  <si>
    <t>OPT-NIFTY-20-Mar-2025-22500-P-E-I</t>
  </si>
  <si>
    <t>#202503173700016172</t>
  </si>
  <si>
    <t>#202503173700015655</t>
  </si>
  <si>
    <t>#202503173700006056</t>
  </si>
  <si>
    <t>#202503173700005581</t>
  </si>
  <si>
    <t>OPT-NIFTY-13-Mar-2025-22350-C-E-I</t>
  </si>
  <si>
    <t>#202503123700014416</t>
  </si>
  <si>
    <t>#202503123700014084</t>
  </si>
  <si>
    <t>OPT-NIFTY-13-Mar-2025-22450-P-E-I</t>
  </si>
  <si>
    <t>#202503123700011847</t>
  </si>
  <si>
    <t>OPT-NIFTY-13-Mar-2025-22350-P-E-I</t>
  </si>
  <si>
    <t>#202503123700006973</t>
  </si>
  <si>
    <t>#202503123700002901</t>
  </si>
  <si>
    <t>#202503113700007148</t>
  </si>
  <si>
    <t>OPT-NIFTY-13-Mar-2025-22700-C-E-I</t>
  </si>
  <si>
    <t>#202503073700016083</t>
  </si>
  <si>
    <t>#202503073700014311</t>
  </si>
  <si>
    <t>#202503073700013258</t>
  </si>
  <si>
    <t>#202503073700008704</t>
  </si>
  <si>
    <t>#202503073700008543</t>
  </si>
  <si>
    <t>#202503073700007663</t>
  </si>
  <si>
    <t>#202503073700007444</t>
  </si>
  <si>
    <t>#202503073700007392</t>
  </si>
  <si>
    <t>#202503073700007288</t>
  </si>
  <si>
    <t>#202503073700005224</t>
  </si>
  <si>
    <t>#202503073700004640</t>
  </si>
  <si>
    <t>#202503073700004603</t>
  </si>
  <si>
    <t>#202503073700004565</t>
  </si>
  <si>
    <t>#202503073700003607</t>
  </si>
  <si>
    <t>#202503073700003054</t>
  </si>
  <si>
    <t>#202503073700002797</t>
  </si>
  <si>
    <t>OPT-NIFTY-06-Mar-2025-22450-C-E-I</t>
  </si>
  <si>
    <t>#202503063700015441</t>
  </si>
  <si>
    <t>#202503063700014454</t>
  </si>
  <si>
    <t>OPT-NIFTY-06-Mar-2025-22150-P-E-I</t>
  </si>
  <si>
    <t>#202503063700005686</t>
  </si>
  <si>
    <t>#202503063700002621</t>
  </si>
  <si>
    <t>OPT-NIFTY-06-Mar-2025-22050-P-E-I</t>
  </si>
  <si>
    <t>#202503043700015279</t>
  </si>
  <si>
    <t>#202503043700014966</t>
  </si>
  <si>
    <t>#202503043700014950</t>
  </si>
  <si>
    <t>OPT-NIFTY-06-Mar-2025-22250-C-E-I</t>
  </si>
  <si>
    <t>#202503043700003865</t>
  </si>
  <si>
    <t>#202503043700002804</t>
  </si>
  <si>
    <t>OPT-NIFTY-06-Mar-2025-22250-P-E-I</t>
  </si>
  <si>
    <t>#202503033700018063</t>
  </si>
  <si>
    <t>#202503033700014960</t>
  </si>
  <si>
    <t>#202503033700010257</t>
  </si>
  <si>
    <t>#202503033700009522</t>
  </si>
  <si>
    <t>#202503033700008507</t>
  </si>
  <si>
    <t>#202503033700005932</t>
  </si>
  <si>
    <t>#202503033700005611</t>
  </si>
  <si>
    <t>#202503033700003050</t>
  </si>
  <si>
    <t>OPT-NIFTY-06-Mar-2025-22300-C-E-I</t>
  </si>
  <si>
    <t>#202502283700019088</t>
  </si>
  <si>
    <t>#202502283700017550</t>
  </si>
  <si>
    <t>#202502283700012945</t>
  </si>
  <si>
    <t>#202502283700011855</t>
  </si>
  <si>
    <t>#202502283700011136</t>
  </si>
  <si>
    <t>#202502283700010736</t>
  </si>
  <si>
    <t>#202502283700010363</t>
  </si>
  <si>
    <t>#202502283700010184</t>
  </si>
  <si>
    <t>#202502283700010008</t>
  </si>
  <si>
    <t>#202502283700009540</t>
  </si>
  <si>
    <t>#202502283700001198</t>
  </si>
  <si>
    <t>OPT-NIFTY-27-Feb-2025-22550-P-E-I</t>
  </si>
  <si>
    <t>#202502273700011061</t>
  </si>
  <si>
    <t>#202502273700008806</t>
  </si>
  <si>
    <t>#202502273700008392</t>
  </si>
  <si>
    <t>#202502273700008303</t>
  </si>
  <si>
    <t>#202502273700005593</t>
  </si>
  <si>
    <t>#202502273700005564</t>
  </si>
  <si>
    <t>#202502273700005533</t>
  </si>
  <si>
    <t>#202502273700005466</t>
  </si>
  <si>
    <t>202412</t>
  </si>
  <si>
    <t>Mar-25</t>
  </si>
  <si>
    <t>202501</t>
  </si>
  <si>
    <t>Apr-25</t>
  </si>
  <si>
    <t>23000 Call</t>
  </si>
  <si>
    <t>Time</t>
  </si>
  <si>
    <t>OI</t>
  </si>
  <si>
    <t>5400 Call</t>
  </si>
  <si>
    <t>5400 Put</t>
  </si>
  <si>
    <t>Current</t>
  </si>
  <si>
    <t>P/L</t>
  </si>
  <si>
    <t>Buy Value</t>
  </si>
  <si>
    <t>OPT-NIFTY-16-Dec-2025-25800-P-E-I</t>
  </si>
  <si>
    <t>#202512123700036144</t>
  </si>
  <si>
    <t>#202512123700020712</t>
  </si>
  <si>
    <t>#202512123700018183</t>
  </si>
  <si>
    <t>#202512123700016184</t>
  </si>
  <si>
    <t>#202512123700010037</t>
  </si>
  <si>
    <t>#202512122600001017</t>
  </si>
  <si>
    <t>#202512113700024410</t>
  </si>
  <si>
    <t>#202512113700015729</t>
  </si>
  <si>
    <t>OPT-NIFTY-09-Dec-2025-26100-P-E-I</t>
  </si>
  <si>
    <t>#202512083700013987</t>
  </si>
  <si>
    <t>#202512053700013831</t>
  </si>
  <si>
    <t>OPT-NIFTY-09-Dec-2025-26000-P-E-I</t>
  </si>
  <si>
    <t>#202512043700010558</t>
  </si>
  <si>
    <t>#202512033700016479</t>
  </si>
  <si>
    <t>OPT-NIFTY-09-Dec-2025-25950-C-E-I</t>
  </si>
  <si>
    <t>#202512033700010578</t>
  </si>
  <si>
    <t>#202512033700010533</t>
  </si>
  <si>
    <t>OPT-NIFTY-02-Dec-2025-26050-P-E-I</t>
  </si>
  <si>
    <t>#202512023700025744</t>
  </si>
  <si>
    <t>#202512023700015551</t>
  </si>
  <si>
    <t>#202512023700015171</t>
  </si>
  <si>
    <t>OPT-NIFTY-02-Dec-2025-26250-P-E-I</t>
  </si>
  <si>
    <t>#202512013700021299</t>
  </si>
  <si>
    <t>OPT-NIFTY-02-Dec-2025-26100-P-E-I</t>
  </si>
  <si>
    <t>#202512013700011531</t>
  </si>
  <si>
    <t>#202512013700004091</t>
  </si>
  <si>
    <t>#202512013700002407</t>
  </si>
  <si>
    <t>#202512013700001235</t>
  </si>
  <si>
    <t>#202511283700015905</t>
  </si>
  <si>
    <t>#202511283700015879</t>
  </si>
  <si>
    <t>OPT-NIFTY-02-Dec-2025-26200-C-E-I</t>
  </si>
  <si>
    <t>#202511283700015412</t>
  </si>
  <si>
    <t>#202511283700015346</t>
  </si>
  <si>
    <t>#202511273700012267</t>
  </si>
  <si>
    <t>OPT-NIFTY-25-Nov-2025-25950-P-E-I</t>
  </si>
  <si>
    <t>#202511253700029325</t>
  </si>
  <si>
    <t>#202511253700025830</t>
  </si>
  <si>
    <t>OPT-NIFTY-25-Nov-2025-26100-P-E-I</t>
  </si>
  <si>
    <t>#202511243700017022</t>
  </si>
  <si>
    <t>#202511243700016998</t>
  </si>
  <si>
    <t>#202511213700007438</t>
  </si>
  <si>
    <t>#202511203700008974</t>
  </si>
  <si>
    <t>OPT-NIFTY-18-Nov-2025-26000-P-E-I</t>
  </si>
  <si>
    <t>#202511183700027198</t>
  </si>
  <si>
    <t>#202511183700026903</t>
  </si>
  <si>
    <t>#202511183700022527</t>
  </si>
  <si>
    <t>#202511183700022281</t>
  </si>
  <si>
    <t>#202511183700019883</t>
  </si>
  <si>
    <t>#202511183700019807</t>
  </si>
  <si>
    <t>OPT-NIFTY-18-Nov-2025-26000-C-E-I</t>
  </si>
  <si>
    <t>#202511183700018572</t>
  </si>
  <si>
    <t>#202511183700004571</t>
  </si>
  <si>
    <t>#202511183700004021</t>
  </si>
  <si>
    <t>#202511183700003404</t>
  </si>
  <si>
    <t>#202511173700005651</t>
  </si>
  <si>
    <t>#202511173700004824</t>
  </si>
  <si>
    <t>OPT-NIFTY-18-Nov-2025-25750-P-E-I</t>
  </si>
  <si>
    <t>#202511143700019554</t>
  </si>
  <si>
    <t>#202511143700018575</t>
  </si>
  <si>
    <t>#202511143700018296</t>
  </si>
  <si>
    <t>OPT-NIFTY-18-Nov-2025-25850-P-E-I</t>
  </si>
  <si>
    <t>#202511132600000650</t>
  </si>
  <si>
    <t>#202511123700013669</t>
  </si>
  <si>
    <t>OPT-NIFTY-18-Nov-2025-25950-C-E-I</t>
  </si>
  <si>
    <t>#202511123700009214</t>
  </si>
  <si>
    <t>#202511123700007622</t>
  </si>
  <si>
    <t>OPT-NIFTY-11-Nov-2025-25600-C-E-I</t>
  </si>
  <si>
    <t>#202511103700016322</t>
  </si>
  <si>
    <t>#202511103700015958</t>
  </si>
  <si>
    <t>OPT-NIFTY-11-Nov-2025-25650-P-E-I</t>
  </si>
  <si>
    <t>#202511103700012959</t>
  </si>
  <si>
    <t>#202511103700012854</t>
  </si>
  <si>
    <t>OPT-NIFTY-04-Nov-2025-25750-P-E-I</t>
  </si>
  <si>
    <t>#202511043700006125</t>
  </si>
  <si>
    <t>#202511043700005997</t>
  </si>
  <si>
    <t>OPT-NIFTY-16-Sep-2025-24950-P-E-I</t>
  </si>
  <si>
    <t>#202509103700014903</t>
  </si>
  <si>
    <t>#202509103700014737</t>
  </si>
  <si>
    <t>OPT-NIFTY-16-Sep-2025-25000-C-E-I</t>
  </si>
  <si>
    <t>#202509103700013709</t>
  </si>
  <si>
    <t>#202509103700013511</t>
  </si>
  <si>
    <t>#202509103700013364</t>
  </si>
  <si>
    <t>#202509103700012986</t>
  </si>
  <si>
    <t>#202509103700012844</t>
  </si>
  <si>
    <t>OPT-NIFTY-09-Sep-2025-24750-P-E-I</t>
  </si>
  <si>
    <t>#202509093700032000</t>
  </si>
  <si>
    <t>#202509093700031951</t>
  </si>
  <si>
    <t>#202509093700031817</t>
  </si>
  <si>
    <t>#202509093700031713</t>
  </si>
  <si>
    <t>#202509093700024548</t>
  </si>
  <si>
    <t>#202509093700022732</t>
  </si>
  <si>
    <t>#202509093700021839</t>
  </si>
  <si>
    <t>#202509093700021666</t>
  </si>
  <si>
    <t>OPT-NIFTY-09-Sep-2025-24850-P-E-I</t>
  </si>
  <si>
    <t>#202509093700011440</t>
  </si>
  <si>
    <t>#202509093700011365</t>
  </si>
  <si>
    <t>OPT-NIFTY-09-Sep-2025-24850-C-E-I</t>
  </si>
  <si>
    <t>#202509093700006739</t>
  </si>
  <si>
    <t>#202509093700005552</t>
  </si>
  <si>
    <t>#202509083700033845</t>
  </si>
  <si>
    <t>#202509083700029705</t>
  </si>
  <si>
    <t>#202509083700029191</t>
  </si>
  <si>
    <t>#202509083700029135</t>
  </si>
  <si>
    <t>#202509083700016674</t>
  </si>
  <si>
    <t>#202509083700016156</t>
  </si>
  <si>
    <t>#202509083700014695</t>
  </si>
  <si>
    <t>#202509083700011120</t>
  </si>
  <si>
    <t>#202509083700010728</t>
  </si>
  <si>
    <t>#202509083700010231</t>
  </si>
  <si>
    <t>OPT-NIFTY-09-Sep-2025-24700-C-E-I</t>
  </si>
  <si>
    <t>#202509053700018058</t>
  </si>
  <si>
    <t>#202509053700017968</t>
  </si>
  <si>
    <t>OPT-NIFTY-09-Sep-2025-24650-P-E-I</t>
  </si>
  <si>
    <t>#202509053700011778</t>
  </si>
  <si>
    <t>#202509053700011699</t>
  </si>
  <si>
    <t>#202509053700011568</t>
  </si>
  <si>
    <t>#202509053700010806</t>
  </si>
  <si>
    <t>OPT-NIFTY-09-Sep-2025-24700-P-E-I</t>
  </si>
  <si>
    <t>#202509043700015846</t>
  </si>
  <si>
    <t>#202509043700014255</t>
  </si>
  <si>
    <t>#202509043700014101</t>
  </si>
  <si>
    <t>#202509043700011561</t>
  </si>
  <si>
    <t>#202509043700011524</t>
  </si>
  <si>
    <t>#202509043700011379</t>
  </si>
  <si>
    <t>#202509043700011274</t>
  </si>
  <si>
    <t>#202509033700015732</t>
  </si>
  <si>
    <t>#202509033700015506</t>
  </si>
  <si>
    <t>#202509033700014916</t>
  </si>
  <si>
    <t>#202509033700014826</t>
  </si>
  <si>
    <t>#202509033700014620</t>
  </si>
  <si>
    <t>#202509033700014568</t>
  </si>
  <si>
    <t>#202509033700014210</t>
  </si>
  <si>
    <t>#202509033700014113</t>
  </si>
  <si>
    <t>#202509033700014091</t>
  </si>
  <si>
    <t>OPT-NIFTY-02-Sep-2025-24700-P-E-I</t>
  </si>
  <si>
    <t>#202509023700019020</t>
  </si>
  <si>
    <t>#202509023700018759</t>
  </si>
  <si>
    <t>#202509023700018665</t>
  </si>
  <si>
    <t>OPT-NIFTY-28-Aug-2025-24500-P-E-I</t>
  </si>
  <si>
    <t>#202508283700020082</t>
  </si>
  <si>
    <t>#202508283700019428</t>
  </si>
  <si>
    <t>#202508283700018912</t>
  </si>
  <si>
    <t>OPT-NIFTY-28-Aug-2025-24550-C-E-I</t>
  </si>
  <si>
    <t>#202508283700005256</t>
  </si>
  <si>
    <t>#202508283700004752</t>
  </si>
  <si>
    <t>OPT-NIFTY-21-Aug-2025-25150-C-E-I</t>
  </si>
  <si>
    <t>#202508213700018813</t>
  </si>
  <si>
    <t>#202508213700018369</t>
  </si>
  <si>
    <t>#202508213700018285</t>
  </si>
  <si>
    <t>#202508213700016581</t>
  </si>
  <si>
    <t>#202508213700016277</t>
  </si>
  <si>
    <t>#202508213700015714</t>
  </si>
  <si>
    <t>#202508213700015673</t>
  </si>
  <si>
    <t>OPT-NIFTY-14-Aug-2025-24700-C-E-I</t>
  </si>
  <si>
    <t>#202508123700012255</t>
  </si>
  <si>
    <t>#202508123700010646</t>
  </si>
  <si>
    <t>#202508123700006900</t>
  </si>
  <si>
    <t>#202508123700006526</t>
  </si>
  <si>
    <t>OPT-NIFTY-10-Jul-2025-25400-P-E-I</t>
  </si>
  <si>
    <t>#202507043700010841</t>
  </si>
  <si>
    <t>#202507043700010716</t>
  </si>
  <si>
    <t>#202507043700010648</t>
  </si>
  <si>
    <t>#202507043700010535</t>
  </si>
  <si>
    <t>OPT-NIFTY-05-Jun-2025-24850-C-E-I</t>
  </si>
  <si>
    <t>#202506053700024913</t>
  </si>
  <si>
    <t>#202506053700018371</t>
  </si>
  <si>
    <t>OPT-NIFTY-29-May-2025-24750-C-E-I</t>
  </si>
  <si>
    <t>#202505293700021886</t>
  </si>
  <si>
    <t>#202505293700021784</t>
  </si>
  <si>
    <t>OPT-NIFTY-29-May-2025-24050-P-E-I</t>
  </si>
  <si>
    <t>#202505293700001341</t>
  </si>
  <si>
    <t>#202505233700005571</t>
  </si>
  <si>
    <t>OPT-NIFTY-22-May-2025-24750-P-E-I</t>
  </si>
  <si>
    <t>#202505213700006174</t>
  </si>
  <si>
    <t>#202505213700000977</t>
  </si>
  <si>
    <t>OPT-NIFTY-15-May-2025-24650-P-E-I</t>
  </si>
  <si>
    <t>#202505153700021703</t>
  </si>
  <si>
    <t>#202505153700020609</t>
  </si>
  <si>
    <t>#202505153700020206</t>
  </si>
  <si>
    <t>#202505153700019566</t>
  </si>
  <si>
    <t>#202505153700017843</t>
  </si>
  <si>
    <t>#202505153700016785</t>
  </si>
  <si>
    <t>#202505153700016057</t>
  </si>
  <si>
    <t>#202505153700015627</t>
  </si>
  <si>
    <t>OPT-NIFTY-15-May-2025-24550-C-E-I</t>
  </si>
  <si>
    <t>#202505153700014098</t>
  </si>
  <si>
    <t>#202505153700012471</t>
  </si>
  <si>
    <t>OPT-NIFTY-08-May-2025-24400-P-E-I</t>
  </si>
  <si>
    <t>#202505083700011713</t>
  </si>
  <si>
    <t>#202505083700011579</t>
  </si>
  <si>
    <t>#202505083700010422</t>
  </si>
  <si>
    <t>#202505083700009329</t>
  </si>
  <si>
    <t>#202505083700007209</t>
  </si>
  <si>
    <t>#202505083700006575</t>
  </si>
  <si>
    <t>OPT-NIFTY-08-May-2025-24300-C-E-I</t>
  </si>
  <si>
    <t>#202505073700009231</t>
  </si>
  <si>
    <t>#202505073700009114</t>
  </si>
  <si>
    <t>#202505073700009035</t>
  </si>
  <si>
    <t>#202505073700008527</t>
  </si>
  <si>
    <t>#202505073700008461</t>
  </si>
  <si>
    <t>#202505073700007600</t>
  </si>
  <si>
    <t>#202505073700006263</t>
  </si>
  <si>
    <t>OPT-NIFTY-08-May-2025-24350-P-E-I</t>
  </si>
  <si>
    <t>#202505023700019488</t>
  </si>
  <si>
    <t>#202505023700019371</t>
  </si>
  <si>
    <t>#202505023700019299</t>
  </si>
  <si>
    <t>#202505023700019157</t>
  </si>
  <si>
    <t>OPT-NIFTY-08-May-2025-24300-P-E-I</t>
  </si>
  <si>
    <t>#202505023700017315</t>
  </si>
  <si>
    <t>#202505023700017303</t>
  </si>
  <si>
    <t>#202505023700017225</t>
  </si>
  <si>
    <t>#202505023700014773</t>
  </si>
  <si>
    <t>#202505023700014462</t>
  </si>
  <si>
    <t>OPT-NIFTY-08-May-2025-24450-P-E-I</t>
  </si>
  <si>
    <t>#202505023700012079</t>
  </si>
  <si>
    <t>#202505023700011548</t>
  </si>
  <si>
    <t>OPT-NIFTY-08-May-2025-24500-P-E-I</t>
  </si>
  <si>
    <t>#202505023700011205</t>
  </si>
  <si>
    <t>#202505023700010749</t>
  </si>
  <si>
    <t>#202505023700008123</t>
  </si>
  <si>
    <t>#202505023700008095</t>
  </si>
  <si>
    <t>OPT-NIFTY-08-May-2025-24450-C-E-I</t>
  </si>
  <si>
    <t>#202505023700002386</t>
  </si>
  <si>
    <t>#202505023700002229</t>
  </si>
  <si>
    <t>OPT-NIFTY-17-Apr-2025-22750-P-E-I</t>
  </si>
  <si>
    <t>#202504153700004658</t>
  </si>
  <si>
    <t>#202504153700003201</t>
  </si>
  <si>
    <t>#202504153700003067</t>
  </si>
  <si>
    <t>OPT-NIFTY-09-Apr-2025-22400-P-E-I</t>
  </si>
  <si>
    <t>#202504093700020424</t>
  </si>
  <si>
    <t>#202504093700017156</t>
  </si>
  <si>
    <t>OPT-NIFTY-09-Apr-2025-22500-C-E-I</t>
  </si>
  <si>
    <t>#202504093700017088</t>
  </si>
  <si>
    <t>#202504093700017000</t>
  </si>
  <si>
    <t>#202504093700016598</t>
  </si>
  <si>
    <t>#202504093700015487</t>
  </si>
  <si>
    <t>#202504093700014578</t>
  </si>
  <si>
    <t>OPT-NIFTY-09-Apr-2025-22400-C-E-I</t>
  </si>
  <si>
    <t>#202504093700014289</t>
  </si>
  <si>
    <t>#202504093700014210</t>
  </si>
  <si>
    <t>#202504093700013953</t>
  </si>
  <si>
    <t>#202504093700012838</t>
  </si>
  <si>
    <t>#202504093700008064</t>
  </si>
  <si>
    <t>#202504093700007105</t>
  </si>
  <si>
    <t>#202504093700006957</t>
  </si>
  <si>
    <t>#202504093700006425</t>
  </si>
  <si>
    <t>#202504093700006200</t>
  </si>
  <si>
    <t>OPT-NIFTY-09-Apr-2025-22350-P-E-I</t>
  </si>
  <si>
    <t>#202504083700022230</t>
  </si>
  <si>
    <t>#202504083700022105</t>
  </si>
  <si>
    <t>OPT-NIFTY-09-Apr-2025-22650-C-E-I</t>
  </si>
  <si>
    <t>#202504083700021049</t>
  </si>
  <si>
    <t>#202504083700021012</t>
  </si>
  <si>
    <t>#202504083700019683</t>
  </si>
  <si>
    <t>#202504083700019480</t>
  </si>
  <si>
    <t>#202504083700016818</t>
  </si>
  <si>
    <t>#202504083700016377</t>
  </si>
  <si>
    <t>#202504083700015587</t>
  </si>
  <si>
    <t>#202504083700013472</t>
  </si>
  <si>
    <t>OPT-NIFTY-09-Apr-2025-22350-C-E-I</t>
  </si>
  <si>
    <t>#202504083700012620</t>
  </si>
  <si>
    <t>#202504083700011844</t>
  </si>
  <si>
    <t>#202504083700011365</t>
  </si>
  <si>
    <t>#202504083700011344</t>
  </si>
  <si>
    <t>#202504083700009580</t>
  </si>
  <si>
    <t>#202504083700009315</t>
  </si>
  <si>
    <t>OPT-NIFTY-09-Apr-2025-21500-P-E-I</t>
  </si>
  <si>
    <t>#202504073700022063</t>
  </si>
  <si>
    <t>#202504073700021653</t>
  </si>
  <si>
    <t>OPT-NIFTY-09-Apr-2025-22850-C-E-I</t>
  </si>
  <si>
    <t>#202504073700021629</t>
  </si>
  <si>
    <t>#202504073700021511</t>
  </si>
  <si>
    <t>#202504073700020729</t>
  </si>
  <si>
    <t>#202504073700007675</t>
  </si>
  <si>
    <t>#202504073700007635</t>
  </si>
  <si>
    <t>#202504073700004058</t>
  </si>
  <si>
    <t>#202504073700003414</t>
  </si>
  <si>
    <t>#202504073700001225</t>
  </si>
  <si>
    <t>#202504073700000705</t>
  </si>
  <si>
    <t>OPT-NIFTY-09-Apr-2025-22900-C-E-I</t>
  </si>
  <si>
    <t>#202504043700018117</t>
  </si>
  <si>
    <t>#202504043700018012</t>
  </si>
  <si>
    <t>OPT-NIFTY-09-Apr-2025-22950-P-E-I</t>
  </si>
  <si>
    <t>#202504043700015765</t>
  </si>
  <si>
    <t>#202504043700015164</t>
  </si>
  <si>
    <t>#202504043700014621</t>
  </si>
  <si>
    <t>#202504043700013703</t>
  </si>
  <si>
    <t>#202504043700013001</t>
  </si>
  <si>
    <t>#202504043700011423</t>
  </si>
  <si>
    <t>OPT-NIFTY-09-Apr-2025-23000-C-E-I</t>
  </si>
  <si>
    <t>#202504043700011100</t>
  </si>
  <si>
    <t>#202504043700010497</t>
  </si>
  <si>
    <t>OPT-NIFTY-10-Mar-2026-23750-C-E-I</t>
  </si>
  <si>
    <t>#202603092700012734</t>
  </si>
  <si>
    <t>#202603092700007700</t>
  </si>
  <si>
    <t>#202603092700007658</t>
  </si>
  <si>
    <t>#202603092700006559</t>
  </si>
  <si>
    <t>#202603092700006420</t>
  </si>
  <si>
    <t>#202603092700005636</t>
  </si>
  <si>
    <t>#202603092700005282</t>
  </si>
  <si>
    <t>OPT-NIFTY-10-Mar-2026-24500-P-E-I</t>
  </si>
  <si>
    <t>#202603062700009844</t>
  </si>
  <si>
    <t>#202603062700005788</t>
  </si>
  <si>
    <t>OPT-NIFTY-10-Mar-2026-24750-C-E-I</t>
  </si>
  <si>
    <t>#202603062700005545</t>
  </si>
  <si>
    <t>#202603062700004704</t>
  </si>
  <si>
    <t>#202603062700004255</t>
  </si>
  <si>
    <t>#202603062700003286</t>
  </si>
  <si>
    <t>#202603062700003157</t>
  </si>
  <si>
    <t>#202603062700003071</t>
  </si>
  <si>
    <t>#202603062700002766</t>
  </si>
  <si>
    <t>#202603062700002462</t>
  </si>
  <si>
    <t>#202603062700002085</t>
  </si>
  <si>
    <t>#202603062700001936</t>
  </si>
  <si>
    <t>#202603062700001414</t>
  </si>
  <si>
    <t>#202603062700001365</t>
  </si>
  <si>
    <t>#202603062700001296</t>
  </si>
  <si>
    <t>OPT-NIFTY-02-Mar-2026-24800-P-E-I</t>
  </si>
  <si>
    <t>#202603022700012542</t>
  </si>
  <si>
    <t>#202603022700010487</t>
  </si>
  <si>
    <t>OPT-NIFTY-02-Mar-2026-24850-C-E-I</t>
  </si>
  <si>
    <t>#202603022700010260</t>
  </si>
  <si>
    <t>#202603022700009926</t>
  </si>
  <si>
    <t>#202603022700009878</t>
  </si>
  <si>
    <t>#202603022700009786</t>
  </si>
  <si>
    <t>#202603022700009771</t>
  </si>
  <si>
    <t>#202603022700009762</t>
  </si>
  <si>
    <t>OPT-NIFTY-02-Mar-2026-25300-C-E-I</t>
  </si>
  <si>
    <t>#202602272700010803</t>
  </si>
  <si>
    <t>#202602272700009169</t>
  </si>
  <si>
    <t>#202602272700008665</t>
  </si>
  <si>
    <t>#202602272700008439</t>
  </si>
  <si>
    <t>OPT-NIFTY-02-Mar-2026-25400-P-E-I</t>
  </si>
  <si>
    <t>#202602272700007738</t>
  </si>
  <si>
    <t>#202602272700007592</t>
  </si>
  <si>
    <t>#202602272700007564</t>
  </si>
  <si>
    <t>#202602272700007494</t>
  </si>
  <si>
    <t>#202602272700007318</t>
  </si>
  <si>
    <t>#202602272700003689</t>
  </si>
  <si>
    <t>#202602272700002589</t>
  </si>
  <si>
    <t>#202602272700002056</t>
  </si>
  <si>
    <t>OPT-NIFTY-02-Mar-2026-25550-C-E-I</t>
  </si>
  <si>
    <t>#202602262700009308</t>
  </si>
  <si>
    <t>#202602262700008745</t>
  </si>
  <si>
    <t>#202602262700008284</t>
  </si>
  <si>
    <t>#202602262700007074</t>
  </si>
  <si>
    <t>#202602262700004113</t>
  </si>
  <si>
    <t>#202602262700004003</t>
  </si>
  <si>
    <t>#202602262700003964</t>
  </si>
  <si>
    <t>#202602262700003942</t>
  </si>
  <si>
    <t>#202602262700003931</t>
  </si>
  <si>
    <t>#202602262700003918</t>
  </si>
  <si>
    <t>#202602262700003535</t>
  </si>
  <si>
    <t>#202602262700000839</t>
  </si>
  <si>
    <t>#202602262700000649</t>
  </si>
  <si>
    <t>OPT-NIFTY-02-Mar-2026-25600-C-E-I</t>
  </si>
  <si>
    <t>#202602252700004518</t>
  </si>
  <si>
    <t>#202602252700002255</t>
  </si>
  <si>
    <t>#202602252700002066</t>
  </si>
  <si>
    <t>#202602252700001928</t>
  </si>
  <si>
    <t>#202602252700001896</t>
  </si>
  <si>
    <t>#202602252700001753</t>
  </si>
  <si>
    <t>#202602252700001642</t>
  </si>
  <si>
    <t>#202602252700000830</t>
  </si>
  <si>
    <t>OPT-ICIBAN-30-Mar-2026-1360-P-E-S</t>
  </si>
  <si>
    <t>#202602242700019972</t>
  </si>
  <si>
    <t>#202602242700017168</t>
  </si>
  <si>
    <t>OPT-NIFTY-24-Feb-2026-25600-P-E-I</t>
  </si>
  <si>
    <t>#202602242700002463</t>
  </si>
  <si>
    <t>#202602242700002060</t>
  </si>
  <si>
    <t>#202602242700001766</t>
  </si>
  <si>
    <t>#202602242700001723</t>
  </si>
  <si>
    <t>#202602242700001698</t>
  </si>
  <si>
    <t>#202602242700001680</t>
  </si>
  <si>
    <t>OPT-NIFTY-24-Feb-2026-25650-P-E-I</t>
  </si>
  <si>
    <t>#202602232700009465</t>
  </si>
  <si>
    <t>#202602232700009126</t>
  </si>
  <si>
    <t>#202602232700009115</t>
  </si>
  <si>
    <t>#202602232700007889</t>
  </si>
  <si>
    <t>#202602232700007866</t>
  </si>
  <si>
    <t>#202602232700007831</t>
  </si>
  <si>
    <t>#202602232700007682</t>
  </si>
  <si>
    <t>OPT-NIFTY-24-Feb-2026-25650-C-E-I</t>
  </si>
  <si>
    <t>#202602232700007353</t>
  </si>
  <si>
    <t>#202602232700006977</t>
  </si>
  <si>
    <t>OPT-NIFTY-24-Feb-2026-25350-P-E-I</t>
  </si>
  <si>
    <t>#202602232700002462</t>
  </si>
  <si>
    <t>#202602232700001679</t>
  </si>
  <si>
    <t>#202602232700001112</t>
  </si>
  <si>
    <t>OPT-NIFTY-24-Feb-2026-25550-C-E-I</t>
  </si>
  <si>
    <t>#202602202700016569</t>
  </si>
  <si>
    <t>#202602202700016126</t>
  </si>
  <si>
    <t>#202602202700013548</t>
  </si>
  <si>
    <t>#202602202700013058</t>
  </si>
  <si>
    <t>#202602202700012918</t>
  </si>
  <si>
    <t>#202602202700011860</t>
  </si>
  <si>
    <t>#202602202700011207</t>
  </si>
  <si>
    <t>#202602202700010965</t>
  </si>
  <si>
    <t>#202602202700009377</t>
  </si>
  <si>
    <t>#202602202700009082</t>
  </si>
  <si>
    <t>#202602202700008269</t>
  </si>
  <si>
    <t>#202602202700006057</t>
  </si>
  <si>
    <t>#202602202700003969</t>
  </si>
  <si>
    <t>#202602202700001862</t>
  </si>
  <si>
    <t>#202602192700014494</t>
  </si>
  <si>
    <t>#202602192700013154</t>
  </si>
  <si>
    <t>#202602192700013017</t>
  </si>
  <si>
    <t>OPT-NIFTY-24-Feb-2026-25800-C-E-I</t>
  </si>
  <si>
    <t>#202602192700005810</t>
  </si>
  <si>
    <t>#202602192700005627</t>
  </si>
  <si>
    <t>#202602192700004036</t>
  </si>
  <si>
    <t>#202602192700003666</t>
  </si>
  <si>
    <t>#202602192700003595</t>
  </si>
  <si>
    <t>#202602192700003138</t>
  </si>
  <si>
    <t>#202602192700002784</t>
  </si>
  <si>
    <t>OPT-NIFTY-24-Feb-2026-25700-P-E-I</t>
  </si>
  <si>
    <t>#202602182700010968</t>
  </si>
  <si>
    <t>#202602182700010073</t>
  </si>
  <si>
    <t>OPT-NIFTY-24-Feb-2026-25750-C-E-I</t>
  </si>
  <si>
    <t>#202602182700007909</t>
  </si>
  <si>
    <t>#202602182700007719</t>
  </si>
  <si>
    <t>#202602182700007680</t>
  </si>
  <si>
    <t>#202602182700007358</t>
  </si>
  <si>
    <t>#202602182700007305</t>
  </si>
  <si>
    <t>#202602182700003253</t>
  </si>
  <si>
    <t>#202602182700003132</t>
  </si>
  <si>
    <t>#202602182700001708</t>
  </si>
  <si>
    <t>#202602182700001612</t>
  </si>
  <si>
    <t>OPT-NIFTY-17-Feb-2026-25750-P-E-I</t>
  </si>
  <si>
    <t>#202602172700023141</t>
  </si>
  <si>
    <t>#202602172700022984</t>
  </si>
  <si>
    <t>OPT-NIFTY-17-Feb-2026-25550-C-E-I</t>
  </si>
  <si>
    <t>#202602172700010664</t>
  </si>
  <si>
    <t>#202602172700009894</t>
  </si>
  <si>
    <t>#202602172700002346</t>
  </si>
  <si>
    <t>#202602172700002118</t>
  </si>
  <si>
    <t>OPT-ICIBAN-24-Feb-2026-1380-P-E-S</t>
  </si>
  <si>
    <t>#202602162700016857</t>
  </si>
  <si>
    <t>#202602122700002139</t>
  </si>
  <si>
    <t>#202602112700002859</t>
  </si>
  <si>
    <t>OPT-NIFTY-10-Feb-2026-25750-P-E-I</t>
  </si>
  <si>
    <t>#202602052700013840</t>
  </si>
  <si>
    <t>#202602052700013503</t>
  </si>
  <si>
    <t>#202602052700006177</t>
  </si>
  <si>
    <t>OPT-NIFTY-10-Feb-2026-25650-C-E-I</t>
  </si>
  <si>
    <t>#202602052700004901</t>
  </si>
  <si>
    <t>#202602052700004045</t>
  </si>
  <si>
    <t>#202602052700002983</t>
  </si>
  <si>
    <t>#202602052700002573</t>
  </si>
  <si>
    <t>#202602052600001220</t>
  </si>
  <si>
    <t>OPT-NIFTY-10-Feb-2026-25700-C-E-I</t>
  </si>
  <si>
    <t>#202602042700014241</t>
  </si>
  <si>
    <t>#202602042700014076</t>
  </si>
  <si>
    <t>OPT-NIFTY-10-Feb-2026-25750-C-E-I</t>
  </si>
  <si>
    <t>#202602042700011441</t>
  </si>
  <si>
    <t>#202602042700011393</t>
  </si>
  <si>
    <t>OPT-NIFTY-10-Feb-2026-25800-P-E-I</t>
  </si>
  <si>
    <t>#202602042700004029</t>
  </si>
  <si>
    <t>#202602042700003717</t>
  </si>
  <si>
    <t>#202602042700003071</t>
  </si>
  <si>
    <t>OPT-NIFTY-03-Feb-2026-25850-P-E-I</t>
  </si>
  <si>
    <t>#202602032700041857</t>
  </si>
  <si>
    <t>#202602032700024018</t>
  </si>
  <si>
    <t>#202602032700017343</t>
  </si>
  <si>
    <t>#202602032700004937</t>
  </si>
  <si>
    <t>OPT-NIFTY-03-Feb-2026-25000-P-E-I</t>
  </si>
  <si>
    <t>#202602022700015491</t>
  </si>
  <si>
    <t>#202602022700015225</t>
  </si>
  <si>
    <t>OPT-NIFTY-03-Feb-2026-24750-C-E-I</t>
  </si>
  <si>
    <t>#202602022700010801</t>
  </si>
  <si>
    <t>#202602022700010309</t>
  </si>
  <si>
    <t>#202602022700008155</t>
  </si>
  <si>
    <t>#202602022700007860</t>
  </si>
  <si>
    <t>OPT-NIFTY-03-Feb-2026-24900-P-E-I</t>
  </si>
  <si>
    <t>#202602022700004481</t>
  </si>
  <si>
    <t>#202602022700003161</t>
  </si>
  <si>
    <t>OPT-NIFTY-03-Feb-2026-25000-C-E-I</t>
  </si>
  <si>
    <t>#202602012700051991</t>
  </si>
  <si>
    <t>#202602012700051727</t>
  </si>
  <si>
    <t>OPT-NIFTY-03-Feb-2026-25300-C-E-I</t>
  </si>
  <si>
    <t>#202602012700037006</t>
  </si>
  <si>
    <t>#202602012700036696</t>
  </si>
  <si>
    <t>OPT-NIFTY-03-Feb-2026-25350-P-E-I</t>
  </si>
  <si>
    <t>#202602012700007743</t>
  </si>
  <si>
    <t>#202602012700006537</t>
  </si>
  <si>
    <t>#202602012700003044</t>
  </si>
  <si>
    <t>#202602012700001323</t>
  </si>
  <si>
    <t>OPT-NIFTY-03-Feb-2026-25250-C-E-I</t>
  </si>
  <si>
    <t>#202601302700035394</t>
  </si>
  <si>
    <t>#202601302700035163</t>
  </si>
  <si>
    <t>#202601302700033361</t>
  </si>
  <si>
    <t>#202601302700032962</t>
  </si>
  <si>
    <t>OPT-NIFTY-03-Feb-2026-25300-P-E-I</t>
  </si>
  <si>
    <t>#202601302700020593</t>
  </si>
  <si>
    <t>#202601302700020353</t>
  </si>
  <si>
    <t>#202601302700005687</t>
  </si>
  <si>
    <t>#202601302700002911</t>
  </si>
  <si>
    <t>OPT-NIFTY-03-Feb-2026-25400-P-E-I</t>
  </si>
  <si>
    <t>#202601292700028824</t>
  </si>
  <si>
    <t>#202601292700028229</t>
  </si>
  <si>
    <t>#202601292700012571</t>
  </si>
  <si>
    <t>#202601292700003148</t>
  </si>
  <si>
    <t>#202601282700019192</t>
  </si>
  <si>
    <t>#202601282700019168</t>
  </si>
  <si>
    <t>OPT-NIFTY-03-Feb-2026-25400-C-E-I</t>
  </si>
  <si>
    <t>#202601282700019090</t>
  </si>
  <si>
    <t>#202601282700018753</t>
  </si>
  <si>
    <t>#202601282700017879</t>
  </si>
  <si>
    <t>#202601282700004408</t>
  </si>
  <si>
    <t>#202601282700004257</t>
  </si>
  <si>
    <t>OPT-NIFTY-27-Jan-2026-25000-C-E-I</t>
  </si>
  <si>
    <t>#202601272700053910</t>
  </si>
  <si>
    <t>#202601272700049123</t>
  </si>
  <si>
    <t>#202601272700048910</t>
  </si>
  <si>
    <t>OPT-NIFTY-27-Jan-2026-24950-C-E-I</t>
  </si>
  <si>
    <t>#202601272700010103</t>
  </si>
  <si>
    <t>#202601272700009601</t>
  </si>
  <si>
    <t>#202601272700006358</t>
  </si>
  <si>
    <t>#202601272700005475</t>
  </si>
  <si>
    <t>OPT-NIFTY-20-Jan-2026-26050-C-E-I</t>
  </si>
  <si>
    <t>#202601193100004090</t>
  </si>
  <si>
    <t>#202601133100025909</t>
  </si>
  <si>
    <t>202502</t>
  </si>
  <si>
    <t>May-25</t>
  </si>
  <si>
    <t>202503</t>
  </si>
  <si>
    <t>Jun-25</t>
  </si>
  <si>
    <t>202504</t>
  </si>
  <si>
    <t>Jul-25</t>
  </si>
  <si>
    <t>202505</t>
  </si>
  <si>
    <t>Aug-25</t>
  </si>
  <si>
    <t>202506</t>
  </si>
  <si>
    <t>Sep-25</t>
  </si>
  <si>
    <t>202508</t>
  </si>
  <si>
    <t>Nov-25</t>
  </si>
  <si>
    <t>202509</t>
  </si>
  <si>
    <t>Dec-25</t>
  </si>
  <si>
    <t>202510</t>
  </si>
  <si>
    <t>Jan-26</t>
  </si>
  <si>
    <t>202511</t>
  </si>
  <si>
    <t>Feb-26</t>
  </si>
  <si>
    <t>202512</t>
  </si>
  <si>
    <t>Mar-26</t>
  </si>
  <si>
    <t>Amnt(k)</t>
  </si>
  <si>
    <t>Sum of Amnt(k)</t>
  </si>
  <si>
    <t>Row Labels</t>
  </si>
  <si>
    <t>OPT-NIFTY-21-Apr-2026-24450-P-E-I</t>
  </si>
  <si>
    <t>#202604212700015041</t>
  </si>
  <si>
    <t>#202604212700015021</t>
  </si>
  <si>
    <t>#202604212700015009</t>
  </si>
  <si>
    <t>#202604212700014996</t>
  </si>
  <si>
    <t>#202604212700011092</t>
  </si>
  <si>
    <t>#202604212700007060</t>
  </si>
  <si>
    <t>#202604212700003835</t>
  </si>
  <si>
    <t>#202604212700002391</t>
  </si>
  <si>
    <t>OPT-NIFTY-21-Apr-2026-24450-C-E-I</t>
  </si>
  <si>
    <t>#202604202700016718</t>
  </si>
  <si>
    <t>#202604202700010273</t>
  </si>
  <si>
    <t>#202604202700007699</t>
  </si>
  <si>
    <t>OPT-NIFTY-21-Apr-2026-24350-P-E-I</t>
  </si>
  <si>
    <t>#202604202700007249</t>
  </si>
  <si>
    <t>#202604202700004899</t>
  </si>
  <si>
    <t>#202604202700004807</t>
  </si>
  <si>
    <t>#202604202700004618</t>
  </si>
  <si>
    <t>OPT-NIFTY-21-Apr-2026-24200-C-E-I</t>
  </si>
  <si>
    <t>#202604172700011727</t>
  </si>
  <si>
    <t>#202604172700011676</t>
  </si>
  <si>
    <t>#202604172700010790</t>
  </si>
  <si>
    <t>#202604172700006017</t>
  </si>
  <si>
    <t>#202604172700005172</t>
  </si>
  <si>
    <t>OPT-NIFTY-21-Apr-2026-24250-P-E-I</t>
  </si>
  <si>
    <t>#202604162700009328</t>
  </si>
  <si>
    <t>#202604162700009055</t>
  </si>
  <si>
    <t>#202604162700008705</t>
  </si>
  <si>
    <t>#202604162700007455</t>
  </si>
  <si>
    <t>#202604162700006844</t>
  </si>
  <si>
    <t>#202604162700003986</t>
  </si>
  <si>
    <t>#202604162700003733</t>
  </si>
  <si>
    <t>OPT-NIFTY-21-Apr-2026-24350-C-E-I</t>
  </si>
  <si>
    <t>#202604162700003333</t>
  </si>
  <si>
    <t>#202604162700002579</t>
  </si>
  <si>
    <t>#202604162700002476</t>
  </si>
  <si>
    <t>OPT-NIFTY-21-Apr-2026-24200-P-E-I</t>
  </si>
  <si>
    <t>#202604152700012552</t>
  </si>
  <si>
    <t>#202604152700007010</t>
  </si>
  <si>
    <t>#202604152700005712</t>
  </si>
  <si>
    <t>#202604152700004562</t>
  </si>
  <si>
    <t>#202604152700004139</t>
  </si>
  <si>
    <t>#202604152700002409</t>
  </si>
  <si>
    <t>#202604152700002161</t>
  </si>
  <si>
    <t>OPT-NIFTY-13-Apr-2026-23800-C-E-I</t>
  </si>
  <si>
    <t>#202604132700020594</t>
  </si>
  <si>
    <t>#202604132700020081</t>
  </si>
  <si>
    <t>#202604132700019957</t>
  </si>
  <si>
    <t>OPT-NIFTY-13-Apr-2026-23900-C-E-I</t>
  </si>
  <si>
    <t>#202604102700014925</t>
  </si>
  <si>
    <t>#202604102700013120</t>
  </si>
  <si>
    <t>#202604102700013089</t>
  </si>
  <si>
    <t>#202604102700012960</t>
  </si>
  <si>
    <t>#202604102700011756</t>
  </si>
  <si>
    <t>#202604102700007247</t>
  </si>
  <si>
    <t>#202604102700007085</t>
  </si>
  <si>
    <t>#202604102700007045</t>
  </si>
  <si>
    <t>#202604102700004011</t>
  </si>
  <si>
    <t>#202604102700002470</t>
  </si>
  <si>
    <t>#202604102700002418</t>
  </si>
  <si>
    <t>202601</t>
  </si>
  <si>
    <t>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</si>
</sst>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15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wrapText="1"/>
    </xf>
    <xf numFmtId="2" fontId="0" fillId="0" borderId="1" xfId="0" applyNumberFormat="1" applyBorder="1"/>
    <xf numFmtId="0" fontId="2" fillId="2" borderId="1" xfId="0" applyFont="1" applyFill="1" applyBorder="1"/>
    <xf numFmtId="0" fontId="0" fillId="3" borderId="1" xfId="0" applyFill="1" applyBorder="1"/>
    <xf numFmtId="2" fontId="2" fillId="4" borderId="1" xfId="0" applyNumberFormat="1" applyFont="1" applyFill="1" applyBorder="1"/>
    <xf numFmtId="0" fontId="2" fillId="4" borderId="1" xfId="0" applyFont="1" applyFill="1" applyBorder="1"/>
    <xf numFmtId="1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2" xfId="0" applyBorder="1"/>
    <xf numFmtId="20" fontId="0" fillId="0" borderId="0" xfId="0" applyNumberFormat="1"/>
    <xf numFmtId="0" fontId="0" fillId="5" borderId="0" xfId="0" applyFill="1"/>
    <xf numFmtId="2" fontId="0" fillId="5" borderId="0" xfId="0" applyNumberFormat="1" applyFill="1"/>
    <xf numFmtId="15" fontId="0" fillId="5" borderId="0" xfId="0" applyNumberFormat="1" applyFill="1"/>
    <xf numFmtId="0" fontId="0" fillId="0" borderId="0" xfId="0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134.491182523147" createdVersion="8" refreshedVersion="8" minRefreshableVersion="3" recordCount="1528" xr:uid="{7C89A441-7761-415E-BD9B-2E2506AF6BE7}">
  <cacheSource type="worksheet">
    <worksheetSource ref="A1:X1048576" sheet="Details"/>
  </cacheSource>
  <cacheFields count="24">
    <cacheField name="Trade Date" numFmtId="0">
      <sharedItems containsNonDate="0" containsDate="1" containsString="0" containsBlank="1" minDate="2024-01-09T00:00:00" maxDate="2026-04-22T00:00:00"/>
    </cacheField>
    <cacheField name="Contract Descriptor" numFmtId="0">
      <sharedItems containsBlank="1"/>
    </cacheField>
    <cacheField name="Exch" numFmtId="0">
      <sharedItems containsBlank="1"/>
    </cacheField>
    <cacheField name="Action" numFmtId="0">
      <sharedItems containsBlank="1" count="4">
        <s v="Sell"/>
        <s v="Buy"/>
        <s v="Buy Closeout"/>
        <m/>
      </sharedItems>
    </cacheField>
    <cacheField name="Qty" numFmtId="0">
      <sharedItems containsString="0" containsBlank="1" containsNumber="1" containsInteger="1" minValue="15" maxValue="5010"/>
    </cacheField>
    <cacheField name="LTP" numFmtId="0">
      <sharedItems containsString="0" containsBlank="1" containsNumber="1" containsInteger="1" minValue="0" maxValue="0"/>
    </cacheField>
    <cacheField name="Price" numFmtId="0">
      <sharedItems containsString="0" containsBlank="1" containsNumber="1" minValue="0" maxValue="710.25"/>
    </cacheField>
    <cacheField name="Value" numFmtId="0">
      <sharedItems containsBlank="1" containsMixedTypes="1" containsNumber="1" minValue="50.25" maxValue="177359"/>
    </cacheField>
    <cacheField name="Order Ref." numFmtId="0">
      <sharedItems containsBlank="1" containsMixedTypes="1" containsNumber="1" containsInteger="1" minValue="0" maxValue="0"/>
    </cacheField>
    <cacheField name="Securities Transaction Tax-STT" numFmtId="0">
      <sharedItems containsString="0" containsBlank="1" containsNumber="1" minValue="0" maxValue="248.57"/>
    </cacheField>
    <cacheField name="Transaction Charges" numFmtId="0">
      <sharedItems containsString="0" containsBlank="1" containsNumber="1" minValue="0" maxValue="76.8"/>
    </cacheField>
    <cacheField name="Stamp Duty" numFmtId="0">
      <sharedItems containsString="0" containsBlank="1" containsNumber="1" minValue="0" maxValue="13"/>
    </cacheField>
    <cacheField name="SEBI Turnover Charges" numFmtId="0">
      <sharedItems containsString="0" containsBlank="1" containsNumber="1" minValue="0" maxValue="0.18"/>
    </cacheField>
    <cacheField name="Brokerage" numFmtId="0">
      <sharedItems containsString="0" containsBlank="1" containsNumber="1" containsInteger="1" minValue="0" maxValue="1200"/>
    </cacheField>
    <cacheField name="Service Tax On Brokerage" numFmtId="0">
      <sharedItems containsString="0" containsBlank="1" containsNumber="1" minValue="0" maxValue="229.86"/>
    </cacheField>
    <cacheField name="Total Charges" numFmtId="0">
      <sharedItems containsString="0" containsBlank="1" containsNumber="1" minValue="23.62" maxValue="1601.87"/>
    </cacheField>
    <cacheField name="CalYear" numFmtId="0">
      <sharedItems containsString="0" containsBlank="1" containsNumber="1" containsInteger="1" minValue="2024" maxValue="2026"/>
    </cacheField>
    <cacheField name="CalMonth" numFmtId="0">
      <sharedItems containsString="0" containsBlank="1" containsNumber="1" containsInteger="1" minValue="1" maxValue="12"/>
    </cacheField>
    <cacheField name="FinYear" numFmtId="0">
      <sharedItems containsString="0" containsBlank="1" containsNumber="1" containsInteger="1" minValue="2023" maxValue="2026"/>
    </cacheField>
    <cacheField name="FinMonth" numFmtId="0">
      <sharedItems containsString="0" containsBlank="1" containsNumber="1" containsInteger="1" minValue="1" maxValue="12"/>
    </cacheField>
    <cacheField name="FinMonth2" numFmtId="0">
      <sharedItems containsBlank="1" containsMixedTypes="1" containsNumber="1" containsInteger="1" minValue="10" maxValue="12"/>
    </cacheField>
    <cacheField name="FinPeriod" numFmtId="0">
      <sharedItems containsBlank="1" count="28">
        <s v="202310"/>
        <s v="202311"/>
        <s v="202312"/>
        <s v="202401"/>
        <s v="202402"/>
        <s v="202403"/>
        <s v="202404"/>
        <s v="202405"/>
        <s v="202406"/>
        <s v="202407"/>
        <s v="202408"/>
        <s v="202409"/>
        <s v="202410"/>
        <s v="202411"/>
        <s v="202412"/>
        <s v="202501"/>
        <s v="202502"/>
        <s v="202503"/>
        <s v="202504"/>
        <s v="202505"/>
        <s v="202506"/>
        <s v="202508"/>
        <s v="202509"/>
        <s v="202510"/>
        <s v="202511"/>
        <s v="202512"/>
        <s v="202601"/>
        <m/>
      </sharedItems>
    </cacheField>
    <cacheField name="MonthName" numFmtId="0">
      <sharedItems containsBlank="1" count="28">
        <s v="Jan-24"/>
        <s v="Feb-24"/>
        <s v="Mar-24"/>
        <s v="Apr-24"/>
        <s v="May-24"/>
        <s v="Jun-24"/>
        <s v="Jul-24"/>
        <s v="Aug-24"/>
        <s v="Sep-24"/>
        <s v="Oct-24"/>
        <s v="Nov-24"/>
        <s v="Dec-24"/>
        <s v="Jan-25"/>
        <s v="Feb-25"/>
        <s v="Mar-25"/>
        <s v="Apr-25"/>
        <s v="May-25"/>
        <s v="Jun-25"/>
        <s v="Jul-25"/>
        <s v="Aug-25"/>
        <s v="Sep-25"/>
        <s v="Nov-25"/>
        <s v="Dec-25"/>
        <s v="Jan-26"/>
        <s v="Feb-26"/>
        <s v="Mar-26"/>
        <s v="Apr-26"/>
        <m/>
      </sharedItems>
    </cacheField>
    <cacheField name="Amount" numFmtId="2">
      <sharedItems containsString="0" containsBlank="1" containsNumber="1" minValue="-149964.68" maxValue="176627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134.49146701389" createdVersion="8" refreshedVersion="8" minRefreshableVersion="3" recordCount="1528" xr:uid="{1B9B5DD4-3CE6-41F1-A6C2-9999540FA5DF}">
  <cacheSource type="worksheet">
    <worksheetSource ref="A1:Y1048576" sheet="Details"/>
  </cacheSource>
  <cacheFields count="25">
    <cacheField name="Trade Date" numFmtId="0">
      <sharedItems containsNonDate="0" containsDate="1" containsString="0" containsBlank="1" minDate="2024-01-09T00:00:00" maxDate="2026-04-22T00:00:00"/>
    </cacheField>
    <cacheField name="Contract Descriptor" numFmtId="0">
      <sharedItems containsBlank="1"/>
    </cacheField>
    <cacheField name="Exch" numFmtId="0">
      <sharedItems containsBlank="1"/>
    </cacheField>
    <cacheField name="Action" numFmtId="0">
      <sharedItems containsBlank="1"/>
    </cacheField>
    <cacheField name="Qty" numFmtId="0">
      <sharedItems containsString="0" containsBlank="1" containsNumber="1" containsInteger="1" minValue="15" maxValue="5010"/>
    </cacheField>
    <cacheField name="LTP" numFmtId="0">
      <sharedItems containsString="0" containsBlank="1" containsNumber="1" containsInteger="1" minValue="0" maxValue="0"/>
    </cacheField>
    <cacheField name="Price" numFmtId="0">
      <sharedItems containsString="0" containsBlank="1" containsNumber="1" minValue="0" maxValue="710.25"/>
    </cacheField>
    <cacheField name="Value" numFmtId="0">
      <sharedItems containsBlank="1" containsMixedTypes="1" containsNumber="1" minValue="50.25" maxValue="177359"/>
    </cacheField>
    <cacheField name="Order Ref." numFmtId="0">
      <sharedItems containsBlank="1" containsMixedTypes="1" containsNumber="1" containsInteger="1" minValue="0" maxValue="0"/>
    </cacheField>
    <cacheField name="Securities Transaction Tax-STT" numFmtId="0">
      <sharedItems containsString="0" containsBlank="1" containsNumber="1" minValue="0" maxValue="248.57"/>
    </cacheField>
    <cacheField name="Transaction Charges" numFmtId="0">
      <sharedItems containsString="0" containsBlank="1" containsNumber="1" minValue="0" maxValue="76.8"/>
    </cacheField>
    <cacheField name="Stamp Duty" numFmtId="0">
      <sharedItems containsString="0" containsBlank="1" containsNumber="1" minValue="0" maxValue="13"/>
    </cacheField>
    <cacheField name="SEBI Turnover Charges" numFmtId="0">
      <sharedItems containsString="0" containsBlank="1" containsNumber="1" minValue="0" maxValue="0.18"/>
    </cacheField>
    <cacheField name="Brokerage" numFmtId="0">
      <sharedItems containsString="0" containsBlank="1" containsNumber="1" containsInteger="1" minValue="0" maxValue="1200"/>
    </cacheField>
    <cacheField name="Service Tax On Brokerage" numFmtId="0">
      <sharedItems containsString="0" containsBlank="1" containsNumber="1" minValue="0" maxValue="229.86"/>
    </cacheField>
    <cacheField name="Total Charges" numFmtId="0">
      <sharedItems containsString="0" containsBlank="1" containsNumber="1" minValue="23.62" maxValue="1601.87"/>
    </cacheField>
    <cacheField name="CalYear" numFmtId="0">
      <sharedItems containsString="0" containsBlank="1" containsNumber="1" containsInteger="1" minValue="2024" maxValue="2026"/>
    </cacheField>
    <cacheField name="CalMonth" numFmtId="0">
      <sharedItems containsString="0" containsBlank="1" containsNumber="1" containsInteger="1" minValue="1" maxValue="12"/>
    </cacheField>
    <cacheField name="FinYear" numFmtId="0">
      <sharedItems containsString="0" containsBlank="1" containsNumber="1" containsInteger="1" minValue="2023" maxValue="2026" count="5">
        <n v="2023"/>
        <n v="2024"/>
        <n v="2025"/>
        <n v="2026"/>
        <m/>
      </sharedItems>
    </cacheField>
    <cacheField name="FinMonth" numFmtId="0">
      <sharedItems containsString="0" containsBlank="1" containsNumber="1" containsInteger="1" minValue="1" maxValue="12"/>
    </cacheField>
    <cacheField name="FinMonth2" numFmtId="0">
      <sharedItems containsBlank="1" containsMixedTypes="1" containsNumber="1" containsInteger="1" minValue="10" maxValue="12"/>
    </cacheField>
    <cacheField name="FinPeriod" numFmtId="0">
      <sharedItems containsBlank="1"/>
    </cacheField>
    <cacheField name="MonthName" numFmtId="0">
      <sharedItems containsBlank="1"/>
    </cacheField>
    <cacheField name="Amount" numFmtId="2">
      <sharedItems containsString="0" containsBlank="1" containsNumber="1" minValue="-149964.68" maxValue="176627.99"/>
    </cacheField>
    <cacheField name="Amnt(k)" numFmtId="2">
      <sharedItems containsString="0" containsBlank="1" containsNumber="1" minValue="-149.96467999999999" maxValue="176.62798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8">
  <r>
    <d v="2024-01-09T00:00:00"/>
    <s v="OPT-NIFFIN-09-Jan-2024-21450-P-E-I"/>
    <s v="NSE"/>
    <x v="0"/>
    <n v="600"/>
    <n v="0"/>
    <n v="51.9"/>
    <n v="31140"/>
    <s v="#202401093700019945"/>
    <n v="19"/>
    <n v="15.73"/>
    <n v="0"/>
    <n v="0.03"/>
    <n v="300"/>
    <n v="56.84"/>
    <n v="391.6"/>
    <n v="2024"/>
    <n v="1"/>
    <n v="2023"/>
    <n v="10"/>
    <n v="10"/>
    <x v="0"/>
    <x v="0"/>
    <n v="30748.400000000001"/>
  </r>
  <r>
    <d v="2024-01-09T00:00:00"/>
    <s v="OPT-NIFFIN-09-Jan-2024-21450-P-E-I"/>
    <s v="NSE"/>
    <x v="1"/>
    <n v="40"/>
    <n v="0"/>
    <n v="17.7"/>
    <n v="708"/>
    <s v="#202401093700017300"/>
    <n v="0"/>
    <n v="0.36"/>
    <n v="0"/>
    <n v="0"/>
    <n v="20"/>
    <n v="3.66"/>
    <n v="24.02"/>
    <n v="2024"/>
    <n v="1"/>
    <n v="2023"/>
    <n v="10"/>
    <n v="10"/>
    <x v="0"/>
    <x v="0"/>
    <n v="-732.02"/>
  </r>
  <r>
    <d v="2024-01-09T00:00:00"/>
    <s v="OPT-NIFFIN-09-Jan-2024-21450-P-E-I"/>
    <s v="NSE"/>
    <x v="1"/>
    <n v="40"/>
    <n v="0"/>
    <n v="21.1"/>
    <n v="844"/>
    <s v="#202401093700015973"/>
    <n v="0"/>
    <n v="0.43"/>
    <n v="0"/>
    <n v="0"/>
    <n v="20"/>
    <n v="3.68"/>
    <n v="24.11"/>
    <n v="2024"/>
    <n v="1"/>
    <n v="2023"/>
    <n v="10"/>
    <n v="10"/>
    <x v="0"/>
    <x v="0"/>
    <n v="-868.11"/>
  </r>
  <r>
    <d v="2024-01-09T00:00:00"/>
    <s v="OPT-NIFFIN-09-Jan-2024-21450-P-E-I"/>
    <s v="NSE"/>
    <x v="1"/>
    <n v="40"/>
    <n v="0"/>
    <n v="23.3"/>
    <n v="932"/>
    <s v="#202401093700015743"/>
    <n v="0"/>
    <n v="0.47"/>
    <n v="0"/>
    <n v="0"/>
    <n v="20"/>
    <n v="3.68"/>
    <n v="24.15"/>
    <n v="2024"/>
    <n v="1"/>
    <n v="2023"/>
    <n v="10"/>
    <n v="10"/>
    <x v="0"/>
    <x v="0"/>
    <n v="-956.15"/>
  </r>
  <r>
    <d v="2024-01-09T00:00:00"/>
    <s v="OPT-NIFFIN-09-Jan-2024-21450-P-E-I"/>
    <s v="NSE"/>
    <x v="1"/>
    <n v="40"/>
    <n v="0"/>
    <n v="22.1"/>
    <n v="884"/>
    <s v="#202401093700015658"/>
    <n v="0"/>
    <n v="0.45"/>
    <n v="0"/>
    <n v="0"/>
    <n v="20"/>
    <n v="3.68"/>
    <n v="24.13"/>
    <n v="2024"/>
    <n v="1"/>
    <n v="2023"/>
    <n v="10"/>
    <n v="10"/>
    <x v="0"/>
    <x v="0"/>
    <n v="-908.13"/>
  </r>
  <r>
    <d v="2024-01-09T00:00:00"/>
    <s v="OPT-NIFFIN-09-Jan-2024-21450-P-E-I"/>
    <s v="NSE"/>
    <x v="1"/>
    <n v="40"/>
    <n v="0"/>
    <n v="23.05"/>
    <n v="922"/>
    <s v="#202401093700015607"/>
    <n v="0"/>
    <n v="0.47"/>
    <n v="0"/>
    <n v="0"/>
    <n v="20"/>
    <n v="3.68"/>
    <n v="24.15"/>
    <n v="2024"/>
    <n v="1"/>
    <n v="2023"/>
    <n v="10"/>
    <n v="10"/>
    <x v="0"/>
    <x v="0"/>
    <n v="-946.15"/>
  </r>
  <r>
    <d v="2024-01-09T00:00:00"/>
    <s v="OPT-NIFFIN-09-Jan-2024-21450-P-E-I"/>
    <s v="NSE"/>
    <x v="1"/>
    <n v="40"/>
    <n v="0"/>
    <n v="28.7"/>
    <n v="1148"/>
    <s v="#202401093700014789"/>
    <n v="0"/>
    <n v="0.57999999999999996"/>
    <n v="0"/>
    <n v="0"/>
    <n v="20"/>
    <n v="3.7"/>
    <n v="24.28"/>
    <n v="2024"/>
    <n v="1"/>
    <n v="2023"/>
    <n v="10"/>
    <n v="10"/>
    <x v="0"/>
    <x v="0"/>
    <n v="-1172.28"/>
  </r>
  <r>
    <d v="2024-01-09T00:00:00"/>
    <s v="OPT-NIFFIN-09-Jan-2024-21450-P-E-I"/>
    <s v="NSE"/>
    <x v="1"/>
    <n v="40"/>
    <n v="0"/>
    <n v="26.65"/>
    <n v="1066"/>
    <s v="#202401093700014597"/>
    <n v="0"/>
    <n v="0.54"/>
    <n v="0"/>
    <n v="0"/>
    <n v="20"/>
    <n v="3.7"/>
    <n v="24.24"/>
    <n v="2024"/>
    <n v="1"/>
    <n v="2023"/>
    <n v="10"/>
    <n v="10"/>
    <x v="0"/>
    <x v="0"/>
    <n v="-1090.24"/>
  </r>
  <r>
    <d v="2024-01-09T00:00:00"/>
    <s v="OPT-NIFFIN-09-Jan-2024-21450-P-E-I"/>
    <s v="NSE"/>
    <x v="1"/>
    <n v="40"/>
    <n v="0"/>
    <n v="29"/>
    <n v="1160"/>
    <s v="#202401093700014487"/>
    <n v="0"/>
    <n v="0.59"/>
    <n v="0"/>
    <n v="0"/>
    <n v="20"/>
    <n v="3.7"/>
    <n v="24.29"/>
    <n v="2024"/>
    <n v="1"/>
    <n v="2023"/>
    <n v="10"/>
    <n v="10"/>
    <x v="0"/>
    <x v="0"/>
    <n v="-1184.29"/>
  </r>
  <r>
    <d v="2024-01-09T00:00:00"/>
    <s v="OPT-NIFFIN-09-Jan-2024-21450-P-E-I"/>
    <s v="NSE"/>
    <x v="1"/>
    <n v="40"/>
    <n v="0"/>
    <n v="32.6"/>
    <n v="1304"/>
    <s v="#202401093700014363"/>
    <n v="0"/>
    <n v="0.66"/>
    <n v="0"/>
    <n v="0"/>
    <n v="20"/>
    <n v="3.72"/>
    <n v="24.38"/>
    <n v="2024"/>
    <n v="1"/>
    <n v="2023"/>
    <n v="10"/>
    <n v="10"/>
    <x v="0"/>
    <x v="0"/>
    <n v="-1328.38"/>
  </r>
  <r>
    <d v="2024-01-09T00:00:00"/>
    <s v="OPT-NIFFIN-09-Jan-2024-21450-P-E-I"/>
    <s v="NSE"/>
    <x v="1"/>
    <n v="40"/>
    <n v="0"/>
    <n v="33.85"/>
    <n v="1354"/>
    <s v="#202401093700014217"/>
    <n v="0"/>
    <n v="0.68"/>
    <n v="0"/>
    <n v="0"/>
    <n v="20"/>
    <n v="3.72"/>
    <n v="24.4"/>
    <n v="2024"/>
    <n v="1"/>
    <n v="2023"/>
    <n v="10"/>
    <n v="10"/>
    <x v="0"/>
    <x v="0"/>
    <n v="-1378.4"/>
  </r>
  <r>
    <d v="2024-01-09T00:00:00"/>
    <s v="OPT-NIFFIN-09-Jan-2024-21450-P-E-I"/>
    <s v="NSE"/>
    <x v="1"/>
    <n v="160"/>
    <n v="0"/>
    <n v="37.15"/>
    <n v="5944"/>
    <s v="#202401093700013489"/>
    <n v="0"/>
    <n v="3"/>
    <n v="1"/>
    <n v="0"/>
    <n v="80"/>
    <n v="14.94"/>
    <n v="98.94"/>
    <n v="2024"/>
    <n v="1"/>
    <n v="2023"/>
    <n v="10"/>
    <n v="10"/>
    <x v="0"/>
    <x v="0"/>
    <n v="-6042.94"/>
  </r>
  <r>
    <d v="2024-01-09T00:00:00"/>
    <s v="OPT-NIFFIN-09-Jan-2024-21450-P-E-I"/>
    <s v="NSE"/>
    <x v="1"/>
    <n v="40"/>
    <n v="0"/>
    <n v="35.5"/>
    <n v="1420"/>
    <s v="#202401093700013380"/>
    <n v="0"/>
    <n v="0.72"/>
    <n v="0"/>
    <n v="0"/>
    <n v="20"/>
    <n v="3.72"/>
    <n v="24.44"/>
    <n v="2024"/>
    <n v="1"/>
    <n v="2023"/>
    <n v="10"/>
    <n v="10"/>
    <x v="0"/>
    <x v="0"/>
    <n v="-1444.44"/>
  </r>
  <r>
    <d v="2024-01-10T00:00:00"/>
    <s v="OPT-CNXBAN-10-Jan-2024-47200-P-E-I"/>
    <s v="NSE"/>
    <x v="1"/>
    <n v="300"/>
    <n v="0"/>
    <n v="0.5"/>
    <n v="150"/>
    <s v="#202401103700027464"/>
    <n v="0"/>
    <n v="0.08"/>
    <n v="0"/>
    <n v="0"/>
    <n v="400"/>
    <n v="72.02"/>
    <n v="472.1"/>
    <n v="2024"/>
    <n v="1"/>
    <n v="2023"/>
    <n v="10"/>
    <n v="10"/>
    <x v="0"/>
    <x v="0"/>
    <n v="-622.1"/>
  </r>
  <r>
    <d v="2024-01-10T00:00:00"/>
    <s v="OPT-CNXBAN-10-Jan-2024-47200-P-E-I"/>
    <s v="NSE"/>
    <x v="1"/>
    <n v="900"/>
    <n v="0"/>
    <n v="0.5"/>
    <n v="450"/>
    <s v="#202401103700026722"/>
    <n v="0"/>
    <n v="0.23"/>
    <n v="0.41"/>
    <n v="0"/>
    <n v="1200"/>
    <n v="216.04"/>
    <n v="1416.68"/>
    <n v="2024"/>
    <n v="1"/>
    <n v="2023"/>
    <n v="10"/>
    <n v="10"/>
    <x v="0"/>
    <x v="0"/>
    <n v="-1866.68"/>
  </r>
  <r>
    <d v="2024-01-10T00:00:00"/>
    <s v="OPT-CNXBAN-10-Jan-2024-47200-P-E-I"/>
    <s v="NSE"/>
    <x v="1"/>
    <n v="900"/>
    <n v="0"/>
    <n v="0.7"/>
    <n v="630"/>
    <s v="#202401103700026628"/>
    <n v="0"/>
    <n v="0.33"/>
    <n v="0"/>
    <n v="0"/>
    <n v="1200"/>
    <n v="216.08"/>
    <n v="1416.41"/>
    <n v="2024"/>
    <n v="1"/>
    <n v="2023"/>
    <n v="10"/>
    <n v="10"/>
    <x v="0"/>
    <x v="0"/>
    <n v="-2046.41"/>
  </r>
  <r>
    <d v="2024-01-10T00:00:00"/>
    <s v="OPT-CNXBAN-10-Jan-2024-47200-P-E-I"/>
    <s v="NSE"/>
    <x v="1"/>
    <n v="900"/>
    <n v="0"/>
    <n v="1.3"/>
    <n v="1170"/>
    <s v="#202401103700026486"/>
    <n v="0"/>
    <n v="0.6"/>
    <n v="0"/>
    <n v="0"/>
    <n v="1200"/>
    <n v="216.1"/>
    <n v="1416.7"/>
    <n v="2024"/>
    <n v="1"/>
    <n v="2023"/>
    <n v="10"/>
    <n v="10"/>
    <x v="0"/>
    <x v="0"/>
    <n v="-2586.6999999999998"/>
  </r>
  <r>
    <d v="2024-01-10T00:00:00"/>
    <s v="OPT-CNXBAN-10-Jan-2024-47200-P-E-I"/>
    <s v="NSE"/>
    <x v="1"/>
    <n v="150"/>
    <n v="0"/>
    <n v="4"/>
    <n v="600"/>
    <s v="#202401103700025116"/>
    <n v="0"/>
    <n v="0.3"/>
    <n v="0"/>
    <n v="0"/>
    <n v="200"/>
    <n v="36.06"/>
    <n v="236.36"/>
    <n v="2024"/>
    <n v="1"/>
    <n v="2023"/>
    <n v="10"/>
    <n v="10"/>
    <x v="0"/>
    <x v="0"/>
    <n v="-836.36"/>
  </r>
  <r>
    <d v="2024-01-10T00:00:00"/>
    <s v="OPT-CNXBAN-10-Jan-2024-47200-P-E-I"/>
    <s v="NSE"/>
    <x v="1"/>
    <n v="510"/>
    <n v="0"/>
    <n v="4"/>
    <n v="2040"/>
    <s v="#202401103700024931"/>
    <n v="0"/>
    <n v="1.03"/>
    <n v="0"/>
    <n v="0"/>
    <n v="680"/>
    <n v="122.58"/>
    <n v="803.61"/>
    <n v="2024"/>
    <n v="1"/>
    <n v="2023"/>
    <n v="10"/>
    <n v="10"/>
    <x v="0"/>
    <x v="0"/>
    <n v="-2843.61"/>
  </r>
  <r>
    <d v="2024-01-10T00:00:00"/>
    <s v="OPT-CNXBAN-10-Jan-2024-47200-P-E-I"/>
    <s v="NSE"/>
    <x v="1"/>
    <n v="510"/>
    <n v="0"/>
    <n v="7"/>
    <n v="3570"/>
    <s v="#202401103700024096"/>
    <n v="0"/>
    <n v="1.8"/>
    <n v="0"/>
    <n v="0"/>
    <n v="680"/>
    <n v="122.72"/>
    <n v="804.52"/>
    <n v="2024"/>
    <n v="1"/>
    <n v="2023"/>
    <n v="10"/>
    <n v="10"/>
    <x v="0"/>
    <x v="0"/>
    <n v="-4374.5200000000004"/>
  </r>
  <r>
    <d v="2024-01-10T00:00:00"/>
    <s v="OPT-CIPLA-25-Jan-2024-1320-C-E-S"/>
    <s v="NSE"/>
    <x v="0"/>
    <n v="650"/>
    <n v="0"/>
    <n v="31.5"/>
    <n v="20475"/>
    <s v="#202401103700023218"/>
    <n v="13"/>
    <n v="10.34"/>
    <n v="0"/>
    <n v="0.02"/>
    <n v="20"/>
    <n v="5.46"/>
    <n v="48.82"/>
    <n v="2024"/>
    <n v="1"/>
    <n v="2023"/>
    <n v="10"/>
    <n v="10"/>
    <x v="0"/>
    <x v="0"/>
    <n v="20426.18"/>
  </r>
  <r>
    <d v="2024-01-10T00:00:00"/>
    <s v="OPT-CNXBAN-10-Jan-2024-47200-P-E-I"/>
    <s v="NSE"/>
    <x v="1"/>
    <n v="210"/>
    <n v="0"/>
    <n v="11"/>
    <n v="2310"/>
    <s v="#202401103700022327"/>
    <n v="0"/>
    <n v="1.17"/>
    <n v="0"/>
    <n v="0"/>
    <n v="280"/>
    <n v="50.62"/>
    <n v="331.79"/>
    <n v="2024"/>
    <n v="1"/>
    <n v="2023"/>
    <n v="10"/>
    <n v="10"/>
    <x v="0"/>
    <x v="0"/>
    <n v="-2641.79"/>
  </r>
  <r>
    <d v="2024-01-10T00:00:00"/>
    <s v="OPT-CNXBAN-10-Jan-2024-47200-P-E-I"/>
    <s v="NSE"/>
    <x v="1"/>
    <n v="210"/>
    <n v="0"/>
    <n v="16"/>
    <n v="3360"/>
    <s v="#202401103700021865"/>
    <n v="0"/>
    <n v="1.69"/>
    <n v="0"/>
    <n v="0"/>
    <n v="280"/>
    <n v="50.7"/>
    <n v="332.39"/>
    <n v="2024"/>
    <n v="1"/>
    <n v="2023"/>
    <n v="10"/>
    <n v="10"/>
    <x v="0"/>
    <x v="0"/>
    <n v="-3692.39"/>
  </r>
  <r>
    <d v="2024-01-10T00:00:00"/>
    <s v="OPT-CNXBAN-10-Jan-2024-47200-P-E-I"/>
    <s v="NSE"/>
    <x v="1"/>
    <n v="210"/>
    <n v="0"/>
    <n v="19"/>
    <n v="3990"/>
    <s v="#202401103700021744"/>
    <n v="0"/>
    <n v="2.0099999999999998"/>
    <n v="0"/>
    <n v="0"/>
    <n v="280"/>
    <n v="50.76"/>
    <n v="332.77"/>
    <n v="2024"/>
    <n v="1"/>
    <n v="2023"/>
    <n v="10"/>
    <n v="10"/>
    <x v="0"/>
    <x v="0"/>
    <n v="-4322.7700000000004"/>
  </r>
  <r>
    <d v="2024-01-10T00:00:00"/>
    <s v="OPT-CNXBAN-10-Jan-2024-47200-P-E-I"/>
    <s v="NSE"/>
    <x v="1"/>
    <n v="105"/>
    <n v="0"/>
    <n v="33"/>
    <n v="3465"/>
    <s v="#202401103700015608"/>
    <n v="0"/>
    <n v="1.75"/>
    <n v="0"/>
    <n v="0"/>
    <n v="140"/>
    <n v="25.52"/>
    <n v="167.27"/>
    <n v="2024"/>
    <n v="1"/>
    <n v="2023"/>
    <n v="10"/>
    <n v="10"/>
    <x v="0"/>
    <x v="0"/>
    <n v="-3632.27"/>
  </r>
  <r>
    <d v="2024-01-10T00:00:00"/>
    <s v="OPT-CNXBAN-10-Jan-2024-47200-P-E-I"/>
    <s v="NSE"/>
    <x v="1"/>
    <n v="105"/>
    <n v="0"/>
    <n v="46.95"/>
    <n v="4929.75"/>
    <s v="#202401103700014851"/>
    <n v="0"/>
    <n v="2.5"/>
    <n v="0"/>
    <n v="0"/>
    <n v="140"/>
    <n v="25.64"/>
    <n v="168.14"/>
    <n v="2024"/>
    <n v="1"/>
    <n v="2023"/>
    <n v="10"/>
    <n v="10"/>
    <x v="0"/>
    <x v="0"/>
    <n v="-5097.8900000000003"/>
  </r>
  <r>
    <d v="2024-01-10T00:00:00"/>
    <s v="OPT-CIPLA-25-Jan-2024-1320-C-E-S"/>
    <s v="NSE"/>
    <x v="1"/>
    <n v="650"/>
    <n v="0"/>
    <n v="30.45"/>
    <n v="19792.5"/>
    <s v="#202401103700008838"/>
    <n v="0"/>
    <n v="10"/>
    <n v="0.59"/>
    <n v="0.02"/>
    <n v="20"/>
    <n v="5.4"/>
    <n v="36.01"/>
    <n v="2024"/>
    <n v="1"/>
    <n v="2023"/>
    <n v="10"/>
    <n v="10"/>
    <x v="0"/>
    <x v="0"/>
    <n v="-19828.509999999998"/>
  </r>
  <r>
    <d v="2024-01-10T00:00:00"/>
    <s v="OPT-CNXBAN-10-Jan-2024-47200-P-E-I"/>
    <s v="NSE"/>
    <x v="2"/>
    <n v="5010"/>
    <n v="0"/>
    <n v="0"/>
    <s v="#Exchange Initiated"/>
    <n v="0"/>
    <n v="0"/>
    <n v="0"/>
    <n v="0"/>
    <n v="0"/>
    <n v="0"/>
    <n v="0"/>
    <m/>
    <n v="2024"/>
    <n v="1"/>
    <n v="2023"/>
    <n v="10"/>
    <n v="10"/>
    <x v="0"/>
    <x v="0"/>
    <n v="0"/>
  </r>
  <r>
    <d v="2024-01-11T00:00:00"/>
    <s v="OPT-NIFFIN-16-Jan-2024-21200-P-E-I"/>
    <s v="NSE"/>
    <x v="0"/>
    <n v="40"/>
    <n v="0"/>
    <n v="105"/>
    <n v="4200"/>
    <s v="#202401113700017478"/>
    <n v="3"/>
    <n v="2.12"/>
    <n v="0"/>
    <n v="0"/>
    <n v="20"/>
    <n v="3.98"/>
    <n v="29.1"/>
    <n v="2024"/>
    <n v="1"/>
    <n v="2023"/>
    <n v="10"/>
    <n v="10"/>
    <x v="0"/>
    <x v="0"/>
    <n v="4170.8999999999996"/>
  </r>
  <r>
    <d v="2024-01-11T00:00:00"/>
    <s v="OPT-NIFFIN-16-Jan-2024-21200-P-E-I"/>
    <s v="NSE"/>
    <x v="1"/>
    <n v="40"/>
    <n v="0"/>
    <n v="75.75"/>
    <n v="3030"/>
    <s v="#202401113700017099"/>
    <n v="0"/>
    <n v="1.53"/>
    <n v="0"/>
    <n v="0"/>
    <n v="20"/>
    <n v="3.88"/>
    <n v="25.41"/>
    <n v="2024"/>
    <n v="1"/>
    <n v="2023"/>
    <n v="10"/>
    <n v="10"/>
    <x v="0"/>
    <x v="0"/>
    <n v="-3055.41"/>
  </r>
  <r>
    <d v="2024-01-17T00:00:00"/>
    <s v="OPT-CNXBAN-17-Jan-2024-46700-C-E-I"/>
    <s v="NSE"/>
    <x v="0"/>
    <n v="600"/>
    <n v="0"/>
    <n v="16.149999999999999"/>
    <n v="9690"/>
    <s v="#202401173700021397"/>
    <n v="6.06"/>
    <n v="4.9000000000000004"/>
    <n v="0"/>
    <n v="0.01"/>
    <n v="800"/>
    <n v="144.88"/>
    <n v="955.85"/>
    <n v="2024"/>
    <n v="1"/>
    <n v="2023"/>
    <n v="10"/>
    <n v="10"/>
    <x v="0"/>
    <x v="0"/>
    <n v="8734.15"/>
  </r>
  <r>
    <d v="2024-01-17T00:00:00"/>
    <s v="OPT-CNXBAN-17-Jan-2024-46700-C-E-I"/>
    <s v="NSE"/>
    <x v="0"/>
    <n v="900"/>
    <n v="0"/>
    <n v="16.149999999999999"/>
    <n v="14535"/>
    <s v="#202401173700021119"/>
    <n v="8.9499999999999993"/>
    <n v="7.34"/>
    <n v="0"/>
    <n v="0.01"/>
    <n v="1200"/>
    <n v="217.32"/>
    <n v="1433.62"/>
    <n v="2024"/>
    <n v="1"/>
    <n v="2023"/>
    <n v="10"/>
    <n v="10"/>
    <x v="0"/>
    <x v="0"/>
    <n v="13101.380000000001"/>
  </r>
  <r>
    <d v="2024-01-17T00:00:00"/>
    <s v="OPT-CNXBAN-17-Jan-2024-46700-C-E-I"/>
    <s v="NSE"/>
    <x v="1"/>
    <n v="300"/>
    <n v="0"/>
    <n v="31.75"/>
    <n v="9525"/>
    <s v="#202401173700018837"/>
    <n v="0"/>
    <n v="4.8"/>
    <n v="0"/>
    <n v="0"/>
    <n v="400"/>
    <n v="72.86"/>
    <n v="477.66"/>
    <n v="2024"/>
    <n v="1"/>
    <n v="2023"/>
    <n v="10"/>
    <n v="10"/>
    <x v="0"/>
    <x v="0"/>
    <n v="-10002.66"/>
  </r>
  <r>
    <d v="2024-01-17T00:00:00"/>
    <s v="OPT-CNXBAN-17-Jan-2024-46700-C-E-I"/>
    <s v="NSE"/>
    <x v="1"/>
    <n v="300"/>
    <n v="0"/>
    <n v="40.25"/>
    <n v="12075"/>
    <s v="#202401173700017802"/>
    <n v="0"/>
    <n v="6.08"/>
    <n v="0"/>
    <n v="0"/>
    <n v="400"/>
    <n v="73.099999999999994"/>
    <n v="479.18"/>
    <n v="2024"/>
    <n v="1"/>
    <n v="2023"/>
    <n v="10"/>
    <n v="10"/>
    <x v="0"/>
    <x v="0"/>
    <n v="-12554.18"/>
  </r>
  <r>
    <d v="2024-01-17T00:00:00"/>
    <s v="OPT-CNXBAN-17-Jan-2024-46700-C-E-I"/>
    <s v="NSE"/>
    <x v="1"/>
    <n v="300"/>
    <n v="0"/>
    <n v="49.15"/>
    <n v="14745"/>
    <s v="#202401173700016080"/>
    <n v="0"/>
    <n v="7.45"/>
    <n v="2"/>
    <n v="0.01"/>
    <n v="400"/>
    <n v="73.34"/>
    <n v="482.8"/>
    <n v="2024"/>
    <n v="1"/>
    <n v="2023"/>
    <n v="10"/>
    <n v="10"/>
    <x v="0"/>
    <x v="0"/>
    <n v="-15227.8"/>
  </r>
  <r>
    <d v="2024-01-17T00:00:00"/>
    <s v="OPT-CNXBAN-17-Jan-2024-46700-C-E-I"/>
    <s v="NSE"/>
    <x v="1"/>
    <n v="150"/>
    <n v="0"/>
    <n v="43.45"/>
    <n v="6517.5"/>
    <s v="#202401173700015246"/>
    <n v="0"/>
    <n v="3.29"/>
    <n v="0"/>
    <n v="0.01"/>
    <n v="200"/>
    <n v="36.6"/>
    <n v="239.9"/>
    <n v="2024"/>
    <n v="1"/>
    <n v="2023"/>
    <n v="10"/>
    <n v="10"/>
    <x v="0"/>
    <x v="0"/>
    <n v="-6757.4"/>
  </r>
  <r>
    <d v="2024-01-17T00:00:00"/>
    <s v="OPT-CNXBAN-17-Jan-2024-46700-C-E-I"/>
    <s v="NSE"/>
    <x v="1"/>
    <n v="150"/>
    <n v="0"/>
    <n v="52.55"/>
    <n v="7882.5"/>
    <s v="#202401173700014614"/>
    <n v="0"/>
    <n v="3.98"/>
    <n v="0"/>
    <n v="0.01"/>
    <n v="200"/>
    <n v="36.72"/>
    <n v="240.71"/>
    <n v="2024"/>
    <n v="1"/>
    <n v="2023"/>
    <n v="10"/>
    <n v="10"/>
    <x v="0"/>
    <x v="0"/>
    <n v="-8123.21"/>
  </r>
  <r>
    <d v="2024-01-17T00:00:00"/>
    <s v="OPT-CNXBAN-17-Jan-2024-46700-C-E-I"/>
    <s v="NSE"/>
    <x v="1"/>
    <n v="150"/>
    <n v="0"/>
    <n v="54"/>
    <n v="8100"/>
    <s v="#202401173700013513"/>
    <n v="0"/>
    <n v="4.09"/>
    <n v="0"/>
    <n v="0.01"/>
    <n v="200"/>
    <n v="36.74"/>
    <n v="240.84"/>
    <n v="2024"/>
    <n v="1"/>
    <n v="2023"/>
    <n v="10"/>
    <n v="10"/>
    <x v="0"/>
    <x v="0"/>
    <n v="-8340.84"/>
  </r>
  <r>
    <d v="2024-01-17T00:00:00"/>
    <s v="OPT-CNXBAN-17-Jan-2024-46700-C-E-I"/>
    <s v="NSE"/>
    <x v="1"/>
    <n v="90"/>
    <n v="0"/>
    <n v="74"/>
    <n v="6660"/>
    <s v="#202401173700012803"/>
    <n v="0"/>
    <n v="3.36"/>
    <n v="0"/>
    <n v="0.01"/>
    <n v="120"/>
    <n v="22.2"/>
    <n v="145.57"/>
    <n v="2024"/>
    <n v="1"/>
    <n v="2023"/>
    <n v="10"/>
    <n v="10"/>
    <x v="0"/>
    <x v="0"/>
    <n v="-6805.57"/>
  </r>
  <r>
    <d v="2024-01-17T00:00:00"/>
    <s v="OPT-CNXBAN-17-Jan-2024-46700-C-E-I"/>
    <s v="NSE"/>
    <x v="1"/>
    <n v="15"/>
    <n v="0"/>
    <n v="77.75"/>
    <n v="1166.25"/>
    <s v="#202401173700012740"/>
    <n v="0"/>
    <n v="0.59"/>
    <n v="0"/>
    <n v="0"/>
    <n v="20"/>
    <n v="3.7"/>
    <n v="24.29"/>
    <n v="2024"/>
    <n v="1"/>
    <n v="2023"/>
    <n v="10"/>
    <n v="10"/>
    <x v="0"/>
    <x v="0"/>
    <n v="-1190.54"/>
  </r>
  <r>
    <d v="2024-01-17T00:00:00"/>
    <s v="OPT-CNXBAN-17-Jan-2024-46700-C-E-I"/>
    <s v="NSE"/>
    <x v="1"/>
    <n v="15"/>
    <n v="0"/>
    <n v="79"/>
    <n v="1185"/>
    <s v="#202401173700012675"/>
    <n v="0"/>
    <n v="0.6"/>
    <n v="0"/>
    <n v="0"/>
    <n v="20"/>
    <n v="3.7"/>
    <n v="24.3"/>
    <n v="2024"/>
    <n v="1"/>
    <n v="2023"/>
    <n v="10"/>
    <n v="10"/>
    <x v="0"/>
    <x v="0"/>
    <n v="-1209.3"/>
  </r>
  <r>
    <d v="2024-01-17T00:00:00"/>
    <s v="OPT-CNXBAN-17-Jan-2024-46700-C-E-I"/>
    <s v="NSE"/>
    <x v="1"/>
    <n v="15"/>
    <n v="0"/>
    <n v="80.650000000000006"/>
    <n v="1209.75"/>
    <s v="#202401173700012615"/>
    <n v="0"/>
    <n v="0.61"/>
    <n v="0"/>
    <n v="0"/>
    <n v="20"/>
    <n v="3.7"/>
    <n v="24.31"/>
    <n v="2024"/>
    <n v="1"/>
    <n v="2023"/>
    <n v="10"/>
    <n v="10"/>
    <x v="0"/>
    <x v="0"/>
    <n v="-1234.06"/>
  </r>
  <r>
    <d v="2024-01-17T00:00:00"/>
    <s v="OPT-CNXBAN-17-Jan-2024-46700-C-E-I"/>
    <s v="NSE"/>
    <x v="1"/>
    <n v="15"/>
    <n v="0"/>
    <n v="87.6"/>
    <n v="1314"/>
    <s v="#202401173700012540"/>
    <n v="0"/>
    <n v="0.66"/>
    <n v="0"/>
    <n v="0"/>
    <n v="20"/>
    <n v="3.72"/>
    <n v="24.38"/>
    <n v="2024"/>
    <n v="1"/>
    <n v="2023"/>
    <n v="10"/>
    <n v="10"/>
    <x v="0"/>
    <x v="0"/>
    <n v="-1338.38"/>
  </r>
  <r>
    <d v="2024-01-18T00:00:00"/>
    <s v="OPT-NIFTY-18-Jan-2024-21450-P-E-I"/>
    <s v="NSE"/>
    <x v="0"/>
    <n v="50"/>
    <n v="0"/>
    <n v="28.55"/>
    <n v="1427.5"/>
    <s v="#202401183700024967"/>
    <n v="0.89"/>
    <n v="0.72"/>
    <n v="0"/>
    <n v="0"/>
    <n v="20"/>
    <n v="3.72"/>
    <n v="25.33"/>
    <n v="2024"/>
    <n v="1"/>
    <n v="2023"/>
    <n v="10"/>
    <n v="10"/>
    <x v="0"/>
    <x v="0"/>
    <n v="1402.17"/>
  </r>
  <r>
    <d v="2024-01-18T00:00:00"/>
    <s v="OPT-NIFTY-18-Jan-2024-21450-P-E-I"/>
    <s v="NSE"/>
    <x v="1"/>
    <n v="50"/>
    <n v="0"/>
    <n v="16.649999999999999"/>
    <n v="832.5"/>
    <s v="#202401183700023948"/>
    <n v="0"/>
    <n v="0.42"/>
    <n v="0"/>
    <n v="0"/>
    <n v="20"/>
    <n v="3.68"/>
    <n v="24.1"/>
    <n v="2024"/>
    <n v="1"/>
    <n v="2023"/>
    <n v="10"/>
    <n v="10"/>
    <x v="0"/>
    <x v="0"/>
    <n v="-856.6"/>
  </r>
  <r>
    <d v="2024-01-18T00:00:00"/>
    <s v="OPT-NIFTY-18-Jan-2024-21450-P-E-I"/>
    <s v="NSE"/>
    <x v="0"/>
    <n v="100"/>
    <n v="0"/>
    <n v="21.6"/>
    <n v="2160"/>
    <s v="#202401183700019735"/>
    <n v="1.35"/>
    <n v="1.0900000000000001"/>
    <n v="0"/>
    <n v="0"/>
    <n v="40"/>
    <n v="7.4"/>
    <n v="49.84"/>
    <n v="2024"/>
    <n v="1"/>
    <n v="2023"/>
    <n v="10"/>
    <n v="10"/>
    <x v="0"/>
    <x v="0"/>
    <n v="2110.16"/>
  </r>
  <r>
    <d v="2024-01-18T00:00:00"/>
    <s v="OPT-NIFTY-18-Jan-2024-21450-P-E-I"/>
    <s v="NSE"/>
    <x v="1"/>
    <n v="100"/>
    <n v="0"/>
    <n v="10.8"/>
    <n v="1080"/>
    <s v="#202401183700016202"/>
    <n v="0"/>
    <n v="0.54"/>
    <n v="0"/>
    <n v="0"/>
    <n v="40"/>
    <n v="7.28"/>
    <n v="47.82"/>
    <n v="2024"/>
    <n v="1"/>
    <n v="2023"/>
    <n v="10"/>
    <n v="10"/>
    <x v="0"/>
    <x v="0"/>
    <n v="-1127.82"/>
  </r>
  <r>
    <d v="2024-01-18T00:00:00"/>
    <s v="OPT-NIFTY-18-Jan-2024-21300-P-E-I"/>
    <s v="NSE"/>
    <x v="0"/>
    <n v="50"/>
    <n v="0"/>
    <n v="2.5"/>
    <n v="125"/>
    <s v="#202401183700015997"/>
    <n v="0.08"/>
    <n v="0.06"/>
    <n v="0"/>
    <n v="0"/>
    <n v="20"/>
    <n v="3.62"/>
    <n v="23.76"/>
    <n v="2024"/>
    <n v="1"/>
    <n v="2023"/>
    <n v="10"/>
    <n v="10"/>
    <x v="0"/>
    <x v="0"/>
    <n v="101.24"/>
  </r>
  <r>
    <d v="2024-01-18T00:00:00"/>
    <s v="OPT-NIFTY-18-Jan-2024-21300-P-E-I"/>
    <s v="NSE"/>
    <x v="0"/>
    <n v="50"/>
    <n v="0"/>
    <n v="2.5"/>
    <n v="125"/>
    <s v="#202401183700015996"/>
    <n v="0.08"/>
    <n v="0.06"/>
    <n v="0"/>
    <n v="0"/>
    <n v="20"/>
    <n v="3.62"/>
    <n v="23.76"/>
    <n v="2024"/>
    <n v="1"/>
    <n v="2023"/>
    <n v="10"/>
    <n v="10"/>
    <x v="0"/>
    <x v="0"/>
    <n v="101.24"/>
  </r>
  <r>
    <d v="2024-01-18T00:00:00"/>
    <s v="OPT-NIFTY-18-Jan-2024-21300-P-E-I"/>
    <s v="NSE"/>
    <x v="0"/>
    <n v="50"/>
    <n v="0"/>
    <n v="2.7"/>
    <n v="135"/>
    <s v="#202401183700015950"/>
    <n v="0.08"/>
    <n v="7.0000000000000007E-2"/>
    <n v="0"/>
    <n v="0"/>
    <n v="20"/>
    <n v="3.62"/>
    <n v="23.77"/>
    <n v="2024"/>
    <n v="1"/>
    <n v="2023"/>
    <n v="10"/>
    <n v="10"/>
    <x v="0"/>
    <x v="0"/>
    <n v="111.23"/>
  </r>
  <r>
    <d v="2024-01-18T00:00:00"/>
    <s v="OPT-NIFTY-18-Jan-2024-21300-P-E-I"/>
    <s v="NSE"/>
    <x v="0"/>
    <n v="50"/>
    <n v="0"/>
    <n v="2.95"/>
    <n v="147.5"/>
    <s v="#202401183700015851"/>
    <n v="0.18"/>
    <n v="7.0000000000000007E-2"/>
    <n v="0"/>
    <n v="0"/>
    <n v="20"/>
    <n v="3.62"/>
    <n v="23.87"/>
    <n v="2024"/>
    <n v="1"/>
    <n v="2023"/>
    <n v="10"/>
    <n v="10"/>
    <x v="0"/>
    <x v="0"/>
    <n v="123.63"/>
  </r>
  <r>
    <d v="2024-01-18T00:00:00"/>
    <s v="OPT-NIFTY-18-Jan-2024-21300-P-E-I"/>
    <s v="NSE"/>
    <x v="1"/>
    <n v="50"/>
    <n v="0"/>
    <n v="3.2"/>
    <n v="160"/>
    <s v="#202401183700015105"/>
    <n v="0"/>
    <n v="0.08"/>
    <n v="0"/>
    <n v="0"/>
    <n v="20"/>
    <n v="3.62"/>
    <n v="23.7"/>
    <n v="2024"/>
    <n v="1"/>
    <n v="2023"/>
    <n v="10"/>
    <n v="10"/>
    <x v="0"/>
    <x v="0"/>
    <n v="-183.7"/>
  </r>
  <r>
    <d v="2024-01-18T00:00:00"/>
    <s v="OPT-NIFTY-18-Jan-2024-21300-P-E-I"/>
    <s v="NSE"/>
    <x v="1"/>
    <n v="50"/>
    <n v="0"/>
    <n v="3.7"/>
    <n v="185"/>
    <s v="#202401183700014798"/>
    <n v="0"/>
    <n v="0.09"/>
    <n v="0"/>
    <n v="0"/>
    <n v="20"/>
    <n v="3.62"/>
    <n v="23.71"/>
    <n v="2024"/>
    <n v="1"/>
    <n v="2023"/>
    <n v="10"/>
    <n v="10"/>
    <x v="0"/>
    <x v="0"/>
    <n v="-208.71"/>
  </r>
  <r>
    <d v="2024-01-18T00:00:00"/>
    <s v="OPT-NIFTY-18-Jan-2024-21300-P-E-I"/>
    <s v="NSE"/>
    <x v="1"/>
    <n v="50"/>
    <n v="0"/>
    <n v="5.75"/>
    <n v="287.5"/>
    <s v="#202401183700011974"/>
    <n v="0"/>
    <n v="0.15"/>
    <n v="0"/>
    <n v="0"/>
    <n v="20"/>
    <n v="3.62"/>
    <n v="23.77"/>
    <n v="2024"/>
    <n v="1"/>
    <n v="2023"/>
    <n v="10"/>
    <n v="10"/>
    <x v="0"/>
    <x v="0"/>
    <n v="-311.27"/>
  </r>
  <r>
    <d v="2024-01-18T00:00:00"/>
    <s v="OPT-NIFTY-18-Jan-2024-21300-P-E-I"/>
    <s v="NSE"/>
    <x v="1"/>
    <n v="50"/>
    <n v="0"/>
    <n v="6.35"/>
    <n v="317.5"/>
    <s v="#202401183700011826"/>
    <n v="0"/>
    <n v="0.16"/>
    <n v="0"/>
    <n v="0"/>
    <n v="20"/>
    <n v="3.62"/>
    <n v="23.78"/>
    <n v="2024"/>
    <n v="1"/>
    <n v="2023"/>
    <n v="10"/>
    <n v="10"/>
    <x v="0"/>
    <x v="0"/>
    <n v="-341.28"/>
  </r>
  <r>
    <d v="2024-01-18T00:00:00"/>
    <s v="OPT-NIFTY-18-Jan-2024-21500-C-E-I"/>
    <s v="NSE"/>
    <x v="0"/>
    <n v="50"/>
    <n v="0"/>
    <n v="35.65"/>
    <n v="1782.5"/>
    <s v="#202401183700010258"/>
    <n v="1.1100000000000001"/>
    <n v="0.9"/>
    <n v="0"/>
    <n v="0"/>
    <n v="20"/>
    <n v="3.76"/>
    <n v="25.77"/>
    <n v="2024"/>
    <n v="1"/>
    <n v="2023"/>
    <n v="10"/>
    <n v="10"/>
    <x v="0"/>
    <x v="0"/>
    <n v="1756.73"/>
  </r>
  <r>
    <d v="2024-01-18T00:00:00"/>
    <s v="OPT-NIFTY-18-Jan-2024-21500-C-E-I"/>
    <s v="NSE"/>
    <x v="0"/>
    <n v="50"/>
    <n v="0"/>
    <n v="35.65"/>
    <n v="1782.5"/>
    <s v="#202401183700010257"/>
    <n v="1.1100000000000001"/>
    <n v="0.9"/>
    <n v="0"/>
    <n v="0"/>
    <n v="20"/>
    <n v="3.76"/>
    <n v="25.77"/>
    <n v="2024"/>
    <n v="1"/>
    <n v="2023"/>
    <n v="10"/>
    <n v="10"/>
    <x v="0"/>
    <x v="0"/>
    <n v="1756.73"/>
  </r>
  <r>
    <d v="2024-01-18T00:00:00"/>
    <s v="OPT-NIFTY-18-Jan-2024-21500-C-E-I"/>
    <s v="NSE"/>
    <x v="1"/>
    <n v="50"/>
    <n v="0"/>
    <n v="10.75"/>
    <n v="537.5"/>
    <s v="#202401183700007449"/>
    <n v="0"/>
    <n v="0.27"/>
    <n v="0"/>
    <n v="0"/>
    <n v="20"/>
    <n v="3.64"/>
    <n v="23.91"/>
    <n v="2024"/>
    <n v="1"/>
    <n v="2023"/>
    <n v="10"/>
    <n v="10"/>
    <x v="0"/>
    <x v="0"/>
    <n v="-561.41"/>
  </r>
  <r>
    <d v="2024-01-18T00:00:00"/>
    <s v="OPT-NIFTY-18-Jan-2024-21500-C-E-I"/>
    <s v="NSE"/>
    <x v="1"/>
    <n v="50"/>
    <n v="0"/>
    <n v="10.6"/>
    <n v="530"/>
    <s v="#202401183700007239"/>
    <n v="0"/>
    <n v="0.27"/>
    <n v="0"/>
    <n v="0"/>
    <n v="20"/>
    <n v="3.64"/>
    <n v="23.91"/>
    <n v="2024"/>
    <n v="1"/>
    <n v="2023"/>
    <n v="10"/>
    <n v="10"/>
    <x v="0"/>
    <x v="0"/>
    <n v="-553.91"/>
  </r>
  <r>
    <d v="2024-01-18T00:00:00"/>
    <s v="OPT-NIFTY-18-Jan-2024-21600-C-E-I"/>
    <s v="NSE"/>
    <x v="0"/>
    <n v="50"/>
    <n v="0"/>
    <n v="3.35"/>
    <n v="167.5"/>
    <s v="#202401183700004493"/>
    <n v="0.1"/>
    <n v="0.08"/>
    <n v="0"/>
    <n v="0"/>
    <n v="20"/>
    <n v="3.62"/>
    <n v="23.8"/>
    <n v="2024"/>
    <n v="1"/>
    <n v="2023"/>
    <n v="10"/>
    <n v="10"/>
    <x v="0"/>
    <x v="0"/>
    <n v="143.69999999999999"/>
  </r>
  <r>
    <d v="2024-01-18T00:00:00"/>
    <s v="OPT-NIFTY-18-Jan-2024-21600-C-E-I"/>
    <s v="NSE"/>
    <x v="1"/>
    <n v="50"/>
    <n v="0"/>
    <n v="9.5"/>
    <n v="475"/>
    <s v="#202401183700001475"/>
    <n v="0"/>
    <n v="0.24"/>
    <n v="0"/>
    <n v="0"/>
    <n v="20"/>
    <n v="3.64"/>
    <n v="23.88"/>
    <n v="2024"/>
    <n v="1"/>
    <n v="2023"/>
    <n v="10"/>
    <n v="10"/>
    <x v="0"/>
    <x v="0"/>
    <n v="-498.88"/>
  </r>
  <r>
    <d v="2024-01-19T00:00:00"/>
    <s v="OPT-CNXBAN-25-Jan-2024-46000-P-E-I"/>
    <s v="NSE"/>
    <x v="0"/>
    <n v="30"/>
    <n v="0"/>
    <n v="437.4"/>
    <n v="13122"/>
    <s v="#202401193700009376"/>
    <n v="8"/>
    <n v="6.63"/>
    <n v="0"/>
    <n v="0.01"/>
    <n v="40"/>
    <n v="8.4"/>
    <n v="63.04"/>
    <n v="2024"/>
    <n v="1"/>
    <n v="2023"/>
    <n v="10"/>
    <n v="10"/>
    <x v="0"/>
    <x v="0"/>
    <n v="13058.96"/>
  </r>
  <r>
    <d v="2024-01-19T00:00:00"/>
    <s v="OPT-CNXBAN-25-Jan-2024-46000-P-E-I"/>
    <s v="NSE"/>
    <x v="1"/>
    <n v="15"/>
    <n v="0"/>
    <n v="324"/>
    <n v="4860"/>
    <s v="#202401193700008227"/>
    <n v="0"/>
    <n v="2.4500000000000002"/>
    <n v="0"/>
    <n v="0"/>
    <n v="20"/>
    <n v="4.04"/>
    <n v="26.49"/>
    <n v="2024"/>
    <n v="1"/>
    <n v="2023"/>
    <n v="10"/>
    <n v="10"/>
    <x v="0"/>
    <x v="0"/>
    <n v="-4886.49"/>
  </r>
  <r>
    <d v="2024-01-19T00:00:00"/>
    <s v="OPT-CNXBAN-25-Jan-2024-46000-P-E-I"/>
    <s v="NSE"/>
    <x v="1"/>
    <n v="15"/>
    <n v="0"/>
    <n v="323.45"/>
    <n v="4851.75"/>
    <s v="#202401193700007925"/>
    <n v="0"/>
    <n v="2.4500000000000002"/>
    <n v="0"/>
    <n v="0"/>
    <n v="20"/>
    <n v="4.04"/>
    <n v="26.49"/>
    <n v="2024"/>
    <n v="1"/>
    <n v="2023"/>
    <n v="10"/>
    <n v="10"/>
    <x v="0"/>
    <x v="0"/>
    <n v="-4878.24"/>
  </r>
  <r>
    <d v="2024-01-23T00:00:00"/>
    <s v="OPT-GUJGA-25-Jan-2024-560-C-E-S"/>
    <s v="NSE"/>
    <x v="0"/>
    <n v="1250"/>
    <n v="0"/>
    <n v="4.5999999999999996"/>
    <n v="5750"/>
    <s v="#202401233700026904"/>
    <n v="3.59"/>
    <n v="2.9"/>
    <n v="0"/>
    <n v="0.01"/>
    <n v="20"/>
    <n v="4.12"/>
    <n v="30.62"/>
    <n v="2024"/>
    <n v="1"/>
    <n v="2023"/>
    <n v="10"/>
    <n v="10"/>
    <x v="0"/>
    <x v="0"/>
    <n v="5719.38"/>
  </r>
  <r>
    <d v="2024-01-23T00:00:00"/>
    <s v="OPT-GUJGA-25-Jan-2024-560-C-E-S"/>
    <s v="NSE"/>
    <x v="1"/>
    <n v="1250"/>
    <n v="0"/>
    <n v="7.5"/>
    <n v="9375"/>
    <s v="#202401233700016186"/>
    <n v="0"/>
    <n v="4.7300000000000004"/>
    <n v="0.71"/>
    <n v="0.01"/>
    <n v="20"/>
    <n v="4.46"/>
    <n v="29.91"/>
    <n v="2024"/>
    <n v="1"/>
    <n v="2023"/>
    <n v="10"/>
    <n v="10"/>
    <x v="0"/>
    <x v="0"/>
    <n v="-9404.91"/>
  </r>
  <r>
    <d v="2024-01-23T00:00:00"/>
    <s v="OPT-NIFFIN-23-Jan-2024-20700-C-E-I"/>
    <s v="NSE"/>
    <x v="0"/>
    <n v="40"/>
    <n v="0"/>
    <n v="4.3499999999999996"/>
    <n v="174"/>
    <s v="#202401233700008238"/>
    <n v="0.28000000000000003"/>
    <n v="0.09"/>
    <n v="0"/>
    <n v="0"/>
    <n v="20"/>
    <n v="3.62"/>
    <n v="23.99"/>
    <n v="2024"/>
    <n v="1"/>
    <n v="2023"/>
    <n v="10"/>
    <n v="10"/>
    <x v="0"/>
    <x v="0"/>
    <n v="150.01"/>
  </r>
  <r>
    <d v="2024-01-23T00:00:00"/>
    <s v="OPT-NIFFIN-23-Jan-2024-20700-C-E-I"/>
    <s v="NSE"/>
    <x v="0"/>
    <n v="160"/>
    <n v="0"/>
    <n v="5.75"/>
    <n v="920"/>
    <s v="#202401233700007908"/>
    <n v="0.57999999999999996"/>
    <n v="0.46"/>
    <n v="0"/>
    <n v="0"/>
    <n v="80"/>
    <n v="14.48"/>
    <n v="95.52"/>
    <n v="2024"/>
    <n v="1"/>
    <n v="2023"/>
    <n v="10"/>
    <n v="10"/>
    <x v="0"/>
    <x v="0"/>
    <n v="824.48"/>
  </r>
  <r>
    <d v="2024-01-23T00:00:00"/>
    <s v="OPT-NIFFIN-23-Jan-2024-20700-C-E-I"/>
    <s v="NSE"/>
    <x v="0"/>
    <n v="40"/>
    <n v="0"/>
    <n v="5.8"/>
    <n v="232"/>
    <s v="#202401233700007202"/>
    <n v="0.15"/>
    <n v="0.12"/>
    <n v="0"/>
    <n v="0"/>
    <n v="20"/>
    <n v="3.62"/>
    <n v="23.89"/>
    <n v="2024"/>
    <n v="1"/>
    <n v="2023"/>
    <n v="10"/>
    <n v="10"/>
    <x v="0"/>
    <x v="0"/>
    <n v="208.11"/>
  </r>
  <r>
    <d v="2024-01-23T00:00:00"/>
    <s v="OPT-NIFTY-25-Jan-2024-21700-P-E-I"/>
    <s v="NSE"/>
    <x v="0"/>
    <n v="50"/>
    <n v="0"/>
    <n v="108.9"/>
    <n v="5445"/>
    <s v="#202401233700004840"/>
    <n v="3.4"/>
    <n v="2.75"/>
    <n v="0"/>
    <n v="0.01"/>
    <n v="20"/>
    <n v="4.0999999999999996"/>
    <n v="30.26"/>
    <n v="2024"/>
    <n v="1"/>
    <n v="2023"/>
    <n v="10"/>
    <n v="10"/>
    <x v="0"/>
    <x v="0"/>
    <n v="5414.74"/>
  </r>
  <r>
    <d v="2024-01-23T00:00:00"/>
    <s v="OPT-NIFFIN-23-Jan-2024-20700-C-E-I"/>
    <s v="NSE"/>
    <x v="1"/>
    <n v="40"/>
    <n v="0"/>
    <n v="11.25"/>
    <n v="450"/>
    <s v="#202401233700004524"/>
    <n v="0"/>
    <n v="0.23"/>
    <n v="0"/>
    <n v="0"/>
    <n v="20"/>
    <n v="3.64"/>
    <n v="23.87"/>
    <n v="2024"/>
    <n v="1"/>
    <n v="2023"/>
    <n v="10"/>
    <n v="10"/>
    <x v="0"/>
    <x v="0"/>
    <n v="-473.87"/>
  </r>
  <r>
    <d v="2024-01-23T00:00:00"/>
    <s v="OPT-NIFFIN-23-Jan-2024-20700-C-E-I"/>
    <s v="NSE"/>
    <x v="1"/>
    <n v="40"/>
    <n v="0"/>
    <n v="16.55"/>
    <n v="662"/>
    <s v="#202401233700004149"/>
    <n v="0"/>
    <n v="0.33"/>
    <n v="0"/>
    <n v="0"/>
    <n v="20"/>
    <n v="3.66"/>
    <n v="23.99"/>
    <n v="2024"/>
    <n v="1"/>
    <n v="2023"/>
    <n v="10"/>
    <n v="10"/>
    <x v="0"/>
    <x v="0"/>
    <n v="-685.99"/>
  </r>
  <r>
    <d v="2024-01-23T00:00:00"/>
    <s v="OPT-NIFFIN-23-Jan-2024-20700-C-E-I"/>
    <s v="NSE"/>
    <x v="1"/>
    <n v="40"/>
    <n v="0"/>
    <n v="22.05"/>
    <n v="882"/>
    <s v="#202401233700003692"/>
    <n v="0"/>
    <n v="0.45"/>
    <n v="0"/>
    <n v="0"/>
    <n v="20"/>
    <n v="3.68"/>
    <n v="24.13"/>
    <n v="2024"/>
    <n v="1"/>
    <n v="2023"/>
    <n v="10"/>
    <n v="10"/>
    <x v="0"/>
    <x v="0"/>
    <n v="-906.13"/>
  </r>
  <r>
    <d v="2024-01-23T00:00:00"/>
    <s v="OPT-NIFTY-25-Jan-2024-21700-P-E-I"/>
    <s v="NSE"/>
    <x v="1"/>
    <n v="50"/>
    <n v="0"/>
    <n v="75.7"/>
    <n v="3785"/>
    <s v="#202401233700002870"/>
    <n v="0"/>
    <n v="1.91"/>
    <n v="0.11"/>
    <n v="0"/>
    <n v="20"/>
    <n v="3.94"/>
    <n v="25.96"/>
    <n v="2024"/>
    <n v="1"/>
    <n v="2023"/>
    <n v="10"/>
    <n v="10"/>
    <x v="0"/>
    <x v="0"/>
    <n v="-3810.96"/>
  </r>
  <r>
    <d v="2024-01-23T00:00:00"/>
    <s v="OPT-NIFFIN-23-Jan-2024-20700-C-E-I"/>
    <s v="NSE"/>
    <x v="1"/>
    <n v="40"/>
    <n v="0"/>
    <n v="24.3"/>
    <n v="972"/>
    <s v="#202401233700002650"/>
    <n v="0"/>
    <n v="0.49"/>
    <n v="0"/>
    <n v="0"/>
    <n v="20"/>
    <n v="3.68"/>
    <n v="24.17"/>
    <n v="2024"/>
    <n v="1"/>
    <n v="2023"/>
    <n v="10"/>
    <n v="10"/>
    <x v="0"/>
    <x v="0"/>
    <n v="-996.17"/>
  </r>
  <r>
    <d v="2024-01-23T00:00:00"/>
    <s v="OPT-NIFFIN-23-Jan-2024-20700-C-E-I"/>
    <s v="NSE"/>
    <x v="1"/>
    <n v="40"/>
    <n v="0"/>
    <n v="30.1"/>
    <n v="1204"/>
    <s v="#202401233700002287"/>
    <n v="0"/>
    <n v="0.61"/>
    <n v="0"/>
    <n v="0"/>
    <n v="20"/>
    <n v="3.7"/>
    <n v="24.31"/>
    <n v="2024"/>
    <n v="1"/>
    <n v="2023"/>
    <n v="10"/>
    <n v="10"/>
    <x v="0"/>
    <x v="0"/>
    <n v="-1228.31"/>
  </r>
  <r>
    <d v="2024-01-23T00:00:00"/>
    <s v="OPT-NIFFIN-23-Jan-2024-20700-C-E-I"/>
    <s v="NSE"/>
    <x v="1"/>
    <n v="40"/>
    <n v="0"/>
    <n v="41.9"/>
    <n v="1676"/>
    <s v="#202401233700001458"/>
    <n v="0"/>
    <n v="0.85"/>
    <n v="0.18"/>
    <n v="0"/>
    <n v="20"/>
    <n v="3.76"/>
    <n v="24.79"/>
    <n v="2024"/>
    <n v="1"/>
    <n v="2023"/>
    <n v="10"/>
    <n v="10"/>
    <x v="0"/>
    <x v="0"/>
    <n v="-1700.79"/>
  </r>
  <r>
    <d v="2024-01-24T00:00:00"/>
    <s v="OPT-CNXBAN-25-Jan-2024-44800-C-E-I"/>
    <s v="NSE"/>
    <x v="0"/>
    <n v="15"/>
    <n v="0"/>
    <n v="402.3"/>
    <n v="6034.5"/>
    <s v="#202401243700025304"/>
    <n v="3.45"/>
    <n v="3.05"/>
    <n v="0"/>
    <n v="0.01"/>
    <n v="20"/>
    <n v="4.16"/>
    <n v="30.67"/>
    <n v="2024"/>
    <n v="1"/>
    <n v="2023"/>
    <n v="10"/>
    <n v="10"/>
    <x v="0"/>
    <x v="0"/>
    <n v="6003.83"/>
  </r>
  <r>
    <d v="2024-01-24T00:00:00"/>
    <s v="OPT-CNXBAN-25-Jan-2024-44800-C-E-I"/>
    <s v="NSE"/>
    <x v="1"/>
    <n v="15"/>
    <n v="0"/>
    <n v="248.5"/>
    <n v="3727.5"/>
    <s v="#202401243700023874"/>
    <n v="0"/>
    <n v="1.88"/>
    <n v="0"/>
    <n v="0"/>
    <n v="20"/>
    <n v="3.94"/>
    <n v="25.82"/>
    <n v="2024"/>
    <n v="1"/>
    <n v="2023"/>
    <n v="10"/>
    <n v="10"/>
    <x v="0"/>
    <x v="0"/>
    <n v="-3753.32"/>
  </r>
  <r>
    <d v="2024-01-24T00:00:00"/>
    <s v="OPT-CNXBAN-25-Jan-2024-45500-C-E-I"/>
    <s v="NSE"/>
    <x v="0"/>
    <n v="15"/>
    <n v="0"/>
    <n v="116.25"/>
    <n v="1743.75"/>
    <s v="#202401243700013686"/>
    <n v="1.0900000000000001"/>
    <n v="0.88"/>
    <n v="0"/>
    <n v="0"/>
    <n v="20"/>
    <n v="3.76"/>
    <n v="25.73"/>
    <n v="2024"/>
    <n v="1"/>
    <n v="2023"/>
    <n v="10"/>
    <n v="10"/>
    <x v="0"/>
    <x v="0"/>
    <n v="1718.02"/>
  </r>
  <r>
    <d v="2024-01-24T00:00:00"/>
    <s v="OPT-CNXBAN-25-Jan-2024-45500-C-E-I"/>
    <s v="NSE"/>
    <x v="0"/>
    <n v="15"/>
    <n v="0"/>
    <n v="116.25"/>
    <n v="1743.75"/>
    <s v="#202401243700013685"/>
    <n v="1.0900000000000001"/>
    <n v="0.88"/>
    <n v="0"/>
    <n v="0"/>
    <n v="20"/>
    <n v="3.76"/>
    <n v="25.73"/>
    <n v="2024"/>
    <n v="1"/>
    <n v="2023"/>
    <n v="10"/>
    <n v="10"/>
    <x v="0"/>
    <x v="0"/>
    <n v="1718.02"/>
  </r>
  <r>
    <d v="2024-01-24T00:00:00"/>
    <s v="OPT-CNXBAN-25-Jan-2024-45500-C-E-I"/>
    <s v="NSE"/>
    <x v="1"/>
    <n v="15"/>
    <n v="0"/>
    <n v="95.8"/>
    <n v="1437"/>
    <s v="#202401243700012661"/>
    <n v="0"/>
    <n v="0.73"/>
    <n v="0"/>
    <n v="0"/>
    <n v="20"/>
    <n v="3.74"/>
    <n v="24.47"/>
    <n v="2024"/>
    <n v="1"/>
    <n v="2023"/>
    <n v="10"/>
    <n v="10"/>
    <x v="0"/>
    <x v="0"/>
    <n v="-1461.47"/>
  </r>
  <r>
    <d v="2024-01-24T00:00:00"/>
    <s v="OPT-CNXBAN-25-Jan-2024-45500-C-E-I"/>
    <s v="NSE"/>
    <x v="1"/>
    <n v="15"/>
    <n v="0"/>
    <n v="104.5"/>
    <n v="1567.5"/>
    <s v="#202401243700012385"/>
    <n v="0"/>
    <n v="0.79"/>
    <n v="0"/>
    <n v="0"/>
    <n v="20"/>
    <n v="3.74"/>
    <n v="24.53"/>
    <n v="2024"/>
    <n v="1"/>
    <n v="2023"/>
    <n v="10"/>
    <n v="10"/>
    <x v="0"/>
    <x v="0"/>
    <n v="-1592.03"/>
  </r>
  <r>
    <d v="2024-01-24T00:00:00"/>
    <s v="OPT-CNXBAN-25-Jan-2024-45000-P-E-I"/>
    <s v="NSE"/>
    <x v="0"/>
    <n v="15"/>
    <n v="0"/>
    <n v="286.60000000000002"/>
    <n v="4299"/>
    <s v="#202401243700012190"/>
    <n v="2.69"/>
    <n v="2.17"/>
    <n v="0"/>
    <n v="0"/>
    <n v="20"/>
    <n v="4"/>
    <n v="28.86"/>
    <n v="2024"/>
    <n v="1"/>
    <n v="2023"/>
    <n v="10"/>
    <n v="10"/>
    <x v="0"/>
    <x v="0"/>
    <n v="4270.1400000000003"/>
  </r>
  <r>
    <d v="2024-01-24T00:00:00"/>
    <s v="OPT-CNXBAN-25-Jan-2024-45000-P-E-I"/>
    <s v="NSE"/>
    <x v="0"/>
    <n v="15"/>
    <n v="0"/>
    <n v="286.60000000000002"/>
    <n v="4299"/>
    <s v="#202401243700012189"/>
    <n v="2.69"/>
    <n v="2.17"/>
    <n v="0"/>
    <n v="0"/>
    <n v="20"/>
    <n v="4"/>
    <n v="28.86"/>
    <n v="2024"/>
    <n v="1"/>
    <n v="2023"/>
    <n v="10"/>
    <n v="10"/>
    <x v="0"/>
    <x v="0"/>
    <n v="4270.1400000000003"/>
  </r>
  <r>
    <d v="2024-01-24T00:00:00"/>
    <s v="OPT-CNXBAN-25-Jan-2024-45000-P-E-I"/>
    <s v="NSE"/>
    <x v="1"/>
    <n v="15"/>
    <n v="0"/>
    <n v="157.19999999999999"/>
    <n v="2358"/>
    <s v="#202401243700010306"/>
    <n v="0"/>
    <n v="1.19"/>
    <n v="0"/>
    <n v="0"/>
    <n v="20"/>
    <n v="3.82"/>
    <n v="25.01"/>
    <n v="2024"/>
    <n v="1"/>
    <n v="2023"/>
    <n v="10"/>
    <n v="10"/>
    <x v="0"/>
    <x v="0"/>
    <n v="-2383.0100000000002"/>
  </r>
  <r>
    <d v="2024-01-24T00:00:00"/>
    <s v="OPT-CNXBAN-25-Jan-2024-45000-P-E-I"/>
    <s v="NSE"/>
    <x v="1"/>
    <n v="15"/>
    <n v="0"/>
    <n v="216.95"/>
    <n v="3254.25"/>
    <s v="#202401243700009876"/>
    <n v="0"/>
    <n v="1.64"/>
    <n v="0"/>
    <n v="0"/>
    <n v="20"/>
    <n v="3.9"/>
    <n v="25.54"/>
    <n v="2024"/>
    <n v="1"/>
    <n v="2023"/>
    <n v="10"/>
    <n v="10"/>
    <x v="0"/>
    <x v="0"/>
    <n v="-3279.79"/>
  </r>
  <r>
    <d v="2024-01-25T00:00:00"/>
    <s v="OPT-NIFTY-25-Jan-2024-21300-P-E-I"/>
    <s v="NSE"/>
    <x v="0"/>
    <n v="100"/>
    <n v="0"/>
    <n v="57"/>
    <n v="5700"/>
    <s v="#202401253700020304"/>
    <n v="3.56"/>
    <n v="2.88"/>
    <n v="0"/>
    <n v="0.01"/>
    <n v="40"/>
    <n v="7.72"/>
    <n v="54.17"/>
    <n v="2024"/>
    <n v="1"/>
    <n v="2023"/>
    <n v="10"/>
    <n v="10"/>
    <x v="0"/>
    <x v="0"/>
    <n v="5645.83"/>
  </r>
  <r>
    <d v="2024-01-25T00:00:00"/>
    <s v="OPT-NIFTY-25-Jan-2024-21300-P-E-I"/>
    <s v="NSE"/>
    <x v="1"/>
    <n v="100"/>
    <n v="0"/>
    <n v="44.85"/>
    <n v="4485"/>
    <s v="#202401253700020156"/>
    <n v="0"/>
    <n v="2.2599999999999998"/>
    <n v="0.37"/>
    <n v="0"/>
    <n v="40"/>
    <n v="7.6"/>
    <n v="50.23"/>
    <n v="2024"/>
    <n v="1"/>
    <n v="2023"/>
    <n v="10"/>
    <n v="10"/>
    <x v="0"/>
    <x v="0"/>
    <n v="-4535.2299999999996"/>
  </r>
  <r>
    <d v="2024-01-25T00:00:00"/>
    <s v="OPT-NIFTY-25-Jan-2024-21300-P-E-I"/>
    <s v="NSE"/>
    <x v="0"/>
    <n v="200"/>
    <n v="0"/>
    <n v="55"/>
    <n v="11000"/>
    <s v="#202401253700017592"/>
    <n v="6.88"/>
    <n v="5.56"/>
    <n v="0"/>
    <n v="0.01"/>
    <n v="80"/>
    <n v="15.42"/>
    <n v="107.87"/>
    <n v="2024"/>
    <n v="1"/>
    <n v="2023"/>
    <n v="10"/>
    <n v="10"/>
    <x v="0"/>
    <x v="0"/>
    <n v="10892.13"/>
  </r>
  <r>
    <d v="2024-01-25T00:00:00"/>
    <s v="OPT-NIFTY-25-Jan-2024-21300-P-E-I"/>
    <s v="NSE"/>
    <x v="1"/>
    <n v="200"/>
    <n v="0"/>
    <n v="45.4"/>
    <n v="9080"/>
    <s v="#202401253700016766"/>
    <n v="0"/>
    <n v="4.59"/>
    <n v="0"/>
    <n v="0"/>
    <n v="80"/>
    <n v="15.22"/>
    <n v="99.81"/>
    <n v="2024"/>
    <n v="1"/>
    <n v="2023"/>
    <n v="10"/>
    <n v="10"/>
    <x v="0"/>
    <x v="0"/>
    <n v="-9179.81"/>
  </r>
  <r>
    <d v="2024-01-25T00:00:00"/>
    <s v="OPT-NIFTY-25-Jan-2024-21400-C-E-I"/>
    <s v="NSE"/>
    <x v="0"/>
    <n v="300"/>
    <n v="0"/>
    <n v="14.15"/>
    <n v="4245"/>
    <s v="#202401253700016679"/>
    <n v="2.65"/>
    <n v="2.15"/>
    <n v="0"/>
    <n v="0"/>
    <n v="120"/>
    <n v="21.98"/>
    <n v="146.78"/>
    <n v="2024"/>
    <n v="1"/>
    <n v="2023"/>
    <n v="10"/>
    <n v="10"/>
    <x v="0"/>
    <x v="0"/>
    <n v="4098.22"/>
  </r>
  <r>
    <d v="2024-01-25T00:00:00"/>
    <s v="OPT-NIFTY-25-Jan-2024-21400-C-E-I"/>
    <s v="NSE"/>
    <x v="1"/>
    <n v="100"/>
    <n v="0"/>
    <n v="19.75"/>
    <n v="1975"/>
    <s v="#202401253700015563"/>
    <n v="0"/>
    <n v="1"/>
    <n v="0"/>
    <n v="0"/>
    <n v="40"/>
    <n v="7.38"/>
    <n v="48.38"/>
    <n v="2024"/>
    <n v="1"/>
    <n v="2023"/>
    <n v="10"/>
    <n v="10"/>
    <x v="0"/>
    <x v="0"/>
    <n v="-2023.38"/>
  </r>
  <r>
    <d v="2024-01-25T00:00:00"/>
    <s v="OPT-NIFTY-25-Jan-2024-21400-C-E-I"/>
    <s v="NSE"/>
    <x v="1"/>
    <n v="100"/>
    <n v="0"/>
    <n v="19.8"/>
    <n v="1980"/>
    <s v="#202401253700015418"/>
    <n v="0"/>
    <n v="1"/>
    <n v="0.4"/>
    <n v="0"/>
    <n v="40"/>
    <n v="7.38"/>
    <n v="48.78"/>
    <n v="2024"/>
    <n v="1"/>
    <n v="2023"/>
    <n v="10"/>
    <n v="10"/>
    <x v="0"/>
    <x v="0"/>
    <n v="-2028.78"/>
  </r>
  <r>
    <d v="2024-01-25T00:00:00"/>
    <s v="OPT-NIFTY-25-Jan-2024-21400-C-E-I"/>
    <s v="NSE"/>
    <x v="1"/>
    <n v="100"/>
    <n v="0"/>
    <n v="21.55"/>
    <n v="2155"/>
    <s v="#202401253700013772"/>
    <n v="0"/>
    <n v="1.0900000000000001"/>
    <n v="0"/>
    <n v="0"/>
    <n v="40"/>
    <n v="7.4"/>
    <n v="48.49"/>
    <n v="2024"/>
    <n v="1"/>
    <n v="2023"/>
    <n v="10"/>
    <n v="10"/>
    <x v="0"/>
    <x v="0"/>
    <n v="-2203.4899999999998"/>
  </r>
  <r>
    <d v="2024-01-25T00:00:00"/>
    <s v="OPT-NIFTY-25-Jan-2024-21400-C-E-I"/>
    <s v="NSE"/>
    <x v="0"/>
    <n v="100"/>
    <n v="0"/>
    <n v="15.95"/>
    <n v="1595"/>
    <s v="#202401253700010839"/>
    <n v="1"/>
    <n v="0.81"/>
    <n v="0"/>
    <n v="0"/>
    <n v="40"/>
    <n v="7.34"/>
    <n v="49.15"/>
    <n v="2024"/>
    <n v="1"/>
    <n v="2023"/>
    <n v="10"/>
    <n v="10"/>
    <x v="0"/>
    <x v="0"/>
    <n v="1545.85"/>
  </r>
  <r>
    <d v="2024-01-25T00:00:00"/>
    <s v="OPT-NIFTY-25-Jan-2024-21400-C-E-I"/>
    <s v="NSE"/>
    <x v="1"/>
    <n v="100"/>
    <n v="0"/>
    <n v="26.65"/>
    <n v="2665"/>
    <s v="#202401253700009131"/>
    <n v="0"/>
    <n v="1.35"/>
    <n v="0"/>
    <n v="0"/>
    <n v="40"/>
    <n v="7.44"/>
    <n v="48.79"/>
    <n v="2024"/>
    <n v="1"/>
    <n v="2023"/>
    <n v="10"/>
    <n v="10"/>
    <x v="0"/>
    <x v="0"/>
    <n v="-2713.79"/>
  </r>
  <r>
    <d v="2024-01-25T00:00:00"/>
    <s v="OPT-NIFTY-25-Jan-2024-21400-P-E-I"/>
    <s v="NSE"/>
    <x v="0"/>
    <n v="50"/>
    <n v="0"/>
    <n v="116.1"/>
    <n v="5805"/>
    <s v="#202401253700008328"/>
    <n v="3.63"/>
    <n v="2.93"/>
    <n v="0"/>
    <n v="0.01"/>
    <n v="20"/>
    <n v="4.12"/>
    <n v="30.69"/>
    <n v="2024"/>
    <n v="1"/>
    <n v="2023"/>
    <n v="10"/>
    <n v="10"/>
    <x v="0"/>
    <x v="0"/>
    <n v="5774.31"/>
  </r>
  <r>
    <d v="2024-01-25T00:00:00"/>
    <s v="OPT-NIFTY-25-Jan-2024-21400-C-E-I"/>
    <s v="NSE"/>
    <x v="0"/>
    <n v="50"/>
    <n v="0"/>
    <n v="32.75"/>
    <n v="1637.5"/>
    <s v="#202401253700006833"/>
    <n v="1.02"/>
    <n v="0.83"/>
    <n v="0"/>
    <n v="0"/>
    <n v="20"/>
    <n v="3.74"/>
    <n v="25.59"/>
    <n v="2024"/>
    <n v="1"/>
    <n v="2023"/>
    <n v="10"/>
    <n v="10"/>
    <x v="0"/>
    <x v="0"/>
    <n v="1611.91"/>
  </r>
  <r>
    <d v="2024-01-25T00:00:00"/>
    <s v="OPT-NIFTY-25-Jan-2024-21400-P-E-I"/>
    <s v="NSE"/>
    <x v="1"/>
    <n v="50"/>
    <n v="0"/>
    <n v="83.7"/>
    <n v="4185"/>
    <s v="#202401253700006307"/>
    <n v="0"/>
    <n v="2.11"/>
    <n v="0"/>
    <n v="0"/>
    <n v="20"/>
    <n v="3.98"/>
    <n v="26.09"/>
    <n v="2024"/>
    <n v="1"/>
    <n v="2023"/>
    <n v="10"/>
    <n v="10"/>
    <x v="0"/>
    <x v="0"/>
    <n v="-4211.09"/>
  </r>
  <r>
    <d v="2024-01-25T00:00:00"/>
    <s v="OPT-NIFTY-25-Jan-2024-21400-P-E-I"/>
    <s v="NSE"/>
    <x v="0"/>
    <n v="50"/>
    <n v="0"/>
    <n v="72.400000000000006"/>
    <n v="3620"/>
    <s v="#202401253700005092"/>
    <n v="2.2599999999999998"/>
    <n v="1.83"/>
    <n v="0"/>
    <n v="0"/>
    <n v="20"/>
    <n v="3.92"/>
    <n v="28.01"/>
    <n v="2024"/>
    <n v="1"/>
    <n v="2023"/>
    <n v="10"/>
    <n v="10"/>
    <x v="0"/>
    <x v="0"/>
    <n v="3591.99"/>
  </r>
  <r>
    <d v="2024-01-25T00:00:00"/>
    <s v="OPT-NIFTY-25-Jan-2024-21400-P-E-I"/>
    <s v="NSE"/>
    <x v="1"/>
    <n v="50"/>
    <n v="0"/>
    <n v="67.95"/>
    <n v="3397.5"/>
    <s v="#202401253700004529"/>
    <n v="0"/>
    <n v="1.72"/>
    <n v="0.23"/>
    <n v="0"/>
    <n v="20"/>
    <n v="3.9"/>
    <n v="25.85"/>
    <n v="2024"/>
    <n v="1"/>
    <n v="2023"/>
    <n v="10"/>
    <n v="10"/>
    <x v="0"/>
    <x v="0"/>
    <n v="-3423.35"/>
  </r>
  <r>
    <d v="2024-01-25T00:00:00"/>
    <s v="OPT-NIFTY-25-Jan-2024-21400-C-E-I"/>
    <s v="NSE"/>
    <x v="1"/>
    <n v="50"/>
    <n v="0"/>
    <n v="89.05"/>
    <n v="4452.5"/>
    <s v="#202401252500000521"/>
    <n v="0"/>
    <n v="2.25"/>
    <n v="0"/>
    <n v="0"/>
    <n v="20"/>
    <n v="4"/>
    <n v="26.25"/>
    <n v="2024"/>
    <n v="1"/>
    <n v="2023"/>
    <n v="10"/>
    <n v="10"/>
    <x v="0"/>
    <x v="0"/>
    <n v="-4478.75"/>
  </r>
  <r>
    <d v="2024-01-29T00:00:00"/>
    <s v="OPT-NIFTY-01-Feb-2024-21500-P-E-I"/>
    <s v="NSE"/>
    <x v="0"/>
    <n v="50"/>
    <n v="0"/>
    <n v="88.4"/>
    <n v="4420"/>
    <s v="#202401293700018860"/>
    <n v="2.76"/>
    <n v="2.23"/>
    <n v="0"/>
    <n v="0"/>
    <n v="20"/>
    <n v="4"/>
    <n v="28.99"/>
    <n v="2024"/>
    <n v="1"/>
    <n v="2023"/>
    <n v="10"/>
    <n v="10"/>
    <x v="0"/>
    <x v="0"/>
    <n v="4391.01"/>
  </r>
  <r>
    <d v="2024-01-29T00:00:00"/>
    <s v="OPT-NIFTY-01-Feb-2024-21500-P-E-I"/>
    <s v="NSE"/>
    <x v="1"/>
    <n v="50"/>
    <n v="0"/>
    <n v="95"/>
    <n v="4750"/>
    <s v="#202401293700015173"/>
    <n v="0"/>
    <n v="2.4"/>
    <n v="0"/>
    <n v="0"/>
    <n v="20"/>
    <n v="4.04"/>
    <n v="26.44"/>
    <n v="2024"/>
    <n v="1"/>
    <n v="2023"/>
    <n v="10"/>
    <n v="10"/>
    <x v="0"/>
    <x v="0"/>
    <n v="-4776.4399999999996"/>
  </r>
  <r>
    <d v="2024-01-29T00:00:00"/>
    <s v="OPT-NIFTY-01-Feb-2024-21500-P-E-I"/>
    <s v="NSE"/>
    <x v="0"/>
    <n v="100"/>
    <n v="0"/>
    <n v="89"/>
    <n v="8900"/>
    <s v="#202401293700014382"/>
    <n v="5.56"/>
    <n v="4.49"/>
    <n v="0"/>
    <n v="0.01"/>
    <n v="40"/>
    <n v="8.02"/>
    <n v="58.08"/>
    <n v="2024"/>
    <n v="1"/>
    <n v="2023"/>
    <n v="10"/>
    <n v="10"/>
    <x v="0"/>
    <x v="0"/>
    <n v="8841.92"/>
  </r>
  <r>
    <d v="2024-01-29T00:00:00"/>
    <s v="OPT-NIFSEL-29-Jan-2024-10450-P-E-I"/>
    <s v="NSE"/>
    <x v="0"/>
    <n v="225"/>
    <n v="0"/>
    <n v="0.4"/>
    <n v="90"/>
    <s v="#202401293700014362"/>
    <n v="0.26"/>
    <n v="0.05"/>
    <n v="0"/>
    <n v="0"/>
    <n v="60"/>
    <n v="10.8"/>
    <n v="71.11"/>
    <n v="2024"/>
    <n v="1"/>
    <n v="2023"/>
    <n v="10"/>
    <n v="10"/>
    <x v="0"/>
    <x v="0"/>
    <n v="18.89"/>
  </r>
  <r>
    <d v="2024-01-29T00:00:00"/>
    <s v="OPT-NIFSEL-29-Jan-2024-10450-P-E-I"/>
    <s v="NSE"/>
    <x v="1"/>
    <n v="150"/>
    <n v="0"/>
    <n v="2.2000000000000002"/>
    <n v="330"/>
    <s v="#202401293700012467"/>
    <n v="0"/>
    <n v="0.17"/>
    <n v="0.02"/>
    <n v="0"/>
    <n v="40"/>
    <n v="7.24"/>
    <n v="47.43"/>
    <n v="2024"/>
    <n v="1"/>
    <n v="2023"/>
    <n v="10"/>
    <n v="10"/>
    <x v="0"/>
    <x v="0"/>
    <n v="-377.43"/>
  </r>
  <r>
    <d v="2024-01-29T00:00:00"/>
    <s v="OPT-NIFTY-01-Feb-2024-21500-P-E-I"/>
    <s v="NSE"/>
    <x v="1"/>
    <n v="50"/>
    <n v="0"/>
    <n v="105.45"/>
    <n v="5272.5"/>
    <s v="#202401293700011964"/>
    <n v="0"/>
    <n v="2.66"/>
    <n v="0"/>
    <n v="0.01"/>
    <n v="20"/>
    <n v="4.08"/>
    <n v="26.75"/>
    <n v="2024"/>
    <n v="1"/>
    <n v="2023"/>
    <n v="10"/>
    <n v="10"/>
    <x v="0"/>
    <x v="0"/>
    <n v="-5299.25"/>
  </r>
  <r>
    <d v="2024-01-29T00:00:00"/>
    <s v="OPT-NIFSEL-29-Jan-2024-10450-P-E-I"/>
    <s v="NSE"/>
    <x v="1"/>
    <n v="75"/>
    <n v="0"/>
    <n v="3.55"/>
    <n v="266.25"/>
    <s v="#202401293700011420"/>
    <n v="0"/>
    <n v="0.13"/>
    <n v="0"/>
    <n v="0"/>
    <n v="20"/>
    <n v="3.62"/>
    <n v="23.75"/>
    <n v="2024"/>
    <n v="1"/>
    <n v="2023"/>
    <n v="10"/>
    <n v="10"/>
    <x v="0"/>
    <x v="0"/>
    <n v="-290"/>
  </r>
  <r>
    <d v="2024-01-29T00:00:00"/>
    <s v="OPT-NIFTY-01-Feb-2024-21500-P-E-I"/>
    <s v="NSE"/>
    <x v="1"/>
    <n v="50"/>
    <n v="0"/>
    <n v="120"/>
    <n v="6000"/>
    <s v="#202401293700010256"/>
    <n v="0"/>
    <n v="3.03"/>
    <n v="0"/>
    <n v="0.01"/>
    <n v="20"/>
    <n v="4.1399999999999997"/>
    <n v="27.18"/>
    <n v="2024"/>
    <n v="1"/>
    <n v="2023"/>
    <n v="10"/>
    <n v="10"/>
    <x v="0"/>
    <x v="0"/>
    <n v="-6027.18"/>
  </r>
  <r>
    <d v="2024-01-29T00:00:00"/>
    <s v="OPT-NIFTY-01-Feb-2024-21500-P-E-I"/>
    <s v="NSE"/>
    <x v="0"/>
    <n v="50"/>
    <n v="0"/>
    <n v="117.75"/>
    <n v="5887.5"/>
    <s v="#202401293700007052"/>
    <n v="3.68"/>
    <n v="2.97"/>
    <n v="0"/>
    <n v="0.01"/>
    <n v="20"/>
    <n v="4.1399999999999997"/>
    <n v="30.8"/>
    <n v="2024"/>
    <n v="1"/>
    <n v="2023"/>
    <n v="10"/>
    <n v="10"/>
    <x v="0"/>
    <x v="0"/>
    <n v="5856.7"/>
  </r>
  <r>
    <d v="2024-01-29T00:00:00"/>
    <s v="OPT-NIFTY-01-Feb-2024-21500-P-E-I"/>
    <s v="NSE"/>
    <x v="1"/>
    <n v="50"/>
    <n v="0"/>
    <n v="114.2"/>
    <n v="5710"/>
    <s v="#202401293700005726"/>
    <n v="0"/>
    <n v="2.88"/>
    <n v="0.96"/>
    <n v="0.01"/>
    <n v="20"/>
    <n v="4.12"/>
    <n v="27.97"/>
    <n v="2024"/>
    <n v="1"/>
    <n v="2023"/>
    <n v="10"/>
    <n v="10"/>
    <x v="0"/>
    <x v="0"/>
    <n v="-5737.97"/>
  </r>
  <r>
    <d v="2024-01-29T00:00:00"/>
    <s v="OPT-NIFSEL-29-Jan-2024-10600-C-E-I"/>
    <s v="NSE"/>
    <x v="0"/>
    <n v="75"/>
    <n v="0"/>
    <n v="18.55"/>
    <n v="1391.25"/>
    <s v="#202401293700004864"/>
    <n v="0.87"/>
    <n v="0.7"/>
    <n v="0"/>
    <n v="0"/>
    <n v="20"/>
    <n v="3.72"/>
    <n v="25.29"/>
    <n v="2024"/>
    <n v="1"/>
    <n v="2023"/>
    <n v="10"/>
    <n v="10"/>
    <x v="0"/>
    <x v="0"/>
    <n v="1365.96"/>
  </r>
  <r>
    <d v="2024-01-29T00:00:00"/>
    <s v="OPT-NIFSEL-29-Jan-2024-10600-C-E-I"/>
    <s v="NSE"/>
    <x v="0"/>
    <n v="75"/>
    <n v="0"/>
    <n v="18.55"/>
    <n v="1391.25"/>
    <s v="#202401293700004771"/>
    <n v="0.87"/>
    <n v="0.7"/>
    <n v="0"/>
    <n v="0"/>
    <n v="20"/>
    <n v="3.72"/>
    <n v="25.29"/>
    <n v="2024"/>
    <n v="1"/>
    <n v="2023"/>
    <n v="10"/>
    <n v="10"/>
    <x v="0"/>
    <x v="0"/>
    <n v="1365.96"/>
  </r>
  <r>
    <d v="2024-01-29T00:00:00"/>
    <s v="OPT-NIFSEL-29-Jan-2024-10600-C-E-I"/>
    <s v="NSE"/>
    <x v="1"/>
    <n v="75"/>
    <n v="0"/>
    <n v="3.45"/>
    <n v="258.75"/>
    <s v="#202401293700001543"/>
    <n v="0"/>
    <n v="0.13"/>
    <n v="0"/>
    <n v="0"/>
    <n v="20"/>
    <n v="3.62"/>
    <n v="23.75"/>
    <n v="2024"/>
    <n v="1"/>
    <n v="2023"/>
    <n v="10"/>
    <n v="10"/>
    <x v="0"/>
    <x v="0"/>
    <n v="-282.5"/>
  </r>
  <r>
    <d v="2024-01-29T00:00:00"/>
    <s v="OPT-NIFSEL-29-Jan-2024-10600-C-E-I"/>
    <s v="NSE"/>
    <x v="1"/>
    <n v="75"/>
    <n v="0"/>
    <n v="3.55"/>
    <n v="266.25"/>
    <s v="#202401293700001118"/>
    <n v="0"/>
    <n v="0.13"/>
    <n v="0.02"/>
    <n v="0"/>
    <n v="20"/>
    <n v="3.62"/>
    <n v="23.77"/>
    <n v="2024"/>
    <n v="1"/>
    <n v="2023"/>
    <n v="10"/>
    <n v="10"/>
    <x v="0"/>
    <x v="0"/>
    <n v="-290.02"/>
  </r>
  <r>
    <d v="2024-01-30T00:00:00"/>
    <s v="OPT-NIFTY-01-Feb-2024-21700-P-E-I"/>
    <s v="NSE"/>
    <x v="0"/>
    <n v="50"/>
    <n v="0"/>
    <n v="161.15"/>
    <n v="8057.5"/>
    <s v="#202401304500007011"/>
    <n v="5.04"/>
    <n v="4.07"/>
    <n v="0"/>
    <n v="0.01"/>
    <n v="20"/>
    <n v="4.34"/>
    <n v="33.46"/>
    <n v="2024"/>
    <n v="1"/>
    <n v="2023"/>
    <n v="10"/>
    <n v="10"/>
    <x v="0"/>
    <x v="0"/>
    <n v="8024.04"/>
  </r>
  <r>
    <d v="2024-01-30T00:00:00"/>
    <s v="OPT-NIFTY-01-Feb-2024-21700-P-E-I"/>
    <s v="NSE"/>
    <x v="1"/>
    <n v="50"/>
    <n v="0"/>
    <n v="137.94999999999999"/>
    <n v="6897.5"/>
    <s v="#202401304500004896"/>
    <n v="0"/>
    <n v="3.48"/>
    <n v="0.21"/>
    <n v="0.01"/>
    <n v="20"/>
    <n v="4.22"/>
    <n v="27.92"/>
    <n v="2024"/>
    <n v="1"/>
    <n v="2023"/>
    <n v="10"/>
    <n v="10"/>
    <x v="0"/>
    <x v="0"/>
    <n v="-6925.42"/>
  </r>
  <r>
    <d v="2024-01-30T00:00:00"/>
    <s v="OPT-NIFFIN-30-Jan-2024-20300-P-E-I"/>
    <s v="NSE"/>
    <x v="0"/>
    <n v="40"/>
    <n v="0"/>
    <n v="33.299999999999997"/>
    <n v="1332"/>
    <s v="#202401304500004622"/>
    <n v="0.47"/>
    <n v="0.67"/>
    <n v="0"/>
    <n v="0"/>
    <n v="20"/>
    <n v="3.72"/>
    <n v="24.86"/>
    <n v="2024"/>
    <n v="1"/>
    <n v="2023"/>
    <n v="10"/>
    <n v="10"/>
    <x v="0"/>
    <x v="0"/>
    <n v="1307.1400000000001"/>
  </r>
  <r>
    <d v="2024-01-30T00:00:00"/>
    <s v="OPT-NIFFIN-30-Jan-2024-20300-P-E-I"/>
    <s v="NSE"/>
    <x v="0"/>
    <n v="40"/>
    <n v="0"/>
    <n v="33.5"/>
    <n v="1340"/>
    <s v="#202401304500004527"/>
    <n v="0.84"/>
    <n v="0.68"/>
    <n v="0"/>
    <n v="0"/>
    <n v="20"/>
    <n v="3.72"/>
    <n v="25.24"/>
    <n v="2024"/>
    <n v="1"/>
    <n v="2023"/>
    <n v="10"/>
    <n v="10"/>
    <x v="0"/>
    <x v="0"/>
    <n v="1314.76"/>
  </r>
  <r>
    <d v="2024-01-30T00:00:00"/>
    <s v="OPT-NIFFIN-30-Jan-2024-20300-P-E-I"/>
    <s v="NSE"/>
    <x v="0"/>
    <n v="40"/>
    <n v="0"/>
    <n v="41.25"/>
    <n v="1650"/>
    <s v="#202401304500003924"/>
    <n v="1.03"/>
    <n v="0.83"/>
    <n v="0"/>
    <n v="0"/>
    <n v="20"/>
    <n v="3.74"/>
    <n v="25.6"/>
    <n v="2024"/>
    <n v="1"/>
    <n v="2023"/>
    <n v="10"/>
    <n v="10"/>
    <x v="0"/>
    <x v="0"/>
    <n v="1624.4"/>
  </r>
  <r>
    <d v="2024-01-30T00:00:00"/>
    <s v="OPT-NIFFIN-30-Jan-2024-20300-P-E-I"/>
    <s v="NSE"/>
    <x v="0"/>
    <n v="40"/>
    <n v="0"/>
    <n v="35.700000000000003"/>
    <n v="1428"/>
    <s v="#202401304500003453"/>
    <n v="0.89"/>
    <n v="0.72"/>
    <n v="0"/>
    <n v="0"/>
    <n v="20"/>
    <n v="3.72"/>
    <n v="25.33"/>
    <n v="2024"/>
    <n v="1"/>
    <n v="2023"/>
    <n v="10"/>
    <n v="10"/>
    <x v="0"/>
    <x v="0"/>
    <n v="1402.67"/>
  </r>
  <r>
    <d v="2024-01-30T00:00:00"/>
    <s v="OPT-NIFFIN-30-Jan-2024-20300-P-E-I"/>
    <s v="NSE"/>
    <x v="0"/>
    <n v="40"/>
    <n v="0"/>
    <n v="34.9"/>
    <n v="1396"/>
    <s v="#202401304500003418"/>
    <n v="0.87"/>
    <n v="0.7"/>
    <n v="0"/>
    <n v="0"/>
    <n v="20"/>
    <n v="3.72"/>
    <n v="25.29"/>
    <n v="2024"/>
    <n v="1"/>
    <n v="2023"/>
    <n v="10"/>
    <n v="10"/>
    <x v="0"/>
    <x v="0"/>
    <n v="1370.71"/>
  </r>
  <r>
    <d v="2024-01-30T00:00:00"/>
    <s v="OPT-NIFFIN-30-Jan-2024-20300-P-E-I"/>
    <s v="NSE"/>
    <x v="0"/>
    <n v="40"/>
    <n v="0"/>
    <n v="34.549999999999997"/>
    <n v="1382"/>
    <s v="#202401304500003415"/>
    <n v="0.86"/>
    <n v="0.7"/>
    <n v="0"/>
    <n v="0"/>
    <n v="20"/>
    <n v="3.72"/>
    <n v="25.28"/>
    <n v="2024"/>
    <n v="1"/>
    <n v="2023"/>
    <n v="10"/>
    <n v="10"/>
    <x v="0"/>
    <x v="0"/>
    <n v="1356.72"/>
  </r>
  <r>
    <d v="2024-01-30T00:00:00"/>
    <s v="OPT-NIFFIN-30-Jan-2024-20300-P-E-I"/>
    <s v="NSE"/>
    <x v="1"/>
    <n v="40"/>
    <n v="0"/>
    <n v="44.25"/>
    <n v="1770"/>
    <s v="#202401304500002794"/>
    <n v="0"/>
    <n v="0.89"/>
    <n v="0"/>
    <n v="0"/>
    <n v="20"/>
    <n v="3.76"/>
    <n v="24.65"/>
    <n v="2024"/>
    <n v="1"/>
    <n v="2023"/>
    <n v="10"/>
    <n v="10"/>
    <x v="0"/>
    <x v="0"/>
    <n v="-1794.65"/>
  </r>
  <r>
    <d v="2024-01-30T00:00:00"/>
    <s v="OPT-NIFFIN-30-Jan-2024-20300-P-E-I"/>
    <s v="NSE"/>
    <x v="1"/>
    <n v="40"/>
    <n v="0"/>
    <n v="48.5"/>
    <n v="1940"/>
    <s v="#202401304500002207"/>
    <n v="0"/>
    <n v="0.98"/>
    <n v="0"/>
    <n v="0"/>
    <n v="20"/>
    <n v="3.78"/>
    <n v="24.76"/>
    <n v="2024"/>
    <n v="1"/>
    <n v="2023"/>
    <n v="10"/>
    <n v="10"/>
    <x v="0"/>
    <x v="0"/>
    <n v="-1964.76"/>
  </r>
  <r>
    <d v="2024-01-30T00:00:00"/>
    <s v="OPT-NIFFIN-30-Jan-2024-20300-P-E-I"/>
    <s v="NSE"/>
    <x v="1"/>
    <n v="40"/>
    <n v="0"/>
    <n v="45.85"/>
    <n v="1834"/>
    <s v="#202401304500001436"/>
    <n v="0"/>
    <n v="0.93"/>
    <n v="0.79"/>
    <n v="0"/>
    <n v="20"/>
    <n v="3.76"/>
    <n v="25.48"/>
    <n v="2024"/>
    <n v="1"/>
    <n v="2023"/>
    <n v="10"/>
    <n v="10"/>
    <x v="0"/>
    <x v="0"/>
    <n v="-1859.48"/>
  </r>
  <r>
    <d v="2024-01-30T00:00:00"/>
    <s v="OPT-NIFFIN-30-Jan-2024-20300-P-E-I"/>
    <s v="NSE"/>
    <x v="1"/>
    <n v="40"/>
    <n v="0"/>
    <n v="48.35"/>
    <n v="1934"/>
    <s v="#202401304500000968"/>
    <n v="0"/>
    <n v="0.98"/>
    <n v="0"/>
    <n v="0"/>
    <n v="20"/>
    <n v="3.78"/>
    <n v="24.76"/>
    <n v="2024"/>
    <n v="1"/>
    <n v="2023"/>
    <n v="10"/>
    <n v="10"/>
    <x v="0"/>
    <x v="0"/>
    <n v="-1958.76"/>
  </r>
  <r>
    <d v="2024-01-30T00:00:00"/>
    <s v="OPT-NIFFIN-30-Jan-2024-20300-P-E-I"/>
    <s v="NSE"/>
    <x v="1"/>
    <n v="40"/>
    <n v="0"/>
    <n v="51.4"/>
    <n v="2056"/>
    <s v="#202401304500000931"/>
    <n v="0"/>
    <n v="1.04"/>
    <n v="0"/>
    <n v="0"/>
    <n v="20"/>
    <n v="3.78"/>
    <n v="24.82"/>
    <n v="2024"/>
    <n v="1"/>
    <n v="2023"/>
    <n v="10"/>
    <n v="10"/>
    <x v="0"/>
    <x v="0"/>
    <n v="-2080.8200000000002"/>
  </r>
  <r>
    <d v="2024-01-30T00:00:00"/>
    <s v="OPT-NIFFIN-30-Jan-2024-20300-P-E-I"/>
    <s v="NSE"/>
    <x v="1"/>
    <n v="40"/>
    <n v="0"/>
    <n v="52.5"/>
    <n v="2100"/>
    <s v="#202401304500000927"/>
    <n v="0"/>
    <n v="1.06"/>
    <n v="0"/>
    <n v="0"/>
    <n v="20"/>
    <n v="3.8"/>
    <n v="24.86"/>
    <n v="2024"/>
    <n v="1"/>
    <n v="2023"/>
    <n v="10"/>
    <n v="10"/>
    <x v="0"/>
    <x v="0"/>
    <n v="-2124.86"/>
  </r>
  <r>
    <d v="2024-01-31T00:00:00"/>
    <s v="OPT-CNXBAN-31-Jan-2024-46100-P-E-I"/>
    <s v="NSE"/>
    <x v="0"/>
    <n v="540"/>
    <n v="0"/>
    <n v="192.8"/>
    <n v="104112"/>
    <s v="#202401313700017720"/>
    <n v="65.010000000000005"/>
    <n v="52.57"/>
    <n v="0"/>
    <n v="0.11"/>
    <n v="720"/>
    <n v="139.08000000000001"/>
    <n v="976.77"/>
    <n v="2024"/>
    <n v="1"/>
    <n v="2023"/>
    <n v="10"/>
    <n v="10"/>
    <x v="0"/>
    <x v="0"/>
    <n v="103135.23"/>
  </r>
  <r>
    <d v="2024-01-31T00:00:00"/>
    <s v="OPT-CNXBAN-31-Jan-2024-46100-P-E-I"/>
    <s v="NSE"/>
    <x v="1"/>
    <n v="75"/>
    <n v="0"/>
    <n v="92"/>
    <n v="6900"/>
    <s v="#202401313700016090"/>
    <n v="0"/>
    <n v="3.49"/>
    <n v="0"/>
    <n v="0.01"/>
    <n v="100"/>
    <n v="18.62"/>
    <n v="122.12"/>
    <n v="2024"/>
    <n v="1"/>
    <n v="2023"/>
    <n v="10"/>
    <n v="10"/>
    <x v="0"/>
    <x v="0"/>
    <n v="-7022.12"/>
  </r>
  <r>
    <d v="2024-01-31T00:00:00"/>
    <s v="OPT-CNXBAN-31-Jan-2024-46100-P-E-I"/>
    <s v="NSE"/>
    <x v="1"/>
    <n v="75"/>
    <n v="0"/>
    <n v="90.55"/>
    <n v="6791.25"/>
    <s v="#202401313700015820"/>
    <n v="0"/>
    <n v="3.45"/>
    <n v="0"/>
    <n v="0"/>
    <n v="100"/>
    <n v="18.600000000000001"/>
    <n v="122.05"/>
    <n v="2024"/>
    <n v="1"/>
    <n v="2023"/>
    <n v="10"/>
    <n v="10"/>
    <x v="0"/>
    <x v="0"/>
    <n v="-6913.3"/>
  </r>
  <r>
    <d v="2024-01-31T00:00:00"/>
    <s v="OPT-CNXBAN-31-Jan-2024-46100-P-E-I"/>
    <s v="NSE"/>
    <x v="1"/>
    <n v="90"/>
    <n v="0"/>
    <n v="94.11"/>
    <n v="8469.75"/>
    <s v="#202401313700015591"/>
    <n v="0"/>
    <n v="4.2699999999999996"/>
    <n v="0"/>
    <n v="0.01"/>
    <n v="120"/>
    <n v="22.36"/>
    <n v="146.63999999999999"/>
    <n v="2024"/>
    <n v="1"/>
    <n v="2023"/>
    <n v="10"/>
    <n v="10"/>
    <x v="0"/>
    <x v="0"/>
    <n v="-8616.39"/>
  </r>
  <r>
    <d v="2024-01-31T00:00:00"/>
    <s v="OPT-CNXBAN-31-Jan-2024-46100-P-E-I"/>
    <s v="NSE"/>
    <x v="1"/>
    <n v="75"/>
    <n v="0"/>
    <n v="103.8"/>
    <n v="7785"/>
    <s v="#202401313700015453"/>
    <n v="0"/>
    <n v="3.94"/>
    <n v="0"/>
    <n v="0.01"/>
    <n v="100"/>
    <n v="18.7"/>
    <n v="122.65"/>
    <n v="2024"/>
    <n v="1"/>
    <n v="2023"/>
    <n v="10"/>
    <n v="10"/>
    <x v="0"/>
    <x v="0"/>
    <n v="-7907.65"/>
  </r>
  <r>
    <d v="2024-01-31T00:00:00"/>
    <s v="OPT-CNXBAN-31-Jan-2024-46100-P-E-I"/>
    <s v="NSE"/>
    <x v="1"/>
    <n v="210"/>
    <n v="0"/>
    <n v="103.1"/>
    <n v="21651"/>
    <s v="#202401313700015234"/>
    <n v="0"/>
    <n v="10.93"/>
    <n v="2"/>
    <n v="0.02"/>
    <n v="280"/>
    <n v="52.38"/>
    <n v="345.33"/>
    <n v="2024"/>
    <n v="1"/>
    <n v="2023"/>
    <n v="10"/>
    <n v="10"/>
    <x v="0"/>
    <x v="0"/>
    <n v="-21996.33"/>
  </r>
  <r>
    <d v="2024-01-31T00:00:00"/>
    <s v="OPT-CNXBAN-31-Jan-2024-46100-P-E-I"/>
    <s v="NSE"/>
    <x v="1"/>
    <n v="15"/>
    <n v="0"/>
    <n v="103.2"/>
    <n v="1548"/>
    <s v="#202401313700015147"/>
    <n v="0"/>
    <n v="0.78"/>
    <n v="0"/>
    <n v="0"/>
    <n v="20"/>
    <n v="3.74"/>
    <n v="24.52"/>
    <n v="2024"/>
    <n v="1"/>
    <n v="2023"/>
    <n v="10"/>
    <n v="10"/>
    <x v="0"/>
    <x v="0"/>
    <n v="-1572.52"/>
  </r>
  <r>
    <d v="2024-02-01T00:00:00"/>
    <s v="OPT-CNXBAN-07-Feb-2024-45800-P-E-I"/>
    <s v="NSE"/>
    <x v="0"/>
    <n v="330"/>
    <n v="0"/>
    <n v="432.88"/>
    <n v="142851.75"/>
    <s v="#202402013700022935"/>
    <n v="89.29"/>
    <n v="72.14"/>
    <n v="0"/>
    <n v="0.14000000000000001"/>
    <n v="440"/>
    <n v="92.2"/>
    <n v="693.77"/>
    <n v="2024"/>
    <n v="2"/>
    <n v="2023"/>
    <n v="11"/>
    <n v="11"/>
    <x v="1"/>
    <x v="1"/>
    <n v="142157.98000000001"/>
  </r>
  <r>
    <d v="2024-02-01T00:00:00"/>
    <s v="OPT-CNXBAN-07-Feb-2024-45800-P-E-I"/>
    <s v="NSE"/>
    <x v="1"/>
    <n v="45"/>
    <n v="0"/>
    <n v="327.75"/>
    <n v="14748.75"/>
    <s v="#202402013700019042"/>
    <n v="0"/>
    <n v="7.45"/>
    <n v="0"/>
    <n v="0.01"/>
    <n v="60"/>
    <n v="12.14"/>
    <n v="79.599999999999994"/>
    <n v="2024"/>
    <n v="2"/>
    <n v="2023"/>
    <n v="11"/>
    <n v="11"/>
    <x v="1"/>
    <x v="1"/>
    <n v="-14828.35"/>
  </r>
  <r>
    <d v="2024-02-01T00:00:00"/>
    <s v="OPT-CNXBAN-07-Feb-2024-45800-P-E-I"/>
    <s v="NSE"/>
    <x v="1"/>
    <n v="30"/>
    <n v="0"/>
    <n v="355.3"/>
    <n v="10659"/>
    <s v="#202402013700018850"/>
    <n v="0"/>
    <n v="5.38"/>
    <n v="0"/>
    <n v="0.01"/>
    <n v="40"/>
    <n v="8.18"/>
    <n v="53.57"/>
    <n v="2024"/>
    <n v="2"/>
    <n v="2023"/>
    <n v="11"/>
    <n v="11"/>
    <x v="1"/>
    <x v="1"/>
    <n v="-10712.57"/>
  </r>
  <r>
    <d v="2024-02-01T00:00:00"/>
    <s v="OPT-CNXBAN-07-Feb-2024-45800-P-E-I"/>
    <s v="NSE"/>
    <x v="1"/>
    <n v="30"/>
    <n v="0"/>
    <n v="401.85"/>
    <n v="12055.5"/>
    <s v="#202402013700018265"/>
    <n v="0"/>
    <n v="6.09"/>
    <n v="0"/>
    <n v="0.01"/>
    <n v="40"/>
    <n v="8.3000000000000007"/>
    <n v="54.4"/>
    <n v="2024"/>
    <n v="2"/>
    <n v="2023"/>
    <n v="11"/>
    <n v="11"/>
    <x v="1"/>
    <x v="1"/>
    <n v="-12109.9"/>
  </r>
  <r>
    <d v="2024-02-01T00:00:00"/>
    <s v="OPT-CNXBAN-07-Feb-2024-45800-P-E-I"/>
    <s v="NSE"/>
    <x v="1"/>
    <n v="75"/>
    <n v="0"/>
    <n v="409.95"/>
    <n v="30746.25"/>
    <s v="#202402013700017520"/>
    <n v="0"/>
    <n v="15.53"/>
    <n v="0"/>
    <n v="0.03"/>
    <n v="100"/>
    <n v="20.8"/>
    <n v="136.36000000000001"/>
    <n v="2024"/>
    <n v="2"/>
    <n v="2023"/>
    <n v="11"/>
    <n v="11"/>
    <x v="1"/>
    <x v="1"/>
    <n v="-30882.61"/>
  </r>
  <r>
    <d v="2024-02-01T00:00:00"/>
    <s v="OPT-CNXBAN-07-Feb-2024-45800-P-E-I"/>
    <s v="NSE"/>
    <x v="1"/>
    <n v="75"/>
    <n v="0"/>
    <n v="418.81"/>
    <n v="31410.75"/>
    <s v="#202402013700017329"/>
    <n v="0"/>
    <n v="15.86"/>
    <n v="3.75"/>
    <n v="0.04"/>
    <n v="100"/>
    <n v="20.86"/>
    <n v="140.51"/>
    <n v="2024"/>
    <n v="2"/>
    <n v="2023"/>
    <n v="11"/>
    <n v="11"/>
    <x v="1"/>
    <x v="1"/>
    <n v="-31551.26"/>
  </r>
  <r>
    <d v="2024-02-01T00:00:00"/>
    <s v="OPT-CNXBAN-07-Feb-2024-45800-P-E-I"/>
    <s v="NSE"/>
    <x v="1"/>
    <n v="60"/>
    <n v="0"/>
    <n v="431.9"/>
    <n v="25914"/>
    <s v="#202402013700017148"/>
    <n v="0"/>
    <n v="13.08"/>
    <n v="0"/>
    <n v="0.02"/>
    <n v="80"/>
    <n v="16.760000000000002"/>
    <n v="109.86"/>
    <n v="2024"/>
    <n v="2"/>
    <n v="2023"/>
    <n v="11"/>
    <n v="11"/>
    <x v="1"/>
    <x v="1"/>
    <n v="-26023.86"/>
  </r>
  <r>
    <d v="2024-02-01T00:00:00"/>
    <s v="OPT-CNXBAN-07-Feb-2024-45800-P-E-I"/>
    <s v="NSE"/>
    <x v="1"/>
    <n v="15"/>
    <n v="0"/>
    <n v="427.35"/>
    <n v="6410.25"/>
    <s v="#202402013700017013"/>
    <n v="0"/>
    <n v="3.24"/>
    <n v="0"/>
    <n v="0.01"/>
    <n v="20"/>
    <n v="4.18"/>
    <n v="27.43"/>
    <n v="2024"/>
    <n v="2"/>
    <n v="2023"/>
    <n v="11"/>
    <n v="11"/>
    <x v="1"/>
    <x v="1"/>
    <n v="-6437.68"/>
  </r>
  <r>
    <d v="2024-02-01T00:00:00"/>
    <s v="OPT-NIFTY-01-Feb-2024-22500-C-E-I"/>
    <s v="NSE"/>
    <x v="0"/>
    <n v="50"/>
    <n v="0"/>
    <n v="5.4"/>
    <n v="270"/>
    <s v="#202402013700012044"/>
    <n v="0.33"/>
    <n v="0.14000000000000001"/>
    <n v="0"/>
    <n v="0"/>
    <n v="20"/>
    <n v="3.62"/>
    <n v="24.09"/>
    <n v="2024"/>
    <n v="2"/>
    <n v="2023"/>
    <n v="11"/>
    <n v="11"/>
    <x v="1"/>
    <x v="1"/>
    <n v="245.91"/>
  </r>
  <r>
    <d v="2024-02-01T00:00:00"/>
    <s v="OPT-NIFTY-01-Feb-2024-22500-C-E-I"/>
    <s v="NSE"/>
    <x v="0"/>
    <n v="50"/>
    <n v="0"/>
    <n v="5.4"/>
    <n v="270"/>
    <s v="#202402013700012043"/>
    <n v="0.17"/>
    <n v="0.14000000000000001"/>
    <n v="0"/>
    <n v="0"/>
    <n v="20"/>
    <n v="3.62"/>
    <n v="23.93"/>
    <n v="2024"/>
    <n v="2"/>
    <n v="2023"/>
    <n v="11"/>
    <n v="11"/>
    <x v="1"/>
    <x v="1"/>
    <n v="246.07"/>
  </r>
  <r>
    <d v="2024-02-01T00:00:00"/>
    <s v="OPT-NIFTY-01-Feb-2024-22500-C-E-I"/>
    <s v="NSE"/>
    <x v="1"/>
    <n v="50"/>
    <n v="0"/>
    <n v="5.3"/>
    <n v="265"/>
    <s v="#202402013700011260"/>
    <n v="0"/>
    <n v="0.13"/>
    <n v="0"/>
    <n v="0"/>
    <n v="20"/>
    <n v="3.62"/>
    <n v="23.75"/>
    <n v="2024"/>
    <n v="2"/>
    <n v="2023"/>
    <n v="11"/>
    <n v="11"/>
    <x v="1"/>
    <x v="1"/>
    <n v="-288.75"/>
  </r>
  <r>
    <d v="2024-02-01T00:00:00"/>
    <s v="OPT-NIFTY-01-Feb-2024-22500-C-E-I"/>
    <s v="NSE"/>
    <x v="1"/>
    <n v="50"/>
    <n v="0"/>
    <n v="5.0999999999999996"/>
    <n v="255"/>
    <s v="#202402013700011236"/>
    <n v="0"/>
    <n v="0.13"/>
    <n v="0.02"/>
    <n v="0"/>
    <n v="20"/>
    <n v="3.62"/>
    <n v="23.77"/>
    <n v="2024"/>
    <n v="2"/>
    <n v="2023"/>
    <n v="11"/>
    <n v="11"/>
    <x v="1"/>
    <x v="1"/>
    <n v="-278.77"/>
  </r>
  <r>
    <d v="2024-02-01T00:00:00"/>
    <s v="OPT-NIFTY-01-Feb-2024-21800-C-E-I"/>
    <s v="NSE"/>
    <x v="0"/>
    <n v="150"/>
    <n v="0"/>
    <n v="97.9"/>
    <n v="14685"/>
    <s v="#202402013700009806"/>
    <n v="9.18"/>
    <n v="7.42"/>
    <n v="0"/>
    <n v="0.01"/>
    <n v="60"/>
    <n v="12.14"/>
    <n v="88.75"/>
    <n v="2024"/>
    <n v="2"/>
    <n v="2023"/>
    <n v="11"/>
    <n v="11"/>
    <x v="1"/>
    <x v="1"/>
    <n v="14596.25"/>
  </r>
  <r>
    <d v="2024-02-01T00:00:00"/>
    <s v="OPT-NIFTY-01-Feb-2024-21800-C-E-I"/>
    <s v="NSE"/>
    <x v="1"/>
    <n v="150"/>
    <n v="0"/>
    <n v="76.05"/>
    <n v="11407.5"/>
    <s v="#202402013700008059"/>
    <n v="0"/>
    <n v="5.76"/>
    <n v="0"/>
    <n v="0.01"/>
    <n v="60"/>
    <n v="11.84"/>
    <n v="77.61"/>
    <n v="2024"/>
    <n v="2"/>
    <n v="2023"/>
    <n v="11"/>
    <n v="11"/>
    <x v="1"/>
    <x v="1"/>
    <n v="-11485.11"/>
  </r>
  <r>
    <d v="2024-02-01T00:00:00"/>
    <s v="OPT-NIFTY-01-Feb-2024-21800-C-E-I"/>
    <s v="NSE"/>
    <x v="0"/>
    <n v="350"/>
    <n v="0"/>
    <n v="72"/>
    <n v="25200"/>
    <s v="#202402013700006332"/>
    <n v="15.75"/>
    <n v="12.73"/>
    <n v="0"/>
    <n v="0.03"/>
    <n v="140"/>
    <n v="27.5"/>
    <n v="196.01"/>
    <n v="2024"/>
    <n v="2"/>
    <n v="2023"/>
    <n v="11"/>
    <n v="11"/>
    <x v="1"/>
    <x v="1"/>
    <n v="25003.99"/>
  </r>
  <r>
    <d v="2024-02-01T00:00:00"/>
    <s v="OPT-CNXBAN-07-Feb-2024-46000-C-E-I"/>
    <s v="NSE"/>
    <x v="0"/>
    <n v="15"/>
    <n v="0"/>
    <n v="564.65"/>
    <n v="8469.75"/>
    <s v="#202402013700005706"/>
    <n v="5.29"/>
    <n v="4.28"/>
    <n v="0"/>
    <n v="0.01"/>
    <n v="20"/>
    <n v="4.38"/>
    <n v="33.96"/>
    <n v="2024"/>
    <n v="2"/>
    <n v="2023"/>
    <n v="11"/>
    <n v="11"/>
    <x v="1"/>
    <x v="1"/>
    <n v="8435.7900000000009"/>
  </r>
  <r>
    <d v="2024-02-01T00:00:00"/>
    <s v="OPT-NIFTY-01-Feb-2024-21800-C-E-I"/>
    <s v="NSE"/>
    <x v="1"/>
    <n v="150"/>
    <n v="0"/>
    <n v="59"/>
    <n v="8850"/>
    <s v="#202402013700005369"/>
    <n v="0"/>
    <n v="4.47"/>
    <n v="0"/>
    <n v="0.01"/>
    <n v="60"/>
    <n v="11.6"/>
    <n v="76.08"/>
    <n v="2024"/>
    <n v="2"/>
    <n v="2023"/>
    <n v="11"/>
    <n v="11"/>
    <x v="1"/>
    <x v="1"/>
    <n v="-8926.08"/>
  </r>
  <r>
    <d v="2024-02-01T00:00:00"/>
    <s v="OPT-CNXBAN-07-Feb-2024-46000-C-E-I"/>
    <s v="NSE"/>
    <x v="1"/>
    <n v="15"/>
    <n v="0"/>
    <n v="527.9"/>
    <n v="7918.5"/>
    <s v="#202402013700005094"/>
    <n v="0"/>
    <n v="4"/>
    <n v="0.24"/>
    <n v="0.01"/>
    <n v="20"/>
    <n v="4.32"/>
    <n v="28.57"/>
    <n v="2024"/>
    <n v="2"/>
    <n v="2023"/>
    <n v="11"/>
    <n v="11"/>
    <x v="1"/>
    <x v="1"/>
    <n v="-7947.07"/>
  </r>
  <r>
    <d v="2024-02-01T00:00:00"/>
    <s v="OPT-NIFTY-01-Feb-2024-21800-C-E-I"/>
    <s v="NSE"/>
    <x v="1"/>
    <n v="150"/>
    <n v="0"/>
    <n v="63.67"/>
    <n v="9550"/>
    <s v="#202402013700004640"/>
    <n v="0"/>
    <n v="4.82"/>
    <n v="0.99"/>
    <n v="0.01"/>
    <n v="60"/>
    <n v="11.66"/>
    <n v="77.48"/>
    <n v="2024"/>
    <n v="2"/>
    <n v="2023"/>
    <n v="11"/>
    <n v="11"/>
    <x v="1"/>
    <x v="1"/>
    <n v="-9627.48"/>
  </r>
  <r>
    <d v="2024-02-01T00:00:00"/>
    <s v="OPT-NIFTY-01-Feb-2024-21800-C-E-I"/>
    <s v="NSE"/>
    <x v="1"/>
    <n v="50"/>
    <n v="0"/>
    <n v="65.400000000000006"/>
    <n v="3270"/>
    <s v="#202402013700004518"/>
    <n v="0"/>
    <n v="1.65"/>
    <n v="0"/>
    <n v="0"/>
    <n v="20"/>
    <n v="3.9"/>
    <n v="25.55"/>
    <n v="2024"/>
    <n v="2"/>
    <n v="2023"/>
    <n v="11"/>
    <n v="11"/>
    <x v="1"/>
    <x v="1"/>
    <n v="-3295.55"/>
  </r>
  <r>
    <d v="2024-02-02T00:00:00"/>
    <s v="OPT-HCLTEC-29-Feb-2024-1600-C-E-S"/>
    <s v="NSE"/>
    <x v="1"/>
    <n v="700"/>
    <n v="0"/>
    <n v="45.25"/>
    <n v="31675"/>
    <s v="#202402023700011780"/>
    <n v="0"/>
    <n v="16"/>
    <n v="0.86"/>
    <n v="0.03"/>
    <n v="20"/>
    <n v="6.48"/>
    <n v="43.37"/>
    <n v="2024"/>
    <n v="2"/>
    <n v="2023"/>
    <n v="11"/>
    <n v="11"/>
    <x v="1"/>
    <x v="1"/>
    <n v="-31718.37"/>
  </r>
  <r>
    <d v="2024-02-02T00:00:00"/>
    <s v="OPT-NIFTY-08-Feb-2024-21800-P-E-I"/>
    <s v="NSE"/>
    <x v="0"/>
    <n v="50"/>
    <n v="0"/>
    <n v="83.3"/>
    <n v="4165"/>
    <s v="#202402023700007581"/>
    <n v="3"/>
    <n v="2.1"/>
    <n v="0"/>
    <n v="0"/>
    <n v="20"/>
    <n v="3.98"/>
    <n v="29.08"/>
    <n v="2024"/>
    <n v="2"/>
    <n v="2023"/>
    <n v="11"/>
    <n v="11"/>
    <x v="1"/>
    <x v="1"/>
    <n v="4135.92"/>
  </r>
  <r>
    <d v="2024-02-02T00:00:00"/>
    <s v="OPT-NIFTY-08-Feb-2024-21800-P-E-I"/>
    <s v="NSE"/>
    <x v="1"/>
    <n v="50"/>
    <n v="0"/>
    <n v="90.95"/>
    <n v="4547.5"/>
    <s v="#202402023700003395"/>
    <n v="0"/>
    <n v="2.2999999999999998"/>
    <n v="0.14000000000000001"/>
    <n v="0"/>
    <n v="20"/>
    <n v="4.0199999999999996"/>
    <n v="26.46"/>
    <n v="2024"/>
    <n v="2"/>
    <n v="2023"/>
    <n v="11"/>
    <n v="11"/>
    <x v="1"/>
    <x v="1"/>
    <n v="-4573.96"/>
  </r>
  <r>
    <d v="2024-02-05T00:00:00"/>
    <s v="OPT-NIFFIN-06-Feb-2024-20350-P-E-I"/>
    <s v="NSE"/>
    <x v="0"/>
    <n v="400"/>
    <n v="0"/>
    <n v="122.7"/>
    <n v="49080"/>
    <s v="#202402053700049655"/>
    <n v="30.68"/>
    <n v="24.78"/>
    <n v="0"/>
    <n v="0.05"/>
    <n v="200"/>
    <n v="40.46"/>
    <n v="295.97000000000003"/>
    <n v="2024"/>
    <n v="2"/>
    <n v="2023"/>
    <n v="11"/>
    <n v="11"/>
    <x v="1"/>
    <x v="1"/>
    <n v="48784.03"/>
  </r>
  <r>
    <d v="2024-02-05T00:00:00"/>
    <s v="OPT-NIFFIN-06-Feb-2024-20350-P-E-I"/>
    <s v="NSE"/>
    <x v="1"/>
    <n v="400"/>
    <n v="0"/>
    <n v="90.03"/>
    <n v="36012"/>
    <s v="#202402053700038894"/>
    <n v="0"/>
    <n v="18.190000000000001"/>
    <n v="2"/>
    <n v="0.03"/>
    <n v="200"/>
    <n v="39.28"/>
    <n v="259.5"/>
    <n v="2024"/>
    <n v="2"/>
    <n v="2023"/>
    <n v="11"/>
    <n v="11"/>
    <x v="1"/>
    <x v="1"/>
    <n v="-36271.5"/>
  </r>
  <r>
    <d v="2024-02-05T00:00:00"/>
    <s v="OPT-NIFFIN-06-Feb-2024-20350-P-E-I"/>
    <s v="NSE"/>
    <x v="0"/>
    <n v="320"/>
    <n v="0"/>
    <n v="80"/>
    <n v="25600"/>
    <s v="#202402053700038641"/>
    <n v="16"/>
    <n v="12.93"/>
    <n v="0"/>
    <n v="0.03"/>
    <n v="160"/>
    <n v="31.14"/>
    <n v="220.1"/>
    <n v="2024"/>
    <n v="2"/>
    <n v="2023"/>
    <n v="11"/>
    <n v="11"/>
    <x v="1"/>
    <x v="1"/>
    <n v="25379.9"/>
  </r>
  <r>
    <d v="2024-02-05T00:00:00"/>
    <s v="OPT-NIFFIN-06-Feb-2024-20350-P-E-I"/>
    <s v="NSE"/>
    <x v="1"/>
    <n v="40"/>
    <n v="0"/>
    <n v="106.25"/>
    <n v="4250"/>
    <s v="#202402053700036149"/>
    <n v="0"/>
    <n v="2.15"/>
    <n v="0"/>
    <n v="0"/>
    <n v="20"/>
    <n v="3.98"/>
    <n v="26.13"/>
    <n v="2024"/>
    <n v="2"/>
    <n v="2023"/>
    <n v="11"/>
    <n v="11"/>
    <x v="1"/>
    <x v="1"/>
    <n v="-4276.13"/>
  </r>
  <r>
    <d v="2024-02-05T00:00:00"/>
    <s v="OPT-NIFFIN-06-Feb-2024-20350-P-E-I"/>
    <s v="NSE"/>
    <x v="1"/>
    <n v="40"/>
    <n v="0"/>
    <n v="104.75"/>
    <n v="4190"/>
    <s v="#202402053700035872"/>
    <n v="0"/>
    <n v="2.12"/>
    <n v="0"/>
    <n v="0"/>
    <n v="20"/>
    <n v="3.98"/>
    <n v="26.1"/>
    <n v="2024"/>
    <n v="2"/>
    <n v="2023"/>
    <n v="11"/>
    <n v="11"/>
    <x v="1"/>
    <x v="1"/>
    <n v="-4216.1000000000004"/>
  </r>
  <r>
    <d v="2024-02-05T00:00:00"/>
    <s v="OPT-NIFFIN-06-Feb-2024-20350-P-E-I"/>
    <s v="NSE"/>
    <x v="1"/>
    <n v="80"/>
    <n v="0"/>
    <n v="106.25"/>
    <n v="8500"/>
    <s v="#202402053700035685"/>
    <n v="0"/>
    <n v="4.29"/>
    <n v="0"/>
    <n v="0.01"/>
    <n v="40"/>
    <n v="7.98"/>
    <n v="52.28"/>
    <n v="2024"/>
    <n v="2"/>
    <n v="2023"/>
    <n v="11"/>
    <n v="11"/>
    <x v="1"/>
    <x v="1"/>
    <n v="-8552.2800000000007"/>
  </r>
  <r>
    <d v="2024-02-05T00:00:00"/>
    <s v="OPT-NIFFIN-06-Feb-2024-20350-P-E-I"/>
    <s v="NSE"/>
    <x v="1"/>
    <n v="160"/>
    <n v="0"/>
    <n v="122.2"/>
    <n v="19552"/>
    <s v="#202402053700035362"/>
    <n v="0"/>
    <n v="9.8800000000000008"/>
    <n v="0"/>
    <n v="0.01"/>
    <n v="80"/>
    <n v="16.18"/>
    <n v="106.07"/>
    <n v="2024"/>
    <n v="2"/>
    <n v="2023"/>
    <n v="11"/>
    <n v="11"/>
    <x v="1"/>
    <x v="1"/>
    <n v="-19658.07"/>
  </r>
  <r>
    <d v="2024-02-05T00:00:00"/>
    <s v="OPT-NIFFIN-06-Feb-2024-20350-P-E-I"/>
    <s v="NSE"/>
    <x v="0"/>
    <n v="80"/>
    <n v="0"/>
    <n v="88"/>
    <n v="7040"/>
    <s v="#202402053700033760"/>
    <n v="4.33"/>
    <n v="3.56"/>
    <n v="0"/>
    <n v="0.01"/>
    <n v="40"/>
    <n v="7.84"/>
    <n v="55.74"/>
    <n v="2024"/>
    <n v="2"/>
    <n v="2023"/>
    <n v="11"/>
    <n v="11"/>
    <x v="1"/>
    <x v="1"/>
    <n v="6984.26"/>
  </r>
  <r>
    <d v="2024-02-05T00:00:00"/>
    <s v="OPT-NIFFIN-06-Feb-2024-20350-P-E-I"/>
    <s v="NSE"/>
    <x v="1"/>
    <n v="40"/>
    <n v="0"/>
    <n v="76.5"/>
    <n v="3060"/>
    <s v="#202402053700032491"/>
    <n v="0"/>
    <n v="1.55"/>
    <n v="0"/>
    <n v="0"/>
    <n v="20"/>
    <n v="3.88"/>
    <n v="25.43"/>
    <n v="2024"/>
    <n v="2"/>
    <n v="2023"/>
    <n v="11"/>
    <n v="11"/>
    <x v="1"/>
    <x v="1"/>
    <n v="-3085.43"/>
  </r>
  <r>
    <d v="2024-02-05T00:00:00"/>
    <s v="OPT-NIFFIN-06-Feb-2024-20350-P-E-I"/>
    <s v="NSE"/>
    <x v="1"/>
    <n v="40"/>
    <n v="0"/>
    <n v="93.1"/>
    <n v="3724"/>
    <s v="#202402053700031966"/>
    <n v="0"/>
    <n v="1.88"/>
    <n v="0"/>
    <n v="0"/>
    <n v="20"/>
    <n v="3.94"/>
    <n v="25.82"/>
    <n v="2024"/>
    <n v="2"/>
    <n v="2023"/>
    <n v="11"/>
    <n v="11"/>
    <x v="1"/>
    <x v="1"/>
    <n v="-3749.82"/>
  </r>
  <r>
    <d v="2024-02-06T00:00:00"/>
    <s v="OPT-HCLTEC-29-Feb-2024-1600-C-E-S"/>
    <s v="NSE"/>
    <x v="0"/>
    <n v="700"/>
    <n v="0"/>
    <n v="50.05"/>
    <n v="35035"/>
    <s v="#202402063700021088"/>
    <n v="22"/>
    <n v="17.690000000000001"/>
    <n v="0"/>
    <n v="0.04"/>
    <n v="20"/>
    <n v="6.8"/>
    <n v="66.53"/>
    <n v="2024"/>
    <n v="2"/>
    <n v="2023"/>
    <n v="11"/>
    <n v="11"/>
    <x v="1"/>
    <x v="1"/>
    <n v="34968.47"/>
  </r>
  <r>
    <d v="2024-02-07T00:00:00"/>
    <s v="OPT-CNXBAN-07-Feb-2024-45800-C-E-I"/>
    <s v="NSE"/>
    <x v="0"/>
    <n v="225"/>
    <n v="0"/>
    <n v="29.25"/>
    <n v="6581.25"/>
    <s v="#202402073700021837"/>
    <n v="3.95"/>
    <n v="3.3"/>
    <n v="0"/>
    <n v="0"/>
    <n v="300"/>
    <n v="54.6"/>
    <n v="361.85"/>
    <n v="2024"/>
    <n v="2"/>
    <n v="2023"/>
    <n v="11"/>
    <n v="11"/>
    <x v="1"/>
    <x v="1"/>
    <n v="6219.4"/>
  </r>
  <r>
    <d v="2024-02-07T00:00:00"/>
    <s v="OPT-CNXBAN-07-Feb-2024-45800-C-E-I"/>
    <s v="NSE"/>
    <x v="1"/>
    <n v="225"/>
    <n v="0"/>
    <n v="38"/>
    <n v="8550"/>
    <s v="#202402073700021327"/>
    <n v="0"/>
    <n v="4.32"/>
    <n v="0.26"/>
    <n v="0.01"/>
    <n v="300"/>
    <n v="54.78"/>
    <n v="359.37"/>
    <n v="2024"/>
    <n v="2"/>
    <n v="2023"/>
    <n v="11"/>
    <n v="11"/>
    <x v="1"/>
    <x v="1"/>
    <n v="-8909.3700000000008"/>
  </r>
  <r>
    <d v="2024-02-07T00:00:00"/>
    <s v="OPT-CNXBAN-07-Feb-2024-45900-C-E-I"/>
    <s v="NSE"/>
    <x v="0"/>
    <n v="135"/>
    <n v="0"/>
    <n v="14.3"/>
    <n v="1930.5"/>
    <s v="#202402073700019616"/>
    <n v="1.2"/>
    <n v="0.98"/>
    <n v="0"/>
    <n v="0"/>
    <n v="180"/>
    <n v="32.58"/>
    <n v="214.76"/>
    <n v="2024"/>
    <n v="2"/>
    <n v="2023"/>
    <n v="11"/>
    <n v="11"/>
    <x v="1"/>
    <x v="1"/>
    <n v="1715.74"/>
  </r>
  <r>
    <d v="2024-02-07T00:00:00"/>
    <s v="OPT-CNXBAN-07-Feb-2024-45900-C-E-I"/>
    <s v="NSE"/>
    <x v="0"/>
    <n v="900"/>
    <n v="0"/>
    <n v="15.15"/>
    <n v="13635"/>
    <s v="#202402073700018478"/>
    <n v="8.52"/>
    <n v="6.89"/>
    <n v="0"/>
    <n v="0.02"/>
    <n v="1200"/>
    <n v="217.24"/>
    <n v="1432.67"/>
    <n v="2024"/>
    <n v="2"/>
    <n v="2023"/>
    <n v="11"/>
    <n v="11"/>
    <x v="1"/>
    <x v="1"/>
    <n v="12202.33"/>
  </r>
  <r>
    <d v="2024-02-07T00:00:00"/>
    <s v="OPT-CNXBAN-07-Feb-2024-45900-C-E-I"/>
    <s v="NSE"/>
    <x v="1"/>
    <n v="345"/>
    <n v="0"/>
    <n v="16.899999999999999"/>
    <n v="5830.5"/>
    <s v="#202402073700015304"/>
    <n v="0"/>
    <n v="2.95"/>
    <n v="0"/>
    <n v="0"/>
    <n v="460"/>
    <n v="83.34"/>
    <n v="546.29"/>
    <n v="2024"/>
    <n v="2"/>
    <n v="2023"/>
    <n v="11"/>
    <n v="11"/>
    <x v="1"/>
    <x v="1"/>
    <n v="-6376.79"/>
  </r>
  <r>
    <d v="2024-02-07T00:00:00"/>
    <s v="OPT-CNXBAN-07-Feb-2024-45900-C-E-I"/>
    <s v="NSE"/>
    <x v="1"/>
    <n v="345"/>
    <n v="0"/>
    <n v="23.35"/>
    <n v="8055.75"/>
    <s v="#202402073700012883"/>
    <n v="0"/>
    <n v="4.07"/>
    <n v="0.99"/>
    <n v="0.01"/>
    <n v="460"/>
    <n v="83.54"/>
    <n v="548.61"/>
    <n v="2024"/>
    <n v="2"/>
    <n v="2023"/>
    <n v="11"/>
    <n v="11"/>
    <x v="1"/>
    <x v="1"/>
    <n v="-8604.36"/>
  </r>
  <r>
    <d v="2024-02-07T00:00:00"/>
    <s v="OPT-CNXBAN-07-Feb-2024-45900-C-E-I"/>
    <s v="NSE"/>
    <x v="1"/>
    <n v="60"/>
    <n v="0"/>
    <n v="41.6"/>
    <n v="2496"/>
    <s v="#202402073700010509"/>
    <n v="0"/>
    <n v="1.26"/>
    <n v="0"/>
    <n v="0"/>
    <n v="80"/>
    <n v="14.62"/>
    <n v="95.88"/>
    <n v="2024"/>
    <n v="2"/>
    <n v="2023"/>
    <n v="11"/>
    <n v="11"/>
    <x v="1"/>
    <x v="1"/>
    <n v="-2591.88"/>
  </r>
  <r>
    <d v="2024-02-07T00:00:00"/>
    <s v="OPT-CNXBAN-07-Feb-2024-45900-C-E-I"/>
    <s v="NSE"/>
    <x v="1"/>
    <n v="45"/>
    <n v="0"/>
    <n v="42.65"/>
    <n v="1919.25"/>
    <s v="#202402073700010460"/>
    <n v="0"/>
    <n v="0.97"/>
    <n v="0"/>
    <n v="0"/>
    <n v="60"/>
    <n v="10.98"/>
    <n v="71.95"/>
    <n v="2024"/>
    <n v="2"/>
    <n v="2023"/>
    <n v="11"/>
    <n v="11"/>
    <x v="1"/>
    <x v="1"/>
    <n v="-1991.2"/>
  </r>
  <r>
    <d v="2024-02-07T00:00:00"/>
    <s v="OPT-CNXBAN-07-Feb-2024-45900-C-E-I"/>
    <s v="NSE"/>
    <x v="1"/>
    <n v="240"/>
    <n v="0"/>
    <n v="47.09"/>
    <n v="11301"/>
    <s v="#202402073700010356"/>
    <n v="0"/>
    <n v="5.71"/>
    <n v="0"/>
    <n v="0"/>
    <n v="320"/>
    <n v="58.64"/>
    <n v="384.35"/>
    <n v="2024"/>
    <n v="2"/>
    <n v="2023"/>
    <n v="11"/>
    <n v="11"/>
    <x v="1"/>
    <x v="1"/>
    <n v="-11685.35"/>
  </r>
  <r>
    <d v="2024-02-07T00:00:00"/>
    <s v="OPT-NIFTY-08-Feb-2024-22000-C-E-I"/>
    <s v="NSE"/>
    <x v="0"/>
    <n v="250"/>
    <n v="0"/>
    <n v="85.05"/>
    <n v="21262.5"/>
    <s v="#202402073700009047"/>
    <n v="13.29"/>
    <n v="10.74"/>
    <n v="0"/>
    <n v="0.02"/>
    <n v="100"/>
    <n v="19.940000000000001"/>
    <n v="143.99"/>
    <n v="2024"/>
    <n v="2"/>
    <n v="2023"/>
    <n v="11"/>
    <n v="11"/>
    <x v="1"/>
    <x v="1"/>
    <n v="21118.51"/>
  </r>
  <r>
    <d v="2024-02-07T00:00:00"/>
    <s v="OPT-NIFTY-08-Feb-2024-22000-C-E-I"/>
    <s v="NSE"/>
    <x v="1"/>
    <n v="200"/>
    <n v="0"/>
    <n v="98.45"/>
    <n v="19690"/>
    <s v="#202402073700007071"/>
    <n v="0"/>
    <n v="9.94"/>
    <n v="0.75"/>
    <n v="0.02"/>
    <n v="80"/>
    <n v="16.2"/>
    <n v="106.91"/>
    <n v="2024"/>
    <n v="2"/>
    <n v="2023"/>
    <n v="11"/>
    <n v="11"/>
    <x v="1"/>
    <x v="1"/>
    <n v="-19796.91"/>
  </r>
  <r>
    <d v="2024-02-07T00:00:00"/>
    <s v="OPT-NIFTY-08-Feb-2024-22000-C-E-I"/>
    <s v="NSE"/>
    <x v="1"/>
    <n v="50"/>
    <n v="0"/>
    <n v="103.8"/>
    <n v="5190"/>
    <s v="#202402073700004645"/>
    <n v="0"/>
    <n v="2.62"/>
    <n v="0"/>
    <n v="0.01"/>
    <n v="20"/>
    <n v="4.08"/>
    <n v="26.71"/>
    <n v="2024"/>
    <n v="2"/>
    <n v="2023"/>
    <n v="11"/>
    <n v="11"/>
    <x v="1"/>
    <x v="1"/>
    <n v="-5216.71"/>
  </r>
  <r>
    <d v="2024-02-08T00:00:00"/>
    <s v="OPT-NIFTY-08-Feb-2024-21750-P-E-I"/>
    <s v="NSE"/>
    <x v="0"/>
    <n v="50"/>
    <n v="0"/>
    <n v="17.95"/>
    <n v="897.5"/>
    <s v="#202402083700018971"/>
    <n v="0.75"/>
    <n v="0.45"/>
    <n v="0"/>
    <n v="0"/>
    <n v="20"/>
    <n v="3.68"/>
    <n v="24.88"/>
    <n v="2024"/>
    <n v="2"/>
    <n v="2023"/>
    <n v="11"/>
    <n v="11"/>
    <x v="1"/>
    <x v="1"/>
    <n v="872.62"/>
  </r>
  <r>
    <d v="2024-02-08T00:00:00"/>
    <s v="OPT-NIFTY-08-Feb-2024-21750-P-E-I"/>
    <s v="NSE"/>
    <x v="1"/>
    <n v="50"/>
    <n v="0"/>
    <n v="25.2"/>
    <n v="1260"/>
    <s v="#202402083700018472"/>
    <n v="0"/>
    <n v="0.64"/>
    <n v="0"/>
    <n v="0"/>
    <n v="20"/>
    <n v="3.72"/>
    <n v="24.36"/>
    <n v="2024"/>
    <n v="2"/>
    <n v="2023"/>
    <n v="11"/>
    <n v="11"/>
    <x v="1"/>
    <x v="1"/>
    <n v="-1284.3599999999999"/>
  </r>
  <r>
    <d v="2024-02-08T00:00:00"/>
    <s v="OPT-NIFTY-08-Feb-2024-22000-C-E-I"/>
    <s v="NSE"/>
    <x v="0"/>
    <n v="250"/>
    <n v="0"/>
    <n v="2.1"/>
    <n v="525"/>
    <s v="#202402083700017431"/>
    <n v="0.33"/>
    <n v="0.27"/>
    <n v="0"/>
    <n v="0"/>
    <n v="100"/>
    <n v="18.04"/>
    <n v="118.64"/>
    <n v="2024"/>
    <n v="2"/>
    <n v="2023"/>
    <n v="11"/>
    <n v="11"/>
    <x v="1"/>
    <x v="1"/>
    <n v="406.36"/>
  </r>
  <r>
    <d v="2024-02-08T00:00:00"/>
    <s v="OPT-NIFTY-08-Feb-2024-22000-C-E-I"/>
    <s v="NSE"/>
    <x v="0"/>
    <n v="50"/>
    <n v="0"/>
    <n v="2.65"/>
    <n v="132.5"/>
    <s v="#202402083700016414"/>
    <n v="0.08"/>
    <n v="7.0000000000000007E-2"/>
    <n v="0"/>
    <n v="0"/>
    <n v="20"/>
    <n v="3.62"/>
    <n v="23.77"/>
    <n v="2024"/>
    <n v="2"/>
    <n v="2023"/>
    <n v="11"/>
    <n v="11"/>
    <x v="1"/>
    <x v="1"/>
    <n v="108.73"/>
  </r>
  <r>
    <d v="2024-02-08T00:00:00"/>
    <s v="OPT-NIFTY-08-Feb-2024-22000-C-E-I"/>
    <s v="NSE"/>
    <x v="0"/>
    <n v="50"/>
    <n v="0"/>
    <n v="2.65"/>
    <n v="132.5"/>
    <s v="#202402083700015702"/>
    <n v="0.08"/>
    <n v="7.0000000000000007E-2"/>
    <n v="0"/>
    <n v="0"/>
    <n v="20"/>
    <n v="3.62"/>
    <n v="23.77"/>
    <n v="2024"/>
    <n v="2"/>
    <n v="2023"/>
    <n v="11"/>
    <n v="11"/>
    <x v="1"/>
    <x v="1"/>
    <n v="108.73"/>
  </r>
  <r>
    <d v="2024-02-08T00:00:00"/>
    <s v="OPT-NIFTY-08-Feb-2024-22000-C-E-I"/>
    <s v="NSE"/>
    <x v="1"/>
    <n v="50"/>
    <n v="0"/>
    <n v="3.15"/>
    <n v="157.5"/>
    <s v="#202402083700014192"/>
    <n v="0"/>
    <n v="0.08"/>
    <n v="0"/>
    <n v="0"/>
    <n v="20"/>
    <n v="3.62"/>
    <n v="23.7"/>
    <n v="2024"/>
    <n v="2"/>
    <n v="2023"/>
    <n v="11"/>
    <n v="11"/>
    <x v="1"/>
    <x v="1"/>
    <n v="-181.2"/>
  </r>
  <r>
    <d v="2024-02-08T00:00:00"/>
    <s v="OPT-NIFTY-08-Feb-2024-22000-C-E-I"/>
    <s v="NSE"/>
    <x v="1"/>
    <n v="50"/>
    <n v="0"/>
    <n v="3.15"/>
    <n v="157.5"/>
    <s v="#202402083700014183"/>
    <n v="0"/>
    <n v="0.08"/>
    <n v="0"/>
    <n v="0"/>
    <n v="20"/>
    <n v="3.62"/>
    <n v="23.7"/>
    <n v="2024"/>
    <n v="2"/>
    <n v="2023"/>
    <n v="11"/>
    <n v="11"/>
    <x v="1"/>
    <x v="1"/>
    <n v="-181.2"/>
  </r>
  <r>
    <d v="2024-02-08T00:00:00"/>
    <s v="OPT-NIFTY-08-Feb-2024-22000-C-E-I"/>
    <s v="NSE"/>
    <x v="1"/>
    <n v="50"/>
    <n v="0"/>
    <n v="2.95"/>
    <n v="147.5"/>
    <s v="#202402083700014006"/>
    <n v="0"/>
    <n v="7.0000000000000007E-2"/>
    <n v="0"/>
    <n v="0"/>
    <n v="20"/>
    <n v="3.62"/>
    <n v="23.69"/>
    <n v="2024"/>
    <n v="2"/>
    <n v="2023"/>
    <n v="11"/>
    <n v="11"/>
    <x v="1"/>
    <x v="1"/>
    <n v="-171.19"/>
  </r>
  <r>
    <d v="2024-02-08T00:00:00"/>
    <s v="OPT-NIFTY-08-Feb-2024-22000-C-E-I"/>
    <s v="NSE"/>
    <x v="1"/>
    <n v="50"/>
    <n v="0"/>
    <n v="3.15"/>
    <n v="157.5"/>
    <s v="#202402083700013938"/>
    <n v="0"/>
    <n v="0.08"/>
    <n v="0"/>
    <n v="0"/>
    <n v="20"/>
    <n v="3.62"/>
    <n v="23.7"/>
    <n v="2024"/>
    <n v="2"/>
    <n v="2023"/>
    <n v="11"/>
    <n v="11"/>
    <x v="1"/>
    <x v="1"/>
    <n v="-181.2"/>
  </r>
  <r>
    <d v="2024-02-08T00:00:00"/>
    <s v="OPT-NIFTY-08-Feb-2024-22000-C-E-I"/>
    <s v="NSE"/>
    <x v="1"/>
    <n v="50"/>
    <n v="0"/>
    <n v="3.25"/>
    <n v="162.5"/>
    <s v="#202402083700013884"/>
    <n v="0"/>
    <n v="0.08"/>
    <n v="0"/>
    <n v="0"/>
    <n v="20"/>
    <n v="3.62"/>
    <n v="23.7"/>
    <n v="2024"/>
    <n v="2"/>
    <n v="2023"/>
    <n v="11"/>
    <n v="11"/>
    <x v="1"/>
    <x v="1"/>
    <n v="-186.2"/>
  </r>
  <r>
    <d v="2024-02-08T00:00:00"/>
    <s v="OPT-NIFTY-08-Feb-2024-22000-C-E-I"/>
    <s v="NSE"/>
    <x v="1"/>
    <n v="50"/>
    <n v="0"/>
    <n v="5.9"/>
    <n v="295"/>
    <s v="#202402083700010850"/>
    <n v="0"/>
    <n v="0.15"/>
    <n v="0"/>
    <n v="0"/>
    <n v="20"/>
    <n v="3.62"/>
    <n v="23.77"/>
    <n v="2024"/>
    <n v="2"/>
    <n v="2023"/>
    <n v="11"/>
    <n v="11"/>
    <x v="1"/>
    <x v="1"/>
    <n v="-318.77"/>
  </r>
  <r>
    <d v="2024-02-08T00:00:00"/>
    <s v="OPT-NIFTY-08-Feb-2024-22000-C-E-I"/>
    <s v="NSE"/>
    <x v="1"/>
    <n v="50"/>
    <n v="0"/>
    <n v="8.8000000000000007"/>
    <n v="440"/>
    <s v="#202402083700009731"/>
    <n v="0"/>
    <n v="0.22"/>
    <n v="0"/>
    <n v="0"/>
    <n v="20"/>
    <n v="3.64"/>
    <n v="23.86"/>
    <n v="2024"/>
    <n v="2"/>
    <n v="2023"/>
    <n v="11"/>
    <n v="11"/>
    <x v="1"/>
    <x v="1"/>
    <n v="-463.86"/>
  </r>
  <r>
    <d v="2024-02-08T00:00:00"/>
    <s v="OPT-NIFTY-08-Feb-2024-22000-P-E-I"/>
    <s v="NSE"/>
    <x v="0"/>
    <n v="50"/>
    <n v="0"/>
    <n v="88.3"/>
    <n v="4415"/>
    <s v="#202402083700004004"/>
    <n v="2.76"/>
    <n v="2.23"/>
    <n v="0"/>
    <n v="0"/>
    <n v="20"/>
    <n v="4"/>
    <n v="28.99"/>
    <n v="2024"/>
    <n v="2"/>
    <n v="2023"/>
    <n v="11"/>
    <n v="11"/>
    <x v="1"/>
    <x v="1"/>
    <n v="4386.01"/>
  </r>
  <r>
    <d v="2024-02-08T00:00:00"/>
    <s v="OPT-NIFTY-08-Feb-2024-22000-P-E-I"/>
    <s v="NSE"/>
    <x v="1"/>
    <n v="50"/>
    <n v="0"/>
    <n v="61.85"/>
    <n v="3092.5"/>
    <s v="#202402083700002795"/>
    <n v="0"/>
    <n v="1.56"/>
    <n v="0"/>
    <n v="0"/>
    <n v="20"/>
    <n v="3.88"/>
    <n v="25.44"/>
    <n v="2024"/>
    <n v="2"/>
    <n v="2023"/>
    <n v="11"/>
    <n v="11"/>
    <x v="1"/>
    <x v="1"/>
    <n v="-3117.94"/>
  </r>
  <r>
    <d v="2024-02-09T00:00:00"/>
    <s v="OPT-NIFTY-15-Feb-2024-21700-P-E-I"/>
    <s v="NSE"/>
    <x v="1"/>
    <n v="50"/>
    <n v="0"/>
    <n v="151.85"/>
    <n v="7592.5"/>
    <s v="#202402093700012593"/>
    <n v="0"/>
    <n v="3.83"/>
    <n v="0"/>
    <n v="0.01"/>
    <n v="20"/>
    <n v="4.3"/>
    <n v="28.14"/>
    <n v="2024"/>
    <n v="2"/>
    <n v="2023"/>
    <n v="11"/>
    <n v="11"/>
    <x v="1"/>
    <x v="1"/>
    <n v="-7620.64"/>
  </r>
  <r>
    <d v="2024-02-09T00:00:00"/>
    <s v="OPT-NIFTY-15-Feb-2024-21700-P-E-I"/>
    <s v="NSE"/>
    <x v="0"/>
    <n v="50"/>
    <n v="0"/>
    <n v="182.25"/>
    <n v="9112.5"/>
    <s v="#202402093700008677"/>
    <n v="6"/>
    <n v="4.5999999999999996"/>
    <n v="0"/>
    <n v="0.01"/>
    <n v="20"/>
    <n v="4.42"/>
    <n v="35.03"/>
    <n v="2024"/>
    <n v="2"/>
    <n v="2023"/>
    <n v="11"/>
    <n v="11"/>
    <x v="1"/>
    <x v="1"/>
    <n v="9077.4699999999993"/>
  </r>
  <r>
    <d v="2024-02-09T00:00:00"/>
    <s v="OPT-NIFTY-15-Feb-2024-21700-P-E-I"/>
    <s v="NSE"/>
    <x v="1"/>
    <n v="50"/>
    <n v="0"/>
    <n v="180.55"/>
    <n v="9027.5"/>
    <s v="#202402093700004745"/>
    <n v="0"/>
    <n v="4.5599999999999996"/>
    <n v="1"/>
    <n v="0.01"/>
    <n v="20"/>
    <n v="4.42"/>
    <n v="29.99"/>
    <n v="2024"/>
    <n v="2"/>
    <n v="2023"/>
    <n v="11"/>
    <n v="11"/>
    <x v="1"/>
    <x v="1"/>
    <n v="-9057.49"/>
  </r>
  <r>
    <d v="2024-02-12T00:00:00"/>
    <s v="OPT-NIFTY-15-Feb-2024-21700-P-E-I"/>
    <s v="NSE"/>
    <x v="0"/>
    <n v="50"/>
    <n v="0"/>
    <n v="182"/>
    <n v="9100"/>
    <s v="#202402123700013602"/>
    <n v="6"/>
    <n v="4.5999999999999996"/>
    <n v="0"/>
    <n v="0.01"/>
    <n v="20"/>
    <n v="4.42"/>
    <n v="35.03"/>
    <n v="2024"/>
    <n v="2"/>
    <n v="2023"/>
    <n v="11"/>
    <n v="11"/>
    <x v="1"/>
    <x v="1"/>
    <n v="9064.9699999999993"/>
  </r>
  <r>
    <d v="2024-02-13T00:00:00"/>
    <s v="OPT-NIFFIN-13-Feb-2024-20150-P-E-I"/>
    <s v="NSE"/>
    <x v="0"/>
    <n v="200"/>
    <n v="0"/>
    <n v="73.25"/>
    <n v="14650"/>
    <s v="#202402133700017680"/>
    <n v="9.16"/>
    <n v="7.4"/>
    <n v="0"/>
    <n v="0.01"/>
    <n v="100"/>
    <n v="19.34"/>
    <n v="135.91"/>
    <n v="2024"/>
    <n v="2"/>
    <n v="2023"/>
    <n v="11"/>
    <n v="11"/>
    <x v="1"/>
    <x v="1"/>
    <n v="14514.09"/>
  </r>
  <r>
    <d v="2024-02-13T00:00:00"/>
    <s v="OPT-NIFFIN-13-Feb-2024-20150-P-E-I"/>
    <s v="NSE"/>
    <x v="0"/>
    <n v="200"/>
    <n v="0"/>
    <n v="72"/>
    <n v="14400"/>
    <s v="#202402133700015322"/>
    <n v="9"/>
    <n v="7.27"/>
    <n v="0"/>
    <n v="0.01"/>
    <n v="100"/>
    <n v="19.32"/>
    <n v="135.6"/>
    <n v="2024"/>
    <n v="2"/>
    <n v="2023"/>
    <n v="11"/>
    <n v="11"/>
    <x v="1"/>
    <x v="1"/>
    <n v="14264.4"/>
  </r>
  <r>
    <d v="2024-02-13T00:00:00"/>
    <s v="OPT-NIFFIN-13-Feb-2024-20150-P-E-I"/>
    <s v="NSE"/>
    <x v="1"/>
    <n v="400"/>
    <n v="0"/>
    <n v="42.09"/>
    <n v="16836"/>
    <s v="#202402133700013031"/>
    <n v="0"/>
    <n v="8.5"/>
    <n v="0"/>
    <n v="0.02"/>
    <n v="200"/>
    <n v="37.54"/>
    <n v="246.06"/>
    <n v="2024"/>
    <n v="2"/>
    <n v="2023"/>
    <n v="11"/>
    <n v="11"/>
    <x v="1"/>
    <x v="1"/>
    <n v="-17082.060000000001"/>
  </r>
  <r>
    <d v="2024-02-13T00:00:00"/>
    <s v="OPT-NIFFIN-13-Feb-2024-20150-P-E-I"/>
    <s v="NSE"/>
    <x v="0"/>
    <n v="280"/>
    <n v="0"/>
    <n v="44.54"/>
    <n v="12470"/>
    <s v="#202402133700012350"/>
    <n v="7.8"/>
    <n v="6.3"/>
    <n v="0"/>
    <n v="0"/>
    <n v="140"/>
    <n v="26.32"/>
    <n v="180.42"/>
    <n v="2024"/>
    <n v="2"/>
    <n v="2023"/>
    <n v="11"/>
    <n v="11"/>
    <x v="1"/>
    <x v="1"/>
    <n v="12289.58"/>
  </r>
  <r>
    <d v="2024-02-13T00:00:00"/>
    <s v="OPT-NIFFIN-13-Feb-2024-20150-P-E-I"/>
    <s v="NSE"/>
    <x v="1"/>
    <n v="240"/>
    <n v="0"/>
    <n v="35.5"/>
    <n v="8520"/>
    <s v="#202402133700012125"/>
    <n v="0"/>
    <n v="4.3"/>
    <n v="0.73"/>
    <n v="0.01"/>
    <n v="120"/>
    <n v="22.38"/>
    <n v="147.41999999999999"/>
    <n v="2024"/>
    <n v="2"/>
    <n v="2023"/>
    <n v="11"/>
    <n v="11"/>
    <x v="1"/>
    <x v="1"/>
    <n v="-8667.42"/>
  </r>
  <r>
    <d v="2024-02-13T00:00:00"/>
    <s v="OPT-NIFFIN-13-Feb-2024-20150-P-E-I"/>
    <s v="NSE"/>
    <x v="1"/>
    <n v="40"/>
    <n v="0"/>
    <n v="35.4"/>
    <n v="1416"/>
    <s v="#202402133700012057"/>
    <n v="0"/>
    <n v="0.72"/>
    <n v="0"/>
    <n v="0"/>
    <n v="20"/>
    <n v="3.72"/>
    <n v="24.44"/>
    <n v="2024"/>
    <n v="2"/>
    <n v="2023"/>
    <n v="11"/>
    <n v="11"/>
    <x v="1"/>
    <x v="1"/>
    <n v="-1440.44"/>
  </r>
  <r>
    <d v="2024-02-13T00:00:00"/>
    <s v="OPT-NIFFIN-13-Feb-2024-19700-P-E-I"/>
    <s v="NSE"/>
    <x v="0"/>
    <n v="1520"/>
    <n v="0"/>
    <n v="1.1000000000000001"/>
    <n v="1672"/>
    <s v="#202402133700009129"/>
    <n v="1.05"/>
    <n v="0.84"/>
    <n v="0"/>
    <n v="0"/>
    <n v="760"/>
    <n v="136.94"/>
    <n v="898.83"/>
    <n v="2024"/>
    <n v="2"/>
    <n v="2023"/>
    <n v="11"/>
    <n v="11"/>
    <x v="1"/>
    <x v="1"/>
    <n v="773.17"/>
  </r>
  <r>
    <d v="2024-02-13T00:00:00"/>
    <s v="OPT-NIFFIN-13-Feb-2024-19700-P-E-I"/>
    <s v="NSE"/>
    <x v="1"/>
    <n v="40"/>
    <n v="0"/>
    <n v="4.45"/>
    <n v="178"/>
    <s v="#202402133700004028"/>
    <n v="0"/>
    <n v="0.09"/>
    <n v="0"/>
    <n v="0"/>
    <n v="20"/>
    <n v="3.62"/>
    <n v="23.71"/>
    <n v="2024"/>
    <n v="2"/>
    <n v="2023"/>
    <n v="11"/>
    <n v="11"/>
    <x v="1"/>
    <x v="1"/>
    <n v="-201.71"/>
  </r>
  <r>
    <d v="2024-02-13T00:00:00"/>
    <s v="OPT-NIFFIN-13-Feb-2024-19700-P-E-I"/>
    <s v="NSE"/>
    <x v="1"/>
    <n v="40"/>
    <n v="0"/>
    <n v="4.5999999999999996"/>
    <n v="184"/>
    <s v="#202402133700004022"/>
    <n v="0"/>
    <n v="0.09"/>
    <n v="0"/>
    <n v="0"/>
    <n v="20"/>
    <n v="3.62"/>
    <n v="23.71"/>
    <n v="2024"/>
    <n v="2"/>
    <n v="2023"/>
    <n v="11"/>
    <n v="11"/>
    <x v="1"/>
    <x v="1"/>
    <n v="-207.71"/>
  </r>
  <r>
    <d v="2024-02-13T00:00:00"/>
    <s v="OPT-NIFFIN-13-Feb-2024-19700-P-E-I"/>
    <s v="NSE"/>
    <x v="1"/>
    <n v="40"/>
    <n v="0"/>
    <n v="4.6500000000000004"/>
    <n v="186"/>
    <s v="#202402133700004018"/>
    <n v="0"/>
    <n v="0.09"/>
    <n v="0"/>
    <n v="0"/>
    <n v="20"/>
    <n v="3.62"/>
    <n v="23.71"/>
    <n v="2024"/>
    <n v="2"/>
    <n v="2023"/>
    <n v="11"/>
    <n v="11"/>
    <x v="1"/>
    <x v="1"/>
    <n v="-209.71"/>
  </r>
  <r>
    <d v="2024-02-13T00:00:00"/>
    <s v="OPT-NIFFIN-13-Feb-2024-19700-P-E-I"/>
    <s v="NSE"/>
    <x v="1"/>
    <n v="40"/>
    <n v="0"/>
    <n v="4.4000000000000004"/>
    <n v="176"/>
    <s v="#202402133700003925"/>
    <n v="0"/>
    <n v="0.09"/>
    <n v="0"/>
    <n v="0"/>
    <n v="20"/>
    <n v="3.62"/>
    <n v="23.71"/>
    <n v="2024"/>
    <n v="2"/>
    <n v="2023"/>
    <n v="11"/>
    <n v="11"/>
    <x v="1"/>
    <x v="1"/>
    <n v="-199.71"/>
  </r>
  <r>
    <d v="2024-02-13T00:00:00"/>
    <s v="OPT-NIFFIN-13-Feb-2024-19700-P-E-I"/>
    <s v="NSE"/>
    <x v="1"/>
    <n v="40"/>
    <n v="0"/>
    <n v="4.4000000000000004"/>
    <n v="176"/>
    <s v="#202402133700003914"/>
    <n v="0"/>
    <n v="0.09"/>
    <n v="0"/>
    <n v="0"/>
    <n v="20"/>
    <n v="3.62"/>
    <n v="23.71"/>
    <n v="2024"/>
    <n v="2"/>
    <n v="2023"/>
    <n v="11"/>
    <n v="11"/>
    <x v="1"/>
    <x v="1"/>
    <n v="-199.71"/>
  </r>
  <r>
    <d v="2024-02-13T00:00:00"/>
    <s v="OPT-NIFFIN-13-Feb-2024-19700-P-E-I"/>
    <s v="NSE"/>
    <x v="1"/>
    <n v="40"/>
    <n v="0"/>
    <n v="4.25"/>
    <n v="170"/>
    <s v="#202402133700003898"/>
    <n v="0"/>
    <n v="0.09"/>
    <n v="0"/>
    <n v="0"/>
    <n v="20"/>
    <n v="3.62"/>
    <n v="23.71"/>
    <n v="2024"/>
    <n v="2"/>
    <n v="2023"/>
    <n v="11"/>
    <n v="11"/>
    <x v="1"/>
    <x v="1"/>
    <n v="-193.71"/>
  </r>
  <r>
    <d v="2024-02-13T00:00:00"/>
    <s v="OPT-NIFFIN-13-Feb-2024-19700-P-E-I"/>
    <s v="NSE"/>
    <x v="1"/>
    <n v="40"/>
    <n v="0"/>
    <n v="4.1500000000000004"/>
    <n v="166"/>
    <s v="#202402133700003831"/>
    <n v="0"/>
    <n v="0.08"/>
    <n v="0"/>
    <n v="0"/>
    <n v="20"/>
    <n v="3.62"/>
    <n v="23.7"/>
    <n v="2024"/>
    <n v="2"/>
    <n v="2023"/>
    <n v="11"/>
    <n v="11"/>
    <x v="1"/>
    <x v="1"/>
    <n v="-189.7"/>
  </r>
  <r>
    <d v="2024-02-13T00:00:00"/>
    <s v="OPT-NIFFIN-13-Feb-2024-19700-P-E-I"/>
    <s v="NSE"/>
    <x v="1"/>
    <n v="40"/>
    <n v="0"/>
    <n v="4.2"/>
    <n v="168"/>
    <s v="#202402133700003814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4.2"/>
    <n v="168"/>
    <s v="#202402133700003775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4.25"/>
    <n v="170"/>
    <s v="#202402133700003764"/>
    <n v="0"/>
    <n v="0.09"/>
    <n v="0"/>
    <n v="0"/>
    <n v="20"/>
    <n v="3.62"/>
    <n v="23.71"/>
    <n v="2024"/>
    <n v="2"/>
    <n v="2023"/>
    <n v="11"/>
    <n v="11"/>
    <x v="1"/>
    <x v="1"/>
    <n v="-193.71"/>
  </r>
  <r>
    <d v="2024-02-13T00:00:00"/>
    <s v="OPT-NIFFIN-13-Feb-2024-19700-P-E-I"/>
    <s v="NSE"/>
    <x v="1"/>
    <n v="40"/>
    <n v="0"/>
    <n v="4.1500000000000004"/>
    <n v="166"/>
    <s v="#202402133700003757"/>
    <n v="0"/>
    <n v="0.08"/>
    <n v="0"/>
    <n v="0"/>
    <n v="20"/>
    <n v="3.62"/>
    <n v="23.7"/>
    <n v="2024"/>
    <n v="2"/>
    <n v="2023"/>
    <n v="11"/>
    <n v="11"/>
    <x v="1"/>
    <x v="1"/>
    <n v="-189.7"/>
  </r>
  <r>
    <d v="2024-02-13T00:00:00"/>
    <s v="OPT-NIFFIN-13-Feb-2024-19700-P-E-I"/>
    <s v="NSE"/>
    <x v="1"/>
    <n v="40"/>
    <n v="0"/>
    <n v="4.25"/>
    <n v="170"/>
    <s v="#202402133700003751"/>
    <n v="0"/>
    <n v="0.09"/>
    <n v="0"/>
    <n v="0"/>
    <n v="20"/>
    <n v="3.62"/>
    <n v="23.71"/>
    <n v="2024"/>
    <n v="2"/>
    <n v="2023"/>
    <n v="11"/>
    <n v="11"/>
    <x v="1"/>
    <x v="1"/>
    <n v="-193.71"/>
  </r>
  <r>
    <d v="2024-02-13T00:00:00"/>
    <s v="OPT-NIFFIN-13-Feb-2024-19700-P-E-I"/>
    <s v="NSE"/>
    <x v="1"/>
    <n v="40"/>
    <n v="0"/>
    <n v="4.2"/>
    <n v="168"/>
    <s v="#202402133700003738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4.2"/>
    <n v="168"/>
    <s v="#202402133700003733"/>
    <n v="0"/>
    <n v="0.08"/>
    <n v="0"/>
    <n v="0"/>
    <n v="20"/>
    <n v="3.62"/>
    <n v="23.7"/>
    <n v="2024"/>
    <n v="2"/>
    <n v="2023"/>
    <n v="11"/>
    <n v="11"/>
    <x v="1"/>
    <x v="1"/>
    <n v="-191.7"/>
  </r>
  <r>
    <d v="2024-02-13T00:00:00"/>
    <s v="OPT-NIFFIN-13-Feb-2024-19700-P-E-I"/>
    <s v="NSE"/>
    <x v="1"/>
    <n v="40"/>
    <n v="0"/>
    <n v="5.25"/>
    <n v="210"/>
    <s v="#202402133700003229"/>
    <n v="0"/>
    <n v="0.11"/>
    <n v="0"/>
    <n v="0"/>
    <n v="20"/>
    <n v="3.62"/>
    <n v="23.73"/>
    <n v="2024"/>
    <n v="2"/>
    <n v="2023"/>
    <n v="11"/>
    <n v="11"/>
    <x v="1"/>
    <x v="1"/>
    <n v="-233.73"/>
  </r>
  <r>
    <d v="2024-02-13T00:00:00"/>
    <s v="OPT-NIFFIN-13-Feb-2024-19700-P-E-I"/>
    <s v="NSE"/>
    <x v="1"/>
    <n v="40"/>
    <n v="0"/>
    <n v="5.2"/>
    <n v="208"/>
    <s v="#202402133700003180"/>
    <n v="0"/>
    <n v="0.11"/>
    <n v="0"/>
    <n v="0"/>
    <n v="20"/>
    <n v="3.62"/>
    <n v="23.73"/>
    <n v="2024"/>
    <n v="2"/>
    <n v="2023"/>
    <n v="11"/>
    <n v="11"/>
    <x v="1"/>
    <x v="1"/>
    <n v="-231.73"/>
  </r>
  <r>
    <d v="2024-02-13T00:00:00"/>
    <s v="OPT-NIFFIN-13-Feb-2024-19700-P-E-I"/>
    <s v="NSE"/>
    <x v="1"/>
    <n v="40"/>
    <n v="0"/>
    <n v="5.3"/>
    <n v="212"/>
    <s v="#202402133700003139"/>
    <n v="0"/>
    <n v="0.11"/>
    <n v="0"/>
    <n v="0"/>
    <n v="20"/>
    <n v="3.62"/>
    <n v="23.73"/>
    <n v="2024"/>
    <n v="2"/>
    <n v="2023"/>
    <n v="11"/>
    <n v="11"/>
    <x v="1"/>
    <x v="1"/>
    <n v="-235.73"/>
  </r>
  <r>
    <d v="2024-02-13T00:00:00"/>
    <s v="OPT-NIFFIN-13-Feb-2024-19700-P-E-I"/>
    <s v="NSE"/>
    <x v="1"/>
    <n v="40"/>
    <n v="0"/>
    <n v="5.15"/>
    <n v="206"/>
    <s v="#202402133700003113"/>
    <n v="0"/>
    <n v="0.1"/>
    <n v="0"/>
    <n v="0"/>
    <n v="20"/>
    <n v="3.62"/>
    <n v="23.72"/>
    <n v="2024"/>
    <n v="2"/>
    <n v="2023"/>
    <n v="11"/>
    <n v="11"/>
    <x v="1"/>
    <x v="1"/>
    <n v="-229.72"/>
  </r>
  <r>
    <d v="2024-02-13T00:00:00"/>
    <s v="OPT-NIFFIN-13-Feb-2024-19700-P-E-I"/>
    <s v="NSE"/>
    <x v="1"/>
    <n v="40"/>
    <n v="0"/>
    <n v="5.4"/>
    <n v="216"/>
    <s v="#202402133700003085"/>
    <n v="0"/>
    <n v="0.11"/>
    <n v="0"/>
    <n v="0"/>
    <n v="20"/>
    <n v="3.62"/>
    <n v="23.73"/>
    <n v="2024"/>
    <n v="2"/>
    <n v="2023"/>
    <n v="11"/>
    <n v="11"/>
    <x v="1"/>
    <x v="1"/>
    <n v="-239.73"/>
  </r>
  <r>
    <d v="2024-02-13T00:00:00"/>
    <s v="OPT-NIFFIN-13-Feb-2024-19700-P-E-I"/>
    <s v="NSE"/>
    <x v="1"/>
    <n v="40"/>
    <n v="0"/>
    <n v="5.45"/>
    <n v="218"/>
    <s v="#202402133700003066"/>
    <n v="0"/>
    <n v="0.11"/>
    <n v="0"/>
    <n v="0"/>
    <n v="20"/>
    <n v="3.62"/>
    <n v="23.73"/>
    <n v="2024"/>
    <n v="2"/>
    <n v="2023"/>
    <n v="11"/>
    <n v="11"/>
    <x v="1"/>
    <x v="1"/>
    <n v="-241.73"/>
  </r>
  <r>
    <d v="2024-02-13T00:00:00"/>
    <s v="OPT-NIFFIN-13-Feb-2024-19700-P-E-I"/>
    <s v="NSE"/>
    <x v="1"/>
    <n v="40"/>
    <n v="0"/>
    <n v="6.05"/>
    <n v="242"/>
    <s v="#202402133700003041"/>
    <n v="0"/>
    <n v="0.12"/>
    <n v="0"/>
    <n v="0"/>
    <n v="20"/>
    <n v="3.62"/>
    <n v="23.74"/>
    <n v="2024"/>
    <n v="2"/>
    <n v="2023"/>
    <n v="11"/>
    <n v="11"/>
    <x v="1"/>
    <x v="1"/>
    <n v="-265.74"/>
  </r>
  <r>
    <d v="2024-02-13T00:00:00"/>
    <s v="OPT-NIFFIN-13-Feb-2024-19700-P-E-I"/>
    <s v="NSE"/>
    <x v="1"/>
    <n v="40"/>
    <n v="0"/>
    <n v="6.2"/>
    <n v="248"/>
    <s v="#202402133700003011"/>
    <n v="0"/>
    <n v="0.13"/>
    <n v="0"/>
    <n v="0"/>
    <n v="20"/>
    <n v="3.62"/>
    <n v="23.75"/>
    <n v="2024"/>
    <n v="2"/>
    <n v="2023"/>
    <n v="11"/>
    <n v="11"/>
    <x v="1"/>
    <x v="1"/>
    <n v="-271.75"/>
  </r>
  <r>
    <d v="2024-02-13T00:00:00"/>
    <s v="OPT-NIFFIN-13-Feb-2024-19700-P-E-I"/>
    <s v="NSE"/>
    <x v="1"/>
    <n v="40"/>
    <n v="0"/>
    <n v="6.7"/>
    <n v="268"/>
    <s v="#202402133700002984"/>
    <n v="0"/>
    <n v="0.14000000000000001"/>
    <n v="0"/>
    <n v="0"/>
    <n v="20"/>
    <n v="3.62"/>
    <n v="23.76"/>
    <n v="2024"/>
    <n v="2"/>
    <n v="2023"/>
    <n v="11"/>
    <n v="11"/>
    <x v="1"/>
    <x v="1"/>
    <n v="-291.76"/>
  </r>
  <r>
    <d v="2024-02-13T00:00:00"/>
    <s v="OPT-NIFFIN-13-Feb-2024-19700-P-E-I"/>
    <s v="NSE"/>
    <x v="1"/>
    <n v="40"/>
    <n v="0"/>
    <n v="7.6"/>
    <n v="304"/>
    <s v="#202402133700002957"/>
    <n v="0"/>
    <n v="0.15"/>
    <n v="0"/>
    <n v="0"/>
    <n v="20"/>
    <n v="3.62"/>
    <n v="23.77"/>
    <n v="2024"/>
    <n v="2"/>
    <n v="2023"/>
    <n v="11"/>
    <n v="11"/>
    <x v="1"/>
    <x v="1"/>
    <n v="-327.77"/>
  </r>
  <r>
    <d v="2024-02-13T00:00:00"/>
    <s v="OPT-NIFFIN-13-Feb-2024-19700-P-E-I"/>
    <s v="NSE"/>
    <x v="1"/>
    <n v="40"/>
    <n v="0"/>
    <n v="7.15"/>
    <n v="286"/>
    <s v="#202402133700002934"/>
    <n v="0"/>
    <n v="0.14000000000000001"/>
    <n v="0"/>
    <n v="0"/>
    <n v="20"/>
    <n v="3.62"/>
    <n v="23.76"/>
    <n v="2024"/>
    <n v="2"/>
    <n v="2023"/>
    <n v="11"/>
    <n v="11"/>
    <x v="1"/>
    <x v="1"/>
    <n v="-309.76"/>
  </r>
  <r>
    <d v="2024-02-13T00:00:00"/>
    <s v="OPT-NIFFIN-13-Feb-2024-19700-P-E-I"/>
    <s v="NSE"/>
    <x v="1"/>
    <n v="40"/>
    <n v="0"/>
    <n v="7.75"/>
    <n v="310"/>
    <s v="#202402133700001883"/>
    <n v="0"/>
    <n v="0.16"/>
    <n v="0.27"/>
    <n v="0"/>
    <n v="20"/>
    <n v="3.62"/>
    <n v="24.05"/>
    <n v="2024"/>
    <n v="2"/>
    <n v="2023"/>
    <n v="11"/>
    <n v="11"/>
    <x v="1"/>
    <x v="1"/>
    <n v="-334.05"/>
  </r>
  <r>
    <d v="2024-02-13T00:00:00"/>
    <s v="OPT-NIFFIN-13-Feb-2024-19700-P-E-I"/>
    <s v="NSE"/>
    <x v="1"/>
    <n v="40"/>
    <n v="0"/>
    <n v="7.65"/>
    <n v="306"/>
    <s v="#202402133700001846"/>
    <n v="0"/>
    <n v="0.15"/>
    <n v="0"/>
    <n v="0"/>
    <n v="20"/>
    <n v="3.62"/>
    <n v="23.77"/>
    <n v="2024"/>
    <n v="2"/>
    <n v="2023"/>
    <n v="11"/>
    <n v="11"/>
    <x v="1"/>
    <x v="1"/>
    <n v="-329.77"/>
  </r>
  <r>
    <d v="2024-02-13T00:00:00"/>
    <s v="OPT-NIFFIN-13-Feb-2024-19700-P-E-I"/>
    <s v="NSE"/>
    <x v="1"/>
    <n v="40"/>
    <n v="0"/>
    <n v="7.45"/>
    <n v="298"/>
    <s v="#202402133700001779"/>
    <n v="0"/>
    <n v="0.15"/>
    <n v="0"/>
    <n v="0"/>
    <n v="20"/>
    <n v="3.62"/>
    <n v="23.77"/>
    <n v="2024"/>
    <n v="2"/>
    <n v="2023"/>
    <n v="11"/>
    <n v="11"/>
    <x v="1"/>
    <x v="1"/>
    <n v="-321.77"/>
  </r>
  <r>
    <d v="2024-02-13T00:00:00"/>
    <s v="OPT-NIFFIN-13-Feb-2024-19700-P-E-I"/>
    <s v="NSE"/>
    <x v="1"/>
    <n v="40"/>
    <n v="0"/>
    <n v="7.55"/>
    <n v="302"/>
    <s v="#202402133700001752"/>
    <n v="0"/>
    <n v="0.15"/>
    <n v="0"/>
    <n v="0"/>
    <n v="20"/>
    <n v="3.62"/>
    <n v="23.77"/>
    <n v="2024"/>
    <n v="2"/>
    <n v="2023"/>
    <n v="11"/>
    <n v="11"/>
    <x v="1"/>
    <x v="1"/>
    <n v="-325.77"/>
  </r>
  <r>
    <d v="2024-02-13T00:00:00"/>
    <s v="OPT-NIFFIN-13-Feb-2024-19700-P-E-I"/>
    <s v="NSE"/>
    <x v="1"/>
    <n v="40"/>
    <n v="0"/>
    <n v="7.55"/>
    <n v="302"/>
    <s v="#202402133700001696"/>
    <n v="0"/>
    <n v="0.15"/>
    <n v="0"/>
    <n v="0"/>
    <n v="20"/>
    <n v="3.62"/>
    <n v="23.77"/>
    <n v="2024"/>
    <n v="2"/>
    <n v="2023"/>
    <n v="11"/>
    <n v="11"/>
    <x v="1"/>
    <x v="1"/>
    <n v="-325.77"/>
  </r>
  <r>
    <d v="2024-02-13T00:00:00"/>
    <s v="OPT-NIFFIN-13-Feb-2024-19700-P-E-I"/>
    <s v="NSE"/>
    <x v="1"/>
    <n v="40"/>
    <n v="0"/>
    <n v="6.85"/>
    <n v="274"/>
    <s v="#202402133700001661"/>
    <n v="0"/>
    <n v="0.14000000000000001"/>
    <n v="0"/>
    <n v="0"/>
    <n v="20"/>
    <n v="3.62"/>
    <n v="23.76"/>
    <n v="2024"/>
    <n v="2"/>
    <n v="2023"/>
    <n v="11"/>
    <n v="11"/>
    <x v="1"/>
    <x v="1"/>
    <n v="-297.76"/>
  </r>
  <r>
    <d v="2024-02-13T00:00:00"/>
    <s v="OPT-NIFFIN-13-Feb-2024-19700-P-E-I"/>
    <s v="NSE"/>
    <x v="1"/>
    <n v="40"/>
    <n v="0"/>
    <n v="6.35"/>
    <n v="254"/>
    <s v="#202402133700001635"/>
    <n v="0"/>
    <n v="0.13"/>
    <n v="0"/>
    <n v="0"/>
    <n v="20"/>
    <n v="3.62"/>
    <n v="23.75"/>
    <n v="2024"/>
    <n v="2"/>
    <n v="2023"/>
    <n v="11"/>
    <n v="11"/>
    <x v="1"/>
    <x v="1"/>
    <n v="-277.75"/>
  </r>
  <r>
    <d v="2024-02-13T00:00:00"/>
    <s v="OPT-NIFFIN-13-Feb-2024-19700-P-E-I"/>
    <s v="NSE"/>
    <x v="1"/>
    <n v="40"/>
    <n v="0"/>
    <n v="6.65"/>
    <n v="266"/>
    <s v="#202402133700001606"/>
    <n v="0"/>
    <n v="0.13"/>
    <n v="0"/>
    <n v="0"/>
    <n v="20"/>
    <n v="3.62"/>
    <n v="23.75"/>
    <n v="2024"/>
    <n v="2"/>
    <n v="2023"/>
    <n v="11"/>
    <n v="11"/>
    <x v="1"/>
    <x v="1"/>
    <n v="-289.75"/>
  </r>
  <r>
    <d v="2024-02-13T00:00:00"/>
    <s v="OPT-NIFFIN-13-Feb-2024-19700-P-E-I"/>
    <s v="NSE"/>
    <x v="1"/>
    <n v="40"/>
    <n v="0"/>
    <n v="6.9"/>
    <n v="276"/>
    <s v="#202402133700001590"/>
    <n v="0"/>
    <n v="0.14000000000000001"/>
    <n v="0"/>
    <n v="0"/>
    <n v="20"/>
    <n v="3.62"/>
    <n v="23.76"/>
    <n v="2024"/>
    <n v="2"/>
    <n v="2023"/>
    <n v="11"/>
    <n v="11"/>
    <x v="1"/>
    <x v="1"/>
    <n v="-299.76"/>
  </r>
  <r>
    <d v="2024-02-13T00:00:00"/>
    <s v="OPT-NIFFIN-13-Feb-2024-19700-P-E-I"/>
    <s v="NSE"/>
    <x v="1"/>
    <n v="40"/>
    <n v="0"/>
    <n v="7.7"/>
    <n v="308"/>
    <s v="#202402133700001527"/>
    <n v="0"/>
    <n v="0.16"/>
    <n v="0"/>
    <n v="0"/>
    <n v="20"/>
    <n v="3.62"/>
    <n v="23.78"/>
    <n v="2024"/>
    <n v="2"/>
    <n v="2023"/>
    <n v="11"/>
    <n v="11"/>
    <x v="1"/>
    <x v="1"/>
    <n v="-331.78"/>
  </r>
  <r>
    <d v="2024-02-13T00:00:00"/>
    <s v="OPT-NIFFIN-13-Feb-2024-19700-P-E-I"/>
    <s v="NSE"/>
    <x v="1"/>
    <n v="40"/>
    <n v="0"/>
    <n v="9"/>
    <n v="360"/>
    <s v="#202402133700001482"/>
    <n v="0"/>
    <n v="0.18"/>
    <n v="0"/>
    <n v="0"/>
    <n v="20"/>
    <n v="3.64"/>
    <n v="23.82"/>
    <n v="2024"/>
    <n v="2"/>
    <n v="2023"/>
    <n v="11"/>
    <n v="11"/>
    <x v="1"/>
    <x v="1"/>
    <n v="-383.82"/>
  </r>
  <r>
    <d v="2024-02-13T00:00:00"/>
    <s v="OPT-NIFFIN-13-Feb-2024-19700-P-E-I"/>
    <s v="NSE"/>
    <x v="1"/>
    <n v="40"/>
    <n v="0"/>
    <n v="10.3"/>
    <n v="412"/>
    <s v="#202402133700001444"/>
    <n v="0"/>
    <n v="0.21"/>
    <n v="0"/>
    <n v="0"/>
    <n v="20"/>
    <n v="3.64"/>
    <n v="23.85"/>
    <n v="2024"/>
    <n v="2"/>
    <n v="2023"/>
    <n v="11"/>
    <n v="11"/>
    <x v="1"/>
    <x v="1"/>
    <n v="-435.85"/>
  </r>
  <r>
    <d v="2024-02-13T00:00:00"/>
    <s v="OPT-NIFFIN-13-Feb-2024-19700-P-E-I"/>
    <s v="NSE"/>
    <x v="1"/>
    <n v="40"/>
    <n v="0"/>
    <n v="9.8000000000000007"/>
    <n v="392"/>
    <s v="#202402133700001411"/>
    <n v="0"/>
    <n v="0.2"/>
    <n v="0"/>
    <n v="0"/>
    <n v="20"/>
    <n v="3.64"/>
    <n v="23.84"/>
    <n v="2024"/>
    <n v="2"/>
    <n v="2023"/>
    <n v="11"/>
    <n v="11"/>
    <x v="1"/>
    <x v="1"/>
    <n v="-415.84"/>
  </r>
  <r>
    <d v="2024-02-14T00:00:00"/>
    <s v="OPT-NIFTY-15-Feb-2024-21550-P-E-I"/>
    <s v="NSE"/>
    <x v="0"/>
    <n v="800"/>
    <n v="0"/>
    <n v="39.700000000000003"/>
    <n v="31760"/>
    <s v="#202402143700021174"/>
    <n v="19.84"/>
    <n v="16.03"/>
    <n v="0"/>
    <n v="0.03"/>
    <n v="320"/>
    <n v="60.48"/>
    <n v="416.38"/>
    <n v="2024"/>
    <n v="2"/>
    <n v="2023"/>
    <n v="11"/>
    <n v="11"/>
    <x v="1"/>
    <x v="1"/>
    <n v="31343.62"/>
  </r>
  <r>
    <d v="2024-02-14T00:00:00"/>
    <s v="OPT-NIFTY-15-Feb-2024-21550-P-E-I"/>
    <s v="NSE"/>
    <x v="1"/>
    <n v="400"/>
    <n v="0"/>
    <n v="53.53"/>
    <n v="21412.5"/>
    <s v="#202402143700012687"/>
    <n v="0"/>
    <n v="10.81"/>
    <n v="1.42"/>
    <n v="0.01"/>
    <n v="160"/>
    <n v="30.74"/>
    <n v="202.98"/>
    <n v="2024"/>
    <n v="2"/>
    <n v="2023"/>
    <n v="11"/>
    <n v="11"/>
    <x v="1"/>
    <x v="1"/>
    <n v="-21615.48"/>
  </r>
  <r>
    <d v="2024-02-14T00:00:00"/>
    <s v="OPT-NIFTY-15-Feb-2024-21550-P-E-I"/>
    <s v="NSE"/>
    <x v="1"/>
    <n v="400"/>
    <n v="0"/>
    <n v="64.8"/>
    <n v="25920"/>
    <s v="#202402143700011711"/>
    <n v="0"/>
    <n v="13.09"/>
    <n v="0"/>
    <n v="0.03"/>
    <n v="160"/>
    <n v="31.16"/>
    <n v="204.28"/>
    <n v="2024"/>
    <n v="2"/>
    <n v="2023"/>
    <n v="11"/>
    <n v="11"/>
    <x v="1"/>
    <x v="1"/>
    <n v="-26124.28"/>
  </r>
  <r>
    <d v="2024-02-14T00:00:00"/>
    <s v="OPT-NIFTY-15-Feb-2024-21650-C-E-I"/>
    <s v="NSE"/>
    <x v="0"/>
    <n v="350"/>
    <n v="0"/>
    <n v="59.11"/>
    <n v="20690"/>
    <s v="#202402143700011378"/>
    <n v="12.94"/>
    <n v="10.45"/>
    <n v="0"/>
    <n v="0.02"/>
    <n v="140"/>
    <n v="27.06"/>
    <n v="190.47"/>
    <n v="2024"/>
    <n v="2"/>
    <n v="2023"/>
    <n v="11"/>
    <n v="11"/>
    <x v="1"/>
    <x v="1"/>
    <n v="20499.53"/>
  </r>
  <r>
    <d v="2024-02-14T00:00:00"/>
    <s v="OPT-NIFTY-15-Feb-2024-21650-C-E-I"/>
    <s v="NSE"/>
    <x v="1"/>
    <n v="300"/>
    <n v="0"/>
    <n v="69.17"/>
    <n v="20750"/>
    <s v="#202402143700009360"/>
    <n v="0"/>
    <n v="10.48"/>
    <n v="0"/>
    <n v="0.02"/>
    <n v="120"/>
    <n v="23.52"/>
    <n v="154.02000000000001"/>
    <n v="2024"/>
    <n v="2"/>
    <n v="2023"/>
    <n v="11"/>
    <n v="11"/>
    <x v="1"/>
    <x v="1"/>
    <n v="-20904.02"/>
  </r>
  <r>
    <d v="2024-02-14T00:00:00"/>
    <s v="OPT-NIFTY-15-Feb-2024-21650-C-E-I"/>
    <s v="NSE"/>
    <x v="1"/>
    <n v="50"/>
    <n v="0"/>
    <n v="71.7"/>
    <n v="3585"/>
    <s v="#202402143700009186"/>
    <n v="0"/>
    <n v="1.81"/>
    <n v="0"/>
    <n v="0"/>
    <n v="20"/>
    <n v="3.92"/>
    <n v="25.73"/>
    <n v="2024"/>
    <n v="2"/>
    <n v="2023"/>
    <n v="11"/>
    <n v="11"/>
    <x v="1"/>
    <x v="1"/>
    <n v="-3610.73"/>
  </r>
  <r>
    <d v="2024-02-14T00:00:00"/>
    <s v="OPT-CNXBAN-14-Feb-2024-45000-P-E-I"/>
    <s v="NSE"/>
    <x v="0"/>
    <n v="195"/>
    <n v="0"/>
    <n v="57.95"/>
    <n v="11300.25"/>
    <s v="#202402143700008683"/>
    <n v="7.07"/>
    <n v="5.71"/>
    <n v="0"/>
    <n v="0"/>
    <n v="260"/>
    <n v="47.84"/>
    <n v="320.62"/>
    <n v="2024"/>
    <n v="2"/>
    <n v="2023"/>
    <n v="11"/>
    <n v="11"/>
    <x v="1"/>
    <x v="1"/>
    <n v="10979.63"/>
  </r>
  <r>
    <d v="2024-02-14T00:00:00"/>
    <s v="OPT-CNXBAN-14-Feb-2024-45000-P-E-I"/>
    <s v="NSE"/>
    <x v="1"/>
    <n v="90"/>
    <n v="0"/>
    <n v="66.7"/>
    <n v="6003"/>
    <s v="#202402143700008180"/>
    <n v="0"/>
    <n v="3.03"/>
    <n v="0.41"/>
    <n v="0.01"/>
    <n v="120"/>
    <n v="22.14"/>
    <n v="145.59"/>
    <n v="2024"/>
    <n v="2"/>
    <n v="2023"/>
    <n v="11"/>
    <n v="11"/>
    <x v="1"/>
    <x v="1"/>
    <n v="-6148.59"/>
  </r>
  <r>
    <d v="2024-02-14T00:00:00"/>
    <s v="OPT-CNXBAN-14-Feb-2024-45000-P-E-I"/>
    <s v="NSE"/>
    <x v="1"/>
    <n v="90"/>
    <n v="0"/>
    <n v="67.3"/>
    <n v="6057"/>
    <s v="#202402143700008104"/>
    <n v="0"/>
    <n v="3.06"/>
    <n v="0"/>
    <n v="0.01"/>
    <n v="120"/>
    <n v="22.16"/>
    <n v="145.22999999999999"/>
    <n v="2024"/>
    <n v="2"/>
    <n v="2023"/>
    <n v="11"/>
    <n v="11"/>
    <x v="1"/>
    <x v="1"/>
    <n v="-6202.23"/>
  </r>
  <r>
    <d v="2024-02-14T00:00:00"/>
    <s v="OPT-CNXBAN-14-Feb-2024-45000-P-E-I"/>
    <s v="NSE"/>
    <x v="1"/>
    <n v="15"/>
    <n v="0"/>
    <n v="108.2"/>
    <n v="1623"/>
    <s v="#202402143700007825"/>
    <n v="0"/>
    <n v="0.82"/>
    <n v="0"/>
    <n v="0"/>
    <n v="20"/>
    <n v="3.74"/>
    <n v="24.56"/>
    <n v="2024"/>
    <n v="2"/>
    <n v="2023"/>
    <n v="11"/>
    <n v="11"/>
    <x v="1"/>
    <x v="1"/>
    <n v="-1647.56"/>
  </r>
  <r>
    <d v="2024-02-14T00:00:00"/>
    <s v="OPT-CNXBAN-14-Feb-2024-46000-C-E-I"/>
    <s v="NSE"/>
    <x v="0"/>
    <n v="105"/>
    <n v="0"/>
    <n v="5.75"/>
    <n v="603.75"/>
    <s v="#202402143700007602"/>
    <n v="0.38"/>
    <n v="0.3"/>
    <n v="0"/>
    <n v="0"/>
    <n v="140"/>
    <n v="25.26"/>
    <n v="165.94"/>
    <n v="2024"/>
    <n v="2"/>
    <n v="2023"/>
    <n v="11"/>
    <n v="11"/>
    <x v="1"/>
    <x v="1"/>
    <n v="437.81"/>
  </r>
  <r>
    <d v="2024-02-14T00:00:00"/>
    <s v="OPT-NIFTY-15-Feb-2024-21650-C-E-I"/>
    <s v="NSE"/>
    <x v="0"/>
    <n v="450"/>
    <n v="0"/>
    <n v="63"/>
    <n v="28350"/>
    <s v="#202402143700007219"/>
    <n v="17.78"/>
    <n v="14.32"/>
    <n v="0"/>
    <n v="0.03"/>
    <n v="180"/>
    <n v="34.979999999999997"/>
    <n v="247.11"/>
    <n v="2024"/>
    <n v="2"/>
    <n v="2023"/>
    <n v="11"/>
    <n v="11"/>
    <x v="1"/>
    <x v="1"/>
    <n v="28102.89"/>
  </r>
  <r>
    <d v="2024-02-14T00:00:00"/>
    <s v="OPT-NIFTY-15-Feb-2024-21650-C-E-I"/>
    <s v="NSE"/>
    <x v="1"/>
    <n v="400"/>
    <n v="0"/>
    <n v="53.8"/>
    <n v="21520"/>
    <s v="#202402143700003585"/>
    <n v="0"/>
    <n v="10.87"/>
    <n v="1.1399999999999999"/>
    <n v="0.02"/>
    <n v="160"/>
    <n v="30.76"/>
    <n v="202.79"/>
    <n v="2024"/>
    <n v="2"/>
    <n v="2023"/>
    <n v="11"/>
    <n v="11"/>
    <x v="1"/>
    <x v="1"/>
    <n v="-21722.79"/>
  </r>
  <r>
    <d v="2024-02-14T00:00:00"/>
    <s v="OPT-NIFTY-15-Feb-2024-21650-C-E-I"/>
    <s v="NSE"/>
    <x v="1"/>
    <n v="50"/>
    <n v="0"/>
    <n v="51.75"/>
    <n v="2587.5"/>
    <s v="#202402143700003174"/>
    <n v="0"/>
    <n v="1.31"/>
    <n v="0"/>
    <n v="0"/>
    <n v="20"/>
    <n v="3.84"/>
    <n v="25.15"/>
    <n v="2024"/>
    <n v="2"/>
    <n v="2023"/>
    <n v="11"/>
    <n v="11"/>
    <x v="1"/>
    <x v="1"/>
    <n v="-2612.65"/>
  </r>
  <r>
    <d v="2024-02-14T00:00:00"/>
    <s v="OPT-CNXBAN-14-Feb-2024-46000-C-E-I"/>
    <s v="NSE"/>
    <x v="1"/>
    <n v="15"/>
    <n v="0"/>
    <n v="9.5"/>
    <n v="142.5"/>
    <s v="#202402143700001092"/>
    <n v="0"/>
    <n v="7.0000000000000007E-2"/>
    <n v="0.03"/>
    <n v="0"/>
    <n v="20"/>
    <n v="3.62"/>
    <n v="23.72"/>
    <n v="2024"/>
    <n v="2"/>
    <n v="2023"/>
    <n v="11"/>
    <n v="11"/>
    <x v="1"/>
    <x v="1"/>
    <n v="-166.22"/>
  </r>
  <r>
    <d v="2024-02-14T00:00:00"/>
    <s v="OPT-CNXBAN-14-Feb-2024-46000-C-E-I"/>
    <s v="NSE"/>
    <x v="1"/>
    <n v="15"/>
    <n v="0"/>
    <n v="9.5"/>
    <n v="142.5"/>
    <s v="#202402143700001063"/>
    <n v="0"/>
    <n v="7.0000000000000007E-2"/>
    <n v="0"/>
    <n v="0"/>
    <n v="20"/>
    <n v="3.62"/>
    <n v="23.69"/>
    <n v="2024"/>
    <n v="2"/>
    <n v="2023"/>
    <n v="11"/>
    <n v="11"/>
    <x v="1"/>
    <x v="1"/>
    <n v="-166.19"/>
  </r>
  <r>
    <d v="2024-02-14T00:00:00"/>
    <s v="OPT-CNXBAN-14-Feb-2024-46000-C-E-I"/>
    <s v="NSE"/>
    <x v="1"/>
    <n v="15"/>
    <n v="0"/>
    <n v="9.1"/>
    <n v="136.5"/>
    <s v="#202402143700001047"/>
    <n v="0"/>
    <n v="7.0000000000000007E-2"/>
    <n v="0"/>
    <n v="0"/>
    <n v="20"/>
    <n v="3.62"/>
    <n v="23.69"/>
    <n v="2024"/>
    <n v="2"/>
    <n v="2023"/>
    <n v="11"/>
    <n v="11"/>
    <x v="1"/>
    <x v="1"/>
    <n v="-160.19"/>
  </r>
  <r>
    <d v="2024-02-14T00:00:00"/>
    <s v="OPT-CNXBAN-14-Feb-2024-46000-C-E-I"/>
    <s v="NSE"/>
    <x v="1"/>
    <n v="15"/>
    <n v="0"/>
    <n v="9.15"/>
    <n v="137.25"/>
    <s v="#202402143700001031"/>
    <n v="0"/>
    <n v="7.0000000000000007E-2"/>
    <n v="0"/>
    <n v="0"/>
    <n v="20"/>
    <n v="3.62"/>
    <n v="23.69"/>
    <n v="2024"/>
    <n v="2"/>
    <n v="2023"/>
    <n v="11"/>
    <n v="11"/>
    <x v="1"/>
    <x v="1"/>
    <n v="-160.94"/>
  </r>
  <r>
    <d v="2024-02-14T00:00:00"/>
    <s v="OPT-CNXBAN-14-Feb-2024-46000-C-E-I"/>
    <s v="NSE"/>
    <x v="1"/>
    <n v="15"/>
    <n v="0"/>
    <n v="8.9499999999999993"/>
    <n v="134.25"/>
    <s v="#202402143700001020"/>
    <n v="0"/>
    <n v="7.0000000000000007E-2"/>
    <n v="0"/>
    <n v="0"/>
    <n v="20"/>
    <n v="3.62"/>
    <n v="23.69"/>
    <n v="2024"/>
    <n v="2"/>
    <n v="2023"/>
    <n v="11"/>
    <n v="11"/>
    <x v="1"/>
    <x v="1"/>
    <n v="-157.94"/>
  </r>
  <r>
    <d v="2024-02-14T00:00:00"/>
    <s v="OPT-CNXBAN-14-Feb-2024-46000-C-E-I"/>
    <s v="NSE"/>
    <x v="1"/>
    <n v="15"/>
    <n v="0"/>
    <n v="8.75"/>
    <n v="131.25"/>
    <s v="#202402143700001015"/>
    <n v="0"/>
    <n v="7.0000000000000007E-2"/>
    <n v="0"/>
    <n v="0"/>
    <n v="20"/>
    <n v="3.62"/>
    <n v="23.69"/>
    <n v="2024"/>
    <n v="2"/>
    <n v="2023"/>
    <n v="11"/>
    <n v="11"/>
    <x v="1"/>
    <x v="1"/>
    <n v="-154.94"/>
  </r>
  <r>
    <d v="2024-02-14T00:00:00"/>
    <s v="OPT-CNXBAN-14-Feb-2024-46000-C-E-I"/>
    <s v="NSE"/>
    <x v="1"/>
    <n v="15"/>
    <n v="0"/>
    <n v="8.6"/>
    <n v="129"/>
    <s v="#202402143700000980"/>
    <n v="0"/>
    <n v="7.0000000000000007E-2"/>
    <n v="0"/>
    <n v="0"/>
    <n v="20"/>
    <n v="3.62"/>
    <n v="23.69"/>
    <n v="2024"/>
    <n v="2"/>
    <n v="2023"/>
    <n v="11"/>
    <n v="11"/>
    <x v="1"/>
    <x v="1"/>
    <n v="-152.69"/>
  </r>
  <r>
    <d v="2024-02-15T00:00:00"/>
    <s v="OPT-NIFTY-15-Feb-2024-21900-C-E-I"/>
    <s v="NSE"/>
    <x v="0"/>
    <n v="500"/>
    <n v="0"/>
    <n v="24"/>
    <n v="12000"/>
    <s v="#202402153700028195"/>
    <n v="8"/>
    <n v="6.06"/>
    <n v="0"/>
    <n v="0.01"/>
    <n v="200"/>
    <n v="37.08"/>
    <n v="251.15"/>
    <n v="2024"/>
    <n v="2"/>
    <n v="2023"/>
    <n v="11"/>
    <n v="11"/>
    <x v="1"/>
    <x v="1"/>
    <n v="11748.85"/>
  </r>
  <r>
    <d v="2024-02-15T00:00:00"/>
    <s v="OPT-NIFTY-15-Feb-2024-21900-C-E-I"/>
    <s v="NSE"/>
    <x v="1"/>
    <n v="500"/>
    <n v="0"/>
    <n v="14.95"/>
    <n v="7475"/>
    <s v="#202402153700027982"/>
    <n v="0"/>
    <n v="3.77"/>
    <n v="0"/>
    <n v="0.01"/>
    <n v="200"/>
    <n v="36.68"/>
    <n v="240.46"/>
    <n v="2024"/>
    <n v="2"/>
    <n v="2023"/>
    <n v="11"/>
    <n v="11"/>
    <x v="1"/>
    <x v="1"/>
    <n v="-7715.46"/>
  </r>
  <r>
    <d v="2024-02-19T00:00:00"/>
    <s v="OPT-NIFFIN-20-Feb-2024-20550-C-E-I"/>
    <s v="NSE"/>
    <x v="0"/>
    <n v="240"/>
    <n v="0"/>
    <n v="125.05"/>
    <n v="30012"/>
    <s v="#202402193700010047"/>
    <n v="19.010000000000002"/>
    <n v="15.17"/>
    <n v="0"/>
    <n v="0.05"/>
    <n v="120"/>
    <n v="24.34"/>
    <n v="178.57"/>
    <n v="2024"/>
    <n v="2"/>
    <n v="2023"/>
    <n v="11"/>
    <n v="11"/>
    <x v="1"/>
    <x v="1"/>
    <n v="29833.43"/>
  </r>
  <r>
    <d v="2024-02-19T00:00:00"/>
    <s v="OPT-NIFFIN-20-Feb-2024-20550-C-E-I"/>
    <s v="NSE"/>
    <x v="1"/>
    <n v="240"/>
    <n v="0"/>
    <n v="99.95"/>
    <n v="23988"/>
    <s v="#202402193700008262"/>
    <n v="0"/>
    <n v="12.11"/>
    <n v="1"/>
    <n v="0.02"/>
    <n v="120"/>
    <n v="23.78"/>
    <n v="156.91"/>
    <n v="2024"/>
    <n v="2"/>
    <n v="2023"/>
    <n v="11"/>
    <n v="11"/>
    <x v="1"/>
    <x v="1"/>
    <n v="-24144.91"/>
  </r>
  <r>
    <d v="2024-02-20T00:00:00"/>
    <s v="OPT-NIFFIN-20-Feb-2024-20500-P-E-I"/>
    <s v="NSE"/>
    <x v="0"/>
    <n v="1800"/>
    <n v="0"/>
    <n v="2.95"/>
    <n v="5310"/>
    <s v="#202402203700015322"/>
    <n v="3.44"/>
    <n v="2.68"/>
    <n v="0"/>
    <n v="0"/>
    <n v="900"/>
    <n v="162.52000000000001"/>
    <n v="1068.6400000000001"/>
    <n v="2024"/>
    <n v="2"/>
    <n v="2023"/>
    <n v="11"/>
    <n v="11"/>
    <x v="1"/>
    <x v="1"/>
    <n v="4241.3599999999997"/>
  </r>
  <r>
    <d v="2024-02-20T00:00:00"/>
    <s v="OPT-NIFFIN-20-Feb-2024-20500-P-E-I"/>
    <s v="NSE"/>
    <x v="0"/>
    <n v="1800"/>
    <n v="0"/>
    <n v="2.95"/>
    <n v="5310"/>
    <s v="#202402203700015296"/>
    <n v="3.32"/>
    <n v="2.69"/>
    <n v="0"/>
    <n v="0"/>
    <n v="900"/>
    <n v="162.47999999999999"/>
    <n v="1068.49"/>
    <n v="2024"/>
    <n v="2"/>
    <n v="2023"/>
    <n v="11"/>
    <n v="11"/>
    <x v="1"/>
    <x v="1"/>
    <n v="4241.51"/>
  </r>
  <r>
    <d v="2024-02-20T00:00:00"/>
    <s v="OPT-NIFFIN-20-Feb-2024-20500-P-E-I"/>
    <s v="NSE"/>
    <x v="1"/>
    <n v="1800"/>
    <n v="0"/>
    <n v="5.0999999999999996"/>
    <n v="9180"/>
    <s v="#202402203700013783"/>
    <n v="0"/>
    <n v="4.63"/>
    <n v="1.3"/>
    <n v="0"/>
    <n v="900"/>
    <n v="162.82"/>
    <n v="1068.75"/>
    <n v="2024"/>
    <n v="2"/>
    <n v="2023"/>
    <n v="11"/>
    <n v="11"/>
    <x v="1"/>
    <x v="1"/>
    <n v="-10248.75"/>
  </r>
  <r>
    <d v="2024-02-20T00:00:00"/>
    <s v="OPT-NIFFIN-20-Feb-2024-20500-P-E-I"/>
    <s v="NSE"/>
    <x v="1"/>
    <n v="1800"/>
    <n v="0"/>
    <n v="6.1"/>
    <n v="10980"/>
    <s v="#202402203700013737"/>
    <n v="0"/>
    <n v="5.54"/>
    <n v="0"/>
    <n v="0.01"/>
    <n v="900"/>
    <n v="162.97999999999999"/>
    <n v="1068.53"/>
    <n v="2024"/>
    <n v="2"/>
    <n v="2023"/>
    <n v="11"/>
    <n v="11"/>
    <x v="1"/>
    <x v="1"/>
    <n v="-12048.53"/>
  </r>
  <r>
    <d v="2024-02-20T00:00:00"/>
    <s v="OPT-RBLBAN-29-Feb-2024-270-C-E-S"/>
    <s v="NSE"/>
    <x v="0"/>
    <n v="2500"/>
    <n v="0"/>
    <n v="9.3000000000000007"/>
    <n v="23250"/>
    <s v="#202402203700012677"/>
    <n v="14.53"/>
    <n v="11.74"/>
    <n v="0"/>
    <n v="0.02"/>
    <n v="20"/>
    <n v="5.72"/>
    <n v="52.01"/>
    <n v="2024"/>
    <n v="2"/>
    <n v="2023"/>
    <n v="11"/>
    <n v="11"/>
    <x v="1"/>
    <x v="1"/>
    <n v="23197.99"/>
  </r>
  <r>
    <d v="2024-02-20T00:00:00"/>
    <s v="OPT-RBLBAN-29-Feb-2024-270-C-E-S"/>
    <s v="NSE"/>
    <x v="1"/>
    <n v="2500"/>
    <n v="0"/>
    <n v="9.35"/>
    <n v="23375"/>
    <s v="#202402203700012423"/>
    <n v="0"/>
    <n v="11.8"/>
    <n v="0.7"/>
    <n v="0.02"/>
    <n v="20"/>
    <n v="5.72"/>
    <n v="38.24"/>
    <n v="2024"/>
    <n v="2"/>
    <n v="2023"/>
    <n v="11"/>
    <n v="11"/>
    <x v="1"/>
    <x v="1"/>
    <n v="-23413.24"/>
  </r>
  <r>
    <d v="2024-02-20T00:00:00"/>
    <s v="OPT-NIFFIN-20-Feb-2024-20500-P-E-I"/>
    <s v="NSE"/>
    <x v="0"/>
    <n v="1040"/>
    <n v="0"/>
    <n v="4.1500000000000004"/>
    <n v="4316"/>
    <s v="#202402203700011941"/>
    <n v="2.7"/>
    <n v="2.1800000000000002"/>
    <n v="0"/>
    <n v="0"/>
    <n v="520"/>
    <n v="93.98"/>
    <n v="618.86"/>
    <n v="2024"/>
    <n v="2"/>
    <n v="2023"/>
    <n v="11"/>
    <n v="11"/>
    <x v="1"/>
    <x v="1"/>
    <n v="3697.14"/>
  </r>
  <r>
    <d v="2024-02-20T00:00:00"/>
    <s v="OPT-NIFFIN-20-Feb-2024-20500-P-E-I"/>
    <s v="NSE"/>
    <x v="1"/>
    <n v="520"/>
    <n v="0"/>
    <n v="7.5"/>
    <n v="3900"/>
    <s v="#202402203700011029"/>
    <n v="0"/>
    <n v="1.97"/>
    <n v="0"/>
    <n v="0"/>
    <n v="260"/>
    <n v="47.14"/>
    <n v="309.11"/>
    <n v="2024"/>
    <n v="2"/>
    <n v="2023"/>
    <n v="11"/>
    <n v="11"/>
    <x v="1"/>
    <x v="1"/>
    <n v="-4209.1099999999997"/>
  </r>
  <r>
    <d v="2024-02-20T00:00:00"/>
    <s v="OPT-NIFFIN-20-Feb-2024-20500-P-E-I"/>
    <s v="NSE"/>
    <x v="1"/>
    <n v="40"/>
    <n v="0"/>
    <n v="9.5500000000000007"/>
    <n v="382"/>
    <s v="#202402203700008469"/>
    <n v="0"/>
    <n v="0.19"/>
    <n v="0"/>
    <n v="0"/>
    <n v="20"/>
    <n v="3.64"/>
    <n v="23.83"/>
    <n v="2024"/>
    <n v="2"/>
    <n v="2023"/>
    <n v="11"/>
    <n v="11"/>
    <x v="1"/>
    <x v="1"/>
    <n v="-405.83"/>
  </r>
  <r>
    <d v="2024-02-20T00:00:00"/>
    <s v="OPT-NIFFIN-20-Feb-2024-20500-P-E-I"/>
    <s v="NSE"/>
    <x v="1"/>
    <n v="40"/>
    <n v="0"/>
    <n v="9.65"/>
    <n v="386"/>
    <s v="#202402203700008463"/>
    <n v="0"/>
    <n v="0.19"/>
    <n v="0"/>
    <n v="0"/>
    <n v="20"/>
    <n v="3.64"/>
    <n v="23.83"/>
    <n v="2024"/>
    <n v="2"/>
    <n v="2023"/>
    <n v="11"/>
    <n v="11"/>
    <x v="1"/>
    <x v="1"/>
    <n v="-409.83"/>
  </r>
  <r>
    <d v="2024-02-20T00:00:00"/>
    <s v="OPT-NIFFIN-20-Feb-2024-20500-P-E-I"/>
    <s v="NSE"/>
    <x v="1"/>
    <n v="40"/>
    <n v="0"/>
    <n v="9.65"/>
    <n v="386"/>
    <s v="#202402203700008451"/>
    <n v="0"/>
    <n v="0.19"/>
    <n v="0"/>
    <n v="0"/>
    <n v="20"/>
    <n v="3.64"/>
    <n v="23.83"/>
    <n v="2024"/>
    <n v="2"/>
    <n v="2023"/>
    <n v="11"/>
    <n v="11"/>
    <x v="1"/>
    <x v="1"/>
    <n v="-409.83"/>
  </r>
  <r>
    <d v="2024-02-20T00:00:00"/>
    <s v="OPT-NIFFIN-20-Feb-2024-20500-P-E-I"/>
    <s v="NSE"/>
    <x v="1"/>
    <n v="40"/>
    <n v="0"/>
    <n v="9.75"/>
    <n v="390"/>
    <s v="#202402203700008395"/>
    <n v="0"/>
    <n v="0.2"/>
    <n v="0"/>
    <n v="0"/>
    <n v="20"/>
    <n v="3.64"/>
    <n v="23.84"/>
    <n v="2024"/>
    <n v="2"/>
    <n v="2023"/>
    <n v="11"/>
    <n v="11"/>
    <x v="1"/>
    <x v="1"/>
    <n v="-413.84"/>
  </r>
  <r>
    <d v="2024-02-20T00:00:00"/>
    <s v="OPT-NIFFIN-20-Feb-2024-20500-P-E-I"/>
    <s v="NSE"/>
    <x v="1"/>
    <n v="40"/>
    <n v="0"/>
    <n v="9.9"/>
    <n v="396"/>
    <s v="#202402203700008188"/>
    <n v="0"/>
    <n v="0.2"/>
    <n v="0"/>
    <n v="0"/>
    <n v="20"/>
    <n v="3.64"/>
    <n v="23.84"/>
    <n v="2024"/>
    <n v="2"/>
    <n v="2023"/>
    <n v="11"/>
    <n v="11"/>
    <x v="1"/>
    <x v="1"/>
    <n v="-419.84"/>
  </r>
  <r>
    <d v="2024-02-20T00:00:00"/>
    <s v="OPT-NIFFIN-20-Feb-2024-20500-P-E-I"/>
    <s v="NSE"/>
    <x v="1"/>
    <n v="40"/>
    <n v="0"/>
    <n v="9.9"/>
    <n v="396"/>
    <s v="#202402203700008177"/>
    <n v="0"/>
    <n v="0.2"/>
    <n v="0"/>
    <n v="0"/>
    <n v="20"/>
    <n v="3.64"/>
    <n v="23.84"/>
    <n v="2024"/>
    <n v="2"/>
    <n v="2023"/>
    <n v="11"/>
    <n v="11"/>
    <x v="1"/>
    <x v="1"/>
    <n v="-419.84"/>
  </r>
  <r>
    <d v="2024-02-20T00:00:00"/>
    <s v="OPT-NIFFIN-20-Feb-2024-20500-P-E-I"/>
    <s v="NSE"/>
    <x v="1"/>
    <n v="40"/>
    <n v="0"/>
    <n v="10"/>
    <n v="400"/>
    <s v="#202402203700008170"/>
    <n v="0"/>
    <n v="0.2"/>
    <n v="0"/>
    <n v="0"/>
    <n v="20"/>
    <n v="3.64"/>
    <n v="23.84"/>
    <n v="2024"/>
    <n v="2"/>
    <n v="2023"/>
    <n v="11"/>
    <n v="11"/>
    <x v="1"/>
    <x v="1"/>
    <n v="-423.84"/>
  </r>
  <r>
    <d v="2024-02-20T00:00:00"/>
    <s v="OPT-NIFFIN-20-Feb-2024-20500-P-E-I"/>
    <s v="NSE"/>
    <x v="1"/>
    <n v="40"/>
    <n v="0"/>
    <n v="9.15"/>
    <n v="366"/>
    <s v="#202402203700007642"/>
    <n v="0"/>
    <n v="0.18"/>
    <n v="0"/>
    <n v="0"/>
    <n v="20"/>
    <n v="3.64"/>
    <n v="23.82"/>
    <n v="2024"/>
    <n v="2"/>
    <n v="2023"/>
    <n v="11"/>
    <n v="11"/>
    <x v="1"/>
    <x v="1"/>
    <n v="-389.82"/>
  </r>
  <r>
    <d v="2024-02-20T00:00:00"/>
    <s v="OPT-NIFFIN-20-Feb-2024-20500-P-E-I"/>
    <s v="NSE"/>
    <x v="1"/>
    <n v="40"/>
    <n v="0"/>
    <n v="9.0500000000000007"/>
    <n v="362"/>
    <s v="#202402203700007418"/>
    <n v="0"/>
    <n v="0.18"/>
    <n v="0"/>
    <n v="0"/>
    <n v="20"/>
    <n v="3.64"/>
    <n v="23.82"/>
    <n v="2024"/>
    <n v="2"/>
    <n v="2023"/>
    <n v="11"/>
    <n v="11"/>
    <x v="1"/>
    <x v="1"/>
    <n v="-385.82"/>
  </r>
  <r>
    <d v="2024-02-20T00:00:00"/>
    <s v="OPT-NIFFIN-20-Feb-2024-20500-P-E-I"/>
    <s v="NSE"/>
    <x v="1"/>
    <n v="40"/>
    <n v="0"/>
    <n v="12.6"/>
    <n v="504"/>
    <s v="#202402203700007160"/>
    <n v="0"/>
    <n v="0.25"/>
    <n v="0"/>
    <n v="0"/>
    <n v="20"/>
    <n v="3.64"/>
    <n v="23.89"/>
    <n v="2024"/>
    <n v="2"/>
    <n v="2023"/>
    <n v="11"/>
    <n v="11"/>
    <x v="1"/>
    <x v="1"/>
    <n v="-527.89"/>
  </r>
  <r>
    <d v="2024-02-20T00:00:00"/>
    <s v="OPT-NIFFIN-20-Feb-2024-20500-P-E-I"/>
    <s v="NSE"/>
    <x v="1"/>
    <n v="40"/>
    <n v="0"/>
    <n v="12.55"/>
    <n v="502"/>
    <s v="#202402203700006913"/>
    <n v="0"/>
    <n v="0.25"/>
    <n v="0"/>
    <n v="0"/>
    <n v="20"/>
    <n v="3.64"/>
    <n v="23.89"/>
    <n v="2024"/>
    <n v="2"/>
    <n v="2023"/>
    <n v="11"/>
    <n v="11"/>
    <x v="1"/>
    <x v="1"/>
    <n v="-525.89"/>
  </r>
  <r>
    <d v="2024-02-20T00:00:00"/>
    <s v="OPT-NIFFIN-20-Feb-2024-20500-P-E-I"/>
    <s v="NSE"/>
    <x v="1"/>
    <n v="40"/>
    <n v="0"/>
    <n v="14.4"/>
    <n v="576"/>
    <s v="#202402203700006778"/>
    <n v="0"/>
    <n v="0.28999999999999998"/>
    <n v="0"/>
    <n v="0"/>
    <n v="20"/>
    <n v="3.66"/>
    <n v="23.95"/>
    <n v="2024"/>
    <n v="2"/>
    <n v="2023"/>
    <n v="11"/>
    <n v="11"/>
    <x v="1"/>
    <x v="1"/>
    <n v="-599.95000000000005"/>
  </r>
  <r>
    <d v="2024-02-20T00:00:00"/>
    <s v="OPT-NIFFIN-20-Feb-2024-20500-P-E-I"/>
    <s v="NSE"/>
    <x v="1"/>
    <n v="40"/>
    <n v="0"/>
    <n v="30"/>
    <n v="1200"/>
    <s v="#202402203700004937"/>
    <n v="0"/>
    <n v="0.61"/>
    <n v="0"/>
    <n v="0"/>
    <n v="20"/>
    <n v="3.7"/>
    <n v="24.31"/>
    <n v="2024"/>
    <n v="2"/>
    <n v="2023"/>
    <n v="11"/>
    <n v="11"/>
    <x v="1"/>
    <x v="1"/>
    <n v="-1224.31"/>
  </r>
  <r>
    <d v="2024-02-21T00:00:00"/>
    <s v="OPT-CNXBAN-21-Feb-2024-47200-C-E-I"/>
    <s v="NSE"/>
    <x v="0"/>
    <n v="120"/>
    <n v="0"/>
    <n v="78.55"/>
    <n v="9426"/>
    <s v="#202402213700020089"/>
    <n v="5.9"/>
    <n v="4.7699999999999996"/>
    <n v="0"/>
    <n v="0"/>
    <n v="160"/>
    <n v="29.64"/>
    <n v="200.31"/>
    <n v="2024"/>
    <n v="2"/>
    <n v="2023"/>
    <n v="11"/>
    <n v="11"/>
    <x v="1"/>
    <x v="1"/>
    <n v="9225.69"/>
  </r>
  <r>
    <d v="2024-02-21T00:00:00"/>
    <s v="OPT-CNXBAN-21-Feb-2024-47200-C-E-I"/>
    <s v="NSE"/>
    <x v="1"/>
    <n v="120"/>
    <n v="0"/>
    <n v="68.3"/>
    <n v="8196"/>
    <s v="#202402213700018547"/>
    <n v="0"/>
    <n v="4.1399999999999997"/>
    <n v="0.25"/>
    <n v="0.01"/>
    <n v="160"/>
    <n v="29.54"/>
    <n v="193.94"/>
    <n v="2024"/>
    <n v="2"/>
    <n v="2023"/>
    <n v="11"/>
    <n v="11"/>
    <x v="1"/>
    <x v="1"/>
    <n v="-8389.94"/>
  </r>
  <r>
    <d v="2024-02-21T00:00:00"/>
    <s v="OPT-CNXBAN-21-Feb-2024-47000-P-E-I"/>
    <s v="NSE"/>
    <x v="0"/>
    <n v="105"/>
    <n v="0"/>
    <n v="35.9"/>
    <n v="3769.5"/>
    <s v="#202402213700018507"/>
    <n v="2.36"/>
    <n v="1.9"/>
    <n v="0"/>
    <n v="0"/>
    <n v="140"/>
    <n v="25.54"/>
    <n v="169.8"/>
    <n v="2024"/>
    <n v="2"/>
    <n v="2023"/>
    <n v="11"/>
    <n v="11"/>
    <x v="1"/>
    <x v="1"/>
    <n v="3599.7"/>
  </r>
  <r>
    <d v="2024-02-21T00:00:00"/>
    <s v="OPT-CNXBAN-21-Feb-2024-47000-P-E-I"/>
    <s v="NSE"/>
    <x v="1"/>
    <n v="105"/>
    <n v="0"/>
    <n v="135.15"/>
    <n v="14190.75"/>
    <s v="#202402213700012658"/>
    <n v="0"/>
    <n v="7.17"/>
    <n v="0.75"/>
    <n v="0.01"/>
    <n v="140"/>
    <n v="26.48"/>
    <n v="174.41"/>
    <n v="2024"/>
    <n v="2"/>
    <n v="2023"/>
    <n v="11"/>
    <n v="11"/>
    <x v="1"/>
    <x v="1"/>
    <n v="-14365.16"/>
  </r>
  <r>
    <d v="2024-02-21T00:00:00"/>
    <s v="OPT-CNXBAN-21-Feb-2024-47000-P-E-I"/>
    <s v="NSE"/>
    <x v="0"/>
    <n v="105"/>
    <n v="0"/>
    <n v="130"/>
    <n v="13650"/>
    <s v="#202402213700012075"/>
    <n v="8.75"/>
    <n v="6.89"/>
    <n v="0"/>
    <n v="0.01"/>
    <n v="140"/>
    <n v="26.44"/>
    <n v="182.09"/>
    <n v="2024"/>
    <n v="2"/>
    <n v="2023"/>
    <n v="11"/>
    <n v="11"/>
    <x v="1"/>
    <x v="1"/>
    <n v="13467.91"/>
  </r>
  <r>
    <d v="2024-02-21T00:00:00"/>
    <s v="OPT-CNXBAN-21-Feb-2024-47000-P-E-I"/>
    <s v="NSE"/>
    <x v="1"/>
    <n v="45"/>
    <n v="0"/>
    <n v="51.45"/>
    <n v="2315.25"/>
    <s v="#202402213700005424"/>
    <n v="0"/>
    <n v="1.17"/>
    <n v="0"/>
    <n v="0"/>
    <n v="60"/>
    <n v="11.02"/>
    <n v="72.19"/>
    <n v="2024"/>
    <n v="2"/>
    <n v="2023"/>
    <n v="11"/>
    <n v="11"/>
    <x v="1"/>
    <x v="1"/>
    <n v="-2387.44"/>
  </r>
  <r>
    <d v="2024-02-21T00:00:00"/>
    <s v="OPT-CNXBAN-21-Feb-2024-47000-P-E-I"/>
    <s v="NSE"/>
    <x v="1"/>
    <n v="45"/>
    <n v="0"/>
    <n v="69.849999999999994"/>
    <n v="3143.25"/>
    <s v="#202402213700004280"/>
    <n v="0"/>
    <n v="1.59"/>
    <n v="0"/>
    <n v="0"/>
    <n v="60"/>
    <n v="11.1"/>
    <n v="72.69"/>
    <n v="2024"/>
    <n v="2"/>
    <n v="2023"/>
    <n v="11"/>
    <n v="11"/>
    <x v="1"/>
    <x v="1"/>
    <n v="-3215.94"/>
  </r>
  <r>
    <d v="2024-02-21T00:00:00"/>
    <s v="OPT-CNXBAN-21-Feb-2024-47000-P-E-I"/>
    <s v="NSE"/>
    <x v="1"/>
    <n v="15"/>
    <n v="0"/>
    <n v="122.3"/>
    <n v="1834.5"/>
    <s v="#202402213700002257"/>
    <n v="0"/>
    <n v="0.93"/>
    <n v="0"/>
    <n v="0"/>
    <n v="20"/>
    <n v="3.76"/>
    <n v="24.69"/>
    <n v="2024"/>
    <n v="2"/>
    <n v="2023"/>
    <n v="11"/>
    <n v="11"/>
    <x v="1"/>
    <x v="1"/>
    <n v="-1859.19"/>
  </r>
  <r>
    <d v="2024-02-22T00:00:00"/>
    <s v="OPT-NIFTY-22-Feb-2024-21900-P-E-I"/>
    <s v="NSE"/>
    <x v="0"/>
    <n v="250"/>
    <n v="0"/>
    <n v="10"/>
    <n v="2500"/>
    <s v="#202402223700017940"/>
    <n v="1.56"/>
    <n v="1.26"/>
    <n v="0"/>
    <n v="0"/>
    <n v="100"/>
    <n v="18.22"/>
    <n v="121.04"/>
    <n v="2024"/>
    <n v="2"/>
    <n v="2023"/>
    <n v="11"/>
    <n v="11"/>
    <x v="1"/>
    <x v="1"/>
    <n v="2378.96"/>
  </r>
  <r>
    <d v="2024-02-22T00:00:00"/>
    <s v="OPT-NIFTY-22-Feb-2024-21900-P-E-I"/>
    <s v="NSE"/>
    <x v="1"/>
    <n v="50"/>
    <n v="0"/>
    <n v="21.65"/>
    <n v="1082.5"/>
    <s v="#202402223700016314"/>
    <n v="0"/>
    <n v="0.55000000000000004"/>
    <n v="0"/>
    <n v="0"/>
    <n v="20"/>
    <n v="3.7"/>
    <n v="24.25"/>
    <n v="2024"/>
    <n v="2"/>
    <n v="2023"/>
    <n v="11"/>
    <n v="11"/>
    <x v="1"/>
    <x v="1"/>
    <n v="-1106.75"/>
  </r>
  <r>
    <d v="2024-02-22T00:00:00"/>
    <s v="OPT-NIFTY-22-Feb-2024-21900-P-E-I"/>
    <s v="NSE"/>
    <x v="1"/>
    <n v="50"/>
    <n v="0"/>
    <n v="30"/>
    <n v="1500"/>
    <s v="#202402223700015316"/>
    <n v="0"/>
    <n v="0.76"/>
    <n v="0"/>
    <n v="0"/>
    <n v="20"/>
    <n v="3.74"/>
    <n v="24.5"/>
    <n v="2024"/>
    <n v="2"/>
    <n v="2023"/>
    <n v="11"/>
    <n v="11"/>
    <x v="1"/>
    <x v="1"/>
    <n v="-1524.5"/>
  </r>
  <r>
    <d v="2024-02-22T00:00:00"/>
    <s v="OPT-NIFTY-22-Feb-2024-21900-P-E-I"/>
    <s v="NSE"/>
    <x v="1"/>
    <n v="50"/>
    <n v="0"/>
    <n v="26.4"/>
    <n v="1320"/>
    <s v="#202402223700014837"/>
    <n v="0"/>
    <n v="0.67"/>
    <n v="0"/>
    <n v="0"/>
    <n v="20"/>
    <n v="3.72"/>
    <n v="24.39"/>
    <n v="2024"/>
    <n v="2"/>
    <n v="2023"/>
    <n v="11"/>
    <n v="11"/>
    <x v="1"/>
    <x v="1"/>
    <n v="-1344.39"/>
  </r>
  <r>
    <d v="2024-02-22T00:00:00"/>
    <s v="OPT-NIFTY-22-Feb-2024-21900-P-E-I"/>
    <s v="NSE"/>
    <x v="1"/>
    <n v="50"/>
    <n v="0"/>
    <n v="40"/>
    <n v="2000"/>
    <s v="#202402223700014598"/>
    <n v="0"/>
    <n v="1.01"/>
    <n v="0"/>
    <n v="0"/>
    <n v="20"/>
    <n v="3.78"/>
    <n v="24.79"/>
    <n v="2024"/>
    <n v="2"/>
    <n v="2023"/>
    <n v="11"/>
    <n v="11"/>
    <x v="1"/>
    <x v="1"/>
    <n v="-2024.79"/>
  </r>
  <r>
    <d v="2024-02-22T00:00:00"/>
    <s v="OPT-NIFTY-22-Feb-2024-21900-P-E-I"/>
    <s v="NSE"/>
    <x v="1"/>
    <n v="50"/>
    <n v="0"/>
    <n v="49.5"/>
    <n v="2475"/>
    <s v="#202402223700014129"/>
    <n v="0"/>
    <n v="1.25"/>
    <n v="0"/>
    <n v="0"/>
    <n v="20"/>
    <n v="3.82"/>
    <n v="25.07"/>
    <n v="2024"/>
    <n v="2"/>
    <n v="2023"/>
    <n v="11"/>
    <n v="11"/>
    <x v="1"/>
    <x v="1"/>
    <n v="-2500.0700000000002"/>
  </r>
  <r>
    <d v="2024-02-22T00:00:00"/>
    <s v="OPT-NIFTY-22-Feb-2024-22000-P-E-I"/>
    <s v="NSE"/>
    <x v="0"/>
    <n v="50"/>
    <n v="0"/>
    <n v="160.05000000000001"/>
    <n v="8002.5"/>
    <s v="#202402223700008533"/>
    <n v="5.44"/>
    <n v="4.04"/>
    <n v="0"/>
    <n v="0.01"/>
    <n v="20"/>
    <n v="4.32"/>
    <n v="33.81"/>
    <n v="2024"/>
    <n v="2"/>
    <n v="2023"/>
    <n v="11"/>
    <n v="11"/>
    <x v="1"/>
    <x v="1"/>
    <n v="7968.69"/>
  </r>
  <r>
    <d v="2024-02-22T00:00:00"/>
    <s v="OPT-NIFTY-22-Feb-2024-22000-P-E-I"/>
    <s v="NSE"/>
    <x v="1"/>
    <n v="50"/>
    <n v="0"/>
    <n v="136.05000000000001"/>
    <n v="6802.5"/>
    <s v="#202402223700007266"/>
    <n v="0"/>
    <n v="3.44"/>
    <n v="0"/>
    <n v="0.01"/>
    <n v="20"/>
    <n v="4.22"/>
    <n v="27.67"/>
    <n v="2024"/>
    <n v="2"/>
    <n v="2023"/>
    <n v="11"/>
    <n v="11"/>
    <x v="1"/>
    <x v="1"/>
    <n v="-6830.17"/>
  </r>
  <r>
    <d v="2024-02-23T00:00:00"/>
    <s v="OPT-NIFFIN-27-Feb-2024-20650-P-E-I"/>
    <s v="NSE"/>
    <x v="0"/>
    <n v="120"/>
    <n v="0"/>
    <n v="99"/>
    <n v="11880"/>
    <s v="#202402233700022232"/>
    <n v="6.96"/>
    <n v="6"/>
    <n v="0"/>
    <n v="0.01"/>
    <n v="60"/>
    <n v="11.88"/>
    <n v="84.85"/>
    <n v="2024"/>
    <n v="2"/>
    <n v="2023"/>
    <n v="11"/>
    <n v="11"/>
    <x v="1"/>
    <x v="1"/>
    <n v="11795.15"/>
  </r>
  <r>
    <d v="2024-02-23T00:00:00"/>
    <s v="OPT-NIFTY-29-Feb-2024-22300-C-E-I"/>
    <s v="NSE"/>
    <x v="1"/>
    <n v="100"/>
    <n v="0"/>
    <n v="147.75"/>
    <n v="14775"/>
    <s v="#202402233700013561"/>
    <n v="0"/>
    <n v="7.46"/>
    <n v="0.67"/>
    <n v="0.01"/>
    <n v="40"/>
    <n v="8.5399999999999991"/>
    <n v="56.68"/>
    <n v="2024"/>
    <n v="2"/>
    <n v="2023"/>
    <n v="11"/>
    <n v="11"/>
    <x v="1"/>
    <x v="1"/>
    <n v="-14831.68"/>
  </r>
  <r>
    <d v="2024-02-23T00:00:00"/>
    <s v="OPT-NIFTY-29-Feb-2024-22300-C-E-I"/>
    <s v="NSE"/>
    <x v="1"/>
    <n v="50"/>
    <n v="0"/>
    <n v="147.94999999999999"/>
    <n v="7397.5"/>
    <s v="#202402233700011703"/>
    <n v="0"/>
    <n v="3.74"/>
    <n v="0"/>
    <n v="0.01"/>
    <n v="20"/>
    <n v="4.28"/>
    <n v="28.03"/>
    <n v="2024"/>
    <n v="2"/>
    <n v="2023"/>
    <n v="11"/>
    <n v="11"/>
    <x v="1"/>
    <x v="1"/>
    <n v="-7425.53"/>
  </r>
  <r>
    <d v="2024-02-23T00:00:00"/>
    <s v="OPT-NIFFIN-27-Feb-2024-20650-P-E-I"/>
    <s v="NSE"/>
    <x v="1"/>
    <n v="40"/>
    <n v="0"/>
    <n v="72.900000000000006"/>
    <n v="2916"/>
    <s v="#202402233700009985"/>
    <n v="0"/>
    <n v="1.47"/>
    <n v="0"/>
    <n v="0"/>
    <n v="20"/>
    <n v="3.86"/>
    <n v="25.33"/>
    <n v="2024"/>
    <n v="2"/>
    <n v="2023"/>
    <n v="11"/>
    <n v="11"/>
    <x v="1"/>
    <x v="1"/>
    <n v="-2941.33"/>
  </r>
  <r>
    <d v="2024-02-23T00:00:00"/>
    <s v="OPT-NIFFIN-27-Feb-2024-20650-P-E-I"/>
    <s v="NSE"/>
    <x v="1"/>
    <n v="40"/>
    <n v="0"/>
    <n v="92.1"/>
    <n v="3684"/>
    <s v="#202402233700008998"/>
    <n v="0"/>
    <n v="1.86"/>
    <n v="0"/>
    <n v="0"/>
    <n v="20"/>
    <n v="3.94"/>
    <n v="25.8"/>
    <n v="2024"/>
    <n v="2"/>
    <n v="2023"/>
    <n v="11"/>
    <n v="11"/>
    <x v="1"/>
    <x v="1"/>
    <n v="-3709.8"/>
  </r>
  <r>
    <d v="2024-02-23T00:00:00"/>
    <s v="OPT-NIFFIN-27-Feb-2024-20650-P-E-I"/>
    <s v="NSE"/>
    <x v="1"/>
    <n v="40"/>
    <n v="0"/>
    <n v="98.75"/>
    <n v="3950"/>
    <s v="#202402233700008153"/>
    <n v="0"/>
    <n v="1.99"/>
    <n v="0.32"/>
    <n v="0"/>
    <n v="20"/>
    <n v="3.96"/>
    <n v="26.27"/>
    <n v="2024"/>
    <n v="2"/>
    <n v="2023"/>
    <n v="11"/>
    <n v="11"/>
    <x v="1"/>
    <x v="1"/>
    <n v="-3976.27"/>
  </r>
  <r>
    <d v="2024-02-23T00:00:00"/>
    <s v="OPT-NIFTY-29-Feb-2024-22200-P-E-I"/>
    <s v="NSE"/>
    <x v="0"/>
    <n v="250"/>
    <n v="0"/>
    <n v="134.65"/>
    <n v="33662.5"/>
    <s v="#202402233700007069"/>
    <n v="21.04"/>
    <n v="17"/>
    <n v="0"/>
    <n v="0.03"/>
    <n v="100"/>
    <n v="21.06"/>
    <n v="159.13"/>
    <n v="2024"/>
    <n v="2"/>
    <n v="2023"/>
    <n v="11"/>
    <n v="11"/>
    <x v="1"/>
    <x v="1"/>
    <n v="33503.370000000003"/>
  </r>
  <r>
    <d v="2024-02-23T00:00:00"/>
    <s v="OPT-NIFTY-29-Feb-2024-22200-P-E-I"/>
    <s v="NSE"/>
    <x v="1"/>
    <n v="200"/>
    <n v="0"/>
    <n v="129.25"/>
    <n v="25850"/>
    <s v="#202402233700003825"/>
    <n v="0"/>
    <n v="13.05"/>
    <n v="1.01"/>
    <n v="0.03"/>
    <n v="80"/>
    <n v="16.760000000000002"/>
    <n v="110.85"/>
    <n v="2024"/>
    <n v="2"/>
    <n v="2023"/>
    <n v="11"/>
    <n v="11"/>
    <x v="1"/>
    <x v="1"/>
    <n v="-25960.85"/>
  </r>
  <r>
    <d v="2024-02-23T00:00:00"/>
    <s v="OPT-NIFTY-29-Feb-2024-22200-P-E-I"/>
    <s v="NSE"/>
    <x v="1"/>
    <n v="50"/>
    <n v="0"/>
    <n v="130.85"/>
    <n v="6542.5"/>
    <s v="#202402233700002965"/>
    <n v="0"/>
    <n v="3.3"/>
    <n v="0"/>
    <n v="0.01"/>
    <n v="20"/>
    <n v="4.2"/>
    <n v="27.51"/>
    <n v="2024"/>
    <n v="2"/>
    <n v="2023"/>
    <n v="11"/>
    <n v="11"/>
    <x v="1"/>
    <x v="1"/>
    <n v="-6570.01"/>
  </r>
  <r>
    <d v="2024-02-26T00:00:00"/>
    <s v="OPT-NIFTY-29-Feb-2024-22300-C-E-I"/>
    <s v="NSE"/>
    <x v="0"/>
    <n v="150"/>
    <n v="0"/>
    <n v="74.099999999999994"/>
    <n v="11115"/>
    <s v="#202402263700007254"/>
    <n v="6.95"/>
    <n v="5.61"/>
    <n v="0"/>
    <n v="0.01"/>
    <n v="60"/>
    <n v="11.82"/>
    <n v="84.39"/>
    <n v="2024"/>
    <n v="2"/>
    <n v="2023"/>
    <n v="11"/>
    <n v="11"/>
    <x v="1"/>
    <x v="1"/>
    <n v="11030.61"/>
  </r>
  <r>
    <d v="2024-02-26T00:00:00"/>
    <s v="OPT-NIFSEL-26-Feb-2024-11050-C-E-I"/>
    <s v="NSE"/>
    <x v="0"/>
    <n v="450"/>
    <n v="0"/>
    <n v="5.05"/>
    <n v="2272.5"/>
    <s v="#202402263700007190"/>
    <n v="1.06"/>
    <n v="1.1499999999999999"/>
    <n v="0"/>
    <n v="0"/>
    <n v="120"/>
    <n v="21.82"/>
    <n v="144.03"/>
    <n v="2024"/>
    <n v="2"/>
    <n v="2023"/>
    <n v="11"/>
    <n v="11"/>
    <x v="1"/>
    <x v="1"/>
    <n v="2128.4699999999998"/>
  </r>
  <r>
    <d v="2024-02-26T00:00:00"/>
    <s v="OPT-NIFSEL-26-Feb-2024-11050-C-E-I"/>
    <s v="NSE"/>
    <x v="1"/>
    <n v="150"/>
    <n v="0"/>
    <n v="6.45"/>
    <n v="967.5"/>
    <s v="#202402263700005441"/>
    <n v="0"/>
    <n v="0.48"/>
    <n v="0"/>
    <n v="0"/>
    <n v="40"/>
    <n v="7.28"/>
    <n v="47.76"/>
    <n v="2024"/>
    <n v="2"/>
    <n v="2023"/>
    <n v="11"/>
    <n v="11"/>
    <x v="1"/>
    <x v="1"/>
    <n v="-1015.26"/>
  </r>
  <r>
    <d v="2024-02-26T00:00:00"/>
    <s v="OPT-NIFSEL-26-Feb-2024-11050-C-E-I"/>
    <s v="NSE"/>
    <x v="1"/>
    <n v="150"/>
    <n v="0"/>
    <n v="12.65"/>
    <n v="1897.5"/>
    <s v="#202402263700004132"/>
    <n v="0"/>
    <n v="0.96"/>
    <n v="0"/>
    <n v="0"/>
    <n v="40"/>
    <n v="7.38"/>
    <n v="48.34"/>
    <n v="2024"/>
    <n v="2"/>
    <n v="2023"/>
    <n v="11"/>
    <n v="11"/>
    <x v="1"/>
    <x v="1"/>
    <n v="-1945.84"/>
  </r>
  <r>
    <d v="2024-02-26T00:00:00"/>
    <s v="OPT-NIFSEL-26-Feb-2024-11050-C-E-I"/>
    <s v="NSE"/>
    <x v="1"/>
    <n v="150"/>
    <n v="0"/>
    <n v="32.65"/>
    <n v="4897.5"/>
    <s v="#202402263700003264"/>
    <n v="0"/>
    <n v="2.4700000000000002"/>
    <n v="0"/>
    <n v="0"/>
    <n v="40"/>
    <n v="7.64"/>
    <n v="50.11"/>
    <n v="2024"/>
    <n v="2"/>
    <n v="2023"/>
    <n v="11"/>
    <n v="11"/>
    <x v="1"/>
    <x v="1"/>
    <n v="-4947.6099999999997"/>
  </r>
  <r>
    <d v="2024-02-27T00:00:00"/>
    <s v="OPT-NIFTY-29-Feb-2024-22250-C-E-I"/>
    <s v="NSE"/>
    <x v="0"/>
    <n v="250"/>
    <n v="0"/>
    <n v="89.15"/>
    <n v="22287.5"/>
    <s v="#202402273700026919"/>
    <n v="13.93"/>
    <n v="11.26"/>
    <n v="0"/>
    <n v="0.02"/>
    <n v="100"/>
    <n v="20.04"/>
    <n v="145.25"/>
    <n v="2024"/>
    <n v="2"/>
    <n v="2023"/>
    <n v="11"/>
    <n v="11"/>
    <x v="1"/>
    <x v="1"/>
    <n v="22142.25"/>
  </r>
  <r>
    <d v="2024-02-27T00:00:00"/>
    <s v="OPT-NIFTY-29-Feb-2024-22250-C-E-I"/>
    <s v="NSE"/>
    <x v="1"/>
    <n v="250"/>
    <n v="0"/>
    <n v="80.95"/>
    <n v="20237.5"/>
    <s v="#202402273700024779"/>
    <n v="0"/>
    <n v="10.210000000000001"/>
    <n v="0.79"/>
    <n v="0.01"/>
    <n v="100"/>
    <n v="19.82"/>
    <n v="130.83000000000001"/>
    <n v="2024"/>
    <n v="2"/>
    <n v="2023"/>
    <n v="11"/>
    <n v="11"/>
    <x v="1"/>
    <x v="1"/>
    <n v="-20368.330000000002"/>
  </r>
  <r>
    <d v="2024-02-27T00:00:00"/>
    <s v="OPT-NIFTY-29-Feb-2024-22150-C-E-I"/>
    <s v="NSE"/>
    <x v="0"/>
    <n v="50"/>
    <n v="0"/>
    <n v="139.65"/>
    <n v="6982.5"/>
    <s v="#202402273700016118"/>
    <n v="4.3600000000000003"/>
    <n v="3.53"/>
    <n v="0"/>
    <n v="0.01"/>
    <n v="20"/>
    <n v="4.24"/>
    <n v="32.14"/>
    <n v="2024"/>
    <n v="2"/>
    <n v="2023"/>
    <n v="11"/>
    <n v="11"/>
    <x v="1"/>
    <x v="1"/>
    <n v="6950.36"/>
  </r>
  <r>
    <d v="2024-02-27T00:00:00"/>
    <s v="OPT-NIFFIN-27-Feb-2024-20600-C-E-I"/>
    <s v="NSE"/>
    <x v="0"/>
    <n v="40"/>
    <n v="0"/>
    <n v="29"/>
    <n v="1160"/>
    <s v="#202402273700007789"/>
    <n v="0.71"/>
    <n v="0.59"/>
    <n v="0"/>
    <n v="0"/>
    <n v="20"/>
    <n v="3.7"/>
    <n v="25"/>
    <n v="2024"/>
    <n v="2"/>
    <n v="2023"/>
    <n v="11"/>
    <n v="11"/>
    <x v="1"/>
    <x v="1"/>
    <n v="1135"/>
  </r>
  <r>
    <d v="2024-02-27T00:00:00"/>
    <s v="OPT-NIFFIN-27-Feb-2024-20600-C-E-I"/>
    <s v="NSE"/>
    <x v="1"/>
    <n v="40"/>
    <n v="0"/>
    <n v="26.65"/>
    <n v="1066"/>
    <s v="#202402273700007447"/>
    <n v="0"/>
    <n v="0.54"/>
    <n v="0.03"/>
    <n v="0"/>
    <n v="20"/>
    <n v="3.7"/>
    <n v="24.27"/>
    <n v="2024"/>
    <n v="2"/>
    <n v="2023"/>
    <n v="11"/>
    <n v="11"/>
    <x v="1"/>
    <x v="1"/>
    <n v="-1090.27"/>
  </r>
  <r>
    <d v="2024-02-27T00:00:00"/>
    <s v="OPT-NIFTY-29-Feb-2024-22150-C-E-I"/>
    <s v="NSE"/>
    <x v="1"/>
    <n v="50"/>
    <n v="0"/>
    <n v="119.25"/>
    <n v="5962.5"/>
    <s v="#202402273700003545"/>
    <n v="0"/>
    <n v="3.01"/>
    <n v="0.18"/>
    <n v="0.01"/>
    <n v="20"/>
    <n v="4.1399999999999997"/>
    <n v="27.34"/>
    <n v="2024"/>
    <n v="2"/>
    <n v="2023"/>
    <n v="11"/>
    <n v="11"/>
    <x v="1"/>
    <x v="1"/>
    <n v="-5989.84"/>
  </r>
  <r>
    <d v="2024-02-28T00:00:00"/>
    <s v="OPT-CNXBAN-29-Feb-2024-46600-C-E-I"/>
    <s v="NSE"/>
    <x v="1"/>
    <n v="600"/>
    <n v="0"/>
    <n v="55"/>
    <n v="33000"/>
    <s v="#202402283700028151"/>
    <n v="0"/>
    <n v="16.670000000000002"/>
    <n v="0"/>
    <n v="0.03"/>
    <n v="800"/>
    <n v="147.02000000000001"/>
    <n v="963.72"/>
    <n v="2024"/>
    <n v="2"/>
    <n v="2023"/>
    <n v="11"/>
    <n v="11"/>
    <x v="1"/>
    <x v="1"/>
    <n v="-33963.72"/>
  </r>
  <r>
    <d v="2024-02-28T00:00:00"/>
    <s v="OPT-CNXBAN-29-Feb-2024-46600-C-E-I"/>
    <s v="NSE"/>
    <x v="1"/>
    <n v="600"/>
    <n v="0"/>
    <n v="115"/>
    <n v="69000"/>
    <s v="#202402283700017286"/>
    <n v="0"/>
    <n v="34.85"/>
    <n v="5.14"/>
    <n v="7.0000000000000007E-2"/>
    <n v="800"/>
    <n v="150.28"/>
    <n v="990.34"/>
    <n v="2024"/>
    <n v="2"/>
    <n v="2023"/>
    <n v="11"/>
    <n v="11"/>
    <x v="1"/>
    <x v="1"/>
    <n v="-69990.34"/>
  </r>
  <r>
    <d v="2024-02-28T00:00:00"/>
    <s v="OPT-CNXBAN-29-Feb-2024-46600-C-E-I"/>
    <s v="NSE"/>
    <x v="0"/>
    <n v="315"/>
    <n v="0"/>
    <n v="106.9"/>
    <n v="33673.5"/>
    <s v="#202402283700016620"/>
    <n v="21.29"/>
    <n v="17.010000000000002"/>
    <n v="0"/>
    <n v="0.03"/>
    <n v="420"/>
    <n v="78.66"/>
    <n v="536.99"/>
    <n v="2024"/>
    <n v="2"/>
    <n v="2023"/>
    <n v="11"/>
    <n v="11"/>
    <x v="1"/>
    <x v="1"/>
    <n v="33136.51"/>
  </r>
  <r>
    <d v="2024-02-28T00:00:00"/>
    <s v="OPT-CNXBAN-29-Feb-2024-46600-C-E-I"/>
    <s v="NSE"/>
    <x v="1"/>
    <n v="60"/>
    <n v="0"/>
    <n v="117.5"/>
    <n v="7050"/>
    <s v="#202402283700012865"/>
    <n v="0"/>
    <n v="3.56"/>
    <n v="0"/>
    <n v="0.01"/>
    <n v="80"/>
    <n v="15.04"/>
    <n v="98.61"/>
    <n v="2024"/>
    <n v="2"/>
    <n v="2023"/>
    <n v="11"/>
    <n v="11"/>
    <x v="1"/>
    <x v="1"/>
    <n v="-7148.61"/>
  </r>
  <r>
    <d v="2024-02-28T00:00:00"/>
    <s v="OPT-CNXBAN-29-Feb-2024-46600-C-E-I"/>
    <s v="NSE"/>
    <x v="1"/>
    <n v="60"/>
    <n v="0"/>
    <n v="179.6"/>
    <n v="10776"/>
    <s v="#202402283700009861"/>
    <n v="0"/>
    <n v="5.44"/>
    <n v="0"/>
    <n v="0.01"/>
    <n v="80"/>
    <n v="15.38"/>
    <n v="100.83"/>
    <n v="2024"/>
    <n v="2"/>
    <n v="2023"/>
    <n v="11"/>
    <n v="11"/>
    <x v="1"/>
    <x v="1"/>
    <n v="-10876.83"/>
  </r>
  <r>
    <d v="2024-02-28T00:00:00"/>
    <s v="OPT-CNXBAN-29-Feb-2024-46600-C-E-I"/>
    <s v="NSE"/>
    <x v="1"/>
    <n v="60"/>
    <n v="0"/>
    <n v="196.9"/>
    <n v="11814"/>
    <s v="#202402283700009008"/>
    <n v="0"/>
    <n v="5.97"/>
    <n v="0"/>
    <n v="0.01"/>
    <n v="80"/>
    <n v="15.48"/>
    <n v="101.46"/>
    <n v="2024"/>
    <n v="2"/>
    <n v="2023"/>
    <n v="11"/>
    <n v="11"/>
    <x v="1"/>
    <x v="1"/>
    <n v="-11915.46"/>
  </r>
  <r>
    <d v="2024-02-28T00:00:00"/>
    <s v="OPT-CNXBAN-29-Feb-2024-46600-C-E-I"/>
    <s v="NSE"/>
    <x v="1"/>
    <n v="60"/>
    <n v="0"/>
    <n v="238.3"/>
    <n v="14298"/>
    <s v="#202402283700008712"/>
    <n v="0"/>
    <n v="7.22"/>
    <n v="0"/>
    <n v="0.02"/>
    <n v="80"/>
    <n v="15.72"/>
    <n v="102.96"/>
    <n v="2024"/>
    <n v="2"/>
    <n v="2023"/>
    <n v="11"/>
    <n v="11"/>
    <x v="1"/>
    <x v="1"/>
    <n v="-14400.96"/>
  </r>
  <r>
    <d v="2024-02-28T00:00:00"/>
    <s v="OPT-CNXBAN-29-Feb-2024-46600-C-E-I"/>
    <s v="NSE"/>
    <x v="1"/>
    <n v="15"/>
    <n v="0"/>
    <n v="277.7"/>
    <n v="4165.5"/>
    <s v="#202402283700007754"/>
    <n v="0"/>
    <n v="2.1"/>
    <n v="0"/>
    <n v="0"/>
    <n v="20"/>
    <n v="3.98"/>
    <n v="26.08"/>
    <n v="2024"/>
    <n v="2"/>
    <n v="2023"/>
    <n v="11"/>
    <n v="11"/>
    <x v="1"/>
    <x v="1"/>
    <n v="-4191.58"/>
  </r>
  <r>
    <d v="2024-02-28T00:00:00"/>
    <s v="OPT-CNXBAN-29-Feb-2024-46600-C-E-I"/>
    <s v="NSE"/>
    <x v="1"/>
    <n v="60"/>
    <n v="0"/>
    <n v="293.95"/>
    <n v="17637"/>
    <s v="#202402283700007662"/>
    <n v="0"/>
    <n v="8.91"/>
    <n v="0"/>
    <n v="0.01"/>
    <n v="80"/>
    <n v="16"/>
    <n v="104.92"/>
    <n v="2024"/>
    <n v="2"/>
    <n v="2023"/>
    <n v="11"/>
    <n v="11"/>
    <x v="1"/>
    <x v="1"/>
    <n v="-17741.919999999998"/>
  </r>
  <r>
    <d v="2024-02-28T00:00:00"/>
    <s v="OPT-CNXBAN-29-Feb-2024-46600-C-E-I"/>
    <s v="NSE"/>
    <x v="0"/>
    <n v="15"/>
    <n v="0"/>
    <n v="270.8"/>
    <n v="4062"/>
    <s v="#202402283700005124"/>
    <n v="2.54"/>
    <n v="2.0499999999999998"/>
    <n v="0"/>
    <n v="0"/>
    <n v="20"/>
    <n v="3.96"/>
    <n v="28.55"/>
    <n v="2024"/>
    <n v="2"/>
    <n v="2023"/>
    <n v="11"/>
    <n v="11"/>
    <x v="1"/>
    <x v="1"/>
    <n v="4033.45"/>
  </r>
  <r>
    <d v="2024-02-28T00:00:00"/>
    <s v="OPT-CNXBAN-29-Feb-2024-46600-C-E-I"/>
    <s v="NSE"/>
    <x v="1"/>
    <n v="15"/>
    <n v="0"/>
    <n v="239.05"/>
    <n v="3585.75"/>
    <s v="#202402283700004969"/>
    <n v="0"/>
    <n v="1.81"/>
    <n v="0"/>
    <n v="0"/>
    <n v="20"/>
    <n v="3.92"/>
    <n v="25.73"/>
    <n v="2024"/>
    <n v="2"/>
    <n v="2023"/>
    <n v="11"/>
    <n v="11"/>
    <x v="1"/>
    <x v="1"/>
    <n v="-3611.48"/>
  </r>
  <r>
    <d v="2024-02-28T00:00:00"/>
    <s v="OPT-CNXBAN-29-Feb-2024-46600-P-E-I"/>
    <s v="NSE"/>
    <x v="0"/>
    <n v="105"/>
    <n v="0"/>
    <n v="292.14999999999998"/>
    <n v="30675.75"/>
    <s v="#202402283700004304"/>
    <n v="19.18"/>
    <n v="15.49"/>
    <n v="0"/>
    <n v="0.02"/>
    <n v="140"/>
    <n v="28"/>
    <n v="202.69"/>
    <n v="2024"/>
    <n v="2"/>
    <n v="2023"/>
    <n v="11"/>
    <n v="11"/>
    <x v="1"/>
    <x v="1"/>
    <n v="30473.06"/>
  </r>
  <r>
    <d v="2024-02-28T00:00:00"/>
    <s v="OPT-CNXBAN-29-Feb-2024-46600-P-E-I"/>
    <s v="NSE"/>
    <x v="1"/>
    <n v="15"/>
    <n v="0"/>
    <n v="253.6"/>
    <n v="3804"/>
    <s v="#202402283700003498"/>
    <n v="0"/>
    <n v="1.92"/>
    <n v="0"/>
    <n v="0"/>
    <n v="20"/>
    <n v="3.94"/>
    <n v="25.86"/>
    <n v="2024"/>
    <n v="2"/>
    <n v="2023"/>
    <n v="11"/>
    <n v="11"/>
    <x v="1"/>
    <x v="1"/>
    <n v="-3829.86"/>
  </r>
  <r>
    <d v="2024-02-28T00:00:00"/>
    <s v="OPT-CNXBAN-29-Feb-2024-46600-P-E-I"/>
    <s v="NSE"/>
    <x v="1"/>
    <n v="15"/>
    <n v="0"/>
    <n v="263.3"/>
    <n v="3949.5"/>
    <s v="#202402283700002316"/>
    <n v="0"/>
    <n v="1.99"/>
    <n v="0"/>
    <n v="0"/>
    <n v="20"/>
    <n v="3.96"/>
    <n v="25.95"/>
    <n v="2024"/>
    <n v="2"/>
    <n v="2023"/>
    <n v="11"/>
    <n v="11"/>
    <x v="1"/>
    <x v="1"/>
    <n v="-3975.45"/>
  </r>
  <r>
    <d v="2024-02-28T00:00:00"/>
    <s v="OPT-CNXBAN-29-Feb-2024-46600-P-E-I"/>
    <s v="NSE"/>
    <x v="1"/>
    <n v="15"/>
    <n v="0"/>
    <n v="276.39999999999998"/>
    <n v="4146"/>
    <s v="#202402283700002128"/>
    <n v="0"/>
    <n v="2.09"/>
    <n v="0"/>
    <n v="0"/>
    <n v="20"/>
    <n v="3.98"/>
    <n v="26.07"/>
    <n v="2024"/>
    <n v="2"/>
    <n v="2023"/>
    <n v="11"/>
    <n v="11"/>
    <x v="1"/>
    <x v="1"/>
    <n v="-4172.07"/>
  </r>
  <r>
    <d v="2024-02-28T00:00:00"/>
    <s v="OPT-CNXBAN-29-Feb-2024-46600-P-E-I"/>
    <s v="NSE"/>
    <x v="1"/>
    <n v="15"/>
    <n v="0"/>
    <n v="277.45"/>
    <n v="4161.75"/>
    <s v="#202402283700002122"/>
    <n v="0"/>
    <n v="2.1"/>
    <n v="0.86"/>
    <n v="0"/>
    <n v="20"/>
    <n v="3.98"/>
    <n v="26.94"/>
    <n v="2024"/>
    <n v="2"/>
    <n v="2023"/>
    <n v="11"/>
    <n v="11"/>
    <x v="1"/>
    <x v="1"/>
    <n v="-4188.6899999999996"/>
  </r>
  <r>
    <d v="2024-02-28T00:00:00"/>
    <s v="OPT-CNXBAN-29-Feb-2024-46600-P-E-I"/>
    <s v="NSE"/>
    <x v="1"/>
    <n v="15"/>
    <n v="0"/>
    <n v="278.45"/>
    <n v="4176.75"/>
    <s v="#202402283700001855"/>
    <n v="0"/>
    <n v="2.11"/>
    <n v="0"/>
    <n v="0"/>
    <n v="20"/>
    <n v="3.98"/>
    <n v="26.09"/>
    <n v="2024"/>
    <n v="2"/>
    <n v="2023"/>
    <n v="11"/>
    <n v="11"/>
    <x v="1"/>
    <x v="1"/>
    <n v="-4202.84"/>
  </r>
  <r>
    <d v="2024-02-28T00:00:00"/>
    <s v="OPT-CNXBAN-29-Feb-2024-46600-P-E-I"/>
    <s v="NSE"/>
    <x v="1"/>
    <n v="15"/>
    <n v="0"/>
    <n v="280.7"/>
    <n v="4210.5"/>
    <s v="#202402283700001762"/>
    <n v="0"/>
    <n v="2.13"/>
    <n v="0"/>
    <n v="0"/>
    <n v="20"/>
    <n v="3.98"/>
    <n v="26.11"/>
    <n v="2024"/>
    <n v="2"/>
    <n v="2023"/>
    <n v="11"/>
    <n v="11"/>
    <x v="1"/>
    <x v="1"/>
    <n v="-4236.6099999999997"/>
  </r>
  <r>
    <d v="2024-02-28T00:00:00"/>
    <s v="OPT-CNXBAN-29-Feb-2024-46600-P-E-I"/>
    <s v="NSE"/>
    <x v="1"/>
    <n v="15"/>
    <n v="0"/>
    <n v="276.05"/>
    <n v="4140.75"/>
    <s v="#202402283700001523"/>
    <n v="0"/>
    <n v="2.09"/>
    <n v="0"/>
    <n v="0"/>
    <n v="20"/>
    <n v="3.98"/>
    <n v="26.07"/>
    <n v="2024"/>
    <n v="2"/>
    <n v="2023"/>
    <n v="11"/>
    <n v="11"/>
    <x v="1"/>
    <x v="1"/>
    <n v="-4166.82"/>
  </r>
  <r>
    <d v="2024-02-29T00:00:00"/>
    <s v="OPT-CNXBAN-29-Feb-2024-46600-C-E-I"/>
    <s v="NSE"/>
    <x v="0"/>
    <n v="300"/>
    <n v="0"/>
    <n v="5.65"/>
    <n v="1695"/>
    <s v="#202402293700028090"/>
    <n v="1.06"/>
    <n v="0.86"/>
    <n v="0"/>
    <n v="0"/>
    <n v="400"/>
    <n v="72.16"/>
    <n v="474.08"/>
    <n v="2024"/>
    <n v="2"/>
    <n v="2023"/>
    <n v="11"/>
    <n v="11"/>
    <x v="1"/>
    <x v="1"/>
    <n v="1220.92"/>
  </r>
  <r>
    <d v="2024-02-29T00:00:00"/>
    <s v="OPT-CNXBAN-29-Feb-2024-46600-C-E-I"/>
    <s v="NSE"/>
    <x v="0"/>
    <n v="900"/>
    <n v="0"/>
    <n v="5.25"/>
    <n v="4725"/>
    <s v="#202402293700028072"/>
    <n v="2.95"/>
    <n v="2.38"/>
    <n v="0"/>
    <n v="0"/>
    <n v="1200"/>
    <n v="216.44"/>
    <n v="1421.77"/>
    <n v="2024"/>
    <n v="2"/>
    <n v="2023"/>
    <n v="11"/>
    <n v="11"/>
    <x v="1"/>
    <x v="1"/>
    <n v="3303.23"/>
  </r>
  <r>
    <d v="2024-02-29T00:00:00"/>
    <s v="OPT-CNXBAN-29-Feb-2024-46600-C-E-I"/>
    <s v="NSE"/>
    <x v="0"/>
    <n v="900"/>
    <n v="0"/>
    <n v="5.25"/>
    <n v="4725"/>
    <s v="#202402293700028043"/>
    <n v="2.95"/>
    <n v="2.39"/>
    <n v="0"/>
    <n v="0"/>
    <n v="1200"/>
    <n v="216.44"/>
    <n v="1421.78"/>
    <n v="2024"/>
    <n v="2"/>
    <n v="2023"/>
    <n v="11"/>
    <n v="11"/>
    <x v="1"/>
    <x v="1"/>
    <n v="3303.2200000000003"/>
  </r>
  <r>
    <d v="2024-02-29T00:00:00"/>
    <s v="OPT-CNXBAN-29-Feb-2024-46600-C-E-I"/>
    <s v="NSE"/>
    <x v="0"/>
    <n v="900"/>
    <n v="0"/>
    <n v="4.8499999999999996"/>
    <n v="4363.5"/>
    <s v="#202402293700027521"/>
    <n v="2.73"/>
    <n v="2.21"/>
    <n v="0"/>
    <n v="0"/>
    <n v="1200"/>
    <n v="216.4"/>
    <n v="1421.34"/>
    <n v="2024"/>
    <n v="2"/>
    <n v="2023"/>
    <n v="11"/>
    <n v="11"/>
    <x v="1"/>
    <x v="1"/>
    <n v="2942.16"/>
  </r>
  <r>
    <d v="2024-02-29T00:00:00"/>
    <s v="OPT-CNXBAN-29-Feb-2024-46600-C-E-I"/>
    <s v="NSE"/>
    <x v="0"/>
    <n v="900"/>
    <n v="0"/>
    <n v="4.9000000000000004"/>
    <n v="4410"/>
    <s v="#202402293700027454"/>
    <n v="2.75"/>
    <n v="2.23"/>
    <n v="0"/>
    <n v="0"/>
    <n v="1200"/>
    <n v="216.4"/>
    <n v="1421.38"/>
    <n v="2024"/>
    <n v="2"/>
    <n v="2023"/>
    <n v="11"/>
    <n v="11"/>
    <x v="1"/>
    <x v="1"/>
    <n v="2988.62"/>
  </r>
  <r>
    <d v="2024-02-29T00:00:00"/>
    <s v="OPT-CNXBAN-29-Feb-2024-46600-C-E-I"/>
    <s v="NSE"/>
    <x v="0"/>
    <n v="900"/>
    <n v="0"/>
    <n v="4.8499999999999996"/>
    <n v="4365"/>
    <s v="#202402293700027419"/>
    <n v="2.74"/>
    <n v="2.2000000000000002"/>
    <n v="0"/>
    <n v="0"/>
    <n v="1200"/>
    <n v="216.4"/>
    <n v="1421.34"/>
    <n v="2024"/>
    <n v="2"/>
    <n v="2023"/>
    <n v="11"/>
    <n v="11"/>
    <x v="1"/>
    <x v="1"/>
    <n v="2943.66"/>
  </r>
  <r>
    <d v="2024-02-29T00:00:00"/>
    <s v="OPT-CNXBAN-29-Feb-2024-46600-C-E-I"/>
    <s v="NSE"/>
    <x v="0"/>
    <n v="900"/>
    <n v="0"/>
    <n v="6.95"/>
    <n v="6255"/>
    <s v="#202402293700025531"/>
    <n v="3.84"/>
    <n v="3.17"/>
    <n v="0"/>
    <n v="0"/>
    <n v="1200"/>
    <n v="216.54"/>
    <n v="1423.55"/>
    <n v="2024"/>
    <n v="2"/>
    <n v="2023"/>
    <n v="11"/>
    <n v="11"/>
    <x v="1"/>
    <x v="1"/>
    <n v="4831.45"/>
  </r>
  <r>
    <d v="2024-02-29T00:00:00"/>
    <s v="OPT-CNXBAN-29-Feb-2024-46600-C-E-I"/>
    <s v="NSE"/>
    <x v="1"/>
    <n v="900"/>
    <n v="0"/>
    <n v="8.9499999999999993"/>
    <n v="8055"/>
    <s v="#202402293700016432"/>
    <n v="0"/>
    <n v="4.07"/>
    <n v="0"/>
    <n v="0"/>
    <n v="1200"/>
    <n v="216.74"/>
    <n v="1420.81"/>
    <n v="2024"/>
    <n v="2"/>
    <n v="2023"/>
    <n v="11"/>
    <n v="11"/>
    <x v="1"/>
    <x v="1"/>
    <n v="-9475.81"/>
  </r>
  <r>
    <d v="2024-02-29T00:00:00"/>
    <s v="OPT-CNXBAN-29-Feb-2024-46600-C-E-I"/>
    <s v="NSE"/>
    <x v="1"/>
    <n v="900"/>
    <n v="0"/>
    <n v="9.6999999999999993"/>
    <n v="8730"/>
    <s v="#202402293700016335"/>
    <n v="0"/>
    <n v="4.41"/>
    <n v="0"/>
    <n v="0"/>
    <n v="1200"/>
    <n v="216.8"/>
    <n v="1421.21"/>
    <n v="2024"/>
    <n v="2"/>
    <n v="2023"/>
    <n v="11"/>
    <n v="11"/>
    <x v="1"/>
    <x v="1"/>
    <n v="-10151.209999999999"/>
  </r>
  <r>
    <d v="2024-02-29T00:00:00"/>
    <s v="OPT-CNXBAN-29-Feb-2024-46600-C-E-I"/>
    <s v="NSE"/>
    <x v="1"/>
    <n v="900"/>
    <n v="0"/>
    <n v="9.1"/>
    <n v="8190"/>
    <s v="#202402293700016296"/>
    <n v="0"/>
    <n v="4.13"/>
    <n v="2"/>
    <n v="0.01"/>
    <n v="1200"/>
    <n v="216.76"/>
    <n v="1422.9"/>
    <n v="2024"/>
    <n v="2"/>
    <n v="2023"/>
    <n v="11"/>
    <n v="11"/>
    <x v="1"/>
    <x v="1"/>
    <n v="-9612.9"/>
  </r>
  <r>
    <d v="2024-02-29T00:00:00"/>
    <s v="OPT-CNXBAN-29-Feb-2024-46600-C-E-I"/>
    <s v="NSE"/>
    <x v="1"/>
    <n v="900"/>
    <n v="0"/>
    <n v="18.2"/>
    <n v="16379.25"/>
    <s v="#202402293700008897"/>
    <n v="0"/>
    <n v="8.2799999999999994"/>
    <n v="0"/>
    <n v="0.01"/>
    <n v="1200"/>
    <n v="217.5"/>
    <n v="1425.79"/>
    <n v="2024"/>
    <n v="2"/>
    <n v="2023"/>
    <n v="11"/>
    <n v="11"/>
    <x v="1"/>
    <x v="1"/>
    <n v="-17805.04"/>
  </r>
  <r>
    <d v="2024-02-29T00:00:00"/>
    <s v="OPT-CNXBAN-29-Feb-2024-46600-C-E-I"/>
    <s v="NSE"/>
    <x v="1"/>
    <n v="900"/>
    <n v="0"/>
    <n v="25.7"/>
    <n v="23130"/>
    <s v="#202402293700001087"/>
    <n v="0"/>
    <n v="11.67"/>
    <n v="0"/>
    <n v="0.01"/>
    <n v="1200"/>
    <n v="218.12"/>
    <n v="1429.8"/>
    <n v="2024"/>
    <n v="2"/>
    <n v="2023"/>
    <n v="11"/>
    <n v="11"/>
    <x v="1"/>
    <x v="1"/>
    <n v="-24559.8"/>
  </r>
  <r>
    <d v="2024-03-01T00:00:00"/>
    <s v="OPT-NIFFIN-05-Mar-2024-20900-C-E-I"/>
    <s v="NSE"/>
    <x v="0"/>
    <n v="160"/>
    <n v="0"/>
    <n v="95.4"/>
    <n v="15264"/>
    <s v="#202403013700020685"/>
    <n v="9.4700000000000006"/>
    <n v="7.71"/>
    <n v="0"/>
    <n v="0.02"/>
    <n v="80"/>
    <n v="15.8"/>
    <n v="113"/>
    <n v="2024"/>
    <n v="3"/>
    <n v="2023"/>
    <n v="12"/>
    <n v="12"/>
    <x v="2"/>
    <x v="2"/>
    <n v="15151"/>
  </r>
  <r>
    <d v="2024-03-01T00:00:00"/>
    <s v="OPT-NIFFIN-05-Mar-2024-20900-C-E-I"/>
    <s v="NSE"/>
    <x v="1"/>
    <n v="160"/>
    <n v="0"/>
    <n v="89.3"/>
    <n v="14288"/>
    <s v="#202403013700020474"/>
    <n v="0"/>
    <n v="7.21"/>
    <n v="0.43"/>
    <n v="0.01"/>
    <n v="80"/>
    <n v="15.7"/>
    <n v="103.35"/>
    <n v="2024"/>
    <n v="3"/>
    <n v="2023"/>
    <n v="12"/>
    <n v="12"/>
    <x v="2"/>
    <x v="2"/>
    <n v="-14391.35"/>
  </r>
  <r>
    <d v="2024-03-01T00:00:00"/>
    <s v="OPT-NIFTY-07-Mar-2024-22250-C-E-I"/>
    <s v="NSE"/>
    <x v="0"/>
    <n v="300"/>
    <n v="0"/>
    <n v="217.45"/>
    <n v="65235"/>
    <s v="#202403013700011864"/>
    <n v="40.770000000000003"/>
    <n v="32.94"/>
    <n v="0"/>
    <n v="0.06"/>
    <n v="120"/>
    <n v="27.54"/>
    <n v="221.31"/>
    <n v="2024"/>
    <n v="3"/>
    <n v="2023"/>
    <n v="12"/>
    <n v="12"/>
    <x v="2"/>
    <x v="2"/>
    <n v="65013.69"/>
  </r>
  <r>
    <d v="2024-03-01T00:00:00"/>
    <s v="OPT-NIFTY-07-Mar-2024-22250-C-E-I"/>
    <s v="NSE"/>
    <x v="1"/>
    <n v="300"/>
    <n v="0"/>
    <n v="185.2"/>
    <n v="55560"/>
    <s v="#202403013700011370"/>
    <n v="0"/>
    <n v="28.06"/>
    <n v="2.17"/>
    <n v="0.06"/>
    <n v="120"/>
    <n v="26.66"/>
    <n v="176.95"/>
    <n v="2024"/>
    <n v="3"/>
    <n v="2023"/>
    <n v="12"/>
    <n v="12"/>
    <x v="2"/>
    <x v="2"/>
    <n v="-55736.95"/>
  </r>
  <r>
    <d v="2024-03-01T00:00:00"/>
    <s v="OPT-NIFSEL-04-Mar-2024-10800-P-E-I"/>
    <s v="NSE"/>
    <x v="0"/>
    <n v="225"/>
    <n v="0"/>
    <n v="48.05"/>
    <n v="10811.25"/>
    <s v="#202403013700009839"/>
    <n v="6.75"/>
    <n v="5.46"/>
    <n v="0"/>
    <n v="0"/>
    <n v="60"/>
    <n v="11.76"/>
    <n v="83.97"/>
    <n v="2024"/>
    <n v="3"/>
    <n v="2023"/>
    <n v="12"/>
    <n v="12"/>
    <x v="2"/>
    <x v="2"/>
    <n v="10727.28"/>
  </r>
  <r>
    <d v="2024-03-01T00:00:00"/>
    <s v="OPT-NIFSEL-04-Mar-2024-10800-P-E-I"/>
    <s v="NSE"/>
    <x v="1"/>
    <n v="150"/>
    <n v="0"/>
    <n v="56.65"/>
    <n v="8497.5"/>
    <s v="#202403013700006175"/>
    <n v="0"/>
    <n v="4.29"/>
    <n v="0.4"/>
    <n v="0.01"/>
    <n v="40"/>
    <n v="7.98"/>
    <n v="52.68"/>
    <n v="2024"/>
    <n v="3"/>
    <n v="2023"/>
    <n v="12"/>
    <n v="12"/>
    <x v="2"/>
    <x v="2"/>
    <n v="-8550.18"/>
  </r>
  <r>
    <d v="2024-03-01T00:00:00"/>
    <s v="OPT-NIFSEL-04-Mar-2024-10800-P-E-I"/>
    <s v="NSE"/>
    <x v="1"/>
    <n v="75"/>
    <n v="0"/>
    <n v="64.2"/>
    <n v="4815"/>
    <s v="#202403013700002612"/>
    <n v="0"/>
    <n v="2.4300000000000002"/>
    <n v="0"/>
    <n v="0"/>
    <n v="20"/>
    <n v="4.04"/>
    <n v="26.47"/>
    <n v="2024"/>
    <n v="3"/>
    <n v="2023"/>
    <n v="12"/>
    <n v="12"/>
    <x v="2"/>
    <x v="2"/>
    <n v="-4841.47"/>
  </r>
  <r>
    <d v="2024-03-04T00:00:00"/>
    <s v="OPT-CNXBAN-06-Mar-2024-47300-C-E-I"/>
    <s v="NSE"/>
    <x v="0"/>
    <n v="105"/>
    <n v="0"/>
    <n v="327.05"/>
    <n v="34340.25"/>
    <s v="#202403043700042511"/>
    <n v="21"/>
    <n v="17.34"/>
    <n v="0"/>
    <n v="0.03"/>
    <n v="140"/>
    <n v="28.32"/>
    <n v="206.69"/>
    <n v="2024"/>
    <n v="3"/>
    <n v="2023"/>
    <n v="12"/>
    <n v="12"/>
    <x v="2"/>
    <x v="2"/>
    <n v="34133.56"/>
  </r>
  <r>
    <d v="2024-03-04T00:00:00"/>
    <s v="OPT-CNXBAN-06-Mar-2024-47300-C-E-I"/>
    <s v="NSE"/>
    <x v="1"/>
    <n v="105"/>
    <n v="0"/>
    <n v="302.51"/>
    <n v="31763.25"/>
    <s v="#202403043700042460"/>
    <n v="0"/>
    <n v="16.04"/>
    <n v="1"/>
    <n v="0.03"/>
    <n v="140"/>
    <n v="28.1"/>
    <n v="185.17"/>
    <n v="2024"/>
    <n v="3"/>
    <n v="2023"/>
    <n v="12"/>
    <n v="12"/>
    <x v="2"/>
    <x v="2"/>
    <n v="-31948.42"/>
  </r>
  <r>
    <d v="2024-03-05T00:00:00"/>
    <s v="OPT-CNXBAN-06-Mar-2024-47300-P-E-I"/>
    <s v="NSE"/>
    <x v="0"/>
    <n v="105"/>
    <n v="0"/>
    <n v="95"/>
    <n v="9975"/>
    <s v="#202403053700017959"/>
    <n v="6.23"/>
    <n v="5.04"/>
    <n v="0"/>
    <n v="0.01"/>
    <n v="140"/>
    <n v="26.1"/>
    <n v="177.38"/>
    <n v="2024"/>
    <n v="3"/>
    <n v="2023"/>
    <n v="12"/>
    <n v="12"/>
    <x v="2"/>
    <x v="2"/>
    <n v="9797.6200000000008"/>
  </r>
  <r>
    <d v="2024-03-05T00:00:00"/>
    <s v="OPT-CNXBAN-06-Mar-2024-47300-P-E-I"/>
    <s v="NSE"/>
    <x v="1"/>
    <n v="105"/>
    <n v="0"/>
    <n v="83.85"/>
    <n v="8804.25"/>
    <s v="#202403053700017892"/>
    <n v="0"/>
    <n v="4.46"/>
    <n v="0"/>
    <n v="0.01"/>
    <n v="140"/>
    <n v="26.02"/>
    <n v="170.49"/>
    <n v="2024"/>
    <n v="3"/>
    <n v="2023"/>
    <n v="12"/>
    <n v="12"/>
    <x v="2"/>
    <x v="2"/>
    <n v="-8974.74"/>
  </r>
  <r>
    <d v="2024-03-05T00:00:00"/>
    <s v="OPT-CNXBAN-06-Mar-2024-47400-C-E-I"/>
    <s v="NSE"/>
    <x v="0"/>
    <n v="105"/>
    <n v="0"/>
    <n v="252.3"/>
    <n v="26491.5"/>
    <s v="#202403053700015796"/>
    <n v="16.559999999999999"/>
    <n v="13.38"/>
    <n v="0"/>
    <n v="0.03"/>
    <n v="140"/>
    <n v="27.62"/>
    <n v="197.59"/>
    <n v="2024"/>
    <n v="3"/>
    <n v="2023"/>
    <n v="12"/>
    <n v="12"/>
    <x v="2"/>
    <x v="2"/>
    <n v="26293.91"/>
  </r>
  <r>
    <d v="2024-03-05T00:00:00"/>
    <s v="OPT-CNXBAN-06-Mar-2024-47400-C-E-I"/>
    <s v="NSE"/>
    <x v="1"/>
    <n v="105"/>
    <n v="0"/>
    <n v="239.85"/>
    <n v="25184.25"/>
    <s v="#202403053700015784"/>
    <n v="0"/>
    <n v="12.72"/>
    <n v="0"/>
    <n v="0.02"/>
    <n v="140"/>
    <n v="27.5"/>
    <n v="180.24"/>
    <n v="2024"/>
    <n v="3"/>
    <n v="2023"/>
    <n v="12"/>
    <n v="12"/>
    <x v="2"/>
    <x v="2"/>
    <n v="-25364.49"/>
  </r>
  <r>
    <d v="2024-03-05T00:00:00"/>
    <s v="OPT-CNXBAN-06-Mar-2024-47400-C-E-I"/>
    <s v="NSE"/>
    <x v="0"/>
    <n v="105"/>
    <n v="0"/>
    <n v="211"/>
    <n v="22155"/>
    <s v="#202403053700012944"/>
    <n v="13.85"/>
    <n v="11.19"/>
    <n v="0"/>
    <n v="0.03"/>
    <n v="140"/>
    <n v="27.22"/>
    <n v="192.29"/>
    <n v="2024"/>
    <n v="3"/>
    <n v="2023"/>
    <n v="12"/>
    <n v="12"/>
    <x v="2"/>
    <x v="2"/>
    <n v="21962.71"/>
  </r>
  <r>
    <d v="2024-03-05T00:00:00"/>
    <s v="OPT-CNXBAN-06-Mar-2024-47400-C-E-I"/>
    <s v="NSE"/>
    <x v="1"/>
    <n v="105"/>
    <n v="0"/>
    <n v="201.35"/>
    <n v="21141.75"/>
    <s v="#202403053700010297"/>
    <n v="0"/>
    <n v="10.68"/>
    <n v="1.98"/>
    <n v="0.02"/>
    <n v="140"/>
    <n v="27.12"/>
    <n v="179.8"/>
    <n v="2024"/>
    <n v="3"/>
    <n v="2023"/>
    <n v="12"/>
    <n v="12"/>
    <x v="2"/>
    <x v="2"/>
    <n v="-21321.55"/>
  </r>
  <r>
    <d v="2024-03-05T00:00:00"/>
    <s v="OPT-CNXBAN-06-Mar-2024-47300-P-E-I"/>
    <s v="NSE"/>
    <x v="0"/>
    <n v="60"/>
    <n v="0"/>
    <n v="275"/>
    <n v="16500"/>
    <s v="#202403053700007167"/>
    <n v="10.31"/>
    <n v="8.33"/>
    <n v="0"/>
    <n v="0.02"/>
    <n v="80"/>
    <n v="15.9"/>
    <n v="114.56"/>
    <n v="2024"/>
    <n v="3"/>
    <n v="2023"/>
    <n v="12"/>
    <n v="12"/>
    <x v="2"/>
    <x v="2"/>
    <n v="16385.439999999999"/>
  </r>
  <r>
    <d v="2024-03-05T00:00:00"/>
    <s v="OPT-CNXBAN-06-Mar-2024-47300-P-E-I"/>
    <s v="NSE"/>
    <x v="0"/>
    <n v="45"/>
    <n v="0"/>
    <n v="255.75"/>
    <n v="11508.75"/>
    <s v="#202403053700005723"/>
    <n v="7.19"/>
    <n v="5.81"/>
    <n v="0"/>
    <n v="0.01"/>
    <n v="60"/>
    <n v="11.84"/>
    <n v="84.85"/>
    <n v="2024"/>
    <n v="3"/>
    <n v="2023"/>
    <n v="12"/>
    <n v="12"/>
    <x v="2"/>
    <x v="2"/>
    <n v="11423.9"/>
  </r>
  <r>
    <d v="2024-03-05T00:00:00"/>
    <s v="OPT-CNXBAN-06-Mar-2024-47300-P-E-I"/>
    <s v="NSE"/>
    <x v="1"/>
    <n v="105"/>
    <n v="0"/>
    <n v="239.8"/>
    <n v="25179"/>
    <s v="#202403053700004949"/>
    <n v="0"/>
    <n v="12.72"/>
    <n v="1.02"/>
    <n v="0.03"/>
    <n v="140"/>
    <n v="27.5"/>
    <n v="181.27"/>
    <n v="2024"/>
    <n v="3"/>
    <n v="2023"/>
    <n v="12"/>
    <n v="12"/>
    <x v="2"/>
    <x v="2"/>
    <n v="-25360.27"/>
  </r>
  <r>
    <d v="2024-03-05T00:00:00"/>
    <s v="OPT-CNXBAN-06-Mar-2024-47400-C-E-I"/>
    <s v="NSE"/>
    <x v="0"/>
    <n v="105"/>
    <n v="0"/>
    <n v="215.17"/>
    <n v="22593"/>
    <s v="#202403053700004830"/>
    <n v="13.86"/>
    <n v="11.41"/>
    <n v="0"/>
    <n v="0.02"/>
    <n v="140"/>
    <n v="27.26"/>
    <n v="192.55"/>
    <n v="2024"/>
    <n v="3"/>
    <n v="2023"/>
    <n v="12"/>
    <n v="12"/>
    <x v="2"/>
    <x v="2"/>
    <n v="22400.45"/>
  </r>
  <r>
    <d v="2024-03-05T00:00:00"/>
    <s v="OPT-CNXBAN-06-Mar-2024-47400-C-E-I"/>
    <s v="NSE"/>
    <x v="1"/>
    <n v="105"/>
    <n v="0"/>
    <n v="252.3"/>
    <n v="26491.5"/>
    <s v="#202403053700003408"/>
    <n v="0"/>
    <n v="13.37"/>
    <n v="0"/>
    <n v="0.03"/>
    <n v="140"/>
    <n v="27.6"/>
    <n v="181"/>
    <n v="2024"/>
    <n v="3"/>
    <n v="2023"/>
    <n v="12"/>
    <n v="12"/>
    <x v="2"/>
    <x v="2"/>
    <n v="-26672.5"/>
  </r>
  <r>
    <d v="2024-03-06T00:00:00"/>
    <s v="OPT-CNXBAN-06-Mar-2024-48200-C-E-I"/>
    <s v="NSE"/>
    <x v="0"/>
    <n v="525"/>
    <n v="0"/>
    <n v="23.65"/>
    <n v="12416.25"/>
    <s v="#202403063700022683"/>
    <n v="7.76"/>
    <n v="6.27"/>
    <n v="0"/>
    <n v="0.01"/>
    <n v="700"/>
    <n v="127.12"/>
    <n v="841.16"/>
    <n v="2024"/>
    <n v="3"/>
    <n v="2023"/>
    <n v="12"/>
    <n v="12"/>
    <x v="2"/>
    <x v="2"/>
    <n v="11575.09"/>
  </r>
  <r>
    <d v="2024-03-06T00:00:00"/>
    <s v="OPT-CNXBAN-06-Mar-2024-48200-C-E-I"/>
    <s v="NSE"/>
    <x v="1"/>
    <n v="525"/>
    <n v="0"/>
    <n v="52"/>
    <n v="27300"/>
    <s v="#202403063700016795"/>
    <n v="0"/>
    <n v="13.79"/>
    <n v="0.82"/>
    <n v="0.03"/>
    <n v="700"/>
    <n v="128.47999999999999"/>
    <n v="843.12"/>
    <n v="2024"/>
    <n v="3"/>
    <n v="2023"/>
    <n v="12"/>
    <n v="12"/>
    <x v="2"/>
    <x v="2"/>
    <n v="-28143.119999999999"/>
  </r>
  <r>
    <d v="2024-03-06T00:00:00"/>
    <s v="OPT-CNXBAN-06-Mar-2024-47500-P-E-I"/>
    <s v="NSE"/>
    <x v="0"/>
    <n v="510"/>
    <n v="0"/>
    <n v="24.66"/>
    <n v="12576"/>
    <s v="#202403063700013002"/>
    <n v="7.79"/>
    <n v="6.36"/>
    <n v="0"/>
    <n v="0"/>
    <n v="680"/>
    <n v="123.54"/>
    <n v="817.69"/>
    <n v="2024"/>
    <n v="3"/>
    <n v="2023"/>
    <n v="12"/>
    <n v="12"/>
    <x v="2"/>
    <x v="2"/>
    <n v="11758.31"/>
  </r>
  <r>
    <d v="2024-03-06T00:00:00"/>
    <s v="OPT-CNXBAN-06-Mar-2024-47500-P-E-I"/>
    <s v="NSE"/>
    <x v="1"/>
    <n v="510"/>
    <n v="0"/>
    <n v="41"/>
    <n v="20910"/>
    <s v="#202403063700010613"/>
    <n v="0"/>
    <n v="10.56"/>
    <n v="1.18"/>
    <n v="0.02"/>
    <n v="680"/>
    <n v="124.3"/>
    <n v="816.06"/>
    <n v="2024"/>
    <n v="3"/>
    <n v="2023"/>
    <n v="12"/>
    <n v="12"/>
    <x v="2"/>
    <x v="2"/>
    <n v="-21726.06"/>
  </r>
  <r>
    <d v="2024-03-06T00:00:00"/>
    <s v="OPT-CNXBAN-06-Mar-2024-47500-P-E-I"/>
    <s v="NSE"/>
    <x v="0"/>
    <n v="105"/>
    <n v="0"/>
    <n v="37.4"/>
    <n v="3927"/>
    <s v="#202403063700009269"/>
    <n v="2.4500000000000002"/>
    <n v="1.98"/>
    <n v="0"/>
    <n v="0"/>
    <n v="140"/>
    <n v="25.56"/>
    <n v="169.99"/>
    <n v="2024"/>
    <n v="3"/>
    <n v="2023"/>
    <n v="12"/>
    <n v="12"/>
    <x v="2"/>
    <x v="2"/>
    <n v="3757.01"/>
  </r>
  <r>
    <d v="2024-03-06T00:00:00"/>
    <s v="OPT-CNXBAN-06-Mar-2024-47500-P-E-I"/>
    <s v="NSE"/>
    <x v="1"/>
    <n v="105"/>
    <n v="0"/>
    <n v="134.69999999999999"/>
    <n v="14143.5"/>
    <s v="#202403063700002291"/>
    <n v="0"/>
    <n v="7.14"/>
    <n v="0"/>
    <n v="0.01"/>
    <n v="140"/>
    <n v="26.48"/>
    <n v="173.63"/>
    <n v="2024"/>
    <n v="3"/>
    <n v="2023"/>
    <n v="12"/>
    <n v="12"/>
    <x v="2"/>
    <x v="2"/>
    <n v="-14317.13"/>
  </r>
  <r>
    <d v="2024-03-07T00:00:00"/>
    <s v="OPT-CNXBAN-13-Mar-2024-48000-C-E-I"/>
    <s v="NSE"/>
    <x v="1"/>
    <n v="75"/>
    <n v="0"/>
    <n v="346.55"/>
    <n v="25991.25"/>
    <s v="#202403073700021762"/>
    <n v="0"/>
    <n v="13.13"/>
    <n v="0.78"/>
    <n v="0.03"/>
    <n v="100"/>
    <n v="20.36"/>
    <n v="134.30000000000001"/>
    <n v="2024"/>
    <n v="3"/>
    <n v="2023"/>
    <n v="12"/>
    <n v="12"/>
    <x v="2"/>
    <x v="2"/>
    <n v="-26125.55"/>
  </r>
  <r>
    <d v="2024-03-07T00:00:00"/>
    <s v="OPT-CNXBAN-13-Mar-2024-47800-P-E-I"/>
    <s v="NSE"/>
    <x v="0"/>
    <n v="105"/>
    <n v="0"/>
    <n v="365.95"/>
    <n v="38424.75"/>
    <s v="#202403073700012820"/>
    <n v="24.02"/>
    <n v="19.399999999999999"/>
    <n v="0"/>
    <n v="0.04"/>
    <n v="140"/>
    <n v="28.7"/>
    <n v="212.16"/>
    <n v="2024"/>
    <n v="3"/>
    <n v="2023"/>
    <n v="12"/>
    <n v="12"/>
    <x v="2"/>
    <x v="2"/>
    <n v="38212.589999999997"/>
  </r>
  <r>
    <d v="2024-03-07T00:00:00"/>
    <s v="OPT-CNXBAN-13-Mar-2024-47800-P-E-I"/>
    <s v="NSE"/>
    <x v="1"/>
    <n v="105"/>
    <n v="0"/>
    <n v="350.4"/>
    <n v="36792"/>
    <s v="#202403073700011941"/>
    <n v="0"/>
    <n v="18.579999999999998"/>
    <n v="1.1000000000000001"/>
    <n v="0.04"/>
    <n v="140"/>
    <n v="28.56"/>
    <n v="188.28"/>
    <n v="2024"/>
    <n v="3"/>
    <n v="2023"/>
    <n v="12"/>
    <n v="12"/>
    <x v="2"/>
    <x v="2"/>
    <n v="-36980.28"/>
  </r>
  <r>
    <d v="2024-03-07T00:00:00"/>
    <s v="OPT-CNXBAN-13-Mar-2024-47800-C-E-I"/>
    <s v="NSE"/>
    <x v="0"/>
    <n v="105"/>
    <n v="0"/>
    <n v="399.45"/>
    <n v="41942.25"/>
    <s v="#202403073700010084"/>
    <n v="26.3"/>
    <n v="21.18"/>
    <n v="0"/>
    <n v="0.04"/>
    <n v="140"/>
    <n v="29.02"/>
    <n v="216.54"/>
    <n v="2024"/>
    <n v="3"/>
    <n v="2023"/>
    <n v="12"/>
    <n v="12"/>
    <x v="2"/>
    <x v="2"/>
    <n v="41725.71"/>
  </r>
  <r>
    <d v="2024-03-07T00:00:00"/>
    <s v="OPT-CNXBAN-13-Mar-2024-47800-C-E-I"/>
    <s v="NSE"/>
    <x v="1"/>
    <n v="105"/>
    <n v="0"/>
    <n v="390.85"/>
    <n v="41039.25"/>
    <s v="#202403073700009680"/>
    <n v="0"/>
    <n v="20.72"/>
    <n v="1.28"/>
    <n v="0.04"/>
    <n v="140"/>
    <n v="28.94"/>
    <n v="190.98"/>
    <n v="2024"/>
    <n v="3"/>
    <n v="2023"/>
    <n v="12"/>
    <n v="12"/>
    <x v="2"/>
    <x v="2"/>
    <n v="-41230.230000000003"/>
  </r>
  <r>
    <d v="2024-03-07T00:00:00"/>
    <s v="OPT-NIFTY-07-Mar-2024-22500-C-E-I"/>
    <s v="NSE"/>
    <x v="0"/>
    <n v="900"/>
    <n v="0"/>
    <n v="35"/>
    <n v="31500"/>
    <s v="#202403073700005493"/>
    <n v="19.690000000000001"/>
    <n v="15.91"/>
    <n v="0"/>
    <n v="0.03"/>
    <n v="360"/>
    <n v="67.66"/>
    <n v="463.29"/>
    <n v="2024"/>
    <n v="3"/>
    <n v="2023"/>
    <n v="12"/>
    <n v="12"/>
    <x v="2"/>
    <x v="2"/>
    <n v="31036.71"/>
  </r>
  <r>
    <d v="2024-03-07T00:00:00"/>
    <s v="OPT-NIFTY-07-Mar-2024-22500-C-E-I"/>
    <s v="NSE"/>
    <x v="1"/>
    <n v="900"/>
    <n v="0"/>
    <n v="31"/>
    <n v="27900"/>
    <s v="#202403073700004328"/>
    <n v="0"/>
    <n v="14.09"/>
    <n v="0.84"/>
    <n v="0.03"/>
    <n v="360"/>
    <n v="67.34"/>
    <n v="442.3"/>
    <n v="2024"/>
    <n v="3"/>
    <n v="2023"/>
    <n v="12"/>
    <n v="12"/>
    <x v="2"/>
    <x v="2"/>
    <n v="-28342.3"/>
  </r>
  <r>
    <d v="2024-03-11T00:00:00"/>
    <s v="OPT-CNXBAN-13-Mar-2024-47600-P-E-I"/>
    <s v="NSE"/>
    <x v="0"/>
    <n v="120"/>
    <n v="0"/>
    <n v="412"/>
    <n v="49440"/>
    <s v="#202403113700013207"/>
    <n v="30.54"/>
    <n v="24.96"/>
    <n v="0"/>
    <n v="0.05"/>
    <n v="160"/>
    <n v="33.299999999999997"/>
    <n v="248.85"/>
    <n v="2024"/>
    <n v="3"/>
    <n v="2023"/>
    <n v="12"/>
    <n v="12"/>
    <x v="2"/>
    <x v="2"/>
    <n v="49191.15"/>
  </r>
  <r>
    <d v="2024-03-11T00:00:00"/>
    <s v="OPT-CNXBAN-13-Mar-2024-47600-P-E-I"/>
    <s v="NSE"/>
    <x v="1"/>
    <n v="120"/>
    <n v="0"/>
    <n v="301.10000000000002"/>
    <n v="36132"/>
    <s v="#202403112500002974"/>
    <n v="0"/>
    <n v="18.239999999999998"/>
    <n v="1"/>
    <n v="0.04"/>
    <n v="160"/>
    <n v="32.08"/>
    <n v="211.36"/>
    <n v="2024"/>
    <n v="3"/>
    <n v="2023"/>
    <n v="12"/>
    <n v="12"/>
    <x v="2"/>
    <x v="2"/>
    <n v="-36343.360000000001"/>
  </r>
  <r>
    <d v="2024-03-11T00:00:00"/>
    <s v="OPT-CNXBAN-13-Mar-2024-48000-C-E-I"/>
    <s v="NSE"/>
    <x v="0"/>
    <n v="75"/>
    <n v="0"/>
    <n v="201.9"/>
    <n v="15142.5"/>
    <s v="#202403112500002490"/>
    <n v="9.4600000000000009"/>
    <n v="7.65"/>
    <n v="0"/>
    <n v="0.02"/>
    <n v="100"/>
    <n v="19.38"/>
    <n v="136.51"/>
    <n v="2024"/>
    <n v="3"/>
    <n v="2023"/>
    <n v="12"/>
    <n v="12"/>
    <x v="2"/>
    <x v="2"/>
    <n v="15005.99"/>
  </r>
  <r>
    <d v="2024-03-12T00:00:00"/>
    <s v="OPT-CNXBAN-13-Mar-2024-47300-P-E-I"/>
    <s v="NSE"/>
    <x v="0"/>
    <n v="120"/>
    <n v="0"/>
    <n v="212"/>
    <n v="25440"/>
    <s v="#202403123700027080"/>
    <n v="15.9"/>
    <n v="12.85"/>
    <n v="0"/>
    <n v="0.03"/>
    <n v="160"/>
    <n v="31.1"/>
    <n v="219.88"/>
    <n v="2024"/>
    <n v="3"/>
    <n v="2023"/>
    <n v="12"/>
    <n v="12"/>
    <x v="2"/>
    <x v="2"/>
    <n v="25220.12"/>
  </r>
  <r>
    <d v="2024-03-12T00:00:00"/>
    <s v="OPT-CNXBAN-13-Mar-2024-47300-P-E-I"/>
    <s v="NSE"/>
    <x v="1"/>
    <n v="60"/>
    <n v="0"/>
    <n v="232"/>
    <n v="13920"/>
    <s v="#202403123700025035"/>
    <n v="0"/>
    <n v="7.03"/>
    <n v="0"/>
    <n v="0.01"/>
    <n v="80"/>
    <n v="15.66"/>
    <n v="102.7"/>
    <n v="2024"/>
    <n v="3"/>
    <n v="2023"/>
    <n v="12"/>
    <n v="12"/>
    <x v="2"/>
    <x v="2"/>
    <n v="-14022.7"/>
  </r>
  <r>
    <d v="2024-03-12T00:00:00"/>
    <s v="OPT-CNXBAN-13-Mar-2024-47300-P-E-I"/>
    <s v="NSE"/>
    <x v="1"/>
    <n v="60"/>
    <n v="0"/>
    <n v="237.4"/>
    <n v="14244"/>
    <s v="#202403123700024762"/>
    <n v="0"/>
    <n v="7.19"/>
    <n v="0.84"/>
    <n v="0.01"/>
    <n v="80"/>
    <n v="15.7"/>
    <n v="103.74"/>
    <n v="2024"/>
    <n v="3"/>
    <n v="2023"/>
    <n v="12"/>
    <n v="12"/>
    <x v="2"/>
    <x v="2"/>
    <n v="-14347.74"/>
  </r>
  <r>
    <d v="2024-03-12T00:00:00"/>
    <s v="OPT-CNXBAN-13-Mar-2024-47300-C-E-I"/>
    <s v="NSE"/>
    <x v="0"/>
    <n v="135"/>
    <n v="0"/>
    <n v="281.10000000000002"/>
    <n v="37948.5"/>
    <s v="#202403123700017350"/>
    <n v="24.12"/>
    <n v="19.16"/>
    <n v="0"/>
    <n v="0.04"/>
    <n v="180"/>
    <n v="35.86"/>
    <n v="259.18"/>
    <n v="2024"/>
    <n v="3"/>
    <n v="2023"/>
    <n v="12"/>
    <n v="12"/>
    <x v="2"/>
    <x v="2"/>
    <n v="37689.32"/>
  </r>
  <r>
    <d v="2024-03-12T00:00:00"/>
    <s v="OPT-CNXBAN-13-Mar-2024-47300-C-E-I"/>
    <s v="NSE"/>
    <x v="1"/>
    <n v="45"/>
    <n v="0"/>
    <n v="237.95"/>
    <n v="10707.75"/>
    <s v="#202403123700017207"/>
    <n v="0"/>
    <n v="5.4"/>
    <n v="0"/>
    <n v="0.01"/>
    <n v="60"/>
    <n v="11.76"/>
    <n v="77.17"/>
    <n v="2024"/>
    <n v="3"/>
    <n v="2023"/>
    <n v="12"/>
    <n v="12"/>
    <x v="2"/>
    <x v="2"/>
    <n v="-10784.92"/>
  </r>
  <r>
    <d v="2024-03-12T00:00:00"/>
    <s v="OPT-CNXBAN-13-Mar-2024-47300-C-E-I"/>
    <s v="NSE"/>
    <x v="1"/>
    <n v="45"/>
    <n v="0"/>
    <n v="238.55"/>
    <n v="10734.75"/>
    <s v="#202403123700016542"/>
    <n v="0"/>
    <n v="5.42"/>
    <n v="1.0900000000000001"/>
    <n v="0.01"/>
    <n v="60"/>
    <n v="11.78"/>
    <n v="78.3"/>
    <n v="2024"/>
    <n v="3"/>
    <n v="2023"/>
    <n v="12"/>
    <n v="12"/>
    <x v="2"/>
    <x v="2"/>
    <n v="-10813.05"/>
  </r>
  <r>
    <d v="2024-03-12T00:00:00"/>
    <s v="OPT-CNXBAN-13-Mar-2024-47300-C-E-I"/>
    <s v="NSE"/>
    <x v="1"/>
    <n v="45"/>
    <n v="0"/>
    <n v="301.8"/>
    <n v="13581"/>
    <s v="#202403123700016265"/>
    <n v="0"/>
    <n v="6.86"/>
    <n v="0"/>
    <n v="0.01"/>
    <n v="60"/>
    <n v="12.04"/>
    <n v="78.91"/>
    <n v="2024"/>
    <n v="3"/>
    <n v="2023"/>
    <n v="12"/>
    <n v="12"/>
    <x v="2"/>
    <x v="2"/>
    <n v="-13659.91"/>
  </r>
  <r>
    <d v="2024-03-12T00:00:00"/>
    <s v="OPT-CNXBAN-13-Mar-2024-47600-C-E-I"/>
    <s v="NSE"/>
    <x v="0"/>
    <n v="150"/>
    <n v="0"/>
    <n v="147.25"/>
    <n v="22087.5"/>
    <s v="#202403123700010420"/>
    <n v="13.8"/>
    <n v="11.15"/>
    <n v="0"/>
    <n v="0.02"/>
    <n v="200"/>
    <n v="38.020000000000003"/>
    <n v="262.99"/>
    <n v="2024"/>
    <n v="3"/>
    <n v="2023"/>
    <n v="12"/>
    <n v="12"/>
    <x v="2"/>
    <x v="2"/>
    <n v="21824.51"/>
  </r>
  <r>
    <d v="2024-03-12T00:00:00"/>
    <s v="OPT-CNXBAN-13-Mar-2024-47600-C-E-I"/>
    <s v="NSE"/>
    <x v="1"/>
    <n v="60"/>
    <n v="0"/>
    <n v="105.25"/>
    <n v="6315"/>
    <s v="#202403123700009658"/>
    <n v="0"/>
    <n v="3.19"/>
    <n v="0.61"/>
    <n v="0.01"/>
    <n v="80"/>
    <n v="14.98"/>
    <n v="98.79"/>
    <n v="2024"/>
    <n v="3"/>
    <n v="2023"/>
    <n v="12"/>
    <n v="12"/>
    <x v="2"/>
    <x v="2"/>
    <n v="-6413.79"/>
  </r>
  <r>
    <d v="2024-03-12T00:00:00"/>
    <s v="OPT-CNXBAN-13-Mar-2024-47600-C-E-I"/>
    <s v="NSE"/>
    <x v="1"/>
    <n v="60"/>
    <n v="0"/>
    <n v="99.03"/>
    <n v="5941.5"/>
    <s v="#202403123700009535"/>
    <n v="0"/>
    <n v="3"/>
    <n v="0"/>
    <n v="0"/>
    <n v="80"/>
    <n v="14.94"/>
    <n v="97.94"/>
    <n v="2024"/>
    <n v="3"/>
    <n v="2023"/>
    <n v="12"/>
    <n v="12"/>
    <x v="2"/>
    <x v="2"/>
    <n v="-6039.44"/>
  </r>
  <r>
    <d v="2024-03-12T00:00:00"/>
    <s v="OPT-CNXBAN-13-Mar-2024-47600-C-E-I"/>
    <s v="NSE"/>
    <x v="1"/>
    <n v="30"/>
    <n v="0"/>
    <n v="270.05"/>
    <n v="8101.5"/>
    <s v="#202403123700008861"/>
    <n v="0"/>
    <n v="4.09"/>
    <n v="0"/>
    <n v="0.01"/>
    <n v="40"/>
    <n v="7.94"/>
    <n v="52.04"/>
    <n v="2024"/>
    <n v="3"/>
    <n v="2023"/>
    <n v="12"/>
    <n v="12"/>
    <x v="2"/>
    <x v="2"/>
    <n v="-8153.54"/>
  </r>
  <r>
    <d v="2024-03-12T00:00:00"/>
    <s v="OPT-CNXBAN-13-Mar-2024-48000-C-E-I"/>
    <s v="NSE"/>
    <x v="0"/>
    <n v="120"/>
    <n v="0"/>
    <n v="145.05000000000001"/>
    <n v="17406"/>
    <s v="#202403123700004000"/>
    <n v="10.88"/>
    <n v="8.7899999999999991"/>
    <n v="0"/>
    <n v="0.01"/>
    <n v="160"/>
    <n v="30.38"/>
    <n v="210.06"/>
    <n v="2024"/>
    <n v="3"/>
    <n v="2023"/>
    <n v="12"/>
    <n v="12"/>
    <x v="2"/>
    <x v="2"/>
    <n v="17195.939999999999"/>
  </r>
  <r>
    <d v="2024-03-12T00:00:00"/>
    <s v="OPT-CNXBAN-13-Mar-2024-48000-C-E-I"/>
    <s v="NSE"/>
    <x v="1"/>
    <n v="120"/>
    <n v="0"/>
    <n v="127.18"/>
    <n v="15261"/>
    <s v="#202403123700003914"/>
    <n v="0"/>
    <n v="7.71"/>
    <n v="0.46"/>
    <n v="0.01"/>
    <n v="160"/>
    <n v="30.18"/>
    <n v="198.36"/>
    <n v="2024"/>
    <n v="3"/>
    <n v="2023"/>
    <n v="12"/>
    <n v="12"/>
    <x v="2"/>
    <x v="2"/>
    <n v="-15459.36"/>
  </r>
  <r>
    <d v="2024-03-12T00:00:00"/>
    <s v="OPT-CNXBAN-13-Mar-2024-47300-C-E-I"/>
    <s v="NSE"/>
    <x v="0"/>
    <n v="30"/>
    <n v="0"/>
    <n v="282.7"/>
    <n v="8481"/>
    <s v="#202403123700002227"/>
    <n v="5.3"/>
    <n v="4.28"/>
    <n v="0"/>
    <n v="0"/>
    <n v="40"/>
    <n v="7.96"/>
    <n v="57.54"/>
    <n v="2024"/>
    <n v="3"/>
    <n v="2023"/>
    <n v="12"/>
    <n v="12"/>
    <x v="2"/>
    <x v="2"/>
    <n v="8423.4599999999991"/>
  </r>
  <r>
    <d v="2024-03-12T00:00:00"/>
    <s v="OPT-CNXBAN-13-Mar-2024-47300-C-E-I"/>
    <s v="NSE"/>
    <x v="1"/>
    <n v="15"/>
    <n v="0"/>
    <n v="232.9"/>
    <n v="3493.5"/>
    <s v="#202403123700001972"/>
    <n v="0"/>
    <n v="1.76"/>
    <n v="0"/>
    <n v="0"/>
    <n v="20"/>
    <n v="3.92"/>
    <n v="25.68"/>
    <n v="2024"/>
    <n v="3"/>
    <n v="2023"/>
    <n v="12"/>
    <n v="12"/>
    <x v="2"/>
    <x v="2"/>
    <n v="-3519.18"/>
  </r>
  <r>
    <d v="2024-03-12T00:00:00"/>
    <s v="OPT-CNXBAN-13-Mar-2024-47300-C-E-I"/>
    <s v="NSE"/>
    <x v="1"/>
    <n v="15"/>
    <n v="0"/>
    <n v="242.5"/>
    <n v="3637.5"/>
    <s v="#202403123700001482"/>
    <n v="0"/>
    <n v="1.84"/>
    <n v="0"/>
    <n v="0"/>
    <n v="20"/>
    <n v="3.94"/>
    <n v="25.78"/>
    <n v="2024"/>
    <n v="3"/>
    <n v="2023"/>
    <n v="12"/>
    <n v="12"/>
    <x v="2"/>
    <x v="2"/>
    <n v="-3663.28"/>
  </r>
  <r>
    <d v="2024-03-13T00:00:00"/>
    <s v="OPT-CNXBAN-13-Mar-2024-46900-P-E-I"/>
    <s v="NSE"/>
    <x v="0"/>
    <n v="900"/>
    <n v="0"/>
    <n v="30.1"/>
    <n v="27090"/>
    <s v="#202403133700022718"/>
    <n v="16.93"/>
    <n v="13.68"/>
    <n v="0"/>
    <n v="0.03"/>
    <n v="1200"/>
    <n v="218.46"/>
    <n v="1449.1"/>
    <n v="2024"/>
    <n v="3"/>
    <n v="2023"/>
    <n v="12"/>
    <n v="12"/>
    <x v="2"/>
    <x v="2"/>
    <n v="25640.9"/>
  </r>
  <r>
    <d v="2024-03-13T00:00:00"/>
    <s v="OPT-CNXBAN-13-Mar-2024-46900-P-E-I"/>
    <s v="NSE"/>
    <x v="1"/>
    <n v="900"/>
    <n v="0"/>
    <n v="49.1"/>
    <n v="44190"/>
    <s v="#202403133700019248"/>
    <n v="0"/>
    <n v="22.32"/>
    <n v="1.33"/>
    <n v="0.03"/>
    <n v="1200"/>
    <n v="220"/>
    <n v="1443.68"/>
    <n v="2024"/>
    <n v="3"/>
    <n v="2023"/>
    <n v="12"/>
    <n v="12"/>
    <x v="2"/>
    <x v="2"/>
    <n v="-45633.68"/>
  </r>
  <r>
    <d v="2024-03-13T00:00:00"/>
    <s v="OPT-CNXBAN-13-Mar-2024-47100-P-E-I"/>
    <s v="NSE"/>
    <x v="0"/>
    <n v="300"/>
    <n v="0"/>
    <n v="78.31"/>
    <n v="23491.5"/>
    <s v="#202403133700017623"/>
    <n v="14.68"/>
    <n v="11.87"/>
    <n v="0"/>
    <n v="0.02"/>
    <n v="400"/>
    <n v="74.14"/>
    <n v="500.71"/>
    <n v="2024"/>
    <n v="3"/>
    <n v="2023"/>
    <n v="12"/>
    <n v="12"/>
    <x v="2"/>
    <x v="2"/>
    <n v="22990.79"/>
  </r>
  <r>
    <d v="2024-03-13T00:00:00"/>
    <s v="OPT-CNXBAN-13-Mar-2024-47100-P-E-I"/>
    <s v="NSE"/>
    <x v="1"/>
    <n v="300"/>
    <n v="0"/>
    <n v="105.45"/>
    <n v="31635"/>
    <s v="#202403133700014950"/>
    <n v="0"/>
    <n v="15.98"/>
    <n v="0.95"/>
    <n v="0.03"/>
    <n v="400"/>
    <n v="74.88"/>
    <n v="491.84"/>
    <n v="2024"/>
    <n v="3"/>
    <n v="2023"/>
    <n v="12"/>
    <n v="12"/>
    <x v="2"/>
    <x v="2"/>
    <n v="-32126.84"/>
  </r>
  <r>
    <d v="2024-03-13T00:00:00"/>
    <s v="OPT-CNXBAN-13-Mar-2024-47400-C-E-I"/>
    <s v="NSE"/>
    <x v="0"/>
    <n v="600"/>
    <n v="0"/>
    <n v="40.39"/>
    <n v="24234.75"/>
    <s v="#202403133700012884"/>
    <n v="15.18"/>
    <n v="12.23"/>
    <n v="0"/>
    <n v="0"/>
    <n v="800"/>
    <n v="146.16"/>
    <n v="973.57"/>
    <n v="2024"/>
    <n v="3"/>
    <n v="2023"/>
    <n v="12"/>
    <n v="12"/>
    <x v="2"/>
    <x v="2"/>
    <n v="23261.18"/>
  </r>
  <r>
    <d v="2024-03-13T00:00:00"/>
    <s v="OPT-CNXBAN-13-Mar-2024-47400-C-E-I"/>
    <s v="NSE"/>
    <x v="1"/>
    <n v="600"/>
    <n v="0"/>
    <n v="47.95"/>
    <n v="28771.5"/>
    <s v="#202403133700011981"/>
    <n v="0"/>
    <n v="14.54"/>
    <n v="2.84"/>
    <n v="0.03"/>
    <n v="800"/>
    <n v="146.63999999999999"/>
    <n v="964.05"/>
    <n v="2024"/>
    <n v="3"/>
    <n v="2023"/>
    <n v="12"/>
    <n v="12"/>
    <x v="2"/>
    <x v="2"/>
    <n v="-29735.55"/>
  </r>
  <r>
    <d v="2024-03-13T00:00:00"/>
    <s v="OPT-CNXBAN-13-Mar-2024-47400-C-E-I"/>
    <s v="NSE"/>
    <x v="0"/>
    <n v="210"/>
    <n v="0"/>
    <n v="61.5"/>
    <n v="12915"/>
    <s v="#202403133700010327"/>
    <n v="8.07"/>
    <n v="6.52"/>
    <n v="0"/>
    <n v="0.01"/>
    <n v="280"/>
    <n v="51.58"/>
    <n v="346.18"/>
    <n v="2024"/>
    <n v="3"/>
    <n v="2023"/>
    <n v="12"/>
    <n v="12"/>
    <x v="2"/>
    <x v="2"/>
    <n v="12568.82"/>
  </r>
  <r>
    <d v="2024-03-13T00:00:00"/>
    <s v="OPT-CNXBAN-13-Mar-2024-47400-C-E-I"/>
    <s v="NSE"/>
    <x v="1"/>
    <n v="105"/>
    <n v="0"/>
    <n v="72.349999999999994"/>
    <n v="7596.75"/>
    <s v="#202403133700009175"/>
    <n v="0"/>
    <n v="3.84"/>
    <n v="0"/>
    <n v="0.01"/>
    <n v="140"/>
    <n v="25.9"/>
    <n v="169.75"/>
    <n v="2024"/>
    <n v="3"/>
    <n v="2023"/>
    <n v="12"/>
    <n v="12"/>
    <x v="2"/>
    <x v="2"/>
    <n v="-7766.5"/>
  </r>
  <r>
    <d v="2024-03-13T00:00:00"/>
    <s v="OPT-CNXBAN-13-Mar-2024-47400-C-E-I"/>
    <s v="NSE"/>
    <x v="1"/>
    <n v="105"/>
    <n v="0"/>
    <n v="107.45"/>
    <n v="11282.25"/>
    <s v="#202403133700007747"/>
    <n v="0"/>
    <n v="5.7"/>
    <n v="0"/>
    <n v="0.01"/>
    <n v="140"/>
    <n v="26.22"/>
    <n v="171.93"/>
    <n v="2024"/>
    <n v="3"/>
    <n v="2023"/>
    <n v="12"/>
    <n v="12"/>
    <x v="2"/>
    <x v="2"/>
    <n v="-11454.18"/>
  </r>
  <r>
    <d v="2024-03-13T00:00:00"/>
    <s v="OPT-CNXBAN-13-Mar-2024-47300-P-E-I"/>
    <s v="NSE"/>
    <x v="0"/>
    <n v="240"/>
    <n v="0"/>
    <n v="143.75"/>
    <n v="34500"/>
    <s v="#202403133700005032"/>
    <n v="21.56"/>
    <n v="17.420000000000002"/>
    <n v="0"/>
    <n v="0.04"/>
    <n v="320"/>
    <n v="60.76"/>
    <n v="419.78"/>
    <n v="2024"/>
    <n v="3"/>
    <n v="2023"/>
    <n v="12"/>
    <n v="12"/>
    <x v="2"/>
    <x v="2"/>
    <n v="34080.22"/>
  </r>
  <r>
    <d v="2024-03-13T00:00:00"/>
    <s v="OPT-CNXBAN-13-Mar-2024-47300-P-E-I"/>
    <s v="NSE"/>
    <x v="1"/>
    <n v="240"/>
    <n v="0"/>
    <n v="122.9"/>
    <n v="29496"/>
    <s v="#202403133700004972"/>
    <n v="0"/>
    <n v="14.9"/>
    <n v="0.88"/>
    <n v="0.03"/>
    <n v="320"/>
    <n v="60.28"/>
    <n v="396.09"/>
    <n v="2024"/>
    <n v="3"/>
    <n v="2023"/>
    <n v="12"/>
    <n v="12"/>
    <x v="2"/>
    <x v="2"/>
    <n v="-29892.09"/>
  </r>
  <r>
    <d v="2024-03-13T00:00:00"/>
    <s v="OPT-CNXBAN-13-Mar-2024-47400-C-E-I"/>
    <s v="NSE"/>
    <x v="0"/>
    <n v="240"/>
    <n v="0"/>
    <n v="110.61"/>
    <n v="26547"/>
    <s v="#202403133700004486"/>
    <n v="16.59"/>
    <n v="13.41"/>
    <n v="0"/>
    <n v="0.02"/>
    <n v="320"/>
    <n v="60.04"/>
    <n v="410.06"/>
    <n v="2024"/>
    <n v="3"/>
    <n v="2023"/>
    <n v="12"/>
    <n v="12"/>
    <x v="2"/>
    <x v="2"/>
    <n v="26136.94"/>
  </r>
  <r>
    <d v="2024-03-13T00:00:00"/>
    <s v="OPT-CNXBAN-13-Mar-2024-47400-C-E-I"/>
    <s v="NSE"/>
    <x v="1"/>
    <n v="120"/>
    <n v="0"/>
    <n v="126.05"/>
    <n v="15126"/>
    <s v="#202403133700004054"/>
    <n v="0"/>
    <n v="7.64"/>
    <n v="0"/>
    <n v="0.01"/>
    <n v="160"/>
    <n v="30.16"/>
    <n v="197.81"/>
    <n v="2024"/>
    <n v="3"/>
    <n v="2023"/>
    <n v="12"/>
    <n v="12"/>
    <x v="2"/>
    <x v="2"/>
    <n v="-15323.81"/>
  </r>
  <r>
    <d v="2024-03-13T00:00:00"/>
    <s v="OPT-CNXBAN-13-Mar-2024-47400-C-E-I"/>
    <s v="NSE"/>
    <x v="1"/>
    <n v="120"/>
    <n v="0"/>
    <n v="140.22999999999999"/>
    <n v="16827.75"/>
    <s v="#202403133700002093"/>
    <n v="0"/>
    <n v="8.5"/>
    <n v="0"/>
    <n v="0.02"/>
    <n v="160"/>
    <n v="30.34"/>
    <n v="198.86"/>
    <n v="2024"/>
    <n v="3"/>
    <n v="2023"/>
    <n v="12"/>
    <n v="12"/>
    <x v="2"/>
    <x v="2"/>
    <n v="-17026.61"/>
  </r>
  <r>
    <d v="2024-03-14T00:00:00"/>
    <s v="OPT-CNXBAN-20-Mar-2024-47200-C-E-I"/>
    <s v="NSE"/>
    <x v="0"/>
    <n v="45"/>
    <n v="0"/>
    <n v="283.2"/>
    <n v="12744"/>
    <s v="#202403143700025858"/>
    <n v="7.97"/>
    <n v="6.44"/>
    <n v="0"/>
    <n v="0.01"/>
    <n v="60"/>
    <n v="11.96"/>
    <n v="86.38"/>
    <n v="2024"/>
    <n v="3"/>
    <n v="2023"/>
    <n v="12"/>
    <n v="12"/>
    <x v="2"/>
    <x v="2"/>
    <n v="12657.62"/>
  </r>
  <r>
    <d v="2024-03-14T00:00:00"/>
    <s v="OPT-CNXBAN-20-Mar-2024-47200-C-E-I"/>
    <s v="NSE"/>
    <x v="1"/>
    <n v="30"/>
    <n v="0"/>
    <n v="488.45"/>
    <n v="14653.5"/>
    <s v="#202403143700016131"/>
    <n v="0"/>
    <n v="7.4"/>
    <n v="0.3"/>
    <n v="0.01"/>
    <n v="40"/>
    <n v="8.5399999999999991"/>
    <n v="56.25"/>
    <n v="2024"/>
    <n v="3"/>
    <n v="2023"/>
    <n v="12"/>
    <n v="12"/>
    <x v="2"/>
    <x v="2"/>
    <n v="-14709.75"/>
  </r>
  <r>
    <d v="2024-03-14T00:00:00"/>
    <s v="OPT-CNXBAN-20-Mar-2024-47200-C-E-I"/>
    <s v="NSE"/>
    <x v="1"/>
    <n v="15"/>
    <n v="0"/>
    <n v="479.1"/>
    <n v="7186.5"/>
    <s v="#202403143700012519"/>
    <n v="0"/>
    <n v="3.63"/>
    <n v="0"/>
    <n v="0.01"/>
    <n v="20"/>
    <n v="4.26"/>
    <n v="27.9"/>
    <n v="2024"/>
    <n v="3"/>
    <n v="2023"/>
    <n v="12"/>
    <n v="12"/>
    <x v="2"/>
    <x v="2"/>
    <n v="-7214.4"/>
  </r>
  <r>
    <d v="2024-03-14T00:00:00"/>
    <s v="OPT-CNXBAN-20-Mar-2024-46800-C-E-I"/>
    <s v="NSE"/>
    <x v="0"/>
    <n v="30"/>
    <n v="0"/>
    <n v="590.04999999999995"/>
    <n v="17701.5"/>
    <s v="#202403143700008272"/>
    <n v="11.06"/>
    <n v="8.94"/>
    <n v="0"/>
    <n v="0.02"/>
    <n v="40"/>
    <n v="8.8000000000000007"/>
    <n v="68.819999999999993"/>
    <n v="2024"/>
    <n v="3"/>
    <n v="2023"/>
    <n v="12"/>
    <n v="12"/>
    <x v="2"/>
    <x v="2"/>
    <n v="17632.68"/>
  </r>
  <r>
    <d v="2024-03-14T00:00:00"/>
    <s v="OPT-CNXBAN-20-Mar-2024-46800-C-E-I"/>
    <s v="NSE"/>
    <x v="1"/>
    <n v="15"/>
    <n v="0"/>
    <n v="486.45"/>
    <n v="7296.75"/>
    <s v="#202403143700004465"/>
    <n v="0"/>
    <n v="3.68"/>
    <n v="0.46"/>
    <n v="0.01"/>
    <n v="20"/>
    <n v="4.26"/>
    <n v="28.41"/>
    <n v="2024"/>
    <n v="3"/>
    <n v="2023"/>
    <n v="12"/>
    <n v="12"/>
    <x v="2"/>
    <x v="2"/>
    <n v="-7325.16"/>
  </r>
  <r>
    <d v="2024-03-14T00:00:00"/>
    <s v="OPT-CNXBAN-20-Mar-2024-46800-C-E-I"/>
    <s v="NSE"/>
    <x v="1"/>
    <n v="15"/>
    <n v="0"/>
    <n v="529.70000000000005"/>
    <n v="7945.5"/>
    <s v="#202403143700003320"/>
    <n v="0"/>
    <n v="4.01"/>
    <n v="0"/>
    <n v="0.01"/>
    <n v="20"/>
    <n v="4.32"/>
    <n v="28.34"/>
    <n v="2024"/>
    <n v="3"/>
    <n v="2023"/>
    <n v="12"/>
    <n v="12"/>
    <x v="2"/>
    <x v="2"/>
    <n v="-7973.84"/>
  </r>
  <r>
    <d v="2024-03-14T00:00:00"/>
    <s v="OPT-CNXBAN-20-Mar-2024-46700-C-E-I"/>
    <s v="NSE"/>
    <x v="0"/>
    <n v="15"/>
    <n v="0"/>
    <n v="553.04999999999995"/>
    <n v="8295.75"/>
    <s v="#202403143700001174"/>
    <n v="4.97"/>
    <n v="4.1900000000000004"/>
    <n v="0"/>
    <n v="0.01"/>
    <n v="20"/>
    <n v="4.3600000000000003"/>
    <n v="33.53"/>
    <n v="2024"/>
    <n v="3"/>
    <n v="2023"/>
    <n v="12"/>
    <n v="12"/>
    <x v="2"/>
    <x v="2"/>
    <n v="8262.2199999999993"/>
  </r>
  <r>
    <d v="2024-03-14T00:00:00"/>
    <s v="OPT-CNXBAN-20-Mar-2024-46700-C-E-I"/>
    <s v="NSE"/>
    <x v="1"/>
    <n v="15"/>
    <n v="0"/>
    <n v="527.9"/>
    <n v="7918.5"/>
    <s v="#202403143700001014"/>
    <n v="0"/>
    <n v="4"/>
    <n v="0.24"/>
    <n v="0.01"/>
    <n v="20"/>
    <n v="4.32"/>
    <n v="28.57"/>
    <n v="2024"/>
    <n v="3"/>
    <n v="2023"/>
    <n v="12"/>
    <n v="12"/>
    <x v="2"/>
    <x v="2"/>
    <n v="-7947.07"/>
  </r>
  <r>
    <d v="2024-03-15T00:00:00"/>
    <s v="OPT-CNXBAN-20-Mar-2024-47900-C-E-I"/>
    <s v="NSE"/>
    <x v="1"/>
    <n v="30"/>
    <n v="0"/>
    <n v="35.700000000000003"/>
    <n v="1071"/>
    <s v="#202403153700023749"/>
    <n v="0"/>
    <n v="0.54"/>
    <n v="0"/>
    <n v="0"/>
    <n v="40"/>
    <n v="7.3"/>
    <n v="47.84"/>
    <n v="2024"/>
    <n v="3"/>
    <n v="2023"/>
    <n v="12"/>
    <n v="12"/>
    <x v="2"/>
    <x v="2"/>
    <n v="-1118.8399999999999"/>
  </r>
  <r>
    <d v="2024-03-15T00:00:00"/>
    <s v="OPT-CNXBAN-20-Mar-2024-46400-P-E-I"/>
    <s v="NSE"/>
    <x v="0"/>
    <n v="15"/>
    <n v="0"/>
    <n v="363.4"/>
    <n v="5451"/>
    <s v="#202403153700020770"/>
    <n v="3"/>
    <n v="2.75"/>
    <n v="0"/>
    <n v="0.01"/>
    <n v="20"/>
    <n v="4.0999999999999996"/>
    <n v="29.86"/>
    <n v="2024"/>
    <n v="3"/>
    <n v="2023"/>
    <n v="12"/>
    <n v="12"/>
    <x v="2"/>
    <x v="2"/>
    <n v="5421.14"/>
  </r>
  <r>
    <d v="2024-03-15T00:00:00"/>
    <s v="OPT-CNXBAN-20-Mar-2024-46400-P-E-I"/>
    <s v="NSE"/>
    <x v="1"/>
    <n v="15"/>
    <n v="0"/>
    <n v="264.64999999999998"/>
    <n v="3969.75"/>
    <s v="#202403153700019525"/>
    <n v="0"/>
    <n v="2"/>
    <n v="0"/>
    <n v="0"/>
    <n v="20"/>
    <n v="3.96"/>
    <n v="25.96"/>
    <n v="2024"/>
    <n v="3"/>
    <n v="2023"/>
    <n v="12"/>
    <n v="12"/>
    <x v="2"/>
    <x v="2"/>
    <n v="-3995.71"/>
  </r>
  <r>
    <d v="2024-03-18T00:00:00"/>
    <s v="OPT-CNXBAN-20-Mar-2024-46100-P-E-I"/>
    <s v="NSE"/>
    <x v="0"/>
    <n v="30"/>
    <n v="0"/>
    <n v="124.2"/>
    <n v="3726"/>
    <s v="#202403183700015510"/>
    <n v="2.33"/>
    <n v="1.88"/>
    <n v="0"/>
    <n v="0"/>
    <n v="40"/>
    <n v="7.54"/>
    <n v="51.75"/>
    <n v="2024"/>
    <n v="3"/>
    <n v="2023"/>
    <n v="12"/>
    <n v="12"/>
    <x v="2"/>
    <x v="2"/>
    <n v="3674.25"/>
  </r>
  <r>
    <d v="2024-03-18T00:00:00"/>
    <s v="OPT-CNXBAN-20-Mar-2024-46100-P-E-I"/>
    <s v="NSE"/>
    <x v="1"/>
    <n v="15"/>
    <n v="0"/>
    <n v="255.45"/>
    <n v="3831.75"/>
    <s v="#202403183700012135"/>
    <n v="0"/>
    <n v="1.94"/>
    <n v="0.69"/>
    <n v="0"/>
    <n v="20"/>
    <n v="3.94"/>
    <n v="26.57"/>
    <n v="2024"/>
    <n v="3"/>
    <n v="2023"/>
    <n v="12"/>
    <n v="12"/>
    <x v="2"/>
    <x v="2"/>
    <n v="-3858.32"/>
  </r>
  <r>
    <d v="2024-03-18T00:00:00"/>
    <s v="OPT-CNXBAN-20-Mar-2024-46100-P-E-I"/>
    <s v="NSE"/>
    <x v="1"/>
    <n v="15"/>
    <n v="0"/>
    <n v="277.3"/>
    <n v="4159.5"/>
    <s v="#202403183700010537"/>
    <n v="0"/>
    <n v="2.1"/>
    <n v="0"/>
    <n v="0"/>
    <n v="20"/>
    <n v="3.98"/>
    <n v="26.08"/>
    <n v="2024"/>
    <n v="3"/>
    <n v="2023"/>
    <n v="12"/>
    <n v="12"/>
    <x v="2"/>
    <x v="2"/>
    <n v="-4185.58"/>
  </r>
  <r>
    <d v="2024-03-18T00:00:00"/>
    <s v="OPT-CNXBAN-20-Mar-2024-47900-C-E-I"/>
    <s v="NSE"/>
    <x v="0"/>
    <n v="30"/>
    <n v="0"/>
    <n v="16.7"/>
    <n v="501"/>
    <s v="#202403183700010440"/>
    <n v="0.31"/>
    <n v="0.25"/>
    <n v="0"/>
    <n v="0"/>
    <n v="40"/>
    <n v="7.24"/>
    <n v="47.8"/>
    <n v="2024"/>
    <n v="3"/>
    <n v="2023"/>
    <n v="12"/>
    <n v="12"/>
    <x v="2"/>
    <x v="2"/>
    <n v="453.2"/>
  </r>
  <r>
    <d v="2024-03-18T00:00:00"/>
    <s v="OPT-CNXBAN-20-Mar-2024-46400-P-E-I"/>
    <s v="NSE"/>
    <x v="0"/>
    <n v="15"/>
    <n v="0"/>
    <n v="418.25"/>
    <n v="6273.75"/>
    <s v="#202403183700010355"/>
    <n v="3.92"/>
    <n v="3.17"/>
    <n v="0"/>
    <n v="0.01"/>
    <n v="20"/>
    <n v="4.18"/>
    <n v="31.28"/>
    <n v="2024"/>
    <n v="3"/>
    <n v="2023"/>
    <n v="12"/>
    <n v="12"/>
    <x v="2"/>
    <x v="2"/>
    <n v="6242.47"/>
  </r>
  <r>
    <d v="2024-03-18T00:00:00"/>
    <s v="OPT-CNXBAN-20-Mar-2024-46400-P-E-I"/>
    <s v="NSE"/>
    <x v="1"/>
    <n v="15"/>
    <n v="0"/>
    <n v="331.5"/>
    <n v="4972.5"/>
    <s v="#202403183700008229"/>
    <n v="0"/>
    <n v="2.5099999999999998"/>
    <n v="0.15"/>
    <n v="0"/>
    <n v="20"/>
    <n v="4.0599999999999996"/>
    <n v="26.72"/>
    <n v="2024"/>
    <n v="3"/>
    <n v="2023"/>
    <n v="12"/>
    <n v="12"/>
    <x v="2"/>
    <x v="2"/>
    <n v="-4999.22"/>
  </r>
  <r>
    <d v="2024-03-18T00:00:00"/>
    <s v="OPT-CNXBAN-20-Mar-2024-46500-P-E-I"/>
    <s v="NSE"/>
    <x v="0"/>
    <n v="15"/>
    <n v="0"/>
    <n v="425"/>
    <n v="6375"/>
    <s v="#202403183700005755"/>
    <n v="4.4400000000000004"/>
    <n v="3.22"/>
    <n v="0"/>
    <n v="0.01"/>
    <n v="20"/>
    <n v="4.18"/>
    <n v="31.85"/>
    <n v="2024"/>
    <n v="3"/>
    <n v="2023"/>
    <n v="12"/>
    <n v="12"/>
    <x v="2"/>
    <x v="2"/>
    <n v="6343.15"/>
  </r>
  <r>
    <d v="2024-03-18T00:00:00"/>
    <s v="OPT-CNXBAN-20-Mar-2024-46500-P-E-I"/>
    <s v="NSE"/>
    <x v="1"/>
    <n v="15"/>
    <n v="0"/>
    <n v="364.05"/>
    <n v="5460.75"/>
    <s v="#202403183700005668"/>
    <n v="0"/>
    <n v="2.76"/>
    <n v="0.16"/>
    <n v="0.01"/>
    <n v="20"/>
    <n v="4.0999999999999996"/>
    <n v="27.03"/>
    <n v="2024"/>
    <n v="3"/>
    <n v="2023"/>
    <n v="12"/>
    <n v="12"/>
    <x v="2"/>
    <x v="2"/>
    <n v="-5487.78"/>
  </r>
  <r>
    <d v="2024-03-19T00:00:00"/>
    <s v="OPT-NIFTY-21-Mar-2024-22000-C-E-I"/>
    <s v="NSE"/>
    <x v="1"/>
    <n v="50"/>
    <n v="0"/>
    <n v="45.65"/>
    <n v="2282.5"/>
    <s v="#202403193700022859"/>
    <n v="0"/>
    <n v="1.1499999999999999"/>
    <n v="7.0000000000000007E-2"/>
    <n v="0"/>
    <n v="20"/>
    <n v="3.8"/>
    <n v="25.02"/>
    <n v="2024"/>
    <n v="3"/>
    <n v="2023"/>
    <n v="12"/>
    <n v="12"/>
    <x v="2"/>
    <x v="2"/>
    <n v="-2307.52"/>
  </r>
  <r>
    <d v="2024-03-19T00:00:00"/>
    <s v="OPT-CNXBAN-20-Mar-2024-46200-P-E-I"/>
    <s v="NSE"/>
    <x v="0"/>
    <n v="450"/>
    <n v="0"/>
    <n v="126.73"/>
    <n v="57030"/>
    <s v="#202403193700021940"/>
    <n v="35.65"/>
    <n v="28.8"/>
    <n v="0"/>
    <n v="0.04"/>
    <n v="600"/>
    <n v="113.2"/>
    <n v="777.69"/>
    <n v="2024"/>
    <n v="3"/>
    <n v="2023"/>
    <n v="12"/>
    <n v="12"/>
    <x v="2"/>
    <x v="2"/>
    <n v="56252.31"/>
  </r>
  <r>
    <d v="2024-03-19T00:00:00"/>
    <s v="OPT-CNXBAN-20-Mar-2024-46200-P-E-I"/>
    <s v="NSE"/>
    <x v="1"/>
    <n v="225"/>
    <n v="0"/>
    <n v="149.56"/>
    <n v="33651"/>
    <s v="#202403193700021654"/>
    <n v="0"/>
    <n v="16.989999999999998"/>
    <n v="0"/>
    <n v="0.04"/>
    <n v="300"/>
    <n v="57.08"/>
    <n v="374.11"/>
    <n v="2024"/>
    <n v="3"/>
    <n v="2023"/>
    <n v="12"/>
    <n v="12"/>
    <x v="2"/>
    <x v="2"/>
    <n v="-34025.11"/>
  </r>
  <r>
    <d v="2024-03-19T00:00:00"/>
    <s v="OPT-CNXBAN-20-Mar-2024-46200-P-E-I"/>
    <s v="NSE"/>
    <x v="1"/>
    <n v="225"/>
    <n v="0"/>
    <n v="197.69"/>
    <n v="44481"/>
    <s v="#202403193700021321"/>
    <n v="0"/>
    <n v="22.46"/>
    <n v="2.34"/>
    <n v="0.05"/>
    <n v="300"/>
    <n v="58.06"/>
    <n v="382.91"/>
    <n v="2024"/>
    <n v="3"/>
    <n v="2023"/>
    <n v="12"/>
    <n v="12"/>
    <x v="2"/>
    <x v="2"/>
    <n v="-44863.91"/>
  </r>
  <r>
    <d v="2024-03-19T00:00:00"/>
    <s v="OPT-NIFTY-21-Mar-2024-22000-C-E-I"/>
    <s v="NSE"/>
    <x v="0"/>
    <n v="50"/>
    <n v="0"/>
    <n v="45.75"/>
    <n v="2287.5"/>
    <s v="#202403193700020919"/>
    <n v="1.43"/>
    <n v="1.1599999999999999"/>
    <n v="0"/>
    <n v="0"/>
    <n v="20"/>
    <n v="3.8"/>
    <n v="26.39"/>
    <n v="2024"/>
    <n v="3"/>
    <n v="2023"/>
    <n v="12"/>
    <n v="12"/>
    <x v="2"/>
    <x v="2"/>
    <n v="2261.11"/>
  </r>
  <r>
    <d v="2024-03-19T00:00:00"/>
    <s v="OPT-CNXBAN-20-Mar-2024-46400-C-E-I"/>
    <s v="NSE"/>
    <x v="0"/>
    <n v="105"/>
    <n v="0"/>
    <n v="165.04"/>
    <n v="17329.5"/>
    <s v="#202403193700020838"/>
    <n v="10.83"/>
    <n v="8.75"/>
    <n v="0"/>
    <n v="0"/>
    <n v="140"/>
    <n v="26.8"/>
    <n v="186.38"/>
    <n v="2024"/>
    <n v="3"/>
    <n v="2023"/>
    <n v="12"/>
    <n v="12"/>
    <x v="2"/>
    <x v="2"/>
    <n v="17143.12"/>
  </r>
  <r>
    <d v="2024-03-19T00:00:00"/>
    <s v="OPT-CNXBAN-20-Mar-2024-46600-C-E-I"/>
    <s v="NSE"/>
    <x v="0"/>
    <n v="15"/>
    <n v="0"/>
    <n v="108.3"/>
    <n v="1624.5"/>
    <s v="#202403193700020637"/>
    <n v="1.02"/>
    <n v="0.82"/>
    <n v="0"/>
    <n v="0"/>
    <n v="20"/>
    <n v="3.74"/>
    <n v="25.58"/>
    <n v="2024"/>
    <n v="3"/>
    <n v="2023"/>
    <n v="12"/>
    <n v="12"/>
    <x v="2"/>
    <x v="2"/>
    <n v="1598.92"/>
  </r>
  <r>
    <d v="2024-03-19T00:00:00"/>
    <s v="OPT-CNXBAN-20-Mar-2024-46400-C-E-I"/>
    <s v="NSE"/>
    <x v="1"/>
    <n v="105"/>
    <n v="0"/>
    <n v="178.35"/>
    <n v="18726.75"/>
    <s v="#202403193700020425"/>
    <n v="0"/>
    <n v="9.4600000000000009"/>
    <n v="0.56000000000000005"/>
    <n v="0.02"/>
    <n v="140"/>
    <n v="26.9"/>
    <n v="176.94"/>
    <n v="2024"/>
    <n v="3"/>
    <n v="2023"/>
    <n v="12"/>
    <n v="12"/>
    <x v="2"/>
    <x v="2"/>
    <n v="-18903.689999999999"/>
  </r>
  <r>
    <d v="2024-03-19T00:00:00"/>
    <s v="OPT-CNXBAN-20-Mar-2024-46600-C-E-I"/>
    <s v="NSE"/>
    <x v="0"/>
    <n v="900"/>
    <n v="0"/>
    <n v="169"/>
    <n v="152100"/>
    <s v="#202403193700017748"/>
    <n v="95.07"/>
    <n v="76.8"/>
    <n v="0"/>
    <n v="0.14000000000000001"/>
    <n v="1200"/>
    <n v="229.86"/>
    <n v="1601.87"/>
    <n v="2024"/>
    <n v="3"/>
    <n v="2023"/>
    <n v="12"/>
    <n v="12"/>
    <x v="2"/>
    <x v="2"/>
    <n v="150498.13"/>
  </r>
  <r>
    <d v="2024-03-19T00:00:00"/>
    <s v="OPT-CNXBAN-20-Mar-2024-46600-C-E-I"/>
    <s v="NSE"/>
    <x v="1"/>
    <n v="900"/>
    <n v="0"/>
    <n v="164.95"/>
    <n v="148455"/>
    <s v="#202403193700016546"/>
    <n v="0"/>
    <n v="74.98"/>
    <n v="5.03"/>
    <n v="0.15"/>
    <n v="1200"/>
    <n v="229.52"/>
    <n v="1509.68"/>
    <n v="2024"/>
    <n v="3"/>
    <n v="2023"/>
    <n v="12"/>
    <n v="12"/>
    <x v="2"/>
    <x v="2"/>
    <n v="-149964.68"/>
  </r>
  <r>
    <d v="2024-03-19T00:00:00"/>
    <s v="OPT-CNXBAN-20-Mar-2024-46600-C-E-I"/>
    <s v="NSE"/>
    <x v="1"/>
    <n v="15"/>
    <n v="0"/>
    <n v="171"/>
    <n v="2565"/>
    <s v="#202403193700009631"/>
    <n v="0"/>
    <n v="1.3"/>
    <n v="0"/>
    <n v="0"/>
    <n v="20"/>
    <n v="3.84"/>
    <n v="25.14"/>
    <n v="2024"/>
    <n v="3"/>
    <n v="2023"/>
    <n v="12"/>
    <n v="12"/>
    <x v="2"/>
    <x v="2"/>
    <n v="-2590.14"/>
  </r>
  <r>
    <d v="2024-03-20T00:00:00"/>
    <s v="OPT-CNXBAN-20-Mar-2024-46600-C-E-I"/>
    <s v="NSE"/>
    <x v="0"/>
    <n v="450"/>
    <n v="0"/>
    <n v="59.22"/>
    <n v="26650.5"/>
    <s v="#202403203700021967"/>
    <n v="16.670000000000002"/>
    <n v="13.46"/>
    <n v="0"/>
    <n v="0.02"/>
    <n v="600"/>
    <n v="110.4"/>
    <n v="740.55"/>
    <n v="2024"/>
    <n v="3"/>
    <n v="2023"/>
    <n v="12"/>
    <n v="12"/>
    <x v="2"/>
    <x v="2"/>
    <n v="25909.95"/>
  </r>
  <r>
    <d v="2024-03-20T00:00:00"/>
    <s v="OPT-CNXBAN-20-Mar-2024-46600-C-E-I"/>
    <s v="NSE"/>
    <x v="0"/>
    <n v="900"/>
    <n v="0"/>
    <n v="59.48"/>
    <n v="53532"/>
    <s v="#202403203700021930"/>
    <n v="33.479999999999997"/>
    <n v="27.02"/>
    <n v="0"/>
    <n v="0.04"/>
    <n v="1200"/>
    <n v="220.82"/>
    <n v="1481.36"/>
    <n v="2024"/>
    <n v="3"/>
    <n v="2023"/>
    <n v="12"/>
    <n v="12"/>
    <x v="2"/>
    <x v="2"/>
    <n v="52050.64"/>
  </r>
  <r>
    <d v="2024-03-20T00:00:00"/>
    <s v="OPT-CNXBAN-20-Mar-2024-46600-C-E-I"/>
    <s v="NSE"/>
    <x v="0"/>
    <n v="900"/>
    <n v="0"/>
    <n v="57.62"/>
    <n v="51858.75"/>
    <s v="#202403203700021876"/>
    <n v="32.880000000000003"/>
    <n v="26.19"/>
    <n v="0"/>
    <n v="0.05"/>
    <n v="1200"/>
    <n v="220.76"/>
    <n v="1479.88"/>
    <n v="2024"/>
    <n v="3"/>
    <n v="2023"/>
    <n v="12"/>
    <n v="12"/>
    <x v="2"/>
    <x v="2"/>
    <n v="50378.87"/>
  </r>
  <r>
    <d v="2024-03-20T00:00:00"/>
    <s v="OPT-CNXBAN-20-Mar-2024-46600-C-E-I"/>
    <s v="NSE"/>
    <x v="1"/>
    <n v="900"/>
    <n v="0"/>
    <n v="14.4"/>
    <n v="12960"/>
    <s v="#202403203700011994"/>
    <n v="0"/>
    <n v="6.55"/>
    <n v="0"/>
    <n v="0.01"/>
    <n v="1200"/>
    <n v="217.2"/>
    <n v="1423.76"/>
    <n v="2024"/>
    <n v="3"/>
    <n v="2023"/>
    <n v="12"/>
    <n v="12"/>
    <x v="2"/>
    <x v="2"/>
    <n v="-14383.76"/>
  </r>
  <r>
    <d v="2024-03-20T00:00:00"/>
    <s v="OPT-CNXBAN-20-Mar-2024-46600-C-E-I"/>
    <s v="NSE"/>
    <x v="1"/>
    <n v="450"/>
    <n v="0"/>
    <n v="30.05"/>
    <n v="13520.25"/>
    <s v="#202403203700005947"/>
    <n v="0"/>
    <n v="6.89"/>
    <n v="0"/>
    <n v="0"/>
    <n v="600"/>
    <n v="109.2"/>
    <n v="716.09"/>
    <n v="2024"/>
    <n v="3"/>
    <n v="2023"/>
    <n v="12"/>
    <n v="12"/>
    <x v="2"/>
    <x v="2"/>
    <n v="-14236.34"/>
  </r>
  <r>
    <d v="2024-03-20T00:00:00"/>
    <s v="OPT-CNXBAN-20-Mar-2024-46600-C-E-I"/>
    <s v="NSE"/>
    <x v="1"/>
    <n v="900"/>
    <n v="0"/>
    <n v="94.52"/>
    <n v="85069.5"/>
    <s v="#202403203700003021"/>
    <n v="0"/>
    <n v="42.94"/>
    <n v="3"/>
    <n v="0.11"/>
    <n v="1200"/>
    <n v="223.76"/>
    <n v="1469.81"/>
    <n v="2024"/>
    <n v="3"/>
    <n v="2023"/>
    <n v="12"/>
    <n v="12"/>
    <x v="2"/>
    <x v="2"/>
    <n v="-86539.31"/>
  </r>
  <r>
    <d v="2024-03-21T00:00:00"/>
    <s v="OPT-CNXBAN-27-Mar-2024-46800-C-E-I"/>
    <s v="NSE"/>
    <x v="0"/>
    <n v="15"/>
    <n v="0"/>
    <n v="351.2"/>
    <n v="5268"/>
    <s v="#202403213700027141"/>
    <n v="3.29"/>
    <n v="2.66"/>
    <n v="0"/>
    <n v="0.01"/>
    <n v="20"/>
    <n v="4.08"/>
    <n v="30.04"/>
    <n v="2024"/>
    <n v="3"/>
    <n v="2023"/>
    <n v="12"/>
    <n v="12"/>
    <x v="2"/>
    <x v="2"/>
    <n v="5237.96"/>
  </r>
  <r>
    <d v="2024-03-21T00:00:00"/>
    <s v="OPT-NIFTY-21-Mar-2024-22000-P-E-I"/>
    <s v="NSE"/>
    <x v="0"/>
    <n v="50"/>
    <n v="0"/>
    <n v="12.4"/>
    <n v="620"/>
    <s v="#202403213700022754"/>
    <n v="0.71"/>
    <n v="0.31"/>
    <n v="0"/>
    <n v="0"/>
    <n v="20"/>
    <n v="3.66"/>
    <n v="24.68"/>
    <n v="2024"/>
    <n v="3"/>
    <n v="2023"/>
    <n v="12"/>
    <n v="12"/>
    <x v="2"/>
    <x v="2"/>
    <n v="595.32000000000005"/>
  </r>
  <r>
    <d v="2024-03-21T00:00:00"/>
    <s v="OPT-NIFTY-21-Mar-2024-22000-P-E-I"/>
    <s v="NSE"/>
    <x v="1"/>
    <n v="50"/>
    <n v="0"/>
    <n v="14.55"/>
    <n v="727.5"/>
    <s v="#202403213700022566"/>
    <n v="0"/>
    <n v="0.37"/>
    <n v="0"/>
    <n v="0"/>
    <n v="20"/>
    <n v="3.66"/>
    <n v="24.03"/>
    <n v="2024"/>
    <n v="3"/>
    <n v="2023"/>
    <n v="12"/>
    <n v="12"/>
    <x v="2"/>
    <x v="2"/>
    <n v="-751.53"/>
  </r>
  <r>
    <d v="2024-03-21T00:00:00"/>
    <s v="OPT-CNXBAN-27-Mar-2024-46800-C-E-I"/>
    <s v="NSE"/>
    <x v="1"/>
    <n v="15"/>
    <n v="0"/>
    <n v="392.1"/>
    <n v="5881.5"/>
    <s v="#202403213700017871"/>
    <n v="0"/>
    <n v="2.97"/>
    <n v="0"/>
    <n v="0.01"/>
    <n v="20"/>
    <n v="4.1399999999999997"/>
    <n v="27.12"/>
    <n v="2024"/>
    <n v="3"/>
    <n v="2023"/>
    <n v="12"/>
    <n v="12"/>
    <x v="2"/>
    <x v="2"/>
    <n v="-5908.62"/>
  </r>
  <r>
    <d v="2024-03-22T00:00:00"/>
    <s v="OPT-CNXBAN-27-Mar-2024-46900-C-E-I"/>
    <s v="NSE"/>
    <x v="0"/>
    <n v="60"/>
    <n v="0"/>
    <n v="323.89999999999998"/>
    <n v="19434"/>
    <s v="#202403223700013517"/>
    <n v="12.14"/>
    <n v="9.82"/>
    <n v="0"/>
    <n v="0.02"/>
    <n v="80"/>
    <n v="16.16"/>
    <n v="118.14"/>
    <n v="2024"/>
    <n v="3"/>
    <n v="2023"/>
    <n v="12"/>
    <n v="12"/>
    <x v="2"/>
    <x v="2"/>
    <n v="19315.86"/>
  </r>
  <r>
    <d v="2024-03-22T00:00:00"/>
    <s v="OPT-CNXBAN-27-Mar-2024-46900-C-E-I"/>
    <s v="NSE"/>
    <x v="1"/>
    <n v="60"/>
    <n v="0"/>
    <n v="378.5"/>
    <n v="22710"/>
    <s v="#202403223700008732"/>
    <n v="0"/>
    <n v="11.47"/>
    <n v="0.68"/>
    <n v="0.03"/>
    <n v="80"/>
    <n v="16.48"/>
    <n v="108.66"/>
    <n v="2024"/>
    <n v="3"/>
    <n v="2023"/>
    <n v="12"/>
    <n v="12"/>
    <x v="2"/>
    <x v="2"/>
    <n v="-22818.66"/>
  </r>
  <r>
    <d v="2024-03-22T00:00:00"/>
    <s v="OPT-CNXBAN-27-Mar-2024-46500-P-E-I"/>
    <s v="NSE"/>
    <x v="0"/>
    <n v="105"/>
    <n v="0"/>
    <n v="193.75"/>
    <n v="20343.75"/>
    <s v="#202403223700006428"/>
    <n v="12.72"/>
    <n v="10.28"/>
    <n v="0"/>
    <n v="0.02"/>
    <n v="140"/>
    <n v="27.06"/>
    <n v="190.08"/>
    <n v="2024"/>
    <n v="3"/>
    <n v="2023"/>
    <n v="12"/>
    <n v="12"/>
    <x v="2"/>
    <x v="2"/>
    <n v="20153.669999999998"/>
  </r>
  <r>
    <d v="2024-03-22T00:00:00"/>
    <s v="OPT-CNXBAN-27-Mar-2024-46500-P-E-I"/>
    <s v="NSE"/>
    <x v="1"/>
    <n v="105"/>
    <n v="0"/>
    <n v="226.66"/>
    <n v="23799"/>
    <s v="#202403223700004542"/>
    <n v="0"/>
    <n v="12.02"/>
    <n v="1.32"/>
    <n v="0.02"/>
    <n v="140"/>
    <n v="27.36"/>
    <n v="180.72"/>
    <n v="2024"/>
    <n v="3"/>
    <n v="2023"/>
    <n v="12"/>
    <n v="12"/>
    <x v="2"/>
    <x v="2"/>
    <n v="-23979.72"/>
  </r>
  <r>
    <d v="2024-03-22T00:00:00"/>
    <s v="OPT-CNXBAN-27-Mar-2024-46500-P-E-I"/>
    <s v="NSE"/>
    <x v="0"/>
    <n v="30"/>
    <n v="0"/>
    <n v="214.15"/>
    <n v="6424.5"/>
    <s v="#202403223700003689"/>
    <n v="4.1399999999999997"/>
    <n v="3.24"/>
    <n v="0"/>
    <n v="0.01"/>
    <n v="40"/>
    <n v="7.78"/>
    <n v="55.17"/>
    <n v="2024"/>
    <n v="3"/>
    <n v="2023"/>
    <n v="12"/>
    <n v="12"/>
    <x v="2"/>
    <x v="2"/>
    <n v="6369.33"/>
  </r>
  <r>
    <d v="2024-03-22T00:00:00"/>
    <s v="OPT-CNXBAN-27-Mar-2024-46500-P-E-I"/>
    <s v="NSE"/>
    <x v="1"/>
    <n v="15"/>
    <n v="0"/>
    <n v="214.65"/>
    <n v="3219.75"/>
    <s v="#202403223700003294"/>
    <n v="0"/>
    <n v="1.63"/>
    <n v="0"/>
    <n v="0"/>
    <n v="20"/>
    <n v="3.9"/>
    <n v="25.53"/>
    <n v="2024"/>
    <n v="3"/>
    <n v="2023"/>
    <n v="12"/>
    <n v="12"/>
    <x v="2"/>
    <x v="2"/>
    <n v="-3245.28"/>
  </r>
  <r>
    <d v="2024-03-22T00:00:00"/>
    <s v="OPT-CNXBAN-27-Mar-2024-46500-P-E-I"/>
    <s v="NSE"/>
    <x v="1"/>
    <n v="15"/>
    <n v="0"/>
    <n v="266.45"/>
    <n v="3996.75"/>
    <s v="#202403223700001634"/>
    <n v="0"/>
    <n v="2.02"/>
    <n v="0"/>
    <n v="0"/>
    <n v="20"/>
    <n v="3.96"/>
    <n v="25.98"/>
    <n v="2024"/>
    <n v="3"/>
    <n v="2023"/>
    <n v="12"/>
    <n v="12"/>
    <x v="2"/>
    <x v="2"/>
    <n v="-4022.73"/>
  </r>
  <r>
    <d v="2024-03-27T00:00:00"/>
    <s v="OPT-CNXBAN-27-Mar-2024-47200-C-E-I"/>
    <s v="NSE"/>
    <x v="0"/>
    <n v="840"/>
    <n v="0"/>
    <n v="2.85"/>
    <n v="2394"/>
    <s v="#202403273700018100"/>
    <n v="2"/>
    <n v="1.2"/>
    <n v="0"/>
    <n v="0"/>
    <n v="1120"/>
    <n v="201.82"/>
    <n v="1325.02"/>
    <n v="2024"/>
    <n v="3"/>
    <n v="2023"/>
    <n v="12"/>
    <n v="12"/>
    <x v="2"/>
    <x v="2"/>
    <n v="1068.98"/>
  </r>
  <r>
    <d v="2024-03-27T00:00:00"/>
    <s v="OPT-CNXBAN-27-Mar-2024-47200-C-E-I"/>
    <s v="NSE"/>
    <x v="1"/>
    <n v="120"/>
    <n v="0"/>
    <n v="3.95"/>
    <n v="474"/>
    <s v="#202403273700015189"/>
    <n v="0"/>
    <n v="0.24"/>
    <n v="0"/>
    <n v="0"/>
    <n v="160"/>
    <n v="28.84"/>
    <n v="189.08"/>
    <n v="2024"/>
    <n v="3"/>
    <n v="2023"/>
    <n v="12"/>
    <n v="12"/>
    <x v="2"/>
    <x v="2"/>
    <n v="-663.08"/>
  </r>
  <r>
    <d v="2024-03-27T00:00:00"/>
    <s v="OPT-CNXBAN-27-Mar-2024-47200-C-E-I"/>
    <s v="NSE"/>
    <x v="1"/>
    <n v="120"/>
    <n v="0"/>
    <n v="6.1"/>
    <n v="732"/>
    <s v="#202403273700014315"/>
    <n v="0"/>
    <n v="0.37"/>
    <n v="0"/>
    <n v="0"/>
    <n v="160"/>
    <n v="28.86"/>
    <n v="189.23"/>
    <n v="2024"/>
    <n v="3"/>
    <n v="2023"/>
    <n v="12"/>
    <n v="12"/>
    <x v="2"/>
    <x v="2"/>
    <n v="-921.23"/>
  </r>
  <r>
    <d v="2024-03-27T00:00:00"/>
    <s v="OPT-CNXBAN-27-Mar-2024-47200-C-E-I"/>
    <s v="NSE"/>
    <x v="1"/>
    <n v="120"/>
    <n v="0"/>
    <n v="6.9"/>
    <n v="828"/>
    <s v="#202403273700011202"/>
    <n v="0"/>
    <n v="0.42"/>
    <n v="0"/>
    <n v="0"/>
    <n v="160"/>
    <n v="28.88"/>
    <n v="189.3"/>
    <n v="2024"/>
    <n v="3"/>
    <n v="2023"/>
    <n v="12"/>
    <n v="12"/>
    <x v="2"/>
    <x v="2"/>
    <n v="-1017.3"/>
  </r>
  <r>
    <d v="2024-03-27T00:00:00"/>
    <s v="OPT-CNXBAN-27-Mar-2024-47200-C-E-I"/>
    <s v="NSE"/>
    <x v="1"/>
    <n v="120"/>
    <n v="0"/>
    <n v="6.61"/>
    <n v="792.75"/>
    <s v="#202403273700010986"/>
    <n v="0"/>
    <n v="0.4"/>
    <n v="0"/>
    <n v="0"/>
    <n v="160"/>
    <n v="28.86"/>
    <n v="189.26"/>
    <n v="2024"/>
    <n v="3"/>
    <n v="2023"/>
    <n v="12"/>
    <n v="12"/>
    <x v="2"/>
    <x v="2"/>
    <n v="-982.01"/>
  </r>
  <r>
    <d v="2024-03-27T00:00:00"/>
    <s v="OPT-CNXBAN-27-Mar-2024-47200-C-E-I"/>
    <s v="NSE"/>
    <x v="1"/>
    <n v="120"/>
    <n v="0"/>
    <n v="11.35"/>
    <n v="1362"/>
    <s v="#202403273700009855"/>
    <n v="0"/>
    <n v="0.69"/>
    <n v="0"/>
    <n v="0"/>
    <n v="160"/>
    <n v="28.92"/>
    <n v="189.61"/>
    <n v="2024"/>
    <n v="3"/>
    <n v="2023"/>
    <n v="12"/>
    <n v="12"/>
    <x v="2"/>
    <x v="2"/>
    <n v="-1551.6100000000001"/>
  </r>
  <r>
    <d v="2024-03-27T00:00:00"/>
    <s v="OPT-CNXBAN-27-Mar-2024-47200-C-E-I"/>
    <s v="NSE"/>
    <x v="1"/>
    <n v="120"/>
    <n v="0"/>
    <n v="12.75"/>
    <n v="1530"/>
    <s v="#202403273700009592"/>
    <n v="0"/>
    <n v="0.77"/>
    <n v="0"/>
    <n v="0"/>
    <n v="160"/>
    <n v="28.94"/>
    <n v="189.71"/>
    <n v="2024"/>
    <n v="3"/>
    <n v="2023"/>
    <n v="12"/>
    <n v="12"/>
    <x v="2"/>
    <x v="2"/>
    <n v="-1719.71"/>
  </r>
  <r>
    <d v="2024-03-27T00:00:00"/>
    <s v="OPT-CNXBAN-27-Mar-2024-47200-C-E-I"/>
    <s v="NSE"/>
    <x v="1"/>
    <n v="120"/>
    <n v="0"/>
    <n v="26.24"/>
    <n v="3148.5"/>
    <s v="#202403273700008776"/>
    <n v="0"/>
    <n v="1.6"/>
    <n v="0"/>
    <n v="0"/>
    <n v="160"/>
    <n v="29.1"/>
    <n v="190.7"/>
    <n v="2024"/>
    <n v="3"/>
    <n v="2023"/>
    <n v="12"/>
    <n v="12"/>
    <x v="2"/>
    <x v="2"/>
    <n v="-3339.2"/>
  </r>
  <r>
    <d v="2024-04-01T00:00:00"/>
    <s v="OPT-CNXBAN-03-Apr-2024-47600-C-E-I"/>
    <s v="NSE"/>
    <x v="0"/>
    <n v="105"/>
    <n v="0"/>
    <n v="218.1"/>
    <n v="22900.5"/>
    <s v="#202404013700016590"/>
    <n v="14"/>
    <n v="11.45"/>
    <n v="0"/>
    <n v="0.02"/>
    <n v="140"/>
    <n v="27.26"/>
    <n v="192.73"/>
    <n v="2024"/>
    <n v="4"/>
    <n v="2024"/>
    <n v="1"/>
    <s v="01"/>
    <x v="3"/>
    <x v="3"/>
    <n v="22707.77"/>
  </r>
  <r>
    <d v="2024-04-01T00:00:00"/>
    <s v="OPT-CNXBAN-03-Apr-2024-47600-C-E-I"/>
    <s v="NSE"/>
    <x v="1"/>
    <n v="105"/>
    <n v="0"/>
    <n v="267.04000000000002"/>
    <n v="28038.75"/>
    <s v="#202404013700004194"/>
    <n v="0"/>
    <n v="14.03"/>
    <n v="1"/>
    <n v="0.03"/>
    <n v="140"/>
    <n v="27.72"/>
    <n v="182.78"/>
    <n v="2024"/>
    <n v="4"/>
    <n v="2024"/>
    <n v="1"/>
    <s v="01"/>
    <x v="3"/>
    <x v="3"/>
    <n v="-28221.53"/>
  </r>
  <r>
    <d v="2024-04-02T00:00:00"/>
    <s v="OPT-CNXBAN-03-Apr-2024-47500-P-E-I"/>
    <s v="NSE"/>
    <x v="0"/>
    <n v="105"/>
    <n v="0"/>
    <n v="109.97"/>
    <n v="11547"/>
    <s v="#202404023700008850"/>
    <n v="7.21"/>
    <n v="5.78"/>
    <n v="0"/>
    <n v="0.01"/>
    <n v="140"/>
    <n v="26.24"/>
    <n v="179.24"/>
    <n v="2024"/>
    <n v="4"/>
    <n v="2024"/>
    <n v="1"/>
    <s v="01"/>
    <x v="3"/>
    <x v="3"/>
    <n v="11367.76"/>
  </r>
  <r>
    <d v="2024-04-02T00:00:00"/>
    <s v="OPT-CNXBAN-03-Apr-2024-47500-P-E-I"/>
    <s v="NSE"/>
    <x v="1"/>
    <n v="105"/>
    <n v="0"/>
    <n v="129"/>
    <n v="13545"/>
    <s v="#202404023700006743"/>
    <n v="0"/>
    <n v="6.77"/>
    <n v="0.93"/>
    <n v="0.01"/>
    <n v="140"/>
    <n v="26.42"/>
    <n v="174.13"/>
    <n v="2024"/>
    <n v="4"/>
    <n v="2024"/>
    <n v="1"/>
    <s v="01"/>
    <x v="3"/>
    <x v="3"/>
    <n v="-13719.13"/>
  </r>
  <r>
    <d v="2024-04-02T00:00:00"/>
    <s v="OPT-CNXBAN-03-Apr-2024-47500-P-E-I"/>
    <s v="NSE"/>
    <x v="0"/>
    <n v="105"/>
    <n v="0"/>
    <n v="130.24"/>
    <n v="13674.75"/>
    <s v="#202404023700006137"/>
    <n v="8.14"/>
    <n v="6.83"/>
    <n v="0"/>
    <n v="0.01"/>
    <n v="140"/>
    <n v="26.44"/>
    <n v="181.42"/>
    <n v="2024"/>
    <n v="4"/>
    <n v="2024"/>
    <n v="1"/>
    <s v="01"/>
    <x v="3"/>
    <x v="3"/>
    <n v="13493.33"/>
  </r>
  <r>
    <d v="2024-04-02T00:00:00"/>
    <s v="OPT-CNXBAN-03-Apr-2024-47500-P-E-I"/>
    <s v="NSE"/>
    <x v="1"/>
    <n v="105"/>
    <n v="0"/>
    <n v="153.99"/>
    <n v="16168.5"/>
    <s v="#202404023700004482"/>
    <n v="0"/>
    <n v="8.09"/>
    <n v="0"/>
    <n v="0.01"/>
    <n v="140"/>
    <n v="26.66"/>
    <n v="174.76"/>
    <n v="2024"/>
    <n v="4"/>
    <n v="2024"/>
    <n v="1"/>
    <s v="01"/>
    <x v="3"/>
    <x v="3"/>
    <n v="-16343.26"/>
  </r>
  <r>
    <d v="2024-04-02T00:00:00"/>
    <s v="OPT-CNXBAN-03-Apr-2024-47600-C-E-I"/>
    <s v="NSE"/>
    <x v="0"/>
    <n v="15"/>
    <n v="0"/>
    <n v="175.4"/>
    <n v="2631"/>
    <s v="#202404023700001769"/>
    <n v="1.64"/>
    <n v="1.32"/>
    <n v="0"/>
    <n v="0"/>
    <n v="20"/>
    <n v="3.84"/>
    <n v="26.8"/>
    <n v="2024"/>
    <n v="4"/>
    <n v="2024"/>
    <n v="1"/>
    <s v="01"/>
    <x v="3"/>
    <x v="3"/>
    <n v="2604.1999999999998"/>
  </r>
  <r>
    <d v="2024-04-02T00:00:00"/>
    <s v="OPT-CNXBAN-03-Apr-2024-47600-C-E-I"/>
    <s v="NSE"/>
    <x v="1"/>
    <n v="15"/>
    <n v="0"/>
    <n v="151.19999999999999"/>
    <n v="2268"/>
    <s v="#202404023700001118"/>
    <n v="0"/>
    <n v="1.1299999999999999"/>
    <n v="7.0000000000000007E-2"/>
    <n v="0"/>
    <n v="20"/>
    <n v="3.8"/>
    <n v="25"/>
    <n v="2024"/>
    <n v="4"/>
    <n v="2024"/>
    <n v="1"/>
    <s v="01"/>
    <x v="3"/>
    <x v="3"/>
    <n v="-2293"/>
  </r>
  <r>
    <d v="2024-04-03T00:00:00"/>
    <s v="OPT-CNXBAN-03-Apr-2024-47600-C-E-I"/>
    <s v="NSE"/>
    <x v="0"/>
    <n v="15"/>
    <n v="0"/>
    <n v="87.3"/>
    <n v="1309.5"/>
    <s v="#202404033700015082"/>
    <n v="0.82"/>
    <n v="0.65"/>
    <n v="0"/>
    <n v="0"/>
    <n v="20"/>
    <n v="3.72"/>
    <n v="25.19"/>
    <n v="2024"/>
    <n v="4"/>
    <n v="2024"/>
    <n v="1"/>
    <s v="01"/>
    <x v="3"/>
    <x v="3"/>
    <n v="1284.31"/>
  </r>
  <r>
    <d v="2024-04-03T00:00:00"/>
    <s v="OPT-CNXBAN-03-Apr-2024-47600-C-E-I"/>
    <s v="NSE"/>
    <x v="1"/>
    <n v="15"/>
    <n v="0"/>
    <n v="31.1"/>
    <n v="466.5"/>
    <s v="#202404033700011930"/>
    <n v="0"/>
    <n v="0.23"/>
    <n v="0"/>
    <n v="0"/>
    <n v="20"/>
    <n v="3.64"/>
    <n v="23.87"/>
    <n v="2024"/>
    <n v="4"/>
    <n v="2024"/>
    <n v="1"/>
    <s v="01"/>
    <x v="3"/>
    <x v="3"/>
    <n v="-490.37"/>
  </r>
  <r>
    <d v="2024-04-03T00:00:00"/>
    <s v="OPT-CNXBAN-03-Apr-2024-47600-C-E-I"/>
    <s v="NSE"/>
    <x v="0"/>
    <n v="600"/>
    <n v="0"/>
    <n v="67.25"/>
    <n v="40350"/>
    <s v="#202404033700007430"/>
    <n v="25.18"/>
    <n v="20.18"/>
    <n v="0"/>
    <n v="0.04"/>
    <n v="800"/>
    <n v="147.63999999999999"/>
    <n v="993.04"/>
    <n v="2024"/>
    <n v="4"/>
    <n v="2024"/>
    <n v="1"/>
    <s v="01"/>
    <x v="3"/>
    <x v="3"/>
    <n v="39356.959999999999"/>
  </r>
  <r>
    <d v="2024-04-03T00:00:00"/>
    <s v="OPT-CNXBAN-03-Apr-2024-47600-C-E-I"/>
    <s v="NSE"/>
    <x v="1"/>
    <n v="600"/>
    <n v="0"/>
    <n v="34.1"/>
    <n v="20460"/>
    <s v="#202404033700002508"/>
    <n v="0"/>
    <n v="10.23"/>
    <n v="1"/>
    <n v="0.02"/>
    <n v="800"/>
    <n v="145.84"/>
    <n v="957.09"/>
    <n v="2024"/>
    <n v="4"/>
    <n v="2024"/>
    <n v="1"/>
    <s v="01"/>
    <x v="3"/>
    <x v="3"/>
    <n v="-21417.09"/>
  </r>
  <r>
    <d v="2024-04-04T00:00:00"/>
    <s v="OPT-NIFTY-04-Apr-2024-22450-C-E-I"/>
    <s v="NSE"/>
    <x v="0"/>
    <n v="900"/>
    <n v="0"/>
    <n v="52"/>
    <n v="46800"/>
    <s v="#202404043700020035"/>
    <n v="29.25"/>
    <n v="23.4"/>
    <n v="0"/>
    <n v="0.05"/>
    <n v="360"/>
    <n v="69.02"/>
    <n v="481.72"/>
    <n v="2024"/>
    <n v="4"/>
    <n v="2024"/>
    <n v="1"/>
    <s v="01"/>
    <x v="3"/>
    <x v="3"/>
    <n v="46318.28"/>
  </r>
  <r>
    <d v="2024-04-04T00:00:00"/>
    <s v="OPT-NIFTY-04-Apr-2024-22450-C-E-I"/>
    <s v="NSE"/>
    <x v="1"/>
    <n v="300"/>
    <n v="0"/>
    <n v="25.05"/>
    <n v="7515"/>
    <s v="#202404043700017729"/>
    <n v="0"/>
    <n v="3.76"/>
    <n v="0.51"/>
    <n v="0.01"/>
    <n v="120"/>
    <n v="22.28"/>
    <n v="146.56"/>
    <n v="2024"/>
    <n v="4"/>
    <n v="2024"/>
    <n v="1"/>
    <s v="01"/>
    <x v="3"/>
    <x v="3"/>
    <n v="-7661.56"/>
  </r>
  <r>
    <d v="2024-04-04T00:00:00"/>
    <s v="OPT-NIFTY-04-Apr-2024-22450-C-E-I"/>
    <s v="NSE"/>
    <x v="1"/>
    <n v="300"/>
    <n v="0"/>
    <n v="21"/>
    <n v="6300"/>
    <s v="#202404043700009521"/>
    <n v="0"/>
    <n v="3.18"/>
    <n v="0"/>
    <n v="0"/>
    <n v="120"/>
    <n v="22.2"/>
    <n v="145.38"/>
    <n v="2024"/>
    <n v="4"/>
    <n v="2024"/>
    <n v="1"/>
    <s v="01"/>
    <x v="3"/>
    <x v="3"/>
    <n v="-6445.38"/>
  </r>
  <r>
    <d v="2024-04-04T00:00:00"/>
    <s v="OPT-NIFTY-04-Apr-2024-22450-C-E-I"/>
    <s v="NSE"/>
    <x v="1"/>
    <n v="300"/>
    <n v="0"/>
    <n v="41"/>
    <n v="12300"/>
    <s v="#202404043700008241"/>
    <n v="0"/>
    <n v="6.15"/>
    <n v="0"/>
    <n v="0.01"/>
    <n v="120"/>
    <n v="22.7"/>
    <n v="148.86000000000001"/>
    <n v="2024"/>
    <n v="4"/>
    <n v="2024"/>
    <n v="1"/>
    <s v="01"/>
    <x v="3"/>
    <x v="3"/>
    <n v="-12448.86"/>
  </r>
  <r>
    <d v="2024-04-04T00:00:00"/>
    <s v="OPT-CNXBAN-10-Apr-2024-48000-C-E-I"/>
    <s v="NSE"/>
    <x v="0"/>
    <n v="60"/>
    <n v="0"/>
    <n v="289.39999999999998"/>
    <n v="17364"/>
    <s v="#202404043700008023"/>
    <n v="10.75"/>
    <n v="8.68"/>
    <n v="0"/>
    <n v="0.02"/>
    <n v="80"/>
    <n v="15.96"/>
    <n v="115.41"/>
    <n v="2024"/>
    <n v="4"/>
    <n v="2024"/>
    <n v="1"/>
    <s v="01"/>
    <x v="3"/>
    <x v="3"/>
    <n v="17248.59"/>
  </r>
  <r>
    <d v="2024-04-04T00:00:00"/>
    <s v="OPT-CNXBAN-10-Apr-2024-48000-C-E-I"/>
    <s v="NSE"/>
    <x v="1"/>
    <n v="60"/>
    <n v="0"/>
    <n v="272.08"/>
    <n v="16324.5"/>
    <s v="#202404043700006997"/>
    <n v="0"/>
    <n v="8.16"/>
    <n v="0.49"/>
    <n v="0.01"/>
    <n v="80"/>
    <n v="15.86"/>
    <n v="104.52"/>
    <n v="2024"/>
    <n v="4"/>
    <n v="2024"/>
    <n v="1"/>
    <s v="01"/>
    <x v="3"/>
    <x v="3"/>
    <n v="-16429.02"/>
  </r>
  <r>
    <d v="2024-04-08T00:00:00"/>
    <s v="OPT-CNXBAN-10-Apr-2024-48500-C-E-I"/>
    <s v="NSE"/>
    <x v="0"/>
    <n v="105"/>
    <n v="0"/>
    <n v="297"/>
    <n v="31185"/>
    <s v="#202404083700042500"/>
    <n v="19.489999999999998"/>
    <n v="15.6"/>
    <n v="0"/>
    <n v="0.03"/>
    <n v="140"/>
    <n v="28.02"/>
    <n v="203.14"/>
    <n v="2024"/>
    <n v="4"/>
    <n v="2024"/>
    <n v="1"/>
    <s v="01"/>
    <x v="3"/>
    <x v="3"/>
    <n v="30981.86"/>
  </r>
  <r>
    <d v="2024-04-08T00:00:00"/>
    <s v="OPT-CNXBAN-10-Apr-2024-48500-C-E-I"/>
    <s v="NSE"/>
    <x v="1"/>
    <n v="105"/>
    <n v="0"/>
    <n v="289.08999999999997"/>
    <n v="30354.75"/>
    <s v="#202404083700040839"/>
    <n v="0"/>
    <n v="15.18"/>
    <n v="2"/>
    <n v="0.02"/>
    <n v="140"/>
    <n v="27.96"/>
    <n v="185.16"/>
    <n v="2024"/>
    <n v="4"/>
    <n v="2024"/>
    <n v="1"/>
    <s v="01"/>
    <x v="3"/>
    <x v="3"/>
    <n v="-30539.91"/>
  </r>
  <r>
    <d v="2024-04-08T00:00:00"/>
    <s v="OPT-CNXBAN-10-Apr-2024-48500-C-E-I"/>
    <s v="NSE"/>
    <x v="0"/>
    <n v="75"/>
    <n v="0"/>
    <n v="299.14999999999998"/>
    <n v="22436.25"/>
    <s v="#202404083700032225"/>
    <n v="14.51"/>
    <n v="11.22"/>
    <n v="0"/>
    <n v="0.02"/>
    <n v="100"/>
    <n v="20.02"/>
    <n v="145.77000000000001"/>
    <n v="2024"/>
    <n v="4"/>
    <n v="2024"/>
    <n v="1"/>
    <s v="01"/>
    <x v="3"/>
    <x v="3"/>
    <n v="22290.48"/>
  </r>
  <r>
    <d v="2024-04-08T00:00:00"/>
    <s v="OPT-CNXBAN-10-Apr-2024-48500-C-E-I"/>
    <s v="NSE"/>
    <x v="1"/>
    <n v="15"/>
    <n v="0"/>
    <n v="271.25"/>
    <n v="4068.75"/>
    <s v="#202404083700029477"/>
    <n v="0"/>
    <n v="2.0299999999999998"/>
    <n v="0"/>
    <n v="0"/>
    <n v="20"/>
    <n v="3.96"/>
    <n v="25.99"/>
    <n v="2024"/>
    <n v="4"/>
    <n v="2024"/>
    <n v="1"/>
    <s v="01"/>
    <x v="3"/>
    <x v="3"/>
    <n v="-4094.74"/>
  </r>
  <r>
    <d v="2024-04-08T00:00:00"/>
    <s v="OPT-CNXBAN-10-Apr-2024-48500-C-E-I"/>
    <s v="NSE"/>
    <x v="1"/>
    <n v="15"/>
    <n v="0"/>
    <n v="270.14999999999998"/>
    <n v="4052.25"/>
    <s v="#202404083700025775"/>
    <n v="0"/>
    <n v="2.0299999999999998"/>
    <n v="0"/>
    <n v="0"/>
    <n v="20"/>
    <n v="3.96"/>
    <n v="25.99"/>
    <n v="2024"/>
    <n v="4"/>
    <n v="2024"/>
    <n v="1"/>
    <s v="01"/>
    <x v="3"/>
    <x v="3"/>
    <n v="-4078.24"/>
  </r>
  <r>
    <d v="2024-04-08T00:00:00"/>
    <s v="OPT-CNXBAN-10-Apr-2024-48500-C-E-I"/>
    <s v="NSE"/>
    <x v="1"/>
    <n v="15"/>
    <n v="0"/>
    <n v="291"/>
    <n v="4365"/>
    <s v="#202404083700025210"/>
    <n v="0"/>
    <n v="2.1800000000000002"/>
    <n v="0"/>
    <n v="0"/>
    <n v="20"/>
    <n v="4"/>
    <n v="26.18"/>
    <n v="2024"/>
    <n v="4"/>
    <n v="2024"/>
    <n v="1"/>
    <s v="01"/>
    <x v="3"/>
    <x v="3"/>
    <n v="-4391.18"/>
  </r>
  <r>
    <d v="2024-04-08T00:00:00"/>
    <s v="OPT-CNXBAN-10-Apr-2024-48500-C-E-I"/>
    <s v="NSE"/>
    <x v="1"/>
    <n v="15"/>
    <n v="0"/>
    <n v="315.39999999999998"/>
    <n v="4731"/>
    <s v="#202404083700024250"/>
    <n v="0"/>
    <n v="2.37"/>
    <n v="0"/>
    <n v="0"/>
    <n v="20"/>
    <n v="4.0199999999999996"/>
    <n v="26.39"/>
    <n v="2024"/>
    <n v="4"/>
    <n v="2024"/>
    <n v="1"/>
    <s v="01"/>
    <x v="3"/>
    <x v="3"/>
    <n v="-4757.3900000000003"/>
  </r>
  <r>
    <d v="2024-04-08T00:00:00"/>
    <s v="OPT-CNXBAN-10-Apr-2024-48500-C-E-I"/>
    <s v="NSE"/>
    <x v="1"/>
    <n v="15"/>
    <n v="0"/>
    <n v="301.39999999999998"/>
    <n v="4521"/>
    <s v="#202404083700023756"/>
    <n v="0"/>
    <n v="2.2599999999999998"/>
    <n v="0"/>
    <n v="0"/>
    <n v="20"/>
    <n v="4"/>
    <n v="26.26"/>
    <n v="2024"/>
    <n v="4"/>
    <n v="2024"/>
    <n v="1"/>
    <s v="01"/>
    <x v="3"/>
    <x v="3"/>
    <n v="-4547.26"/>
  </r>
  <r>
    <d v="2024-04-09T00:00:00"/>
    <s v="OPT-CNXBAN-10-Apr-2024-48700-P-E-I"/>
    <s v="NSE"/>
    <x v="0"/>
    <n v="60"/>
    <n v="0"/>
    <n v="175.65"/>
    <n v="10539"/>
    <s v="#202404093700024551"/>
    <n v="6.59"/>
    <n v="5.27"/>
    <n v="0"/>
    <n v="0.01"/>
    <n v="80"/>
    <n v="15.36"/>
    <n v="107.23"/>
    <n v="2024"/>
    <n v="4"/>
    <n v="2024"/>
    <n v="1"/>
    <s v="01"/>
    <x v="3"/>
    <x v="3"/>
    <n v="10431.77"/>
  </r>
  <r>
    <d v="2024-04-09T00:00:00"/>
    <s v="OPT-CNXBAN-10-Apr-2024-48700-P-E-I"/>
    <s v="NSE"/>
    <x v="1"/>
    <n v="60"/>
    <n v="0"/>
    <n v="155.05000000000001"/>
    <n v="9303"/>
    <s v="#202404093700024014"/>
    <n v="0"/>
    <n v="4.6500000000000004"/>
    <n v="0.28000000000000003"/>
    <n v="0.01"/>
    <n v="80"/>
    <n v="15.24"/>
    <n v="100.18"/>
    <n v="2024"/>
    <n v="4"/>
    <n v="2024"/>
    <n v="1"/>
    <s v="01"/>
    <x v="3"/>
    <x v="3"/>
    <n v="-9403.18"/>
  </r>
  <r>
    <d v="2024-04-09T00:00:00"/>
    <s v="OPT-NIFFIN-09-Apr-2024-21700-C-E-I"/>
    <s v="NSE"/>
    <x v="0"/>
    <n v="360"/>
    <n v="0"/>
    <n v="62"/>
    <n v="22320"/>
    <s v="#202404093700013097"/>
    <n v="13.95"/>
    <n v="11.16"/>
    <n v="0"/>
    <n v="0.02"/>
    <n v="180"/>
    <n v="34.42"/>
    <n v="239.55"/>
    <n v="2024"/>
    <n v="4"/>
    <n v="2024"/>
    <n v="1"/>
    <s v="01"/>
    <x v="3"/>
    <x v="3"/>
    <n v="22080.45"/>
  </r>
  <r>
    <d v="2024-04-09T00:00:00"/>
    <s v="OPT-NIFFIN-09-Apr-2024-21700-C-E-I"/>
    <s v="NSE"/>
    <x v="1"/>
    <n v="360"/>
    <n v="0"/>
    <n v="37.200000000000003"/>
    <n v="13392"/>
    <s v="#202404093700010297"/>
    <n v="0"/>
    <n v="6.7"/>
    <n v="0.43"/>
    <n v="0.01"/>
    <n v="180"/>
    <n v="33.6"/>
    <n v="220.74"/>
    <n v="2024"/>
    <n v="4"/>
    <n v="2024"/>
    <n v="1"/>
    <s v="01"/>
    <x v="3"/>
    <x v="3"/>
    <n v="-13612.74"/>
  </r>
  <r>
    <d v="2024-04-09T00:00:00"/>
    <s v="OPT-NIFFIN-09-Apr-2024-21700-C-E-I"/>
    <s v="NSE"/>
    <x v="0"/>
    <n v="40"/>
    <n v="0"/>
    <n v="53.15"/>
    <n v="2126"/>
    <s v="#202404093700009234"/>
    <n v="1.33"/>
    <n v="1.06"/>
    <n v="0"/>
    <n v="0"/>
    <n v="20"/>
    <n v="3.8"/>
    <n v="26.19"/>
    <n v="2024"/>
    <n v="4"/>
    <n v="2024"/>
    <n v="1"/>
    <s v="01"/>
    <x v="3"/>
    <x v="3"/>
    <n v="2099.81"/>
  </r>
  <r>
    <d v="2024-04-09T00:00:00"/>
    <s v="OPT-NIFFIN-09-Apr-2024-21700-C-E-I"/>
    <s v="NSE"/>
    <x v="1"/>
    <n v="40"/>
    <n v="0"/>
    <n v="25.2"/>
    <n v="1008"/>
    <s v="#202404093700008916"/>
    <n v="0"/>
    <n v="0.5"/>
    <n v="0"/>
    <n v="0"/>
    <n v="20"/>
    <n v="3.7"/>
    <n v="24.2"/>
    <n v="2024"/>
    <n v="4"/>
    <n v="2024"/>
    <n v="1"/>
    <s v="01"/>
    <x v="3"/>
    <x v="3"/>
    <n v="-1032.2"/>
  </r>
  <r>
    <d v="2024-04-09T00:00:00"/>
    <s v="OPT-CNXBAN-10-Apr-2024-48700-C-E-I"/>
    <s v="NSE"/>
    <x v="0"/>
    <n v="150"/>
    <n v="0"/>
    <n v="189.65"/>
    <n v="28447.5"/>
    <s v="#202404093700002688"/>
    <n v="18.13"/>
    <n v="14.22"/>
    <n v="0"/>
    <n v="0.03"/>
    <n v="200"/>
    <n v="38.56"/>
    <n v="270.94"/>
    <n v="2024"/>
    <n v="4"/>
    <n v="2024"/>
    <n v="1"/>
    <s v="01"/>
    <x v="3"/>
    <x v="3"/>
    <n v="28176.560000000001"/>
  </r>
  <r>
    <d v="2024-04-09T00:00:00"/>
    <s v="OPT-CNXBAN-10-Apr-2024-48700-C-E-I"/>
    <s v="NSE"/>
    <x v="1"/>
    <n v="45"/>
    <n v="0"/>
    <n v="171.28"/>
    <n v="7707.75"/>
    <s v="#202404093700002064"/>
    <n v="0"/>
    <n v="3.85"/>
    <n v="0"/>
    <n v="0.01"/>
    <n v="60"/>
    <n v="11.5"/>
    <n v="75.36"/>
    <n v="2024"/>
    <n v="4"/>
    <n v="2024"/>
    <n v="1"/>
    <s v="01"/>
    <x v="3"/>
    <x v="3"/>
    <n v="-7783.11"/>
  </r>
  <r>
    <d v="2024-04-09T00:00:00"/>
    <s v="OPT-CNXBAN-10-Apr-2024-48700-C-E-I"/>
    <s v="NSE"/>
    <x v="1"/>
    <n v="105"/>
    <n v="0"/>
    <n v="183.35"/>
    <n v="19251.75"/>
    <s v="#202404093700001158"/>
    <n v="0"/>
    <n v="9.6300000000000008"/>
    <n v="1.29"/>
    <n v="0.02"/>
    <n v="140"/>
    <n v="26.94"/>
    <n v="177.88"/>
    <n v="2024"/>
    <n v="4"/>
    <n v="2024"/>
    <n v="1"/>
    <s v="01"/>
    <x v="3"/>
    <x v="3"/>
    <n v="-19429.63"/>
  </r>
  <r>
    <d v="2024-04-10T00:00:00"/>
    <s v="OPT-CNXBAN-10-Apr-2024-48700-P-E-I"/>
    <s v="NSE"/>
    <x v="0"/>
    <n v="420"/>
    <n v="0"/>
    <n v="34.25"/>
    <n v="14385"/>
    <s v="#202404103700017713"/>
    <n v="8.99"/>
    <n v="7.2"/>
    <n v="0"/>
    <n v="0.01"/>
    <n v="560"/>
    <n v="102.1"/>
    <n v="678.3"/>
    <n v="2024"/>
    <n v="4"/>
    <n v="2024"/>
    <n v="1"/>
    <s v="01"/>
    <x v="3"/>
    <x v="3"/>
    <n v="13706.7"/>
  </r>
  <r>
    <d v="2024-04-10T00:00:00"/>
    <s v="OPT-CNXBAN-10-Apr-2024-48700-P-E-I"/>
    <s v="NSE"/>
    <x v="1"/>
    <n v="210"/>
    <n v="0"/>
    <n v="24"/>
    <n v="5040"/>
    <s v="#202404103700016211"/>
    <n v="0"/>
    <n v="2.52"/>
    <n v="0.34"/>
    <n v="0.01"/>
    <n v="280"/>
    <n v="50.86"/>
    <n v="333.73"/>
    <n v="2024"/>
    <n v="4"/>
    <n v="2024"/>
    <n v="1"/>
    <s v="01"/>
    <x v="3"/>
    <x v="3"/>
    <n v="-5373.73"/>
  </r>
  <r>
    <d v="2024-04-10T00:00:00"/>
    <s v="OPT-CNXBAN-10-Apr-2024-48700-P-E-I"/>
    <s v="NSE"/>
    <x v="1"/>
    <n v="105"/>
    <n v="0"/>
    <n v="28.55"/>
    <n v="2997.75"/>
    <s v="#202404103700015266"/>
    <n v="0"/>
    <n v="1.49"/>
    <n v="0"/>
    <n v="0"/>
    <n v="140"/>
    <n v="25.48"/>
    <n v="166.97"/>
    <n v="2024"/>
    <n v="4"/>
    <n v="2024"/>
    <n v="1"/>
    <s v="01"/>
    <x v="3"/>
    <x v="3"/>
    <n v="-3164.72"/>
  </r>
  <r>
    <d v="2024-04-10T00:00:00"/>
    <s v="OPT-CNXBAN-10-Apr-2024-48700-P-E-I"/>
    <s v="NSE"/>
    <x v="1"/>
    <n v="105"/>
    <n v="0"/>
    <n v="32.6"/>
    <n v="3423"/>
    <s v="#202404103700015135"/>
    <n v="0"/>
    <n v="1.69"/>
    <n v="0"/>
    <n v="0"/>
    <n v="140"/>
    <n v="25.5"/>
    <n v="167.19"/>
    <n v="2024"/>
    <n v="4"/>
    <n v="2024"/>
    <n v="1"/>
    <s v="01"/>
    <x v="3"/>
    <x v="3"/>
    <n v="-3590.19"/>
  </r>
  <r>
    <d v="2024-04-10T00:00:00"/>
    <s v="OPT-CNXBAN-10-Apr-2024-48800-C-E-I"/>
    <s v="NSE"/>
    <x v="0"/>
    <n v="120"/>
    <n v="0"/>
    <n v="205"/>
    <n v="24600"/>
    <s v="#202404103700002828"/>
    <n v="15.01"/>
    <n v="12.3"/>
    <n v="0"/>
    <n v="0.03"/>
    <n v="160"/>
    <n v="31.02"/>
    <n v="218.36"/>
    <n v="2024"/>
    <n v="4"/>
    <n v="2024"/>
    <n v="1"/>
    <s v="01"/>
    <x v="3"/>
    <x v="3"/>
    <n v="24381.64"/>
  </r>
  <r>
    <d v="2024-04-10T00:00:00"/>
    <s v="OPT-CNXBAN-10-Apr-2024-48800-C-E-I"/>
    <s v="NSE"/>
    <x v="1"/>
    <n v="105"/>
    <n v="0"/>
    <n v="109.1"/>
    <n v="11455.5"/>
    <s v="#202404103700001265"/>
    <n v="0"/>
    <n v="5.73"/>
    <n v="0.66"/>
    <n v="0.01"/>
    <n v="140"/>
    <n v="26.24"/>
    <n v="172.64"/>
    <n v="2024"/>
    <n v="4"/>
    <n v="2024"/>
    <n v="1"/>
    <s v="01"/>
    <x v="3"/>
    <x v="3"/>
    <n v="-11628.14"/>
  </r>
  <r>
    <d v="2024-04-10T00:00:00"/>
    <s v="OPT-CNXBAN-10-Apr-2024-48800-C-E-I"/>
    <s v="NSE"/>
    <x v="1"/>
    <n v="15"/>
    <n v="0"/>
    <n v="111.7"/>
    <n v="1675.5"/>
    <s v="#202404103700000917"/>
    <n v="0"/>
    <n v="0.84"/>
    <n v="0"/>
    <n v="0"/>
    <n v="20"/>
    <n v="3.76"/>
    <n v="24.6"/>
    <n v="2024"/>
    <n v="4"/>
    <n v="2024"/>
    <n v="1"/>
    <s v="01"/>
    <x v="3"/>
    <x v="3"/>
    <n v="-1700.1"/>
  </r>
  <r>
    <d v="2024-04-12T00:00:00"/>
    <s v="OPT-CNXBAN-16-Apr-2024-48800-C-E-I"/>
    <s v="NSE"/>
    <x v="0"/>
    <n v="150"/>
    <n v="0"/>
    <n v="178.87"/>
    <n v="26830.5"/>
    <s v="#202404123700022820"/>
    <n v="16.77"/>
    <n v="13.41"/>
    <n v="0"/>
    <n v="0.03"/>
    <n v="200"/>
    <n v="38.4"/>
    <n v="268.61"/>
    <n v="2024"/>
    <n v="4"/>
    <n v="2024"/>
    <n v="1"/>
    <s v="01"/>
    <x v="3"/>
    <x v="3"/>
    <n v="26561.89"/>
  </r>
  <r>
    <d v="2024-04-12T00:00:00"/>
    <s v="OPT-NIFSEL-15-Apr-2024-11025-C-E-I"/>
    <s v="NSE"/>
    <x v="0"/>
    <n v="75"/>
    <n v="0"/>
    <n v="31.15"/>
    <n v="2336.25"/>
    <s v="#202404123700018998"/>
    <n v="1.46"/>
    <n v="1.17"/>
    <n v="0"/>
    <n v="0"/>
    <n v="20"/>
    <n v="3.82"/>
    <n v="26.45"/>
    <n v="2024"/>
    <n v="4"/>
    <n v="2024"/>
    <n v="1"/>
    <s v="01"/>
    <x v="3"/>
    <x v="3"/>
    <n v="2309.8000000000002"/>
  </r>
  <r>
    <d v="2024-04-12T00:00:00"/>
    <s v="OPT-CNXBAN-16-Apr-2024-48800-C-E-I"/>
    <s v="NSE"/>
    <x v="1"/>
    <n v="45"/>
    <n v="0"/>
    <n v="196.9"/>
    <n v="8860.5"/>
    <s v="#202404123700015253"/>
    <n v="0"/>
    <n v="4.43"/>
    <n v="0"/>
    <n v="0.01"/>
    <n v="60"/>
    <n v="11.6"/>
    <n v="76.040000000000006"/>
    <n v="2024"/>
    <n v="4"/>
    <n v="2024"/>
    <n v="1"/>
    <s v="01"/>
    <x v="3"/>
    <x v="3"/>
    <n v="-8936.5400000000009"/>
  </r>
  <r>
    <d v="2024-04-12T00:00:00"/>
    <s v="OPT-NIFSEL-15-Apr-2024-11025-C-E-I"/>
    <s v="NSE"/>
    <x v="1"/>
    <n v="75"/>
    <n v="0"/>
    <n v="41.65"/>
    <n v="3123.75"/>
    <s v="#202404123700013990"/>
    <n v="0"/>
    <n v="1.56"/>
    <n v="0.09"/>
    <n v="0"/>
    <n v="20"/>
    <n v="3.88"/>
    <n v="25.53"/>
    <n v="2024"/>
    <n v="4"/>
    <n v="2024"/>
    <n v="1"/>
    <s v="01"/>
    <x v="3"/>
    <x v="3"/>
    <n v="-3149.28"/>
  </r>
  <r>
    <d v="2024-04-12T00:00:00"/>
    <s v="OPT-CNXBAN-16-Apr-2024-48900-C-E-I"/>
    <s v="NSE"/>
    <x v="0"/>
    <n v="30"/>
    <n v="0"/>
    <n v="215.15"/>
    <n v="6454.5"/>
    <s v="#202404123700011879"/>
    <n v="3.77"/>
    <n v="3.23"/>
    <n v="0"/>
    <n v="0.01"/>
    <n v="40"/>
    <n v="7.78"/>
    <n v="54.79"/>
    <n v="2024"/>
    <n v="4"/>
    <n v="2024"/>
    <n v="1"/>
    <s v="01"/>
    <x v="3"/>
    <x v="3"/>
    <n v="6399.71"/>
  </r>
  <r>
    <d v="2024-04-12T00:00:00"/>
    <s v="OPT-CNXBAN-16-Apr-2024-48800-C-E-I"/>
    <s v="NSE"/>
    <x v="1"/>
    <n v="105"/>
    <n v="0"/>
    <n v="227.5"/>
    <n v="23887.5"/>
    <s v="#202404123700011348"/>
    <n v="0"/>
    <n v="11.94"/>
    <n v="0.75"/>
    <n v="0.02"/>
    <n v="140"/>
    <n v="27.36"/>
    <n v="180.07"/>
    <n v="2024"/>
    <n v="4"/>
    <n v="2024"/>
    <n v="1"/>
    <s v="01"/>
    <x v="3"/>
    <x v="3"/>
    <n v="-24067.57"/>
  </r>
  <r>
    <d v="2024-04-12T00:00:00"/>
    <s v="OPT-CNXBAN-16-Apr-2024-48900-C-E-I"/>
    <s v="NSE"/>
    <x v="1"/>
    <n v="15"/>
    <n v="0"/>
    <n v="167"/>
    <n v="2505"/>
    <s v="#202404123700008911"/>
    <n v="0"/>
    <n v="1.25"/>
    <n v="0"/>
    <n v="0"/>
    <n v="20"/>
    <n v="3.82"/>
    <n v="25.07"/>
    <n v="2024"/>
    <n v="4"/>
    <n v="2024"/>
    <n v="1"/>
    <s v="01"/>
    <x v="3"/>
    <x v="3"/>
    <n v="-2530.0700000000002"/>
  </r>
  <r>
    <d v="2024-04-12T00:00:00"/>
    <s v="OPT-CNXBAN-16-Apr-2024-48900-C-E-I"/>
    <s v="NSE"/>
    <x v="1"/>
    <n v="15"/>
    <n v="0"/>
    <n v="182.6"/>
    <n v="2739"/>
    <s v="#202404123700004941"/>
    <n v="0"/>
    <n v="1.37"/>
    <n v="0.16"/>
    <n v="0"/>
    <n v="20"/>
    <n v="3.84"/>
    <n v="25.37"/>
    <n v="2024"/>
    <n v="4"/>
    <n v="2024"/>
    <n v="1"/>
    <s v="01"/>
    <x v="3"/>
    <x v="3"/>
    <n v="-2764.37"/>
  </r>
  <r>
    <d v="2024-04-15T00:00:00"/>
    <s v="OPT-NIFSEL-15-Apr-2024-11000-C-E-I"/>
    <s v="NSE"/>
    <x v="0"/>
    <n v="1200"/>
    <n v="0"/>
    <n v="0.3"/>
    <n v="360"/>
    <s v="#202404153700016657"/>
    <n v="0.23"/>
    <n v="0.18"/>
    <n v="0"/>
    <n v="0"/>
    <n v="320"/>
    <n v="57.64"/>
    <n v="378.05"/>
    <n v="2024"/>
    <n v="4"/>
    <n v="2024"/>
    <n v="1"/>
    <s v="01"/>
    <x v="3"/>
    <x v="3"/>
    <n v="-18.050000000000011"/>
  </r>
  <r>
    <d v="2024-04-15T00:00:00"/>
    <s v="OPT-CNXBAN-16-Apr-2024-48000-C-E-I"/>
    <s v="NSE"/>
    <x v="0"/>
    <n v="15"/>
    <n v="0"/>
    <n v="244.7"/>
    <n v="3670.5"/>
    <s v="#202404153700016614"/>
    <n v="2.29"/>
    <n v="1.84"/>
    <n v="0"/>
    <n v="0"/>
    <n v="20"/>
    <n v="3.94"/>
    <n v="28.07"/>
    <n v="2024"/>
    <n v="4"/>
    <n v="2024"/>
    <n v="1"/>
    <s v="01"/>
    <x v="3"/>
    <x v="3"/>
    <n v="3642.43"/>
  </r>
  <r>
    <d v="2024-04-15T00:00:00"/>
    <s v="OPT-CNXBAN-16-Apr-2024-48000-C-E-I"/>
    <s v="NSE"/>
    <x v="1"/>
    <n v="15"/>
    <n v="0"/>
    <n v="269.5"/>
    <n v="4042.5"/>
    <s v="#202404153700015471"/>
    <n v="0"/>
    <n v="2.02"/>
    <n v="0"/>
    <n v="0"/>
    <n v="20"/>
    <n v="3.96"/>
    <n v="25.98"/>
    <n v="2024"/>
    <n v="4"/>
    <n v="2024"/>
    <n v="1"/>
    <s v="01"/>
    <x v="3"/>
    <x v="3"/>
    <n v="-4068.48"/>
  </r>
  <r>
    <d v="2024-04-15T00:00:00"/>
    <s v="OPT-CNXBAN-16-Apr-2024-48000-C-E-I"/>
    <s v="NSE"/>
    <x v="0"/>
    <n v="15"/>
    <n v="0"/>
    <n v="345.15"/>
    <n v="5177.25"/>
    <s v="#202404153700011498"/>
    <n v="3.24"/>
    <n v="2.59"/>
    <n v="0"/>
    <n v="0.01"/>
    <n v="20"/>
    <n v="4.0599999999999996"/>
    <n v="29.9"/>
    <n v="2024"/>
    <n v="4"/>
    <n v="2024"/>
    <n v="1"/>
    <s v="01"/>
    <x v="3"/>
    <x v="3"/>
    <n v="5147.3500000000004"/>
  </r>
  <r>
    <d v="2024-04-15T00:00:00"/>
    <s v="OPT-NIFSEL-15-Apr-2024-11000-C-E-I"/>
    <s v="NSE"/>
    <x v="1"/>
    <n v="600"/>
    <n v="0"/>
    <n v="1.9"/>
    <n v="1140"/>
    <s v="#202404153700011440"/>
    <n v="0"/>
    <n v="0.56999999999999995"/>
    <n v="0"/>
    <n v="0"/>
    <n v="160"/>
    <n v="28.9"/>
    <n v="189.47"/>
    <n v="2024"/>
    <n v="4"/>
    <n v="2024"/>
    <n v="1"/>
    <s v="01"/>
    <x v="3"/>
    <x v="3"/>
    <n v="-1329.47"/>
  </r>
  <r>
    <d v="2024-04-15T00:00:00"/>
    <s v="OPT-CNXBAN-16-Apr-2024-48000-C-E-I"/>
    <s v="NSE"/>
    <x v="1"/>
    <n v="15"/>
    <n v="0"/>
    <n v="316.3"/>
    <n v="4744.5"/>
    <s v="#202404153700011351"/>
    <n v="0"/>
    <n v="2.37"/>
    <n v="0"/>
    <n v="0"/>
    <n v="20"/>
    <n v="4.0199999999999996"/>
    <n v="26.39"/>
    <n v="2024"/>
    <n v="4"/>
    <n v="2024"/>
    <n v="1"/>
    <s v="01"/>
    <x v="3"/>
    <x v="3"/>
    <n v="-4770.8900000000003"/>
  </r>
  <r>
    <d v="2024-04-15T00:00:00"/>
    <s v="OPT-NIFSEL-15-Apr-2024-11000-C-E-I"/>
    <s v="NSE"/>
    <x v="0"/>
    <n v="75"/>
    <n v="0"/>
    <n v="1.5"/>
    <n v="112.5"/>
    <s v="#202404153700009208"/>
    <n v="0.02"/>
    <n v="0.06"/>
    <n v="0"/>
    <n v="0"/>
    <n v="20"/>
    <n v="3.62"/>
    <n v="23.7"/>
    <n v="2024"/>
    <n v="4"/>
    <n v="2024"/>
    <n v="1"/>
    <s v="01"/>
    <x v="3"/>
    <x v="3"/>
    <n v="88.8"/>
  </r>
  <r>
    <d v="2024-04-15T00:00:00"/>
    <s v="OPT-NIFSEL-15-Apr-2024-11000-C-E-I"/>
    <s v="NSE"/>
    <x v="0"/>
    <n v="75"/>
    <n v="0"/>
    <n v="1.5"/>
    <n v="112.5"/>
    <s v="#202404153700009198"/>
    <n v="7.0000000000000007E-2"/>
    <n v="0.06"/>
    <n v="0"/>
    <n v="0"/>
    <n v="20"/>
    <n v="3.62"/>
    <n v="23.75"/>
    <n v="2024"/>
    <n v="4"/>
    <n v="2024"/>
    <n v="1"/>
    <s v="01"/>
    <x v="3"/>
    <x v="3"/>
    <n v="88.75"/>
  </r>
  <r>
    <d v="2024-04-15T00:00:00"/>
    <s v="OPT-NIFSEL-15-Apr-2024-11000-C-E-I"/>
    <s v="NSE"/>
    <x v="0"/>
    <n v="75"/>
    <n v="0"/>
    <n v="1.5"/>
    <n v="112.5"/>
    <s v="#202404153700009195"/>
    <n v="7.0000000000000007E-2"/>
    <n v="0.06"/>
    <n v="0"/>
    <n v="0"/>
    <n v="20"/>
    <n v="3.62"/>
    <n v="23.75"/>
    <n v="2024"/>
    <n v="4"/>
    <n v="2024"/>
    <n v="1"/>
    <s v="01"/>
    <x v="3"/>
    <x v="3"/>
    <n v="88.75"/>
  </r>
  <r>
    <d v="2024-04-15T00:00:00"/>
    <s v="OPT-NIFSEL-15-Apr-2024-11000-C-E-I"/>
    <s v="NSE"/>
    <x v="0"/>
    <n v="75"/>
    <n v="0"/>
    <n v="1.7"/>
    <n v="127.5"/>
    <s v="#202404153700009164"/>
    <n v="0.08"/>
    <n v="0.06"/>
    <n v="0"/>
    <n v="0"/>
    <n v="20"/>
    <n v="3.62"/>
    <n v="23.76"/>
    <n v="2024"/>
    <n v="4"/>
    <n v="2024"/>
    <n v="1"/>
    <s v="01"/>
    <x v="3"/>
    <x v="3"/>
    <n v="103.74"/>
  </r>
  <r>
    <d v="2024-04-15T00:00:00"/>
    <s v="OPT-NIFSEL-15-Apr-2024-11000-C-E-I"/>
    <s v="NSE"/>
    <x v="1"/>
    <n v="600"/>
    <n v="0"/>
    <n v="2.2999999999999998"/>
    <n v="1380"/>
    <s v="#202404153700006121"/>
    <n v="0"/>
    <n v="0.69"/>
    <n v="0"/>
    <n v="0"/>
    <n v="160"/>
    <n v="28.92"/>
    <n v="189.61"/>
    <n v="2024"/>
    <n v="4"/>
    <n v="2024"/>
    <n v="1"/>
    <s v="01"/>
    <x v="3"/>
    <x v="3"/>
    <n v="-1569.6100000000001"/>
  </r>
  <r>
    <d v="2024-04-15T00:00:00"/>
    <s v="OPT-NIFSEL-15-Apr-2024-11000-C-E-I"/>
    <s v="NSE"/>
    <x v="1"/>
    <n v="75"/>
    <n v="0"/>
    <n v="3.95"/>
    <n v="296.25"/>
    <s v="#202404153700002557"/>
    <n v="0"/>
    <n v="0.15"/>
    <n v="0"/>
    <n v="0"/>
    <n v="20"/>
    <n v="3.62"/>
    <n v="23.77"/>
    <n v="2024"/>
    <n v="4"/>
    <n v="2024"/>
    <n v="1"/>
    <s v="01"/>
    <x v="3"/>
    <x v="3"/>
    <n v="-320.02"/>
  </r>
  <r>
    <d v="2024-04-15T00:00:00"/>
    <s v="OPT-NIFSEL-15-Apr-2024-11000-C-E-I"/>
    <s v="NSE"/>
    <x v="1"/>
    <n v="75"/>
    <n v="0"/>
    <n v="3.9"/>
    <n v="292.5"/>
    <s v="#202404153700002536"/>
    <n v="0"/>
    <n v="0.15"/>
    <n v="0"/>
    <n v="0"/>
    <n v="20"/>
    <n v="3.62"/>
    <n v="23.77"/>
    <n v="2024"/>
    <n v="4"/>
    <n v="2024"/>
    <n v="1"/>
    <s v="01"/>
    <x v="3"/>
    <x v="3"/>
    <n v="-316.27"/>
  </r>
  <r>
    <d v="2024-04-15T00:00:00"/>
    <s v="OPT-NIFSEL-15-Apr-2024-11000-C-E-I"/>
    <s v="NSE"/>
    <x v="1"/>
    <n v="75"/>
    <n v="0"/>
    <n v="3.85"/>
    <n v="288.75"/>
    <s v="#202404153700002520"/>
    <n v="0"/>
    <n v="0.14000000000000001"/>
    <n v="0"/>
    <n v="0"/>
    <n v="20"/>
    <n v="3.62"/>
    <n v="23.76"/>
    <n v="2024"/>
    <n v="4"/>
    <n v="2024"/>
    <n v="1"/>
    <s v="01"/>
    <x v="3"/>
    <x v="3"/>
    <n v="-312.51"/>
  </r>
  <r>
    <d v="2024-04-15T00:00:00"/>
    <s v="OPT-NIFSEL-15-Apr-2024-11000-C-E-I"/>
    <s v="NSE"/>
    <x v="1"/>
    <n v="75"/>
    <n v="0"/>
    <n v="4.1500000000000004"/>
    <n v="311.25"/>
    <s v="#202404153700002380"/>
    <n v="0"/>
    <n v="0.16"/>
    <n v="0"/>
    <n v="0"/>
    <n v="20"/>
    <n v="3.62"/>
    <n v="23.78"/>
    <n v="2024"/>
    <n v="4"/>
    <n v="2024"/>
    <n v="1"/>
    <s v="01"/>
    <x v="3"/>
    <x v="3"/>
    <n v="-335.03"/>
  </r>
  <r>
    <d v="2024-04-16T00:00:00"/>
    <s v="OPT-CNXBAN-16-Apr-2024-47500-C-E-I"/>
    <s v="NSE"/>
    <x v="0"/>
    <n v="15"/>
    <n v="0"/>
    <n v="35"/>
    <n v="525"/>
    <s v="#202404163700018156"/>
    <n v="0.18"/>
    <n v="0.26"/>
    <n v="0"/>
    <n v="0"/>
    <n v="20"/>
    <n v="3.64"/>
    <n v="24.08"/>
    <n v="2024"/>
    <n v="4"/>
    <n v="2024"/>
    <n v="1"/>
    <s v="01"/>
    <x v="3"/>
    <x v="3"/>
    <n v="500.92"/>
  </r>
  <r>
    <d v="2024-04-16T00:00:00"/>
    <s v="OPT-NIFTY-18-Apr-2024-22250-C-E-I"/>
    <s v="NSE"/>
    <x v="0"/>
    <n v="150"/>
    <n v="0"/>
    <n v="30.1"/>
    <n v="4515"/>
    <s v="#202404163700017777"/>
    <n v="2.82"/>
    <n v="2.2599999999999998"/>
    <n v="0"/>
    <n v="0"/>
    <n v="60"/>
    <n v="11.22"/>
    <n v="76.3"/>
    <n v="2024"/>
    <n v="4"/>
    <n v="2024"/>
    <n v="1"/>
    <s v="01"/>
    <x v="3"/>
    <x v="3"/>
    <n v="4438.7"/>
  </r>
  <r>
    <d v="2024-04-16T00:00:00"/>
    <s v="OPT-CNXBAN-16-Apr-2024-47500-C-E-I"/>
    <s v="NSE"/>
    <x v="1"/>
    <n v="15"/>
    <n v="0"/>
    <n v="79.5"/>
    <n v="1192.5"/>
    <s v="#202404163700010095"/>
    <n v="0"/>
    <n v="0.6"/>
    <n v="0"/>
    <n v="0"/>
    <n v="20"/>
    <n v="3.7"/>
    <n v="24.3"/>
    <n v="2024"/>
    <n v="4"/>
    <n v="2024"/>
    <n v="1"/>
    <s v="01"/>
    <x v="3"/>
    <x v="3"/>
    <n v="-1216.8"/>
  </r>
  <r>
    <d v="2024-04-16T00:00:00"/>
    <s v="OPT-NIFTY-18-Apr-2024-22250-C-E-I"/>
    <s v="NSE"/>
    <x v="1"/>
    <n v="50"/>
    <n v="0"/>
    <n v="52.05"/>
    <n v="2602.5"/>
    <s v="#202404163700006753"/>
    <n v="0"/>
    <n v="1.3"/>
    <n v="0"/>
    <n v="0"/>
    <n v="20"/>
    <n v="3.84"/>
    <n v="25.14"/>
    <n v="2024"/>
    <n v="4"/>
    <n v="2024"/>
    <n v="1"/>
    <s v="01"/>
    <x v="3"/>
    <x v="3"/>
    <n v="-2627.64"/>
  </r>
  <r>
    <d v="2024-04-16T00:00:00"/>
    <s v="OPT-NIFTY-18-Apr-2024-22250-C-E-I"/>
    <s v="NSE"/>
    <x v="1"/>
    <n v="100"/>
    <n v="0"/>
    <n v="58.93"/>
    <n v="5892.5"/>
    <s v="#202404163700006684"/>
    <n v="0"/>
    <n v="2.94"/>
    <n v="0"/>
    <n v="0"/>
    <n v="40"/>
    <n v="7.72"/>
    <n v="50.66"/>
    <n v="2024"/>
    <n v="4"/>
    <n v="2024"/>
    <n v="1"/>
    <s v="01"/>
    <x v="3"/>
    <x v="3"/>
    <n v="-5943.16"/>
  </r>
  <r>
    <d v="2024-04-18T00:00:00"/>
    <s v="OPT-CNXBAN-24-Apr-2024-47400-P-E-I"/>
    <s v="NSE"/>
    <x v="0"/>
    <n v="105"/>
    <n v="0"/>
    <n v="199.25"/>
    <n v="20921.25"/>
    <s v="#202404183700016719"/>
    <n v="12.67"/>
    <n v="10.46"/>
    <n v="0"/>
    <n v="0.02"/>
    <n v="140"/>
    <n v="27.08"/>
    <n v="190.23"/>
    <n v="2024"/>
    <n v="4"/>
    <n v="2024"/>
    <n v="1"/>
    <s v="01"/>
    <x v="3"/>
    <x v="3"/>
    <n v="20731.02"/>
  </r>
  <r>
    <d v="2024-04-18T00:00:00"/>
    <s v="OPT-NIFTY-18-Apr-2024-22200-C-E-I"/>
    <s v="NSE"/>
    <x v="0"/>
    <n v="50"/>
    <n v="0"/>
    <n v="74.7"/>
    <n v="3735"/>
    <s v="#202404183700010588"/>
    <n v="2.33"/>
    <n v="1.87"/>
    <n v="0"/>
    <n v="0"/>
    <n v="20"/>
    <n v="3.94"/>
    <n v="28.14"/>
    <n v="2024"/>
    <n v="4"/>
    <n v="2024"/>
    <n v="1"/>
    <s v="01"/>
    <x v="3"/>
    <x v="3"/>
    <n v="3706.86"/>
  </r>
  <r>
    <d v="2024-04-18T00:00:00"/>
    <s v="OPT-NIFTY-18-Apr-2024-22200-C-E-I"/>
    <s v="NSE"/>
    <x v="1"/>
    <n v="50"/>
    <n v="0"/>
    <n v="33"/>
    <n v="1650"/>
    <s v="#202404183700010181"/>
    <n v="0"/>
    <n v="0.83"/>
    <n v="0.05"/>
    <n v="0"/>
    <n v="20"/>
    <n v="3.74"/>
    <n v="24.62"/>
    <n v="2024"/>
    <n v="4"/>
    <n v="2024"/>
    <n v="1"/>
    <s v="01"/>
    <x v="3"/>
    <x v="3"/>
    <n v="-1674.62"/>
  </r>
  <r>
    <d v="2024-04-18T00:00:00"/>
    <s v="OPT-CNXBAN-24-Apr-2024-47400-P-E-I"/>
    <s v="NSE"/>
    <x v="1"/>
    <n v="105"/>
    <n v="0"/>
    <n v="219.35"/>
    <n v="23031.75"/>
    <s v="#202404183700002844"/>
    <n v="0"/>
    <n v="11.52"/>
    <n v="0.95"/>
    <n v="0.02"/>
    <n v="140"/>
    <n v="27.28"/>
    <n v="179.77"/>
    <n v="2024"/>
    <n v="4"/>
    <n v="2024"/>
    <n v="1"/>
    <s v="01"/>
    <x v="3"/>
    <x v="3"/>
    <n v="-23211.52"/>
  </r>
  <r>
    <d v="2024-04-19T00:00:00"/>
    <s v="OPT-CNXBAN-24-Apr-2024-46600-P-E-I"/>
    <s v="NSE"/>
    <x v="1"/>
    <n v="15"/>
    <n v="0"/>
    <n v="292.2"/>
    <n v="4383"/>
    <s v="#202404193700010218"/>
    <n v="0"/>
    <n v="2.19"/>
    <n v="0"/>
    <n v="0"/>
    <n v="20"/>
    <n v="4"/>
    <n v="26.19"/>
    <n v="2024"/>
    <n v="4"/>
    <n v="2024"/>
    <n v="1"/>
    <s v="01"/>
    <x v="3"/>
    <x v="3"/>
    <n v="-4409.1899999999996"/>
  </r>
  <r>
    <d v="2024-04-23T00:00:00"/>
    <s v="OPT-CNXBAN-24-Apr-2024-46600-P-E-I"/>
    <s v="NSE"/>
    <x v="1"/>
    <n v="900"/>
    <n v="0"/>
    <n v="11.75"/>
    <n v="10575"/>
    <s v="#202404233700007432"/>
    <n v="0"/>
    <n v="5.31"/>
    <n v="1"/>
    <n v="0.01"/>
    <n v="1200"/>
    <n v="217.02"/>
    <n v="1423.34"/>
    <n v="2024"/>
    <n v="4"/>
    <n v="2024"/>
    <n v="1"/>
    <s v="01"/>
    <x v="3"/>
    <x v="3"/>
    <n v="-11998.34"/>
  </r>
  <r>
    <d v="2024-04-23T00:00:00"/>
    <s v="OPT-CNXBAN-24-Apr-2024-46600-P-E-I"/>
    <s v="NSE"/>
    <x v="1"/>
    <n v="600"/>
    <n v="0"/>
    <n v="20.2"/>
    <n v="12120"/>
    <s v="#202404233700004074"/>
    <n v="0"/>
    <n v="6.06"/>
    <n v="0"/>
    <n v="0"/>
    <n v="800"/>
    <n v="145.08000000000001"/>
    <n v="951.14"/>
    <n v="2024"/>
    <n v="4"/>
    <n v="2024"/>
    <n v="1"/>
    <s v="01"/>
    <x v="3"/>
    <x v="3"/>
    <n v="-13071.14"/>
  </r>
  <r>
    <d v="2024-04-24T00:00:00"/>
    <s v="OPT-CNXBAN-24-Apr-2024-47900-P-E-I"/>
    <s v="NSE"/>
    <x v="0"/>
    <n v="900"/>
    <n v="0"/>
    <n v="4.05"/>
    <n v="3645"/>
    <s v="#202404243700019658"/>
    <n v="1.91"/>
    <n v="1.82"/>
    <n v="0"/>
    <n v="0"/>
    <n v="1200"/>
    <n v="216.32"/>
    <n v="1420.05"/>
    <n v="2024"/>
    <n v="4"/>
    <n v="2024"/>
    <n v="1"/>
    <s v="01"/>
    <x v="3"/>
    <x v="3"/>
    <n v="2224.9499999999998"/>
  </r>
  <r>
    <d v="2024-04-24T00:00:00"/>
    <s v="OPT-CNXBAN-24-Apr-2024-47900-P-E-I"/>
    <s v="NSE"/>
    <x v="1"/>
    <n v="900"/>
    <n v="0"/>
    <n v="11.5"/>
    <n v="10350"/>
    <s v="#202404243700015770"/>
    <n v="0"/>
    <n v="5.22"/>
    <n v="0"/>
    <n v="0"/>
    <n v="1200"/>
    <n v="216.92"/>
    <n v="1422.14"/>
    <n v="2024"/>
    <n v="4"/>
    <n v="2024"/>
    <n v="1"/>
    <s v="01"/>
    <x v="3"/>
    <x v="3"/>
    <n v="-11772.14"/>
  </r>
  <r>
    <d v="2024-04-24T00:00:00"/>
    <s v="OPT-CNXBAN-24-Apr-2024-46600-P-E-I"/>
    <s v="NSE"/>
    <x v="0"/>
    <n v="615"/>
    <n v="0"/>
    <n v="2.2000000000000002"/>
    <n v="1353"/>
    <s v="#202404243700006563"/>
    <n v="0.84"/>
    <n v="0.67"/>
    <n v="0"/>
    <n v="0"/>
    <n v="820"/>
    <n v="147.72"/>
    <n v="969.23"/>
    <n v="2024"/>
    <n v="4"/>
    <n v="2024"/>
    <n v="1"/>
    <s v="01"/>
    <x v="3"/>
    <x v="3"/>
    <n v="383.77"/>
  </r>
  <r>
    <d v="2024-04-24T00:00:00"/>
    <s v="OPT-CNXBAN-24-Apr-2024-46600-P-E-I"/>
    <s v="NSE"/>
    <x v="0"/>
    <n v="900"/>
    <n v="0"/>
    <n v="2.2000000000000002"/>
    <n v="1980"/>
    <s v="#202404243700006531"/>
    <n v="1.24"/>
    <n v="0.98"/>
    <n v="0"/>
    <n v="0"/>
    <n v="1200"/>
    <n v="216.16"/>
    <n v="1418.38"/>
    <n v="2024"/>
    <n v="4"/>
    <n v="2024"/>
    <n v="1"/>
    <s v="01"/>
    <x v="3"/>
    <x v="3"/>
    <n v="561.61999999999989"/>
  </r>
  <r>
    <d v="2024-04-26T00:00:00"/>
    <s v="OPT-NIFTY-02-May-2024-22550-C-E-I"/>
    <s v="NSE"/>
    <x v="0"/>
    <n v="200"/>
    <n v="0"/>
    <n v="101.25"/>
    <n v="20250"/>
    <s v="#202404263700016483"/>
    <n v="12.66"/>
    <n v="10.130000000000001"/>
    <n v="0"/>
    <n v="0.02"/>
    <n v="160"/>
    <n v="30.62"/>
    <n v="213.43"/>
    <n v="2024"/>
    <n v="4"/>
    <n v="2024"/>
    <n v="1"/>
    <s v="01"/>
    <x v="3"/>
    <x v="3"/>
    <n v="20036.57"/>
  </r>
  <r>
    <d v="2024-04-26T00:00:00"/>
    <s v="OPT-NIFTY-02-May-2024-22550-C-E-I"/>
    <s v="NSE"/>
    <x v="1"/>
    <n v="100"/>
    <n v="0"/>
    <n v="131.25"/>
    <n v="13125"/>
    <s v="#202404263700013098"/>
    <n v="0"/>
    <n v="6.56"/>
    <n v="1.21"/>
    <n v="0.01"/>
    <n v="80"/>
    <n v="15.58"/>
    <n v="103.36"/>
    <n v="2024"/>
    <n v="4"/>
    <n v="2024"/>
    <n v="1"/>
    <s v="01"/>
    <x v="3"/>
    <x v="3"/>
    <n v="-13228.36"/>
  </r>
  <r>
    <d v="2024-04-26T00:00:00"/>
    <s v="OPT-NIFTY-02-May-2024-22550-C-E-I"/>
    <s v="NSE"/>
    <x v="1"/>
    <n v="50"/>
    <n v="0"/>
    <n v="131.25"/>
    <n v="6562.5"/>
    <s v="#202404263700011485"/>
    <n v="0"/>
    <n v="3.28"/>
    <n v="0"/>
    <n v="0.01"/>
    <n v="40"/>
    <n v="7.8"/>
    <n v="51.09"/>
    <n v="2024"/>
    <n v="4"/>
    <n v="2024"/>
    <n v="1"/>
    <s v="01"/>
    <x v="3"/>
    <x v="3"/>
    <n v="-6613.59"/>
  </r>
  <r>
    <d v="2024-04-26T00:00:00"/>
    <s v="OPT-NIFTY-02-May-2024-22550-C-E-I"/>
    <s v="NSE"/>
    <x v="1"/>
    <n v="50"/>
    <n v="0"/>
    <n v="146.1"/>
    <n v="7305"/>
    <s v="#202404263700011140"/>
    <n v="0"/>
    <n v="3.65"/>
    <n v="0"/>
    <n v="0.01"/>
    <n v="40"/>
    <n v="7.86"/>
    <n v="51.52"/>
    <n v="2024"/>
    <n v="4"/>
    <n v="2024"/>
    <n v="1"/>
    <s v="01"/>
    <x v="3"/>
    <x v="3"/>
    <n v="-7356.52"/>
  </r>
  <r>
    <d v="2024-04-26T00:00:00"/>
    <s v="OPT-CNXBAN-30-Apr-2024-48500-C-E-I"/>
    <s v="NSE"/>
    <x v="0"/>
    <n v="105"/>
    <n v="0"/>
    <n v="265.75"/>
    <n v="27903.75"/>
    <s v="#202404263700010858"/>
    <n v="17.34"/>
    <n v="13.94"/>
    <n v="0"/>
    <n v="0.01"/>
    <n v="140"/>
    <n v="27.72"/>
    <n v="199.01"/>
    <n v="2024"/>
    <n v="4"/>
    <n v="2024"/>
    <n v="1"/>
    <s v="01"/>
    <x v="3"/>
    <x v="3"/>
    <n v="27704.74"/>
  </r>
  <r>
    <d v="2024-04-26T00:00:00"/>
    <s v="OPT-CNXBAN-30-Apr-2024-48500-C-E-I"/>
    <s v="NSE"/>
    <x v="1"/>
    <n v="105"/>
    <n v="0"/>
    <n v="251.25"/>
    <n v="26381.25"/>
    <s v="#202404263700010262"/>
    <n v="0"/>
    <n v="13.19"/>
    <n v="0.79"/>
    <n v="0.03"/>
    <n v="140"/>
    <n v="27.58"/>
    <n v="181.59"/>
    <n v="2024"/>
    <n v="4"/>
    <n v="2024"/>
    <n v="1"/>
    <s v="01"/>
    <x v="3"/>
    <x v="3"/>
    <n v="-26562.84"/>
  </r>
  <r>
    <d v="2024-04-30T00:00:00"/>
    <s v="OPT-NIFFIN-30-Apr-2024-22050-C-E-I"/>
    <s v="NSE"/>
    <x v="0"/>
    <n v="400"/>
    <n v="0"/>
    <n v="45.75"/>
    <n v="18300"/>
    <s v="#202404303700025073"/>
    <n v="11"/>
    <n v="9.17"/>
    <n v="0"/>
    <n v="0.01"/>
    <n v="200"/>
    <n v="37.64"/>
    <n v="257.82"/>
    <n v="2024"/>
    <n v="4"/>
    <n v="2024"/>
    <n v="1"/>
    <s v="01"/>
    <x v="3"/>
    <x v="3"/>
    <n v="18042.18"/>
  </r>
  <r>
    <d v="2024-04-30T00:00:00"/>
    <s v="OPT-NIFFIN-30-Apr-2024-22050-C-E-I"/>
    <s v="NSE"/>
    <x v="1"/>
    <n v="400"/>
    <n v="0"/>
    <n v="31.95"/>
    <n v="12780"/>
    <s v="#202404303700024057"/>
    <n v="0"/>
    <n v="6.39"/>
    <n v="0"/>
    <n v="0.01"/>
    <n v="200"/>
    <n v="37.159999999999997"/>
    <n v="243.56"/>
    <n v="2024"/>
    <n v="4"/>
    <n v="2024"/>
    <n v="1"/>
    <s v="01"/>
    <x v="3"/>
    <x v="3"/>
    <n v="-13023.56"/>
  </r>
  <r>
    <d v="2024-05-02T00:00:00"/>
    <s v="OPT-NIFTY-02-May-2024-22650-P-E-I"/>
    <s v="NSE"/>
    <x v="0"/>
    <n v="500"/>
    <n v="0"/>
    <n v="17.25"/>
    <n v="8625"/>
    <s v="#202405023700023691"/>
    <n v="5"/>
    <n v="4.3099999999999996"/>
    <n v="0"/>
    <n v="0.01"/>
    <n v="400"/>
    <n v="72.78"/>
    <n v="482.1"/>
    <n v="2024"/>
    <n v="5"/>
    <n v="2024"/>
    <n v="2"/>
    <s v="02"/>
    <x v="4"/>
    <x v="4"/>
    <n v="8142.9"/>
  </r>
  <r>
    <d v="2024-05-02T00:00:00"/>
    <s v="OPT-NIFTY-02-May-2024-22650-P-E-I"/>
    <s v="NSE"/>
    <x v="1"/>
    <n v="250"/>
    <n v="0"/>
    <n v="17.149999999999999"/>
    <n v="4287.5"/>
    <s v="#202405023700022750"/>
    <n v="0"/>
    <n v="2.15"/>
    <n v="0"/>
    <n v="0"/>
    <n v="200"/>
    <n v="36.380000000000003"/>
    <n v="238.53"/>
    <n v="2024"/>
    <n v="5"/>
    <n v="2024"/>
    <n v="2"/>
    <s v="02"/>
    <x v="4"/>
    <x v="4"/>
    <n v="-4526.03"/>
  </r>
  <r>
    <d v="2024-05-02T00:00:00"/>
    <s v="OPT-NIFTY-02-May-2024-22650-P-E-I"/>
    <s v="NSE"/>
    <x v="1"/>
    <n v="250"/>
    <n v="0"/>
    <n v="20.3"/>
    <n v="5075"/>
    <s v="#202405023700022717"/>
    <n v="0"/>
    <n v="2.54"/>
    <n v="0"/>
    <n v="0"/>
    <n v="200"/>
    <n v="36.46"/>
    <n v="239"/>
    <n v="2024"/>
    <n v="5"/>
    <n v="2024"/>
    <n v="2"/>
    <s v="02"/>
    <x v="4"/>
    <x v="4"/>
    <n v="-5314"/>
  </r>
  <r>
    <d v="2024-05-06T00:00:00"/>
    <s v="OPT-CNXBAN-08-May-2024-48500-P-E-I"/>
    <s v="NSE"/>
    <x v="0"/>
    <n v="135"/>
    <n v="0"/>
    <n v="84.9"/>
    <n v="11461.5"/>
    <s v="#202405063700051514"/>
    <n v="6.68"/>
    <n v="5.73"/>
    <n v="0"/>
    <n v="0.01"/>
    <n v="180"/>
    <n v="33.44"/>
    <n v="225.86"/>
    <n v="2024"/>
    <n v="5"/>
    <n v="2024"/>
    <n v="2"/>
    <s v="02"/>
    <x v="4"/>
    <x v="4"/>
    <n v="11235.64"/>
  </r>
  <r>
    <d v="2024-05-06T00:00:00"/>
    <s v="OPT-CNXBAN-08-May-2024-48500-P-E-I"/>
    <s v="NSE"/>
    <x v="1"/>
    <n v="135"/>
    <n v="0"/>
    <n v="121.25"/>
    <n v="16368.75"/>
    <s v="#202405063700049716"/>
    <n v="0"/>
    <n v="8.18"/>
    <n v="0.49"/>
    <n v="0.02"/>
    <n v="180"/>
    <n v="33.880000000000003"/>
    <n v="222.57"/>
    <n v="2024"/>
    <n v="5"/>
    <n v="2024"/>
    <n v="2"/>
    <s v="02"/>
    <x v="4"/>
    <x v="4"/>
    <n v="-16591.32"/>
  </r>
  <r>
    <d v="2024-05-06T00:00:00"/>
    <s v="OPT-CNXBAN-08-May-2024-49200-C-E-I"/>
    <s v="NSE"/>
    <x v="0"/>
    <n v="60"/>
    <n v="0"/>
    <n v="195.25"/>
    <n v="11715"/>
    <s v="#202405063700049432"/>
    <n v="7.32"/>
    <n v="5.86"/>
    <n v="0"/>
    <n v="0.01"/>
    <n v="80"/>
    <n v="15.46"/>
    <n v="108.65"/>
    <n v="2024"/>
    <n v="5"/>
    <n v="2024"/>
    <n v="2"/>
    <s v="02"/>
    <x v="4"/>
    <x v="4"/>
    <n v="11606.35"/>
  </r>
  <r>
    <d v="2024-05-06T00:00:00"/>
    <s v="OPT-CNXBAN-08-May-2024-49200-C-E-I"/>
    <s v="NSE"/>
    <x v="1"/>
    <n v="30"/>
    <n v="0"/>
    <n v="229.5"/>
    <n v="6885"/>
    <s v="#202405063700045791"/>
    <n v="0"/>
    <n v="3.44"/>
    <n v="0.51"/>
    <n v="0.01"/>
    <n v="40"/>
    <n v="7.82"/>
    <n v="51.78"/>
    <n v="2024"/>
    <n v="5"/>
    <n v="2024"/>
    <n v="2"/>
    <s v="02"/>
    <x v="4"/>
    <x v="4"/>
    <n v="-6936.78"/>
  </r>
  <r>
    <d v="2024-05-06T00:00:00"/>
    <s v="OPT-CNXBAN-08-May-2024-49200-C-E-I"/>
    <s v="NSE"/>
    <x v="1"/>
    <n v="30"/>
    <n v="0"/>
    <n v="313.2"/>
    <n v="9396"/>
    <s v="#202405063700042400"/>
    <n v="0"/>
    <n v="4.7"/>
    <n v="0"/>
    <n v="0"/>
    <n v="40"/>
    <n v="8.0399999999999991"/>
    <n v="52.74"/>
    <n v="2024"/>
    <n v="5"/>
    <n v="2024"/>
    <n v="2"/>
    <s v="02"/>
    <x v="4"/>
    <x v="4"/>
    <n v="-9448.74"/>
  </r>
  <r>
    <d v="2024-05-07T00:00:00"/>
    <s v="OPT-CNXBAN-08-May-2024-49000-C-E-I"/>
    <s v="NSE"/>
    <x v="0"/>
    <n v="900"/>
    <n v="0"/>
    <n v="55.25"/>
    <n v="49725"/>
    <s v="#202405073700018858"/>
    <n v="31.55"/>
    <n v="24.86"/>
    <n v="0"/>
    <n v="0.04"/>
    <n v="1200"/>
    <n v="220.48"/>
    <n v="1476.93"/>
    <n v="2024"/>
    <n v="5"/>
    <n v="2024"/>
    <n v="2"/>
    <s v="02"/>
    <x v="4"/>
    <x v="4"/>
    <n v="48248.07"/>
  </r>
  <r>
    <d v="2024-05-07T00:00:00"/>
    <s v="OPT-CNXBAN-08-May-2024-49000-C-E-I"/>
    <s v="NSE"/>
    <x v="1"/>
    <n v="900"/>
    <n v="0"/>
    <n v="65.95"/>
    <n v="59355"/>
    <s v="#202405073700017930"/>
    <n v="0"/>
    <n v="29.68"/>
    <n v="0"/>
    <n v="0.06"/>
    <n v="1200"/>
    <n v="221.36"/>
    <n v="1451.1"/>
    <n v="2024"/>
    <n v="5"/>
    <n v="2024"/>
    <n v="2"/>
    <s v="02"/>
    <x v="4"/>
    <x v="4"/>
    <n v="-60806.1"/>
  </r>
  <r>
    <d v="2024-05-07T00:00:00"/>
    <s v="OPT-CNXBAN-08-May-2024-49000-C-E-I"/>
    <s v="NSE"/>
    <x v="0"/>
    <n v="900"/>
    <n v="0"/>
    <n v="61.25"/>
    <n v="55125"/>
    <s v="#202405073700014847"/>
    <n v="34.450000000000003"/>
    <n v="27.58"/>
    <n v="0"/>
    <n v="0.05"/>
    <n v="1200"/>
    <n v="220.98"/>
    <n v="1483.06"/>
    <n v="2024"/>
    <n v="5"/>
    <n v="2024"/>
    <n v="2"/>
    <s v="02"/>
    <x v="4"/>
    <x v="4"/>
    <n v="53641.94"/>
  </r>
  <r>
    <d v="2024-05-07T00:00:00"/>
    <s v="OPT-CNXBAN-08-May-2024-49000-C-E-I"/>
    <s v="NSE"/>
    <x v="1"/>
    <n v="900"/>
    <n v="0"/>
    <n v="91.25"/>
    <n v="82125"/>
    <s v="#202405073700011715"/>
    <n v="0"/>
    <n v="41.07"/>
    <n v="4"/>
    <n v="0.08"/>
    <n v="1200"/>
    <n v="223.42"/>
    <n v="1468.57"/>
    <n v="2024"/>
    <n v="5"/>
    <n v="2024"/>
    <n v="2"/>
    <s v="02"/>
    <x v="4"/>
    <x v="4"/>
    <n v="-83593.570000000007"/>
  </r>
  <r>
    <d v="2024-05-08T00:00:00"/>
    <s v="OPT-CNXBAN-08-May-2024-48100-P-E-I"/>
    <s v="NSE"/>
    <x v="0"/>
    <n v="210"/>
    <n v="0"/>
    <n v="157.25"/>
    <n v="33022.5"/>
    <s v="#202405083700014214"/>
    <n v="21"/>
    <n v="16.52"/>
    <n v="0"/>
    <n v="0.03"/>
    <n v="280"/>
    <n v="53.38"/>
    <n v="370.93"/>
    <n v="2024"/>
    <n v="5"/>
    <n v="2024"/>
    <n v="2"/>
    <s v="02"/>
    <x v="4"/>
    <x v="4"/>
    <n v="32651.57"/>
  </r>
  <r>
    <d v="2024-05-08T00:00:00"/>
    <s v="OPT-CNXBAN-08-May-2024-48100-P-E-I"/>
    <s v="NSE"/>
    <x v="1"/>
    <n v="210"/>
    <n v="0"/>
    <n v="127.37"/>
    <n v="26748"/>
    <s v="#202405083700006706"/>
    <n v="0"/>
    <n v="13.38"/>
    <n v="1"/>
    <n v="0.02"/>
    <n v="280"/>
    <n v="52.82"/>
    <n v="347.22"/>
    <n v="2024"/>
    <n v="5"/>
    <n v="2024"/>
    <n v="2"/>
    <s v="02"/>
    <x v="4"/>
    <x v="4"/>
    <n v="-27095.22"/>
  </r>
  <r>
    <d v="2024-05-09T00:00:00"/>
    <s v="OPT-CNXBAN-15-May-2024-48300-C-E-I"/>
    <s v="NSE"/>
    <x v="0"/>
    <n v="105"/>
    <n v="0"/>
    <n v="266.79000000000002"/>
    <n v="28013.25"/>
    <s v="#202405093700006756"/>
    <n v="17.25"/>
    <n v="14"/>
    <n v="0"/>
    <n v="0.02"/>
    <n v="140"/>
    <n v="27.72"/>
    <n v="198.99"/>
    <n v="2024"/>
    <n v="5"/>
    <n v="2024"/>
    <n v="2"/>
    <s v="02"/>
    <x v="4"/>
    <x v="4"/>
    <n v="27814.26"/>
  </r>
  <r>
    <d v="2024-05-09T00:00:00"/>
    <s v="OPT-CNXBAN-15-May-2024-48300-C-E-I"/>
    <s v="NSE"/>
    <x v="1"/>
    <n v="105"/>
    <n v="0"/>
    <n v="328.26"/>
    <n v="34467.75"/>
    <s v="#202405093700004861"/>
    <n v="0"/>
    <n v="17.23"/>
    <n v="2"/>
    <n v="0.03"/>
    <n v="140"/>
    <n v="28.3"/>
    <n v="187.56"/>
    <n v="2024"/>
    <n v="5"/>
    <n v="2024"/>
    <n v="2"/>
    <s v="02"/>
    <x v="4"/>
    <x v="4"/>
    <n v="-34655.31"/>
  </r>
  <r>
    <d v="2024-05-09T00:00:00"/>
    <s v="OPT-CNXBAN-15-May-2024-48300-C-E-I"/>
    <s v="NSE"/>
    <x v="0"/>
    <n v="105"/>
    <n v="0"/>
    <n v="331.25"/>
    <n v="34781.25"/>
    <s v="#202405093700002392"/>
    <n v="21.74"/>
    <n v="17.39"/>
    <n v="0"/>
    <n v="0.03"/>
    <n v="140"/>
    <n v="28.32"/>
    <n v="207.48"/>
    <n v="2024"/>
    <n v="5"/>
    <n v="2024"/>
    <n v="2"/>
    <s v="02"/>
    <x v="4"/>
    <x v="4"/>
    <n v="34573.769999999997"/>
  </r>
  <r>
    <d v="2024-05-09T00:00:00"/>
    <s v="OPT-CNXBAN-15-May-2024-48300-C-E-I"/>
    <s v="NSE"/>
    <x v="1"/>
    <n v="105"/>
    <n v="0"/>
    <n v="361"/>
    <n v="37905"/>
    <s v="#202405093700000908"/>
    <n v="0"/>
    <n v="18.95"/>
    <n v="0"/>
    <n v="0.05"/>
    <n v="140"/>
    <n v="28.6"/>
    <n v="187.6"/>
    <n v="2024"/>
    <n v="5"/>
    <n v="2024"/>
    <n v="2"/>
    <s v="02"/>
    <x v="4"/>
    <x v="4"/>
    <n v="-38092.6"/>
  </r>
  <r>
    <d v="2024-05-15T00:00:00"/>
    <s v="OPT-CNXBAN-15-May-2024-48000-C-E-I"/>
    <s v="NSE"/>
    <x v="0"/>
    <n v="900"/>
    <n v="0"/>
    <n v="6.55"/>
    <n v="5895"/>
    <s v="#202405153700018923"/>
    <n v="3.99"/>
    <n v="2.95"/>
    <n v="0"/>
    <n v="0"/>
    <n v="1200"/>
    <n v="216.52"/>
    <n v="1423.46"/>
    <n v="2024"/>
    <n v="5"/>
    <n v="2024"/>
    <n v="2"/>
    <s v="02"/>
    <x v="4"/>
    <x v="4"/>
    <n v="4471.54"/>
  </r>
  <r>
    <d v="2024-05-15T00:00:00"/>
    <s v="OPT-CNXBAN-15-May-2024-48000-C-E-I"/>
    <s v="NSE"/>
    <x v="1"/>
    <n v="900"/>
    <n v="0"/>
    <n v="12.15"/>
    <n v="10935"/>
    <s v="#202405153700015744"/>
    <n v="0"/>
    <n v="5.47"/>
    <n v="0"/>
    <n v="0.01"/>
    <n v="1200"/>
    <n v="216.98"/>
    <n v="1422.46"/>
    <n v="2024"/>
    <n v="5"/>
    <n v="2024"/>
    <n v="2"/>
    <s v="02"/>
    <x v="4"/>
    <x v="4"/>
    <n v="-12357.46"/>
  </r>
  <r>
    <d v="2024-05-28T00:00:00"/>
    <s v="OPT-CNXBAN-29-May-2024-49200-C-E-I"/>
    <s v="NSE"/>
    <x v="0"/>
    <n v="60"/>
    <n v="0"/>
    <n v="314.25"/>
    <n v="18855"/>
    <s v="#202405283700018918"/>
    <n v="12"/>
    <n v="9.43"/>
    <n v="0"/>
    <n v="0.02"/>
    <n v="80"/>
    <n v="16.100000000000001"/>
    <n v="117.55"/>
    <n v="2024"/>
    <n v="5"/>
    <n v="2024"/>
    <n v="2"/>
    <s v="02"/>
    <x v="4"/>
    <x v="4"/>
    <n v="18737.45"/>
  </r>
  <r>
    <d v="2024-05-28T00:00:00"/>
    <s v="OPT-CNXBAN-29-May-2024-49200-C-E-I"/>
    <s v="NSE"/>
    <x v="1"/>
    <n v="60"/>
    <n v="0"/>
    <n v="289.60000000000002"/>
    <n v="17376"/>
    <s v="#202405283700018833"/>
    <n v="0"/>
    <n v="8.69"/>
    <n v="1"/>
    <n v="0.02"/>
    <n v="80"/>
    <n v="15.96"/>
    <n v="105.67"/>
    <n v="2024"/>
    <n v="5"/>
    <n v="2024"/>
    <n v="2"/>
    <s v="02"/>
    <x v="4"/>
    <x v="4"/>
    <n v="-17481.669999999998"/>
  </r>
  <r>
    <d v="2024-05-29T00:00:00"/>
    <s v="OPT-CNXBAN-29-May-2024-48400-P-E-I"/>
    <s v="NSE"/>
    <x v="0"/>
    <n v="510"/>
    <n v="0"/>
    <n v="33.25"/>
    <n v="16957.5"/>
    <s v="#202405293700006389"/>
    <n v="11.01"/>
    <n v="8.49"/>
    <n v="0"/>
    <n v="0.01"/>
    <n v="680"/>
    <n v="123.94"/>
    <n v="823.45"/>
    <n v="2024"/>
    <n v="5"/>
    <n v="2024"/>
    <n v="2"/>
    <s v="02"/>
    <x v="4"/>
    <x v="4"/>
    <n v="16134.05"/>
  </r>
  <r>
    <d v="2024-05-29T00:00:00"/>
    <s v="OPT-CNXBAN-29-May-2024-48400-P-E-I"/>
    <s v="NSE"/>
    <x v="1"/>
    <n v="510"/>
    <n v="0"/>
    <n v="29"/>
    <n v="14790"/>
    <s v="#202405293700004625"/>
    <n v="0"/>
    <n v="7.4"/>
    <n v="0"/>
    <n v="0.01"/>
    <n v="680"/>
    <n v="123.74"/>
    <n v="811.15"/>
    <n v="2024"/>
    <n v="5"/>
    <n v="2024"/>
    <n v="2"/>
    <s v="02"/>
    <x v="4"/>
    <x v="4"/>
    <n v="-15601.15"/>
  </r>
  <r>
    <d v="2024-05-30T00:00:00"/>
    <s v="OPT-NIFTY-30-May-2024-22700-C-E-I"/>
    <s v="NSE"/>
    <x v="0"/>
    <n v="25"/>
    <n v="0"/>
    <n v="20.2"/>
    <n v="505"/>
    <s v="#202405303700011119"/>
    <n v="0.32"/>
    <n v="0.25"/>
    <n v="0"/>
    <n v="0"/>
    <n v="20"/>
    <n v="3.64"/>
    <n v="24.21"/>
    <n v="2024"/>
    <n v="5"/>
    <n v="2024"/>
    <n v="2"/>
    <s v="02"/>
    <x v="4"/>
    <x v="4"/>
    <n v="480.79"/>
  </r>
  <r>
    <d v="2024-05-30T00:00:00"/>
    <s v="OPT-NIFTY-30-May-2024-22700-C-E-I"/>
    <s v="NSE"/>
    <x v="0"/>
    <n v="25"/>
    <n v="0"/>
    <n v="24.3"/>
    <n v="607.5"/>
    <s v="#202405303700009416"/>
    <n v="0.68"/>
    <n v="0.3"/>
    <n v="0"/>
    <n v="0"/>
    <n v="20"/>
    <n v="3.66"/>
    <n v="24.64"/>
    <n v="2024"/>
    <n v="5"/>
    <n v="2024"/>
    <n v="2"/>
    <s v="02"/>
    <x v="4"/>
    <x v="4"/>
    <n v="582.86"/>
  </r>
  <r>
    <d v="2024-05-30T00:00:00"/>
    <s v="OPT-NIFTY-30-May-2024-22700-C-E-I"/>
    <s v="NSE"/>
    <x v="1"/>
    <n v="25"/>
    <n v="0"/>
    <n v="31.2"/>
    <n v="780"/>
    <s v="#202405303700006317"/>
    <n v="0"/>
    <n v="0.39"/>
    <n v="0"/>
    <n v="0"/>
    <n v="20"/>
    <n v="3.68"/>
    <n v="24.07"/>
    <n v="2024"/>
    <n v="5"/>
    <n v="2024"/>
    <n v="2"/>
    <s v="02"/>
    <x v="4"/>
    <x v="4"/>
    <n v="-804.07"/>
  </r>
  <r>
    <d v="2024-05-30T00:00:00"/>
    <s v="OPT-NIFTY-30-May-2024-22700-C-E-I"/>
    <s v="NSE"/>
    <x v="1"/>
    <n v="25"/>
    <n v="0"/>
    <n v="58.2"/>
    <n v="1455"/>
    <s v="#202405303700001910"/>
    <n v="0"/>
    <n v="0.73"/>
    <n v="0"/>
    <n v="0"/>
    <n v="20"/>
    <n v="3.74"/>
    <n v="24.47"/>
    <n v="2024"/>
    <n v="5"/>
    <n v="2024"/>
    <n v="2"/>
    <s v="02"/>
    <x v="4"/>
    <x v="4"/>
    <n v="-1479.47"/>
  </r>
  <r>
    <d v="2024-06-04T00:00:00"/>
    <s v="OPT-CNXBAN-05-Jun-2024-48500-P-E-I"/>
    <s v="NSE"/>
    <x v="0"/>
    <n v="75"/>
    <n v="0"/>
    <n v="710.25"/>
    <n v="53268.75"/>
    <s v="#202406043700012701"/>
    <n v="33"/>
    <n v="26.63"/>
    <n v="0"/>
    <n v="0.05"/>
    <n v="100"/>
    <n v="22.8"/>
    <n v="182.48"/>
    <n v="2024"/>
    <n v="6"/>
    <n v="2024"/>
    <n v="3"/>
    <s v="03"/>
    <x v="5"/>
    <x v="5"/>
    <n v="53086.27"/>
  </r>
  <r>
    <d v="2024-06-04T00:00:00"/>
    <s v="OPT-CNXBAN-05-Jun-2024-48500-P-E-I"/>
    <s v="NSE"/>
    <x v="1"/>
    <n v="60"/>
    <n v="0"/>
    <n v="520.5"/>
    <n v="31230"/>
    <s v="#202406043700005883"/>
    <n v="0"/>
    <n v="15.62"/>
    <n v="1"/>
    <n v="0.04"/>
    <n v="80"/>
    <n v="17.2"/>
    <n v="113.86"/>
    <n v="2024"/>
    <n v="6"/>
    <n v="2024"/>
    <n v="3"/>
    <s v="03"/>
    <x v="5"/>
    <x v="5"/>
    <n v="-31343.86"/>
  </r>
  <r>
    <d v="2024-06-04T00:00:00"/>
    <s v="OPT-CNXBAN-05-Jun-2024-48500-P-E-I"/>
    <s v="NSE"/>
    <x v="1"/>
    <n v="15"/>
    <n v="0"/>
    <n v="482.65"/>
    <n v="7239.75"/>
    <s v="#202406043700002587"/>
    <n v="0"/>
    <n v="3.62"/>
    <n v="0"/>
    <n v="0.01"/>
    <n v="20"/>
    <n v="4.26"/>
    <n v="27.89"/>
    <n v="2024"/>
    <n v="6"/>
    <n v="2024"/>
    <n v="3"/>
    <s v="03"/>
    <x v="5"/>
    <x v="5"/>
    <n v="-7267.64"/>
  </r>
  <r>
    <d v="2024-06-05T00:00:00"/>
    <s v="OPT-CNXBAN-05-Jun-2024-47800-C-E-I"/>
    <s v="NSE"/>
    <x v="0"/>
    <n v="75"/>
    <n v="0"/>
    <n v="360.25"/>
    <n v="27018.75"/>
    <s v="#202406053700025024"/>
    <n v="17"/>
    <n v="13.51"/>
    <n v="0"/>
    <n v="0.03"/>
    <n v="100"/>
    <n v="20.440000000000001"/>
    <n v="150.97999999999999"/>
    <n v="2024"/>
    <n v="6"/>
    <n v="2024"/>
    <n v="3"/>
    <s v="03"/>
    <x v="5"/>
    <x v="5"/>
    <n v="26867.77"/>
  </r>
  <r>
    <d v="2024-06-05T00:00:00"/>
    <s v="OPT-CNXBAN-05-Jun-2024-47800-C-E-I"/>
    <s v="NSE"/>
    <x v="1"/>
    <n v="75"/>
    <n v="0"/>
    <n v="311.64999999999998"/>
    <n v="23373.75"/>
    <s v="#202406053700017678"/>
    <n v="0"/>
    <n v="11.69"/>
    <n v="1"/>
    <n v="0.02"/>
    <n v="100"/>
    <n v="20.100000000000001"/>
    <n v="132.81"/>
    <n v="2024"/>
    <n v="6"/>
    <n v="2024"/>
    <n v="3"/>
    <s v="03"/>
    <x v="5"/>
    <x v="5"/>
    <n v="-23506.560000000001"/>
  </r>
  <r>
    <d v="2024-06-06T00:00:00"/>
    <s v="OPT-NIFTY-06-Jun-2024-22900-C-E-I"/>
    <s v="NSE"/>
    <x v="0"/>
    <n v="900"/>
    <n v="0"/>
    <n v="19.25"/>
    <n v="17325"/>
    <s v="#202406063700026553"/>
    <n v="10.82"/>
    <n v="8.66"/>
    <n v="0"/>
    <n v="0.01"/>
    <n v="720"/>
    <n v="131.16"/>
    <n v="870.65"/>
    <n v="2024"/>
    <n v="6"/>
    <n v="2024"/>
    <n v="3"/>
    <s v="03"/>
    <x v="5"/>
    <x v="5"/>
    <n v="16454.349999999999"/>
  </r>
  <r>
    <d v="2024-06-06T00:00:00"/>
    <s v="OPT-NIFTY-06-Jun-2024-22900-C-E-I"/>
    <s v="NSE"/>
    <x v="1"/>
    <n v="450"/>
    <n v="0"/>
    <n v="41.05"/>
    <n v="18472.5"/>
    <s v="#202406063700017792"/>
    <n v="0"/>
    <n v="9.24"/>
    <n v="1.29"/>
    <n v="0.02"/>
    <n v="360"/>
    <n v="66.459999999999994"/>
    <n v="437.01"/>
    <n v="2024"/>
    <n v="6"/>
    <n v="2024"/>
    <n v="3"/>
    <s v="03"/>
    <x v="5"/>
    <x v="5"/>
    <n v="-18909.509999999998"/>
  </r>
  <r>
    <d v="2024-06-06T00:00:00"/>
    <s v="OPT-NIFTY-06-Jun-2024-22900-C-E-I"/>
    <s v="NSE"/>
    <x v="1"/>
    <n v="225"/>
    <n v="0"/>
    <n v="58.25"/>
    <n v="13106.25"/>
    <s v="#202406063700015166"/>
    <n v="0"/>
    <n v="6.56"/>
    <n v="0"/>
    <n v="0.01"/>
    <n v="180"/>
    <n v="33.58"/>
    <n v="220.15"/>
    <n v="2024"/>
    <n v="6"/>
    <n v="2024"/>
    <n v="3"/>
    <s v="03"/>
    <x v="5"/>
    <x v="5"/>
    <n v="-13326.4"/>
  </r>
  <r>
    <d v="2024-06-06T00:00:00"/>
    <s v="OPT-NIFTY-06-Jun-2024-22900-C-E-I"/>
    <s v="NSE"/>
    <x v="1"/>
    <n v="225"/>
    <n v="0"/>
    <n v="63.25"/>
    <n v="14231.25"/>
    <s v="#202406063700013681"/>
    <n v="0"/>
    <n v="7.12"/>
    <n v="0"/>
    <n v="0.01"/>
    <n v="180"/>
    <n v="33.68"/>
    <n v="220.81"/>
    <n v="2024"/>
    <n v="6"/>
    <n v="2024"/>
    <n v="3"/>
    <s v="03"/>
    <x v="5"/>
    <x v="5"/>
    <n v="-14452.06"/>
  </r>
  <r>
    <d v="2024-06-06T00:00:00"/>
    <s v="OPT-CNXBAN-12-Jun-2024-49800-C-E-I"/>
    <s v="NSE"/>
    <x v="0"/>
    <n v="15"/>
    <n v="0"/>
    <n v="580"/>
    <n v="8700"/>
    <s v="#202406063700011347"/>
    <n v="5.44"/>
    <n v="4.3499999999999996"/>
    <n v="0"/>
    <n v="0.01"/>
    <n v="20"/>
    <n v="4.38"/>
    <n v="34.18"/>
    <n v="2024"/>
    <n v="6"/>
    <n v="2024"/>
    <n v="3"/>
    <s v="03"/>
    <x v="5"/>
    <x v="5"/>
    <n v="8665.82"/>
  </r>
  <r>
    <d v="2024-06-06T00:00:00"/>
    <s v="OPT-CNXBAN-12-Jun-2024-49800-C-E-I"/>
    <s v="NSE"/>
    <x v="1"/>
    <n v="15"/>
    <n v="0"/>
    <n v="539.85"/>
    <n v="8097.75"/>
    <s v="#202406063700009153"/>
    <n v="0"/>
    <n v="4.05"/>
    <n v="0.24"/>
    <n v="0.01"/>
    <n v="20"/>
    <n v="4.34"/>
    <n v="28.64"/>
    <n v="2024"/>
    <n v="6"/>
    <n v="2024"/>
    <n v="3"/>
    <s v="03"/>
    <x v="5"/>
    <x v="5"/>
    <n v="-8126.39"/>
  </r>
  <r>
    <d v="2024-06-06T00:00:00"/>
    <s v="OPT-NIFTY-06-Jun-2024-22650-C-E-I"/>
    <s v="NSE"/>
    <x v="0"/>
    <n v="125"/>
    <n v="0"/>
    <n v="155.25"/>
    <n v="19406.25"/>
    <s v="#202406063700001912"/>
    <n v="11.73"/>
    <n v="9.6999999999999993"/>
    <n v="0"/>
    <n v="0.02"/>
    <n v="100"/>
    <n v="19.739999999999998"/>
    <n v="141.19"/>
    <n v="2024"/>
    <n v="6"/>
    <n v="2024"/>
    <n v="3"/>
    <s v="03"/>
    <x v="5"/>
    <x v="5"/>
    <n v="19265.060000000001"/>
  </r>
  <r>
    <d v="2024-06-06T00:00:00"/>
    <s v="OPT-NIFTY-06-Jun-2024-22650-C-E-I"/>
    <s v="NSE"/>
    <x v="1"/>
    <n v="125"/>
    <n v="0"/>
    <n v="125.17"/>
    <n v="15646.25"/>
    <s v="#202406063700001493"/>
    <n v="0"/>
    <n v="7.82"/>
    <n v="0.47"/>
    <n v="0.02"/>
    <n v="100"/>
    <n v="19.399999999999999"/>
    <n v="127.71"/>
    <n v="2024"/>
    <n v="6"/>
    <n v="2024"/>
    <n v="3"/>
    <s v="03"/>
    <x v="5"/>
    <x v="5"/>
    <n v="-15773.96"/>
  </r>
  <r>
    <d v="2024-06-12T00:00:00"/>
    <s v="OPT-NIFTY-13-Jun-2024-23350-C-E-I"/>
    <s v="NSE"/>
    <x v="0"/>
    <n v="100"/>
    <n v="0"/>
    <n v="119.25"/>
    <n v="11925"/>
    <s v="#202406123700022328"/>
    <n v="7"/>
    <n v="5.96"/>
    <n v="0"/>
    <n v="0.01"/>
    <n v="80"/>
    <n v="15.46"/>
    <n v="108.43"/>
    <n v="2024"/>
    <n v="6"/>
    <n v="2024"/>
    <n v="3"/>
    <s v="03"/>
    <x v="5"/>
    <x v="5"/>
    <n v="11816.57"/>
  </r>
  <r>
    <d v="2024-06-12T00:00:00"/>
    <s v="OPT-NIFTY-13-Jun-2024-23350-C-E-I"/>
    <s v="NSE"/>
    <x v="1"/>
    <n v="100"/>
    <n v="0"/>
    <n v="138.6"/>
    <n v="13860"/>
    <s v="#202406123700013173"/>
    <n v="0"/>
    <n v="6.93"/>
    <n v="0"/>
    <n v="0.01"/>
    <n v="80"/>
    <n v="15.64"/>
    <n v="102.58"/>
    <n v="2024"/>
    <n v="6"/>
    <n v="2024"/>
    <n v="3"/>
    <s v="03"/>
    <x v="5"/>
    <x v="5"/>
    <n v="-13962.58"/>
  </r>
  <r>
    <d v="2024-06-13T00:00:00"/>
    <s v="OPT-CNXBAN-19-Jun-2024-50000-C-E-I"/>
    <s v="NSE"/>
    <x v="0"/>
    <n v="45"/>
    <n v="0"/>
    <n v="290.25"/>
    <n v="13061.25"/>
    <s v="#202406133700021077"/>
    <n v="7.78"/>
    <n v="6.53"/>
    <n v="0"/>
    <n v="0.01"/>
    <n v="60"/>
    <n v="11.98"/>
    <n v="86.3"/>
    <n v="2024"/>
    <n v="6"/>
    <n v="2024"/>
    <n v="3"/>
    <s v="03"/>
    <x v="5"/>
    <x v="5"/>
    <n v="12974.95"/>
  </r>
  <r>
    <d v="2024-06-13T00:00:00"/>
    <s v="OPT-CNXBAN-19-Jun-2024-50000-C-E-I"/>
    <s v="NSE"/>
    <x v="1"/>
    <n v="45"/>
    <n v="0"/>
    <n v="360.4"/>
    <n v="16218"/>
    <s v="#202406133700014581"/>
    <n v="0"/>
    <n v="8.11"/>
    <n v="0.7"/>
    <n v="0.02"/>
    <n v="60"/>
    <n v="12.26"/>
    <n v="81.09"/>
    <n v="2024"/>
    <n v="6"/>
    <n v="2024"/>
    <n v="3"/>
    <s v="03"/>
    <x v="5"/>
    <x v="5"/>
    <n v="-16299.09"/>
  </r>
  <r>
    <d v="2024-06-13T00:00:00"/>
    <s v="OPT-NIFTY-13-Jun-2024-23500-P-E-I"/>
    <s v="NSE"/>
    <x v="0"/>
    <n v="100"/>
    <n v="0"/>
    <n v="131.55000000000001"/>
    <n v="13155"/>
    <s v="#202406133700003896"/>
    <n v="8.2200000000000006"/>
    <n v="6.58"/>
    <n v="0"/>
    <n v="0.01"/>
    <n v="80"/>
    <n v="15.58"/>
    <n v="110.39"/>
    <n v="2024"/>
    <n v="6"/>
    <n v="2024"/>
    <n v="3"/>
    <s v="03"/>
    <x v="5"/>
    <x v="5"/>
    <n v="13044.61"/>
  </r>
  <r>
    <d v="2024-06-13T00:00:00"/>
    <s v="OPT-NIFTY-13-Jun-2024-23500-P-E-I"/>
    <s v="NSE"/>
    <x v="1"/>
    <n v="100"/>
    <n v="0"/>
    <n v="100.19"/>
    <n v="10018.75"/>
    <s v="#202406133700001549"/>
    <n v="0"/>
    <n v="5.01"/>
    <n v="0.3"/>
    <n v="0.01"/>
    <n v="80"/>
    <n v="15.3"/>
    <n v="100.62"/>
    <n v="2024"/>
    <n v="6"/>
    <n v="2024"/>
    <n v="3"/>
    <s v="03"/>
    <x v="5"/>
    <x v="5"/>
    <n v="-10119.370000000001"/>
  </r>
  <r>
    <d v="2024-06-24T00:00:00"/>
    <s v="OPT-NIFSEL-24-Jun-2024-12100-P-E-I"/>
    <s v="NSE"/>
    <x v="0"/>
    <n v="150"/>
    <n v="0"/>
    <n v="9"/>
    <n v="1350"/>
    <s v="#202406243700014822"/>
    <n v="1"/>
    <n v="0.68"/>
    <n v="0"/>
    <n v="0"/>
    <n v="40"/>
    <n v="7.32"/>
    <n v="49"/>
    <n v="2024"/>
    <n v="6"/>
    <n v="2024"/>
    <n v="3"/>
    <s v="03"/>
    <x v="5"/>
    <x v="5"/>
    <n v="1301"/>
  </r>
  <r>
    <d v="2024-06-24T00:00:00"/>
    <s v="OPT-NIFSEL-24-Jun-2024-12100-P-E-I"/>
    <s v="NSE"/>
    <x v="1"/>
    <n v="75"/>
    <n v="0"/>
    <n v="31.25"/>
    <n v="2343.75"/>
    <s v="#202406243700008253"/>
    <n v="0"/>
    <n v="1.17"/>
    <n v="0"/>
    <n v="0"/>
    <n v="20"/>
    <n v="3.82"/>
    <n v="24.99"/>
    <n v="2024"/>
    <n v="6"/>
    <n v="2024"/>
    <n v="3"/>
    <s v="03"/>
    <x v="5"/>
    <x v="5"/>
    <n v="-2368.7399999999998"/>
  </r>
  <r>
    <d v="2024-06-24T00:00:00"/>
    <s v="OPT-NIFSEL-24-Jun-2024-12100-P-E-I"/>
    <s v="NSE"/>
    <x v="1"/>
    <n v="75"/>
    <n v="0"/>
    <n v="70.3"/>
    <n v="5272.5"/>
    <s v="#202406243700002933"/>
    <n v="0"/>
    <n v="2.64"/>
    <n v="0"/>
    <n v="0.01"/>
    <n v="20"/>
    <n v="4.08"/>
    <n v="26.73"/>
    <n v="2024"/>
    <n v="6"/>
    <n v="2024"/>
    <n v="3"/>
    <s v="03"/>
    <x v="5"/>
    <x v="5"/>
    <n v="-5299.23"/>
  </r>
  <r>
    <d v="2024-07-02T00:00:00"/>
    <s v="OPT-CNXBAN-03-Jul-2024-52300-C-E-I"/>
    <s v="NSE"/>
    <x v="0"/>
    <n v="105"/>
    <n v="0"/>
    <n v="192.2"/>
    <n v="20181"/>
    <s v="#202407023700026525"/>
    <n v="12.62"/>
    <n v="10.09"/>
    <n v="0"/>
    <n v="0.02"/>
    <n v="140"/>
    <n v="27.02"/>
    <n v="189.75"/>
    <n v="2024"/>
    <n v="7"/>
    <n v="2024"/>
    <n v="4"/>
    <s v="04"/>
    <x v="6"/>
    <x v="6"/>
    <n v="19991.25"/>
  </r>
  <r>
    <d v="2024-07-02T00:00:00"/>
    <s v="OPT-CNXBAN-03-Jul-2024-52300-C-E-I"/>
    <s v="NSE"/>
    <x v="1"/>
    <n v="105"/>
    <n v="0"/>
    <n v="252"/>
    <n v="26460"/>
    <s v="#202407023700024978"/>
    <n v="0"/>
    <n v="13.23"/>
    <n v="0.4"/>
    <n v="0.03"/>
    <n v="140"/>
    <n v="27.58"/>
    <n v="181.24"/>
    <n v="2024"/>
    <n v="7"/>
    <n v="2024"/>
    <n v="4"/>
    <s v="04"/>
    <x v="6"/>
    <x v="6"/>
    <n v="-26641.24"/>
  </r>
  <r>
    <d v="2024-07-02T00:00:00"/>
    <s v="OPT-CNXBAN-03-Jul-2024-52100-P-E-I"/>
    <s v="NSE"/>
    <x v="0"/>
    <n v="105"/>
    <n v="0"/>
    <n v="150"/>
    <n v="15750"/>
    <s v="#202407023700024661"/>
    <n v="9.39"/>
    <n v="7.88"/>
    <n v="0"/>
    <n v="0.02"/>
    <n v="140"/>
    <n v="26.62"/>
    <n v="183.91"/>
    <n v="2024"/>
    <n v="7"/>
    <n v="2024"/>
    <n v="4"/>
    <s v="04"/>
    <x v="6"/>
    <x v="6"/>
    <n v="15566.09"/>
  </r>
  <r>
    <d v="2024-07-02T00:00:00"/>
    <s v="OPT-CNXBAN-03-Jul-2024-52100-P-E-I"/>
    <s v="NSE"/>
    <x v="1"/>
    <n v="105"/>
    <n v="0"/>
    <n v="191"/>
    <n v="20055"/>
    <s v="#202407023700024209"/>
    <n v="0"/>
    <n v="10.029999999999999"/>
    <n v="0.6"/>
    <n v="0.02"/>
    <n v="140"/>
    <n v="27"/>
    <n v="177.65"/>
    <n v="2024"/>
    <n v="7"/>
    <n v="2024"/>
    <n v="4"/>
    <s v="04"/>
    <x v="6"/>
    <x v="6"/>
    <n v="-20232.650000000001"/>
  </r>
  <r>
    <d v="2024-07-03T00:00:00"/>
    <s v="OPT-CNXBAN-03-Jul-2024-53000-P-E-I"/>
    <s v="NSE"/>
    <x v="0"/>
    <n v="900"/>
    <n v="0"/>
    <n v="27.25"/>
    <n v="24525"/>
    <s v="#202407033700026505"/>
    <n v="15.03"/>
    <n v="12.24"/>
    <n v="0"/>
    <n v="0"/>
    <n v="1200"/>
    <n v="218.26"/>
    <n v="1445.53"/>
    <n v="2024"/>
    <n v="7"/>
    <n v="2024"/>
    <n v="4"/>
    <s v="04"/>
    <x v="6"/>
    <x v="6"/>
    <n v="23079.47"/>
  </r>
  <r>
    <d v="2024-07-03T00:00:00"/>
    <s v="OPT-CNXBAN-03-Jul-2024-53000-P-E-I"/>
    <s v="NSE"/>
    <x v="1"/>
    <n v="900"/>
    <n v="0"/>
    <n v="22"/>
    <n v="19800"/>
    <s v="#202407033700026043"/>
    <n v="0"/>
    <n v="9.91"/>
    <n v="1"/>
    <n v="0.02"/>
    <n v="1200"/>
    <n v="217.8"/>
    <n v="1428.73"/>
    <n v="2024"/>
    <n v="7"/>
    <n v="2024"/>
    <n v="4"/>
    <s v="04"/>
    <x v="6"/>
    <x v="6"/>
    <n v="-21228.73"/>
  </r>
  <r>
    <d v="2024-07-04T00:00:00"/>
    <s v="OPT-CNXBAN-10-Jul-2024-53100-P-E-I"/>
    <s v="NSE"/>
    <x v="0"/>
    <n v="120"/>
    <n v="0"/>
    <n v="547.29999999999995"/>
    <n v="65676"/>
    <s v="#202407043700011781"/>
    <n v="41"/>
    <n v="32.83"/>
    <n v="0"/>
    <n v="7.0000000000000007E-2"/>
    <n v="160"/>
    <n v="34.72"/>
    <n v="268.62"/>
    <n v="2024"/>
    <n v="7"/>
    <n v="2024"/>
    <n v="4"/>
    <s v="04"/>
    <x v="6"/>
    <x v="6"/>
    <n v="65407.38"/>
  </r>
  <r>
    <d v="2024-07-04T00:00:00"/>
    <s v="OPT-CNXBAN-10-Jul-2024-53100-P-E-I"/>
    <s v="NSE"/>
    <x v="1"/>
    <n v="60"/>
    <n v="0"/>
    <n v="384"/>
    <n v="23040"/>
    <s v="#202407043700005510"/>
    <n v="0"/>
    <n v="11.52"/>
    <n v="0"/>
    <n v="0.02"/>
    <n v="80"/>
    <n v="16.48"/>
    <n v="108.02"/>
    <n v="2024"/>
    <n v="7"/>
    <n v="2024"/>
    <n v="4"/>
    <s v="04"/>
    <x v="6"/>
    <x v="6"/>
    <n v="-23148.02"/>
  </r>
  <r>
    <d v="2024-07-04T00:00:00"/>
    <s v="OPT-CNXBAN-10-Jul-2024-53100-P-E-I"/>
    <s v="NSE"/>
    <x v="1"/>
    <n v="60"/>
    <n v="0"/>
    <n v="473.2"/>
    <n v="28392"/>
    <s v="#202407043700001154"/>
    <n v="0"/>
    <n v="14.2"/>
    <n v="2"/>
    <n v="0.03"/>
    <n v="80"/>
    <n v="16.96"/>
    <n v="113.19"/>
    <n v="2024"/>
    <n v="7"/>
    <n v="2024"/>
    <n v="4"/>
    <s v="04"/>
    <x v="6"/>
    <x v="6"/>
    <n v="-28505.19"/>
  </r>
  <r>
    <d v="2024-07-05T00:00:00"/>
    <s v="OPT-CNXBAN-10-Jul-2024-52500-C-E-I"/>
    <s v="NSE"/>
    <x v="0"/>
    <n v="75"/>
    <n v="0"/>
    <n v="394.25"/>
    <n v="29568.75"/>
    <s v="#202407053700014938"/>
    <n v="18"/>
    <n v="14.78"/>
    <n v="0"/>
    <n v="0.03"/>
    <n v="100"/>
    <n v="20.66"/>
    <n v="153.47"/>
    <n v="2024"/>
    <n v="7"/>
    <n v="2024"/>
    <n v="4"/>
    <s v="04"/>
    <x v="6"/>
    <x v="6"/>
    <n v="29415.279999999999"/>
  </r>
  <r>
    <d v="2024-07-05T00:00:00"/>
    <s v="OPT-CNXBAN-10-Jul-2024-52500-C-E-I"/>
    <s v="NSE"/>
    <x v="1"/>
    <n v="75"/>
    <n v="0"/>
    <n v="424.75"/>
    <n v="31856.25"/>
    <s v="#202407053700010353"/>
    <n v="0"/>
    <n v="15.93"/>
    <n v="1"/>
    <n v="0.04"/>
    <n v="100"/>
    <n v="20.88"/>
    <n v="137.85"/>
    <n v="2024"/>
    <n v="7"/>
    <n v="2024"/>
    <n v="4"/>
    <s v="04"/>
    <x v="6"/>
    <x v="6"/>
    <n v="-31994.1"/>
  </r>
  <r>
    <d v="2024-07-08T00:00:00"/>
    <s v="OPT-CNXBAN-10-Jul-2024-52600-C-E-I"/>
    <s v="NSE"/>
    <x v="0"/>
    <n v="45"/>
    <n v="0"/>
    <n v="279.25"/>
    <n v="12566.25"/>
    <s v="#202407083700006549"/>
    <n v="8"/>
    <n v="6.28"/>
    <n v="0"/>
    <n v="0.01"/>
    <n v="60"/>
    <n v="11.94"/>
    <n v="86.23"/>
    <n v="2024"/>
    <n v="7"/>
    <n v="2024"/>
    <n v="4"/>
    <s v="04"/>
    <x v="6"/>
    <x v="6"/>
    <n v="12480.02"/>
  </r>
  <r>
    <d v="2024-07-08T00:00:00"/>
    <s v="OPT-CNXBAN-10-Jul-2024-52600-C-E-I"/>
    <s v="NSE"/>
    <x v="1"/>
    <n v="45"/>
    <n v="0"/>
    <n v="222"/>
    <n v="9990"/>
    <s v="#202407083700004851"/>
    <n v="0"/>
    <n v="5"/>
    <n v="0"/>
    <n v="0.01"/>
    <n v="60"/>
    <n v="11.7"/>
    <n v="76.709999999999994"/>
    <n v="2024"/>
    <n v="7"/>
    <n v="2024"/>
    <n v="4"/>
    <s v="04"/>
    <x v="6"/>
    <x v="6"/>
    <n v="-10066.709999999999"/>
  </r>
  <r>
    <d v="2024-07-09T00:00:00"/>
    <s v="OPT-CNXBAN-10-Jul-2024-52600-P-E-I"/>
    <s v="NSE"/>
    <x v="0"/>
    <n v="30"/>
    <n v="0"/>
    <n v="218.25"/>
    <n v="6547.5"/>
    <s v="#202407093700011453"/>
    <n v="3.74"/>
    <n v="3.27"/>
    <n v="0"/>
    <n v="0.01"/>
    <n v="40"/>
    <n v="7.8"/>
    <n v="54.82"/>
    <n v="2024"/>
    <n v="7"/>
    <n v="2024"/>
    <n v="4"/>
    <s v="04"/>
    <x v="6"/>
    <x v="6"/>
    <n v="6492.68"/>
  </r>
  <r>
    <d v="2024-07-09T00:00:00"/>
    <s v="OPT-NIFTY-11-Jul-2024-24300-C-E-I"/>
    <s v="NSE"/>
    <x v="0"/>
    <n v="125"/>
    <n v="0"/>
    <n v="156.9"/>
    <n v="19612.5"/>
    <s v="#202407093700011257"/>
    <n v="12.26"/>
    <n v="9.81"/>
    <n v="0"/>
    <n v="0.02"/>
    <n v="100"/>
    <n v="19.78"/>
    <n v="141.87"/>
    <n v="2024"/>
    <n v="7"/>
    <n v="2024"/>
    <n v="4"/>
    <s v="04"/>
    <x v="6"/>
    <x v="6"/>
    <n v="19470.63"/>
  </r>
  <r>
    <d v="2024-07-09T00:00:00"/>
    <s v="OPT-CNXBAN-10-Jul-2024-52600-P-E-I"/>
    <s v="NSE"/>
    <x v="1"/>
    <n v="30"/>
    <n v="0"/>
    <n v="198.1"/>
    <n v="5943"/>
    <s v="#202407093700011156"/>
    <n v="0"/>
    <n v="2.97"/>
    <n v="0.18"/>
    <n v="0.01"/>
    <n v="40"/>
    <n v="7.74"/>
    <n v="50.9"/>
    <n v="2024"/>
    <n v="7"/>
    <n v="2024"/>
    <n v="4"/>
    <s v="04"/>
    <x v="6"/>
    <x v="6"/>
    <n v="-5993.9"/>
  </r>
  <r>
    <d v="2024-07-09T00:00:00"/>
    <s v="OPT-NIFTY-11-Jul-2024-24300-C-E-I"/>
    <s v="NSE"/>
    <x v="1"/>
    <n v="125"/>
    <n v="0"/>
    <n v="152.25"/>
    <n v="19031.25"/>
    <s v="#202407093700008695"/>
    <n v="0"/>
    <n v="9.52"/>
    <n v="0.82"/>
    <n v="0.02"/>
    <n v="100"/>
    <n v="19.7"/>
    <n v="130.06"/>
    <n v="2024"/>
    <n v="7"/>
    <n v="2024"/>
    <n v="4"/>
    <s v="04"/>
    <x v="6"/>
    <x v="6"/>
    <n v="-19161.310000000001"/>
  </r>
  <r>
    <d v="2024-07-10T00:00:00"/>
    <s v="OPT-CNXBAN-10-Jul-2024-52100-P-E-I"/>
    <s v="NSE"/>
    <x v="0"/>
    <n v="210"/>
    <n v="0"/>
    <n v="109"/>
    <n v="22890"/>
    <s v="#202407103700011144"/>
    <n v="14"/>
    <n v="11.45"/>
    <n v="0"/>
    <n v="0.03"/>
    <n v="280"/>
    <n v="52.48"/>
    <n v="357.96"/>
    <n v="2024"/>
    <n v="7"/>
    <n v="2024"/>
    <n v="4"/>
    <s v="04"/>
    <x v="6"/>
    <x v="6"/>
    <n v="22532.04"/>
  </r>
  <r>
    <d v="2024-07-10T00:00:00"/>
    <s v="OPT-CNXBAN-10-Jul-2024-52100-P-E-I"/>
    <s v="NSE"/>
    <x v="1"/>
    <n v="105"/>
    <n v="0"/>
    <n v="70.25"/>
    <n v="7376.25"/>
    <s v="#202407103700010063"/>
    <n v="0"/>
    <n v="3.69"/>
    <n v="1"/>
    <n v="0.01"/>
    <n v="140"/>
    <n v="25.86"/>
    <n v="170.56"/>
    <n v="2024"/>
    <n v="7"/>
    <n v="2024"/>
    <n v="4"/>
    <s v="04"/>
    <x v="6"/>
    <x v="6"/>
    <n v="-7546.81"/>
  </r>
  <r>
    <d v="2024-07-10T00:00:00"/>
    <s v="OPT-CNXBAN-10-Jul-2024-52100-P-E-I"/>
    <s v="NSE"/>
    <x v="1"/>
    <n v="105"/>
    <n v="0"/>
    <n v="90"/>
    <n v="9450"/>
    <s v="#202407103700009739"/>
    <n v="0"/>
    <n v="4.7300000000000004"/>
    <n v="0"/>
    <n v="0.01"/>
    <n v="140"/>
    <n v="26.06"/>
    <n v="170.8"/>
    <n v="2024"/>
    <n v="7"/>
    <n v="2024"/>
    <n v="4"/>
    <s v="04"/>
    <x v="6"/>
    <x v="6"/>
    <n v="-9620.7999999999993"/>
  </r>
  <r>
    <d v="2024-07-11T00:00:00"/>
    <s v="OPT-CNXBAN-16-Jul-2024-52100-P-E-I"/>
    <s v="NSE"/>
    <x v="0"/>
    <n v="60"/>
    <n v="0"/>
    <n v="445.25"/>
    <n v="26715"/>
    <s v="#202407113700008862"/>
    <n v="17"/>
    <n v="13.36"/>
    <n v="0"/>
    <n v="0.03"/>
    <n v="80"/>
    <n v="16.82"/>
    <n v="127.21"/>
    <n v="2024"/>
    <n v="7"/>
    <n v="2024"/>
    <n v="4"/>
    <s v="04"/>
    <x v="6"/>
    <x v="6"/>
    <n v="26587.79"/>
  </r>
  <r>
    <d v="2024-07-11T00:00:00"/>
    <s v="OPT-CNXBAN-16-Jul-2024-52100-P-E-I"/>
    <s v="NSE"/>
    <x v="1"/>
    <n v="60"/>
    <n v="0"/>
    <n v="305.25"/>
    <n v="18315"/>
    <s v="#202407113700003655"/>
    <n v="0"/>
    <n v="9.16"/>
    <n v="1"/>
    <n v="0.01"/>
    <n v="80"/>
    <n v="16.059999999999999"/>
    <n v="106.23"/>
    <n v="2024"/>
    <n v="7"/>
    <n v="2024"/>
    <n v="4"/>
    <s v="04"/>
    <x v="6"/>
    <x v="6"/>
    <n v="-18421.23"/>
  </r>
  <r>
    <d v="2024-07-12T00:00:00"/>
    <s v="OPT-CNXBAN-16-Jul-2024-52600-P-E-I"/>
    <s v="NSE"/>
    <x v="0"/>
    <n v="75"/>
    <n v="0"/>
    <n v="346.25"/>
    <n v="25968.75"/>
    <s v="#202407123700015606"/>
    <n v="16"/>
    <n v="12.98"/>
    <n v="0"/>
    <n v="0.03"/>
    <n v="100"/>
    <n v="20.34"/>
    <n v="149.35"/>
    <n v="2024"/>
    <n v="7"/>
    <n v="2024"/>
    <n v="4"/>
    <s v="04"/>
    <x v="6"/>
    <x v="6"/>
    <n v="25819.4"/>
  </r>
  <r>
    <d v="2024-07-12T00:00:00"/>
    <s v="OPT-CNXBAN-16-Jul-2024-52600-P-E-I"/>
    <s v="NSE"/>
    <x v="1"/>
    <n v="75"/>
    <n v="0"/>
    <n v="326.05"/>
    <n v="24453.75"/>
    <s v="#202407123700013084"/>
    <n v="0"/>
    <n v="12.23"/>
    <n v="1"/>
    <n v="0.02"/>
    <n v="100"/>
    <n v="20.2"/>
    <n v="133.44999999999999"/>
    <n v="2024"/>
    <n v="7"/>
    <n v="2024"/>
    <n v="4"/>
    <s v="04"/>
    <x v="6"/>
    <x v="6"/>
    <n v="-24587.200000000001"/>
  </r>
  <r>
    <d v="2024-07-15T00:00:00"/>
    <s v="OPT-CNXBAN-16-Jul-2024-52500-C-E-I"/>
    <s v="NSE"/>
    <x v="0"/>
    <n v="75"/>
    <n v="0"/>
    <n v="175.25"/>
    <n v="13143.75"/>
    <s v="#202407153700010258"/>
    <n v="8"/>
    <n v="6.57"/>
    <n v="0"/>
    <n v="0.01"/>
    <n v="100"/>
    <n v="19.18"/>
    <n v="133.76"/>
    <n v="2024"/>
    <n v="7"/>
    <n v="2024"/>
    <n v="4"/>
    <s v="04"/>
    <x v="6"/>
    <x v="6"/>
    <n v="13009.99"/>
  </r>
  <r>
    <d v="2024-07-15T00:00:00"/>
    <s v="OPT-CNXBAN-16-Jul-2024-52500-C-E-I"/>
    <s v="NSE"/>
    <x v="1"/>
    <n v="15"/>
    <n v="0"/>
    <n v="140.25"/>
    <n v="2103.75"/>
    <s v="#202407153700004138"/>
    <n v="0"/>
    <n v="1.05"/>
    <n v="0"/>
    <n v="0"/>
    <n v="20"/>
    <n v="3.78"/>
    <n v="24.83"/>
    <n v="2024"/>
    <n v="7"/>
    <n v="2024"/>
    <n v="4"/>
    <s v="04"/>
    <x v="6"/>
    <x v="6"/>
    <n v="-2128.58"/>
  </r>
  <r>
    <d v="2024-07-15T00:00:00"/>
    <s v="OPT-CNXBAN-16-Jul-2024-52500-C-E-I"/>
    <s v="NSE"/>
    <x v="1"/>
    <n v="15"/>
    <n v="0"/>
    <n v="180"/>
    <n v="2700"/>
    <s v="#202407153700002786"/>
    <n v="0"/>
    <n v="1.35"/>
    <n v="0"/>
    <n v="0"/>
    <n v="20"/>
    <n v="3.84"/>
    <n v="25.19"/>
    <n v="2024"/>
    <n v="7"/>
    <n v="2024"/>
    <n v="4"/>
    <s v="04"/>
    <x v="6"/>
    <x v="6"/>
    <n v="-2725.19"/>
  </r>
  <r>
    <d v="2024-07-15T00:00:00"/>
    <s v="OPT-CNXBAN-16-Jul-2024-52500-C-E-I"/>
    <s v="NSE"/>
    <x v="1"/>
    <n v="45"/>
    <n v="0"/>
    <n v="216.5"/>
    <n v="9742.5"/>
    <s v="#202407153700002087"/>
    <n v="0"/>
    <n v="4.87"/>
    <n v="0"/>
    <n v="0.01"/>
    <n v="60"/>
    <n v="11.68"/>
    <n v="76.56"/>
    <n v="2024"/>
    <n v="7"/>
    <n v="2024"/>
    <n v="4"/>
    <s v="04"/>
    <x v="6"/>
    <x v="6"/>
    <n v="-9819.06"/>
  </r>
  <r>
    <d v="2024-07-16T00:00:00"/>
    <s v="OPT-CNXBAN-16-Jul-2024-52500-P-E-I"/>
    <s v="NSE"/>
    <x v="0"/>
    <n v="150"/>
    <n v="0"/>
    <n v="99.25"/>
    <n v="14887.5"/>
    <s v="#202407163700011252"/>
    <n v="8.81"/>
    <n v="7.44"/>
    <n v="0"/>
    <n v="0.01"/>
    <n v="200"/>
    <n v="37.340000000000003"/>
    <n v="253.6"/>
    <n v="2024"/>
    <n v="7"/>
    <n v="2024"/>
    <n v="4"/>
    <s v="04"/>
    <x v="6"/>
    <x v="6"/>
    <n v="14633.9"/>
  </r>
  <r>
    <d v="2024-07-16T00:00:00"/>
    <s v="OPT-CNXBAN-16-Jul-2024-52500-P-E-I"/>
    <s v="NSE"/>
    <x v="1"/>
    <n v="75"/>
    <n v="0"/>
    <n v="142.25"/>
    <n v="10668.75"/>
    <s v="#202407163700007196"/>
    <n v="0"/>
    <n v="5.33"/>
    <n v="0"/>
    <n v="0.01"/>
    <n v="100"/>
    <n v="18.96"/>
    <n v="124.3"/>
    <n v="2024"/>
    <n v="7"/>
    <n v="2024"/>
    <n v="4"/>
    <s v="04"/>
    <x v="6"/>
    <x v="6"/>
    <n v="-10793.05"/>
  </r>
  <r>
    <d v="2024-07-16T00:00:00"/>
    <s v="OPT-CNXBAN-16-Jul-2024-52500-P-E-I"/>
    <s v="NSE"/>
    <x v="1"/>
    <n v="75"/>
    <n v="0"/>
    <n v="190"/>
    <n v="14250"/>
    <s v="#202407163700006591"/>
    <n v="0"/>
    <n v="7.13"/>
    <n v="0.37"/>
    <n v="0.01"/>
    <n v="100"/>
    <n v="19.28"/>
    <n v="126.79"/>
    <n v="2024"/>
    <n v="7"/>
    <n v="2024"/>
    <n v="4"/>
    <s v="04"/>
    <x v="6"/>
    <x v="6"/>
    <n v="-14376.79"/>
  </r>
  <r>
    <d v="2024-07-16T00:00:00"/>
    <s v="OPT-CNXBAN-16-Jul-2024-52600-P-E-I"/>
    <s v="NSE"/>
    <x v="0"/>
    <n v="90"/>
    <n v="0"/>
    <n v="252.25"/>
    <n v="22702.5"/>
    <s v="#202407163700002279"/>
    <n v="14.18"/>
    <n v="11.35"/>
    <n v="0"/>
    <n v="0.02"/>
    <n v="120"/>
    <n v="23.64"/>
    <n v="169.19"/>
    <n v="2024"/>
    <n v="7"/>
    <n v="2024"/>
    <n v="4"/>
    <s v="04"/>
    <x v="6"/>
    <x v="6"/>
    <n v="22533.31"/>
  </r>
  <r>
    <d v="2024-07-16T00:00:00"/>
    <s v="OPT-CNXBAN-16-Jul-2024-52600-P-E-I"/>
    <s v="NSE"/>
    <x v="1"/>
    <n v="90"/>
    <n v="0"/>
    <n v="232.05"/>
    <n v="20884.5"/>
    <s v="#202407163700002137"/>
    <n v="0"/>
    <n v="10.44"/>
    <n v="0.63"/>
    <n v="0.02"/>
    <n v="120"/>
    <n v="23.48"/>
    <n v="154.57"/>
    <n v="2024"/>
    <n v="7"/>
    <n v="2024"/>
    <n v="4"/>
    <s v="04"/>
    <x v="6"/>
    <x v="6"/>
    <n v="-21039.07"/>
  </r>
  <r>
    <d v="2024-07-18T00:00:00"/>
    <s v="OPT-NIFTY-18-Jul-2024-24500-P-E-I"/>
    <s v="NSE"/>
    <x v="0"/>
    <n v="900"/>
    <n v="0"/>
    <n v="31"/>
    <n v="27900"/>
    <s v="#202407184500001624"/>
    <n v="17"/>
    <n v="13.95"/>
    <n v="0"/>
    <n v="0.03"/>
    <n v="720"/>
    <n v="132.12"/>
    <n v="883.1"/>
    <n v="2024"/>
    <n v="7"/>
    <n v="2024"/>
    <n v="4"/>
    <s v="04"/>
    <x v="6"/>
    <x v="6"/>
    <n v="27016.9"/>
  </r>
  <r>
    <d v="2024-07-18T00:00:00"/>
    <s v="OPT-NIFTY-18-Jul-2024-24500-P-E-I"/>
    <s v="NSE"/>
    <x v="1"/>
    <n v="900"/>
    <n v="0"/>
    <n v="11"/>
    <n v="9900"/>
    <s v="#202407184500000398"/>
    <n v="0"/>
    <n v="4.96"/>
    <n v="0"/>
    <n v="0.01"/>
    <n v="720"/>
    <n v="130.5"/>
    <n v="855.47"/>
    <n v="2024"/>
    <n v="7"/>
    <n v="2024"/>
    <n v="4"/>
    <s v="04"/>
    <x v="6"/>
    <x v="6"/>
    <n v="-10755.47"/>
  </r>
  <r>
    <d v="2024-07-19T00:00:00"/>
    <s v="OPT-NIFTY-25-Jul-2024-24600-P-E-I"/>
    <s v="NSE"/>
    <x v="0"/>
    <n v="75"/>
    <n v="0"/>
    <n v="246"/>
    <n v="18450"/>
    <s v="#202407193700016606"/>
    <n v="11.53"/>
    <n v="9.23"/>
    <n v="0"/>
    <n v="0.02"/>
    <n v="60"/>
    <n v="12.46"/>
    <n v="93.24"/>
    <n v="2024"/>
    <n v="7"/>
    <n v="2024"/>
    <n v="4"/>
    <s v="04"/>
    <x v="6"/>
    <x v="6"/>
    <n v="18356.759999999998"/>
  </r>
  <r>
    <d v="2024-07-19T00:00:00"/>
    <s v="OPT-CNXBAN-24-Jul-2024-52600-C-E-I"/>
    <s v="NSE"/>
    <x v="0"/>
    <n v="15"/>
    <n v="0"/>
    <n v="389.25"/>
    <n v="5838.75"/>
    <s v="#202407193700013431"/>
    <n v="3.47"/>
    <n v="2.92"/>
    <n v="0"/>
    <n v="0.01"/>
    <n v="20"/>
    <n v="4.12"/>
    <n v="30.52"/>
    <n v="2024"/>
    <n v="7"/>
    <n v="2024"/>
    <n v="4"/>
    <s v="04"/>
    <x v="6"/>
    <x v="6"/>
    <n v="5808.23"/>
  </r>
  <r>
    <d v="2024-07-19T00:00:00"/>
    <s v="OPT-NIFTY-25-Jul-2024-24600-P-E-I"/>
    <s v="NSE"/>
    <x v="1"/>
    <n v="75"/>
    <n v="0"/>
    <n v="220"/>
    <n v="16500"/>
    <s v="#202407193700013322"/>
    <n v="0"/>
    <n v="8.25"/>
    <n v="0.82"/>
    <n v="0.02"/>
    <n v="60"/>
    <n v="12.28"/>
    <n v="81.37"/>
    <n v="2024"/>
    <n v="7"/>
    <n v="2024"/>
    <n v="4"/>
    <s v="04"/>
    <x v="6"/>
    <x v="6"/>
    <n v="-16581.37"/>
  </r>
  <r>
    <d v="2024-07-19T00:00:00"/>
    <s v="OPT-CNXBAN-24-Jul-2024-52600-C-E-I"/>
    <s v="NSE"/>
    <x v="1"/>
    <n v="15"/>
    <n v="0"/>
    <n v="411"/>
    <n v="6165"/>
    <s v="#202407193700011349"/>
    <n v="0"/>
    <n v="3.08"/>
    <n v="0.18"/>
    <n v="0.01"/>
    <n v="20"/>
    <n v="4.16"/>
    <n v="27.43"/>
    <n v="2024"/>
    <n v="7"/>
    <n v="2024"/>
    <n v="4"/>
    <s v="04"/>
    <x v="6"/>
    <x v="6"/>
    <n v="-6192.43"/>
  </r>
  <r>
    <d v="2024-07-22T00:00:00"/>
    <s v="OPT-NIFSEL-22-Jul-2024-12125-P-E-I"/>
    <s v="NSE"/>
    <x v="0"/>
    <n v="1800"/>
    <n v="0"/>
    <n v="2.6"/>
    <n v="4680"/>
    <s v="#202407223700012072"/>
    <n v="3"/>
    <n v="2.35"/>
    <n v="0"/>
    <n v="0"/>
    <n v="480"/>
    <n v="86.86"/>
    <n v="572.21"/>
    <n v="2024"/>
    <n v="7"/>
    <n v="2024"/>
    <n v="4"/>
    <s v="04"/>
    <x v="6"/>
    <x v="6"/>
    <n v="4107.79"/>
  </r>
  <r>
    <d v="2024-07-22T00:00:00"/>
    <s v="OPT-NIFSEL-22-Jul-2024-12125-P-E-I"/>
    <s v="NSE"/>
    <x v="1"/>
    <n v="900"/>
    <n v="0"/>
    <n v="3"/>
    <n v="2700"/>
    <s v="#202407223700011357"/>
    <n v="0"/>
    <n v="1.35"/>
    <n v="0"/>
    <n v="0"/>
    <n v="240"/>
    <n v="43.44"/>
    <n v="284.79000000000002"/>
    <n v="2024"/>
    <n v="7"/>
    <n v="2024"/>
    <n v="4"/>
    <s v="04"/>
    <x v="6"/>
    <x v="6"/>
    <n v="-2984.79"/>
  </r>
  <r>
    <d v="2024-07-22T00:00:00"/>
    <s v="OPT-NIFSEL-22-Jul-2024-12125-P-E-I"/>
    <s v="NSE"/>
    <x v="1"/>
    <n v="900"/>
    <n v="0"/>
    <n v="6.7"/>
    <n v="6030"/>
    <s v="#202407223700007233"/>
    <n v="0"/>
    <n v="3.01"/>
    <n v="0"/>
    <n v="0"/>
    <n v="240"/>
    <n v="43.74"/>
    <n v="286.75"/>
    <n v="2024"/>
    <n v="7"/>
    <n v="2024"/>
    <n v="4"/>
    <s v="04"/>
    <x v="6"/>
    <x v="6"/>
    <n v="-6316.75"/>
  </r>
  <r>
    <d v="2024-07-23T00:00:00"/>
    <s v="OPT-CNXBAN-24-Jul-2024-52500-C-E-I"/>
    <s v="NSE"/>
    <x v="1"/>
    <n v="150"/>
    <n v="0"/>
    <n v="98.4"/>
    <n v="14759.25"/>
    <s v="#202407233700015906"/>
    <n v="0"/>
    <n v="7.38"/>
    <n v="1.38"/>
    <n v="0.01"/>
    <n v="200"/>
    <n v="37.340000000000003"/>
    <n v="246.11"/>
    <n v="2024"/>
    <n v="7"/>
    <n v="2024"/>
    <n v="4"/>
    <s v="04"/>
    <x v="6"/>
    <x v="6"/>
    <n v="-15005.36"/>
  </r>
  <r>
    <d v="2024-07-23T00:00:00"/>
    <s v="OPT-CNXBAN-24-Jul-2024-52500-C-E-I"/>
    <s v="NSE"/>
    <x v="1"/>
    <n v="45"/>
    <n v="0"/>
    <n v="435.65"/>
    <n v="19604.25"/>
    <s v="#202407233700008621"/>
    <n v="0"/>
    <n v="9.8000000000000007"/>
    <n v="0"/>
    <n v="0.02"/>
    <n v="60"/>
    <n v="12.56"/>
    <n v="82.38"/>
    <n v="2024"/>
    <n v="7"/>
    <n v="2024"/>
    <n v="4"/>
    <s v="04"/>
    <x v="6"/>
    <x v="6"/>
    <n v="-19686.63"/>
  </r>
  <r>
    <d v="2024-07-23T00:00:00"/>
    <s v="OPT-CNXBAN-24-Jul-2024-51500-P-E-I"/>
    <s v="NSE"/>
    <x v="0"/>
    <n v="75"/>
    <n v="0"/>
    <n v="195"/>
    <n v="14625"/>
    <s v="#202407233700007998"/>
    <n v="9"/>
    <n v="7.31"/>
    <n v="0"/>
    <n v="0.01"/>
    <n v="100"/>
    <n v="19.32"/>
    <n v="135.63999999999999"/>
    <n v="2024"/>
    <n v="7"/>
    <n v="2024"/>
    <n v="4"/>
    <s v="04"/>
    <x v="6"/>
    <x v="6"/>
    <n v="14489.36"/>
  </r>
  <r>
    <d v="2024-07-23T00:00:00"/>
    <s v="OPT-CNXBAN-24-Jul-2024-51500-P-E-I"/>
    <s v="NSE"/>
    <x v="1"/>
    <n v="75"/>
    <n v="0"/>
    <n v="275.98"/>
    <n v="20698.5"/>
    <s v="#202407233700002991"/>
    <n v="0"/>
    <n v="10.35"/>
    <n v="0.62"/>
    <n v="0.01"/>
    <n v="100"/>
    <n v="19.88"/>
    <n v="130.86000000000001"/>
    <n v="2024"/>
    <n v="7"/>
    <n v="2024"/>
    <n v="4"/>
    <s v="04"/>
    <x v="6"/>
    <x v="6"/>
    <n v="-20829.36"/>
  </r>
  <r>
    <d v="2024-07-24T00:00:00"/>
    <s v="OPT-CNXBAN-24-Jul-2024-52500-C-E-I"/>
    <s v="NSE"/>
    <x v="0"/>
    <n v="195"/>
    <n v="0"/>
    <n v="8.75"/>
    <n v="1706.25"/>
    <s v="#202407243700012998"/>
    <n v="1.07"/>
    <n v="0.85"/>
    <n v="0"/>
    <n v="0"/>
    <n v="260"/>
    <n v="46.96"/>
    <n v="308.88"/>
    <n v="2024"/>
    <n v="7"/>
    <n v="2024"/>
    <n v="4"/>
    <s v="04"/>
    <x v="6"/>
    <x v="6"/>
    <n v="1397.37"/>
  </r>
  <r>
    <d v="2024-07-24T00:00:00"/>
    <s v="OPT-CNXBAN-24-Jul-2024-52500-C-E-I"/>
    <s v="NSE"/>
    <x v="0"/>
    <n v="900"/>
    <n v="0"/>
    <n v="8.6999999999999993"/>
    <n v="7830"/>
    <s v="#202407243700012974"/>
    <n v="4.8899999999999997"/>
    <n v="3.92"/>
    <n v="0"/>
    <n v="0"/>
    <n v="1200"/>
    <n v="216.7"/>
    <n v="1425.51"/>
    <n v="2024"/>
    <n v="7"/>
    <n v="2024"/>
    <n v="4"/>
    <s v="04"/>
    <x v="6"/>
    <x v="6"/>
    <n v="6404.49"/>
  </r>
  <r>
    <d v="2024-07-24T00:00:00"/>
    <s v="OPT-CNXBAN-24-Jul-2024-52500-C-E-I"/>
    <s v="NSE"/>
    <x v="0"/>
    <n v="900"/>
    <n v="0"/>
    <n v="8.75"/>
    <n v="7875"/>
    <s v="#202407243700012951"/>
    <n v="5.03"/>
    <n v="3.94"/>
    <n v="0"/>
    <n v="0"/>
    <n v="1200"/>
    <n v="216.72"/>
    <n v="1425.69"/>
    <n v="2024"/>
    <n v="7"/>
    <n v="2024"/>
    <n v="4"/>
    <s v="04"/>
    <x v="6"/>
    <x v="6"/>
    <n v="6449.3099999999995"/>
  </r>
  <r>
    <d v="2024-07-24T00:00:00"/>
    <s v="OPT-CNXBAN-24-Jul-2024-52500-C-E-I"/>
    <s v="NSE"/>
    <x v="1"/>
    <n v="900"/>
    <n v="0"/>
    <n v="16.25"/>
    <n v="14625"/>
    <s v="#202407243700011697"/>
    <n v="0"/>
    <n v="7.32"/>
    <n v="0"/>
    <n v="0.02"/>
    <n v="1200"/>
    <n v="217.3"/>
    <n v="1424.64"/>
    <n v="2024"/>
    <n v="7"/>
    <n v="2024"/>
    <n v="4"/>
    <s v="04"/>
    <x v="6"/>
    <x v="6"/>
    <n v="-16049.64"/>
  </r>
  <r>
    <d v="2024-07-24T00:00:00"/>
    <s v="OPT-CNXBAN-24-Jul-2024-52500-C-E-I"/>
    <s v="NSE"/>
    <x v="1"/>
    <n v="900"/>
    <n v="0"/>
    <n v="21.25"/>
    <n v="19125"/>
    <s v="#202407243700001880"/>
    <n v="0"/>
    <n v="9.57"/>
    <n v="1"/>
    <n v="0.02"/>
    <n v="1200"/>
    <n v="217.74"/>
    <n v="1428.33"/>
    <n v="2024"/>
    <n v="7"/>
    <n v="2024"/>
    <n v="4"/>
    <s v="04"/>
    <x v="6"/>
    <x v="6"/>
    <n v="-20553.330000000002"/>
  </r>
  <r>
    <d v="2024-08-07T00:00:00"/>
    <s v="OPT-CNXBAN-07-Aug-2024-50200-C-E-I"/>
    <s v="NSE"/>
    <x v="0"/>
    <n v="210"/>
    <n v="0"/>
    <n v="15.25"/>
    <n v="3202.5"/>
    <s v="#202408073700023365"/>
    <n v="2"/>
    <n v="1.6"/>
    <n v="0"/>
    <n v="0"/>
    <n v="280"/>
    <n v="50.68"/>
    <n v="334.28"/>
    <n v="2024"/>
    <n v="8"/>
    <n v="2024"/>
    <n v="5"/>
    <s v="05"/>
    <x v="7"/>
    <x v="7"/>
    <n v="2868.2200000000003"/>
  </r>
  <r>
    <d v="2024-08-07T00:00:00"/>
    <s v="OPT-CNXBAN-07-Aug-2024-50200-C-E-I"/>
    <s v="NSE"/>
    <x v="0"/>
    <n v="900"/>
    <n v="0"/>
    <n v="15.25"/>
    <n v="13725"/>
    <s v="#202408073700023346"/>
    <n v="9"/>
    <n v="6.86"/>
    <n v="0"/>
    <n v="0.02"/>
    <n v="1200"/>
    <n v="217.24"/>
    <n v="1433.12"/>
    <n v="2024"/>
    <n v="8"/>
    <n v="2024"/>
    <n v="5"/>
    <s v="05"/>
    <x v="7"/>
    <x v="7"/>
    <n v="12291.880000000001"/>
  </r>
  <r>
    <d v="2024-08-07T00:00:00"/>
    <s v="OPT-CNXBAN-07-Aug-2024-50200-C-E-I"/>
    <s v="NSE"/>
    <x v="1"/>
    <n v="900"/>
    <n v="0"/>
    <n v="33.25"/>
    <n v="29925"/>
    <s v="#202408073700017198"/>
    <n v="0"/>
    <n v="14.97"/>
    <n v="2"/>
    <n v="0.02"/>
    <n v="1200"/>
    <n v="218.7"/>
    <n v="1435.69"/>
    <n v="2024"/>
    <n v="8"/>
    <n v="2024"/>
    <n v="5"/>
    <s v="05"/>
    <x v="7"/>
    <x v="7"/>
    <n v="-31360.69"/>
  </r>
  <r>
    <d v="2024-08-07T00:00:00"/>
    <s v="OPT-CNXBAN-07-Aug-2024-50200-C-E-I"/>
    <s v="NSE"/>
    <x v="1"/>
    <n v="210"/>
    <n v="0"/>
    <n v="101.25"/>
    <n v="21262.5"/>
    <s v="#202408073700010955"/>
    <n v="0"/>
    <n v="10.63"/>
    <n v="0"/>
    <n v="0.02"/>
    <n v="280"/>
    <n v="52.32"/>
    <n v="342.97"/>
    <n v="2024"/>
    <n v="8"/>
    <n v="2024"/>
    <n v="5"/>
    <s v="05"/>
    <x v="7"/>
    <x v="7"/>
    <n v="-21605.47"/>
  </r>
  <r>
    <d v="2024-08-14T00:00:00"/>
    <s v="OPT-CNXBAN-14-Aug-2024-49600-C-E-I"/>
    <s v="NSE"/>
    <x v="0"/>
    <n v="150"/>
    <n v="0"/>
    <n v="185.25"/>
    <n v="27787.5"/>
    <s v="#202408143700013405"/>
    <n v="17"/>
    <n v="13.9"/>
    <n v="0"/>
    <n v="0.03"/>
    <n v="200"/>
    <n v="38.520000000000003"/>
    <n v="269.45"/>
    <n v="2024"/>
    <n v="8"/>
    <n v="2024"/>
    <n v="5"/>
    <s v="05"/>
    <x v="7"/>
    <x v="7"/>
    <n v="27518.05"/>
  </r>
  <r>
    <d v="2024-08-14T00:00:00"/>
    <s v="OPT-CNXBAN-14-Aug-2024-49600-C-E-I"/>
    <s v="NSE"/>
    <x v="1"/>
    <n v="75"/>
    <n v="0"/>
    <n v="145"/>
    <n v="10875"/>
    <s v="#202408143700012472"/>
    <n v="0"/>
    <n v="5.44"/>
    <n v="0"/>
    <n v="0.01"/>
    <n v="100"/>
    <n v="18.98"/>
    <n v="124.43"/>
    <n v="2024"/>
    <n v="8"/>
    <n v="2024"/>
    <n v="5"/>
    <s v="05"/>
    <x v="7"/>
    <x v="7"/>
    <n v="-10999.43"/>
  </r>
  <r>
    <d v="2024-08-14T00:00:00"/>
    <s v="OPT-CNXBAN-14-Aug-2024-49600-C-E-I"/>
    <s v="NSE"/>
    <x v="1"/>
    <n v="75"/>
    <n v="0"/>
    <n v="195"/>
    <n v="14625"/>
    <s v="#202408143700006914"/>
    <n v="0"/>
    <n v="7.31"/>
    <n v="1"/>
    <n v="0.01"/>
    <n v="100"/>
    <n v="19.32"/>
    <n v="127.64"/>
    <n v="2024"/>
    <n v="8"/>
    <n v="2024"/>
    <n v="5"/>
    <s v="05"/>
    <x v="7"/>
    <x v="7"/>
    <n v="-14752.64"/>
  </r>
  <r>
    <d v="2024-09-20T00:00:00"/>
    <s v="OPT-CNXBAN-25-Sep-2024-53400-P-E-I"/>
    <s v="NSE"/>
    <x v="1"/>
    <n v="15"/>
    <n v="0"/>
    <n v="244"/>
    <n v="3660"/>
    <s v="#202409203700028224"/>
    <n v="0"/>
    <n v="1.83"/>
    <n v="0"/>
    <n v="0"/>
    <n v="20"/>
    <n v="3.92"/>
    <n v="25.75"/>
    <n v="2024"/>
    <n v="9"/>
    <n v="2024"/>
    <n v="6"/>
    <s v="06"/>
    <x v="8"/>
    <x v="8"/>
    <n v="-3685.75"/>
  </r>
  <r>
    <d v="2024-09-20T00:00:00"/>
    <s v="OPT-CNXBAN-25-Sep-2024-53400-P-E-I"/>
    <s v="NSE"/>
    <x v="1"/>
    <n v="15"/>
    <n v="0"/>
    <n v="295.64999999999998"/>
    <n v="4434.75"/>
    <s v="#202409203700027816"/>
    <n v="0"/>
    <n v="2.2200000000000002"/>
    <n v="0"/>
    <n v="0"/>
    <n v="20"/>
    <n v="4"/>
    <n v="26.22"/>
    <n v="2024"/>
    <n v="9"/>
    <n v="2024"/>
    <n v="6"/>
    <s v="06"/>
    <x v="8"/>
    <x v="8"/>
    <n v="-4460.97"/>
  </r>
  <r>
    <d v="2024-09-20T00:00:00"/>
    <s v="OPT-CNXBAN-25-Sep-2024-53400-P-E-I"/>
    <s v="NSE"/>
    <x v="1"/>
    <n v="15"/>
    <n v="0"/>
    <n v="329.25"/>
    <n v="4938.75"/>
    <s v="#202409203700027257"/>
    <n v="0"/>
    <n v="2.4700000000000002"/>
    <n v="0.39"/>
    <n v="0"/>
    <n v="20"/>
    <n v="4.04"/>
    <n v="26.9"/>
    <n v="2024"/>
    <n v="9"/>
    <n v="2024"/>
    <n v="6"/>
    <s v="06"/>
    <x v="8"/>
    <x v="8"/>
    <n v="-4965.6499999999996"/>
  </r>
  <r>
    <d v="2024-09-20T00:00:00"/>
    <s v="OPT-CNXBAN-25-Sep-2024-53600-P-E-I"/>
    <s v="NSE"/>
    <x v="0"/>
    <n v="60"/>
    <n v="0"/>
    <n v="375.25"/>
    <n v="22515"/>
    <s v="#202409203700018721"/>
    <n v="14"/>
    <n v="11.26"/>
    <n v="0"/>
    <n v="0.02"/>
    <n v="80"/>
    <n v="16.440000000000001"/>
    <n v="121.72"/>
    <n v="2024"/>
    <n v="9"/>
    <n v="2024"/>
    <n v="6"/>
    <s v="06"/>
    <x v="8"/>
    <x v="8"/>
    <n v="22393.279999999999"/>
  </r>
  <r>
    <d v="2024-09-20T00:00:00"/>
    <s v="OPT-CNXBAN-25-Sep-2024-53600-P-E-I"/>
    <s v="NSE"/>
    <x v="1"/>
    <n v="60"/>
    <n v="0"/>
    <n v="345"/>
    <n v="20700"/>
    <s v="#202409203700017858"/>
    <n v="0"/>
    <n v="10.35"/>
    <n v="0.61"/>
    <n v="0.02"/>
    <n v="80"/>
    <n v="16.260000000000002"/>
    <n v="107.24"/>
    <n v="2024"/>
    <n v="9"/>
    <n v="2024"/>
    <n v="6"/>
    <s v="06"/>
    <x v="8"/>
    <x v="8"/>
    <n v="-20807.240000000002"/>
  </r>
  <r>
    <d v="2024-09-24T00:00:00"/>
    <s v="OPT-CNXBAN-25-Sep-2024-53400-P-E-I"/>
    <s v="NSE"/>
    <x v="1"/>
    <n v="210"/>
    <n v="0"/>
    <n v="25"/>
    <n v="5250"/>
    <s v="#202409243700019760"/>
    <n v="0"/>
    <n v="2.62"/>
    <n v="0"/>
    <n v="0"/>
    <n v="280"/>
    <n v="50.86"/>
    <n v="333.48"/>
    <n v="2024"/>
    <n v="9"/>
    <n v="2024"/>
    <n v="6"/>
    <s v="06"/>
    <x v="8"/>
    <x v="8"/>
    <n v="-5583.48"/>
  </r>
  <r>
    <d v="2024-09-24T00:00:00"/>
    <s v="OPT-CNXBAN-25-Sep-2024-53400-P-E-I"/>
    <s v="NSE"/>
    <x v="1"/>
    <n v="210"/>
    <n v="0"/>
    <n v="39.5"/>
    <n v="8295"/>
    <s v="#202409243700005081"/>
    <n v="0"/>
    <n v="4.1500000000000004"/>
    <n v="1"/>
    <n v="0.01"/>
    <n v="280"/>
    <n v="51.14"/>
    <n v="336.3"/>
    <n v="2024"/>
    <n v="9"/>
    <n v="2024"/>
    <n v="6"/>
    <s v="06"/>
    <x v="8"/>
    <x v="8"/>
    <n v="-8631.2999999999993"/>
  </r>
  <r>
    <d v="2024-09-24T00:00:00"/>
    <s v="OPT-CNXBAN-25-Sep-2024-53400-P-E-I"/>
    <s v="NSE"/>
    <x v="1"/>
    <n v="210"/>
    <n v="0"/>
    <n v="55.25"/>
    <n v="11602.5"/>
    <s v="#202409243700002217"/>
    <n v="0"/>
    <n v="5.8"/>
    <n v="0"/>
    <n v="0.01"/>
    <n v="280"/>
    <n v="51.46"/>
    <n v="337.27"/>
    <n v="2024"/>
    <n v="9"/>
    <n v="2024"/>
    <n v="6"/>
    <s v="06"/>
    <x v="8"/>
    <x v="8"/>
    <n v="-11939.77"/>
  </r>
  <r>
    <d v="2024-09-25T00:00:00"/>
    <s v="OPT-CNXBAN-25-Sep-2024-53400-P-E-I"/>
    <s v="NSE"/>
    <x v="0"/>
    <n v="675"/>
    <n v="0"/>
    <n v="5"/>
    <n v="3375"/>
    <s v="#202409253700018335"/>
    <n v="2.0099999999999998"/>
    <n v="1.7"/>
    <n v="0"/>
    <n v="0"/>
    <n v="900"/>
    <n v="162.28"/>
    <n v="1065.99"/>
    <n v="2024"/>
    <n v="9"/>
    <n v="2024"/>
    <n v="6"/>
    <s v="06"/>
    <x v="8"/>
    <x v="8"/>
    <n v="2309.0100000000002"/>
  </r>
  <r>
    <d v="2024-10-01T00:00:00"/>
    <s v="OPT-CNXBAN-01-Oct-2024-52600-P-E-I"/>
    <s v="NSE"/>
    <x v="0"/>
    <n v="900"/>
    <n v="0"/>
    <n v="5"/>
    <n v="4500"/>
    <s v="#202410013700016116"/>
    <n v="4.38"/>
    <n v="1.6"/>
    <n v="0"/>
    <n v="0"/>
    <n v="1200"/>
    <n v="216.3"/>
    <n v="1422.28"/>
    <n v="2024"/>
    <n v="10"/>
    <n v="2024"/>
    <n v="7"/>
    <s v="07"/>
    <x v="9"/>
    <x v="9"/>
    <n v="3077.7200000000003"/>
  </r>
  <r>
    <d v="2024-10-01T00:00:00"/>
    <s v="OPT-CNXBAN-01-Oct-2024-52600-P-E-I"/>
    <s v="NSE"/>
    <x v="0"/>
    <n v="900"/>
    <n v="0"/>
    <n v="5"/>
    <n v="4500"/>
    <s v="#202410013700016095"/>
    <n v="4.5"/>
    <n v="1.6"/>
    <n v="0"/>
    <n v="0"/>
    <n v="1200"/>
    <n v="216.28"/>
    <n v="1422.38"/>
    <n v="2024"/>
    <n v="10"/>
    <n v="2024"/>
    <n v="7"/>
    <s v="07"/>
    <x v="9"/>
    <x v="9"/>
    <n v="3077.62"/>
  </r>
  <r>
    <d v="2024-10-01T00:00:00"/>
    <s v="OPT-CNXBAN-01-Oct-2024-52600-P-E-I"/>
    <s v="NSE"/>
    <x v="0"/>
    <n v="900"/>
    <n v="0"/>
    <n v="5"/>
    <n v="4500"/>
    <s v="#202410013700016052"/>
    <n v="4.53"/>
    <n v="1.61"/>
    <n v="0"/>
    <n v="0"/>
    <n v="1200"/>
    <n v="216.28"/>
    <n v="1422.42"/>
    <n v="2024"/>
    <n v="10"/>
    <n v="2024"/>
    <n v="7"/>
    <s v="07"/>
    <x v="9"/>
    <x v="9"/>
    <n v="3077.58"/>
  </r>
  <r>
    <d v="2024-10-01T00:00:00"/>
    <s v="OPT-CNXBAN-01-Oct-2024-52600-P-E-I"/>
    <s v="NSE"/>
    <x v="0"/>
    <n v="900"/>
    <n v="0"/>
    <n v="6.25"/>
    <n v="5625"/>
    <s v="#202410013700015064"/>
    <n v="5.63"/>
    <n v="2"/>
    <n v="0"/>
    <n v="0.01"/>
    <n v="1200"/>
    <n v="216.36"/>
    <n v="1424"/>
    <n v="2024"/>
    <n v="10"/>
    <n v="2024"/>
    <n v="7"/>
    <s v="07"/>
    <x v="9"/>
    <x v="9"/>
    <n v="4201"/>
  </r>
  <r>
    <d v="2024-10-01T00:00:00"/>
    <s v="OPT-CNXBAN-01-Oct-2024-52600-P-E-I"/>
    <s v="NSE"/>
    <x v="1"/>
    <n v="900"/>
    <n v="0"/>
    <n v="10"/>
    <n v="9000"/>
    <s v="#202410013700014274"/>
    <n v="0"/>
    <n v="3.19"/>
    <n v="0"/>
    <n v="0"/>
    <n v="1200"/>
    <n v="216.58"/>
    <n v="1419.77"/>
    <n v="2024"/>
    <n v="10"/>
    <n v="2024"/>
    <n v="7"/>
    <s v="07"/>
    <x v="9"/>
    <x v="9"/>
    <n v="-10419.77"/>
  </r>
  <r>
    <d v="2024-10-01T00:00:00"/>
    <s v="OPT-CNXBAN-01-Oct-2024-52600-P-E-I"/>
    <s v="NSE"/>
    <x v="1"/>
    <n v="900"/>
    <n v="0"/>
    <n v="11"/>
    <n v="9900"/>
    <s v="#202410013700014076"/>
    <n v="0"/>
    <n v="3.52"/>
    <n v="0"/>
    <n v="0"/>
    <n v="1200"/>
    <n v="216.62"/>
    <n v="1420.14"/>
    <n v="2024"/>
    <n v="10"/>
    <n v="2024"/>
    <n v="7"/>
    <s v="07"/>
    <x v="9"/>
    <x v="9"/>
    <n v="-11320.14"/>
  </r>
  <r>
    <d v="2024-10-01T00:00:00"/>
    <s v="OPT-CNXBAN-01-Oct-2024-52600-P-E-I"/>
    <s v="NSE"/>
    <x v="1"/>
    <n v="900"/>
    <n v="0"/>
    <n v="14.25"/>
    <n v="12825"/>
    <s v="#202410013700013040"/>
    <n v="0"/>
    <n v="4.57"/>
    <n v="0"/>
    <n v="0.01"/>
    <n v="1200"/>
    <n v="216.84"/>
    <n v="1421.42"/>
    <n v="2024"/>
    <n v="10"/>
    <n v="2024"/>
    <n v="7"/>
    <s v="07"/>
    <x v="9"/>
    <x v="9"/>
    <n v="-14246.42"/>
  </r>
  <r>
    <d v="2024-10-01T00:00:00"/>
    <s v="OPT-CNXBAN-01-Oct-2024-52600-P-E-I"/>
    <s v="NSE"/>
    <x v="1"/>
    <n v="900"/>
    <n v="0"/>
    <n v="14"/>
    <n v="12600"/>
    <s v="#202410013700012956"/>
    <n v="0"/>
    <n v="4.4800000000000004"/>
    <n v="1"/>
    <n v="0.02"/>
    <n v="1200"/>
    <n v="216.82"/>
    <n v="1422.32"/>
    <n v="2024"/>
    <n v="10"/>
    <n v="2024"/>
    <n v="7"/>
    <s v="07"/>
    <x v="9"/>
    <x v="9"/>
    <n v="-14022.32"/>
  </r>
  <r>
    <d v="2024-11-05T00:00:00"/>
    <s v="OPT-CNXBAN-06-Nov-2024-52000-C-E-I"/>
    <s v="NSE"/>
    <x v="0"/>
    <n v="210"/>
    <n v="0"/>
    <n v="119.25"/>
    <n v="25042.5"/>
    <s v="#202411053700010395"/>
    <n v="25"/>
    <n v="8.89"/>
    <n v="0"/>
    <n v="0.02"/>
    <n v="280"/>
    <n v="52"/>
    <n v="365.91"/>
    <n v="2024"/>
    <n v="11"/>
    <n v="2024"/>
    <n v="8"/>
    <s v="08"/>
    <x v="10"/>
    <x v="10"/>
    <n v="24676.59"/>
  </r>
  <r>
    <d v="2024-11-05T00:00:00"/>
    <s v="OPT-CNXBAN-06-Nov-2024-52000-C-E-I"/>
    <s v="NSE"/>
    <x v="1"/>
    <n v="210"/>
    <n v="0"/>
    <n v="89"/>
    <n v="18690"/>
    <s v="#202411053700010072"/>
    <n v="0"/>
    <n v="6.63"/>
    <n v="1"/>
    <n v="0.01"/>
    <n v="280"/>
    <n v="51.6"/>
    <n v="339.24"/>
    <n v="2024"/>
    <n v="11"/>
    <n v="2024"/>
    <n v="8"/>
    <s v="08"/>
    <x v="10"/>
    <x v="10"/>
    <n v="-19029.240000000002"/>
  </r>
  <r>
    <d v="2024-11-06T00:00:00"/>
    <s v="OPT-CNXBAN-06-Nov-2024-53000-C-E-I"/>
    <s v="NSE"/>
    <x v="0"/>
    <n v="900"/>
    <n v="0"/>
    <n v="3.9"/>
    <n v="3510"/>
    <s v="#202411063700020506"/>
    <n v="3.59"/>
    <n v="1.25"/>
    <n v="0"/>
    <n v="0"/>
    <n v="1200"/>
    <n v="216.24"/>
    <n v="1421.08"/>
    <n v="2024"/>
    <n v="11"/>
    <n v="2024"/>
    <n v="8"/>
    <s v="08"/>
    <x v="10"/>
    <x v="10"/>
    <n v="2088.92"/>
  </r>
  <r>
    <d v="2024-11-06T00:00:00"/>
    <s v="OPT-CNXBAN-06-Nov-2024-53000-C-E-I"/>
    <s v="NSE"/>
    <x v="0"/>
    <n v="900"/>
    <n v="0"/>
    <n v="2.4500000000000002"/>
    <n v="2205"/>
    <s v="#202411063700020488"/>
    <n v="2.2000000000000002"/>
    <n v="0.79"/>
    <n v="0"/>
    <n v="0"/>
    <n v="1200"/>
    <n v="216.14"/>
    <n v="1419.13"/>
    <n v="2024"/>
    <n v="11"/>
    <n v="2024"/>
    <n v="8"/>
    <s v="08"/>
    <x v="10"/>
    <x v="10"/>
    <n v="785.86999999999989"/>
  </r>
  <r>
    <d v="2024-11-06T00:00:00"/>
    <s v="OPT-CNXBAN-06-Nov-2024-53000-C-E-I"/>
    <s v="NSE"/>
    <x v="0"/>
    <n v="900"/>
    <n v="0"/>
    <n v="2.4500000000000002"/>
    <n v="2205"/>
    <s v="#202411063700020450"/>
    <n v="2.21"/>
    <n v="0.78"/>
    <n v="0"/>
    <n v="0"/>
    <n v="1200"/>
    <n v="216.14"/>
    <n v="1419.13"/>
    <n v="2024"/>
    <n v="11"/>
    <n v="2024"/>
    <n v="8"/>
    <s v="08"/>
    <x v="10"/>
    <x v="10"/>
    <n v="785.86999999999989"/>
  </r>
  <r>
    <d v="2024-11-06T00:00:00"/>
    <s v="OPT-CNXBAN-06-Nov-2024-53000-C-E-I"/>
    <s v="NSE"/>
    <x v="1"/>
    <n v="900"/>
    <n v="0"/>
    <n v="11.25"/>
    <n v="10125"/>
    <s v="#202411063700008941"/>
    <n v="0"/>
    <n v="3.6"/>
    <n v="0"/>
    <n v="0.01"/>
    <n v="1200"/>
    <n v="216.66"/>
    <n v="1420.27"/>
    <n v="2024"/>
    <n v="11"/>
    <n v="2024"/>
    <n v="8"/>
    <s v="08"/>
    <x v="10"/>
    <x v="10"/>
    <n v="-11545.27"/>
  </r>
  <r>
    <d v="2024-11-06T00:00:00"/>
    <s v="OPT-CNXBAN-06-Nov-2024-53000-C-E-I"/>
    <s v="NSE"/>
    <x v="1"/>
    <n v="900"/>
    <n v="0"/>
    <n v="20"/>
    <n v="18000"/>
    <s v="#202411063700005998"/>
    <n v="0"/>
    <n v="6.39"/>
    <n v="2"/>
    <n v="0.01"/>
    <n v="1200"/>
    <n v="217.16"/>
    <n v="1425.56"/>
    <n v="2024"/>
    <n v="11"/>
    <n v="2024"/>
    <n v="8"/>
    <s v="08"/>
    <x v="10"/>
    <x v="10"/>
    <n v="-19425.560000000001"/>
  </r>
  <r>
    <d v="2024-11-06T00:00:00"/>
    <s v="OPT-CNXBAN-06-Nov-2024-53000-C-E-I"/>
    <s v="NSE"/>
    <x v="1"/>
    <n v="900"/>
    <n v="0"/>
    <n v="41.25"/>
    <n v="37125"/>
    <s v="#202411062500000737"/>
    <n v="0"/>
    <n v="13.2"/>
    <n v="0"/>
    <n v="0.04"/>
    <n v="1200"/>
    <n v="218.4"/>
    <n v="1431.64"/>
    <n v="2024"/>
    <n v="11"/>
    <n v="2024"/>
    <n v="8"/>
    <s v="08"/>
    <x v="10"/>
    <x v="10"/>
    <n v="-38556.639999999999"/>
  </r>
  <r>
    <d v="2024-11-19T00:00:00"/>
    <s v="OPT-CNXBAN-27-Nov-2024-50000-P-E-I"/>
    <s v="NSE"/>
    <x v="1"/>
    <n v="15"/>
    <n v="0"/>
    <n v="200.8"/>
    <n v="3012"/>
    <s v="#202411193700022342"/>
    <n v="0"/>
    <n v="1.07"/>
    <n v="0"/>
    <n v="0"/>
    <n v="20"/>
    <n v="3.8"/>
    <n v="24.87"/>
    <n v="2024"/>
    <n v="11"/>
    <n v="2024"/>
    <n v="8"/>
    <s v="08"/>
    <x v="10"/>
    <x v="10"/>
    <n v="-3036.87"/>
  </r>
  <r>
    <d v="2024-11-21T00:00:00"/>
    <s v="OPT-CNXBAN-27-Nov-2024-49000-P-E-I"/>
    <s v="NSE"/>
    <x v="1"/>
    <n v="15"/>
    <n v="0"/>
    <n v="104"/>
    <n v="1560"/>
    <s v="#202411213700019130"/>
    <n v="0"/>
    <n v="0.55000000000000004"/>
    <n v="0"/>
    <n v="0"/>
    <n v="20"/>
    <n v="3.7"/>
    <n v="24.25"/>
    <n v="2024"/>
    <n v="11"/>
    <n v="2024"/>
    <n v="8"/>
    <s v="08"/>
    <x v="10"/>
    <x v="10"/>
    <n v="-1584.25"/>
  </r>
  <r>
    <d v="2024-11-21T00:00:00"/>
    <s v="OPT-NIFTY-21-Nov-2024-23300-C-E-I"/>
    <s v="NSE"/>
    <x v="0"/>
    <n v="50"/>
    <n v="0"/>
    <n v="52.25"/>
    <n v="2612.5"/>
    <s v="#202411213700010450"/>
    <n v="2.61"/>
    <n v="0.93"/>
    <n v="0"/>
    <n v="0"/>
    <n v="40"/>
    <n v="7.36"/>
    <n v="50.9"/>
    <n v="2024"/>
    <n v="11"/>
    <n v="2024"/>
    <n v="8"/>
    <s v="08"/>
    <x v="10"/>
    <x v="10"/>
    <n v="2561.6"/>
  </r>
  <r>
    <d v="2024-11-21T00:00:00"/>
    <s v="OPT-NIFTY-21-Nov-2024-23300-C-E-I"/>
    <s v="NSE"/>
    <x v="1"/>
    <n v="25"/>
    <n v="0"/>
    <n v="31.8"/>
    <n v="795"/>
    <s v="#202411213700009633"/>
    <n v="0"/>
    <n v="0.28000000000000003"/>
    <n v="0"/>
    <n v="0"/>
    <n v="20"/>
    <n v="3.66"/>
    <n v="23.94"/>
    <n v="2024"/>
    <n v="11"/>
    <n v="2024"/>
    <n v="8"/>
    <s v="08"/>
    <x v="10"/>
    <x v="10"/>
    <n v="-818.94"/>
  </r>
  <r>
    <d v="2024-11-21T00:00:00"/>
    <s v="OPT-NIFTY-21-Nov-2024-23300-C-E-I"/>
    <s v="NSE"/>
    <x v="1"/>
    <n v="25"/>
    <n v="0"/>
    <n v="32.15"/>
    <n v="803.75"/>
    <s v="#202411213700009035"/>
    <n v="0"/>
    <n v="0.28999999999999998"/>
    <n v="0"/>
    <n v="0"/>
    <n v="20"/>
    <n v="3.66"/>
    <n v="23.95"/>
    <n v="2024"/>
    <n v="11"/>
    <n v="2024"/>
    <n v="8"/>
    <s v="08"/>
    <x v="10"/>
    <x v="10"/>
    <n v="-827.7"/>
  </r>
  <r>
    <d v="2024-11-21T00:00:00"/>
    <s v="OPT-CNXBAN-27-Nov-2024-50000-P-E-I"/>
    <s v="NSE"/>
    <x v="0"/>
    <n v="15"/>
    <n v="0"/>
    <n v="380.8"/>
    <n v="5712"/>
    <s v="#202411213700001653"/>
    <n v="5.39"/>
    <n v="2.0299999999999998"/>
    <n v="0"/>
    <n v="0.01"/>
    <n v="20"/>
    <n v="3.96"/>
    <n v="31.39"/>
    <n v="2024"/>
    <n v="11"/>
    <n v="2024"/>
    <n v="8"/>
    <s v="08"/>
    <x v="10"/>
    <x v="10"/>
    <n v="5680.61"/>
  </r>
  <r>
    <d v="2024-11-26T00:00:00"/>
    <s v="OPT-CNXBAN-27-Nov-2024-49000-P-E-I"/>
    <s v="NSE"/>
    <x v="0"/>
    <n v="15"/>
    <n v="0"/>
    <n v="3.35"/>
    <n v="50.25"/>
    <s v="#202411263700019660"/>
    <n v="0"/>
    <n v="0.02"/>
    <n v="0"/>
    <n v="0"/>
    <n v="20"/>
    <n v="3.6"/>
    <n v="23.62"/>
    <n v="2024"/>
    <n v="11"/>
    <n v="2024"/>
    <n v="8"/>
    <s v="08"/>
    <x v="10"/>
    <x v="10"/>
    <n v="26.63"/>
  </r>
  <r>
    <d v="2024-11-29T00:00:00"/>
    <s v="OPT-CNXBAN-24-Dec-2024-49000-P-E-I"/>
    <s v="NSE"/>
    <x v="1"/>
    <n v="15"/>
    <n v="0"/>
    <n v="110"/>
    <n v="1650"/>
    <s v="#202411293700018464"/>
    <n v="0"/>
    <n v="0.59"/>
    <n v="0"/>
    <n v="0"/>
    <n v="20"/>
    <n v="3.7"/>
    <n v="24.29"/>
    <n v="2024"/>
    <n v="11"/>
    <n v="2024"/>
    <n v="8"/>
    <s v="08"/>
    <x v="10"/>
    <x v="10"/>
    <n v="-1674.29"/>
  </r>
  <r>
    <d v="2024-12-02T00:00:00"/>
    <s v="OPT-CNXBAN-24-Dec-2024-49000-P-E-I"/>
    <s v="NSE"/>
    <x v="1"/>
    <n v="45"/>
    <n v="0"/>
    <n v="131.1"/>
    <n v="5899.5"/>
    <s v="#202412023700007623"/>
    <n v="0"/>
    <n v="2.1"/>
    <n v="0"/>
    <n v="0.01"/>
    <n v="60"/>
    <n v="11.18"/>
    <n v="73.290000000000006"/>
    <n v="2024"/>
    <n v="12"/>
    <n v="2024"/>
    <n v="9"/>
    <s v="09"/>
    <x v="11"/>
    <x v="11"/>
    <n v="-5972.79"/>
  </r>
  <r>
    <d v="2024-12-03T00:00:00"/>
    <s v="OPT-NIFTY-05-Dec-2024-24400-P-E-I"/>
    <s v="NSE"/>
    <x v="1"/>
    <n v="100"/>
    <n v="0"/>
    <n v="121"/>
    <n v="12100"/>
    <s v="#202412033700009477"/>
    <n v="0"/>
    <n v="4.3"/>
    <n v="0"/>
    <n v="0.01"/>
    <n v="80"/>
    <n v="15.18"/>
    <n v="99.49"/>
    <n v="2024"/>
    <n v="12"/>
    <n v="2024"/>
    <n v="9"/>
    <s v="09"/>
    <x v="11"/>
    <x v="11"/>
    <n v="-12199.49"/>
  </r>
  <r>
    <d v="2024-12-04T00:00:00"/>
    <s v="OPT-CNXBAN-24-Dec-2024-49000-P-E-I"/>
    <s v="NSE"/>
    <x v="1"/>
    <n v="210"/>
    <n v="0"/>
    <n v="61"/>
    <n v="12810"/>
    <s v="#202412043700012019"/>
    <n v="0"/>
    <n v="4.5599999999999996"/>
    <n v="0.38"/>
    <n v="0.01"/>
    <n v="280"/>
    <n v="51.22"/>
    <n v="336.17"/>
    <n v="2024"/>
    <n v="12"/>
    <n v="2024"/>
    <n v="9"/>
    <s v="09"/>
    <x v="11"/>
    <x v="11"/>
    <n v="-13146.17"/>
  </r>
  <r>
    <d v="2024-12-04T00:00:00"/>
    <s v="OPT-NIFTY-05-Dec-2024-24400-P-E-I"/>
    <s v="NSE"/>
    <x v="0"/>
    <n v="300"/>
    <n v="0"/>
    <n v="91.25"/>
    <n v="27375"/>
    <s v="#202412043700011560"/>
    <n v="27"/>
    <n v="9.73"/>
    <n v="0"/>
    <n v="0.03"/>
    <n v="240"/>
    <n v="44.96"/>
    <n v="321.72000000000003"/>
    <n v="2024"/>
    <n v="12"/>
    <n v="2024"/>
    <n v="9"/>
    <s v="09"/>
    <x v="11"/>
    <x v="11"/>
    <n v="27053.279999999999"/>
  </r>
  <r>
    <d v="2024-12-04T00:00:00"/>
    <s v="OPT-NIFTY-05-Dec-2024-24400-P-E-I"/>
    <s v="NSE"/>
    <x v="1"/>
    <n v="200"/>
    <n v="0"/>
    <n v="71.25"/>
    <n v="14250"/>
    <s v="#202412043700010215"/>
    <n v="0"/>
    <n v="5.08"/>
    <n v="0.62"/>
    <n v="0"/>
    <n v="160"/>
    <n v="29.68"/>
    <n v="195.38"/>
    <n v="2024"/>
    <n v="12"/>
    <n v="2024"/>
    <n v="9"/>
    <s v="09"/>
    <x v="11"/>
    <x v="11"/>
    <n v="-14445.38"/>
  </r>
  <r>
    <d v="2024-12-06T00:00:00"/>
    <s v="OPT-NIFTY-12-Dec-2024-24350-P-E-I"/>
    <s v="NSE"/>
    <x v="1"/>
    <n v="150"/>
    <n v="0"/>
    <n v="70.8"/>
    <n v="10620"/>
    <s v="#202412063700007927"/>
    <n v="0"/>
    <n v="3.77"/>
    <n v="0"/>
    <n v="0.01"/>
    <n v="120"/>
    <n v="22.28"/>
    <n v="146.06"/>
    <n v="2024"/>
    <n v="12"/>
    <n v="2024"/>
    <n v="9"/>
    <s v="09"/>
    <x v="11"/>
    <x v="11"/>
    <n v="-10766.06"/>
  </r>
  <r>
    <d v="2024-12-06T00:00:00"/>
    <s v="OPT-NIFTY-12-Dec-2024-24350-P-E-I"/>
    <s v="NSE"/>
    <x v="1"/>
    <n v="100"/>
    <n v="0"/>
    <n v="90.1"/>
    <n v="9010"/>
    <s v="#202412063700004140"/>
    <n v="0"/>
    <n v="3.2"/>
    <n v="0"/>
    <n v="0.01"/>
    <n v="80"/>
    <n v="14.98"/>
    <n v="98.19"/>
    <n v="2024"/>
    <n v="12"/>
    <n v="2024"/>
    <n v="9"/>
    <s v="09"/>
    <x v="11"/>
    <x v="11"/>
    <n v="-9108.19"/>
  </r>
  <r>
    <d v="2024-12-06T00:00:00"/>
    <s v="OPT-NIFTY-12-Dec-2024-24350-P-E-I"/>
    <s v="NSE"/>
    <x v="1"/>
    <n v="250"/>
    <n v="0"/>
    <n v="101.25"/>
    <n v="25312.5"/>
    <s v="#202412063700002690"/>
    <n v="0"/>
    <n v="9"/>
    <n v="1"/>
    <n v="0.03"/>
    <n v="200"/>
    <n v="37.619999999999997"/>
    <n v="247.65"/>
    <n v="2024"/>
    <n v="12"/>
    <n v="2024"/>
    <n v="9"/>
    <s v="09"/>
    <x v="11"/>
    <x v="11"/>
    <n v="-25560.15"/>
  </r>
  <r>
    <d v="2024-12-09T00:00:00"/>
    <s v="OPT-NIFTY-12-Dec-2024-24700-P-E-I"/>
    <s v="NSE"/>
    <x v="0"/>
    <n v="500"/>
    <n v="0"/>
    <n v="205.25"/>
    <n v="102625"/>
    <s v="#202412093700015341"/>
    <n v="103.01"/>
    <n v="36.47"/>
    <n v="0"/>
    <n v="0.1"/>
    <n v="400"/>
    <n v="78.58"/>
    <n v="618.16"/>
    <n v="2024"/>
    <n v="12"/>
    <n v="2024"/>
    <n v="9"/>
    <s v="09"/>
    <x v="11"/>
    <x v="11"/>
    <n v="102006.84"/>
  </r>
  <r>
    <d v="2024-12-09T00:00:00"/>
    <s v="OPT-NIFTY-12-Dec-2024-24700-P-E-I"/>
    <s v="NSE"/>
    <x v="1"/>
    <n v="500"/>
    <n v="0"/>
    <n v="174.55"/>
    <n v="87275"/>
    <s v="#202412093700010715"/>
    <n v="0"/>
    <n v="31.01"/>
    <n v="3"/>
    <n v="0.09"/>
    <n v="400"/>
    <n v="77.599999999999994"/>
    <n v="511.7"/>
    <n v="2024"/>
    <n v="12"/>
    <n v="2024"/>
    <n v="9"/>
    <s v="09"/>
    <x v="11"/>
    <x v="11"/>
    <n v="-87786.7"/>
  </r>
  <r>
    <d v="2024-12-10T00:00:00"/>
    <s v="OPT-NIFTY-12-Dec-2024-24650-P-E-I"/>
    <s v="NSE"/>
    <x v="0"/>
    <n v="500"/>
    <n v="0"/>
    <n v="165"/>
    <n v="82500"/>
    <s v="#202412103700009401"/>
    <n v="83"/>
    <n v="29.31"/>
    <n v="0"/>
    <n v="0.08"/>
    <n v="400"/>
    <n v="77.3"/>
    <n v="589.69000000000005"/>
    <n v="2024"/>
    <n v="12"/>
    <n v="2024"/>
    <n v="9"/>
    <s v="09"/>
    <x v="11"/>
    <x v="11"/>
    <n v="81910.31"/>
  </r>
  <r>
    <d v="2024-12-10T00:00:00"/>
    <s v="OPT-NIFTY-12-Dec-2024-24650-P-E-I"/>
    <s v="NSE"/>
    <x v="1"/>
    <n v="500"/>
    <n v="0"/>
    <n v="151.25"/>
    <n v="75625"/>
    <s v="#202412103700001564"/>
    <n v="0"/>
    <n v="26.88"/>
    <n v="2"/>
    <n v="0.08"/>
    <n v="400"/>
    <n v="76.84"/>
    <n v="505.8"/>
    <n v="2024"/>
    <n v="12"/>
    <n v="2024"/>
    <n v="9"/>
    <s v="09"/>
    <x v="11"/>
    <x v="11"/>
    <n v="-76130.8"/>
  </r>
  <r>
    <d v="2024-12-11T00:00:00"/>
    <s v="OPT-NIFTY-12-Dec-2024-24650-P-E-I"/>
    <s v="NSE"/>
    <x v="0"/>
    <n v="1000"/>
    <n v="0"/>
    <n v="69.06"/>
    <n v="69060"/>
    <s v="#202412113700016642"/>
    <n v="69.099999999999994"/>
    <n v="24.54"/>
    <n v="0"/>
    <n v="0.04"/>
    <n v="800"/>
    <n v="148.36000000000001"/>
    <n v="1042.04"/>
    <n v="2024"/>
    <n v="12"/>
    <n v="2024"/>
    <n v="9"/>
    <s v="09"/>
    <x v="11"/>
    <x v="11"/>
    <n v="68017.960000000006"/>
  </r>
  <r>
    <d v="2024-12-11T00:00:00"/>
    <s v="OPT-NIFTY-12-Dec-2024-24350-P-E-I"/>
    <s v="NSE"/>
    <x v="0"/>
    <n v="500"/>
    <n v="0"/>
    <n v="8.1"/>
    <n v="4050"/>
    <s v="#202412113700006420"/>
    <n v="4.05"/>
    <n v="1.44"/>
    <n v="0"/>
    <n v="0"/>
    <n v="400"/>
    <n v="72.260000000000005"/>
    <n v="477.75"/>
    <n v="2024"/>
    <n v="12"/>
    <n v="2024"/>
    <n v="9"/>
    <s v="09"/>
    <x v="11"/>
    <x v="11"/>
    <n v="3572.25"/>
  </r>
  <r>
    <d v="2024-12-11T00:00:00"/>
    <s v="OPT-NIFTY-12-Dec-2024-24650-P-E-I"/>
    <s v="NSE"/>
    <x v="1"/>
    <n v="1000"/>
    <n v="0"/>
    <n v="101.25"/>
    <n v="101250"/>
    <s v="#202412113700004424"/>
    <n v="0"/>
    <n v="35.979999999999997"/>
    <n v="3"/>
    <n v="0.11"/>
    <n v="800"/>
    <n v="150.46"/>
    <n v="989.55"/>
    <n v="2024"/>
    <n v="12"/>
    <n v="2024"/>
    <n v="9"/>
    <s v="09"/>
    <x v="11"/>
    <x v="11"/>
    <n v="-102239.55"/>
  </r>
  <r>
    <d v="2024-12-11T00:00:00"/>
    <s v="OPT-CNXBAN-24-Dec-2024-49000-P-E-I"/>
    <s v="NSE"/>
    <x v="0"/>
    <n v="270"/>
    <n v="0"/>
    <n v="21.1"/>
    <n v="5697"/>
    <s v="#202412113700000644"/>
    <n v="5.93"/>
    <n v="1.99"/>
    <n v="0"/>
    <n v="0"/>
    <n v="360"/>
    <n v="65.16"/>
    <n v="433.08"/>
    <n v="2024"/>
    <n v="12"/>
    <n v="2024"/>
    <n v="9"/>
    <s v="09"/>
    <x v="11"/>
    <x v="11"/>
    <n v="5263.92"/>
  </r>
  <r>
    <d v="2024-12-13T00:00:00"/>
    <s v="OPT-NIFTY-19-Dec-2024-24650-C-E-I"/>
    <s v="NSE"/>
    <x v="0"/>
    <n v="200"/>
    <n v="0"/>
    <n v="215.25"/>
    <n v="43050"/>
    <s v="#202412133700021488"/>
    <n v="43.3"/>
    <n v="15.28"/>
    <n v="0"/>
    <n v="0.05"/>
    <n v="160"/>
    <n v="31.52"/>
    <n v="250.15"/>
    <n v="2024"/>
    <n v="12"/>
    <n v="2024"/>
    <n v="9"/>
    <s v="09"/>
    <x v="11"/>
    <x v="11"/>
    <n v="42799.85"/>
  </r>
  <r>
    <d v="2024-12-13T00:00:00"/>
    <s v="OPT-NIFTY-19-Dec-2024-24650-C-E-I"/>
    <s v="NSE"/>
    <x v="1"/>
    <n v="200"/>
    <n v="0"/>
    <n v="193.95"/>
    <n v="38790"/>
    <s v="#202412133700021055"/>
    <n v="0"/>
    <n v="13.78"/>
    <n v="0.8"/>
    <n v="0.03"/>
    <n v="160"/>
    <n v="31.28"/>
    <n v="205.89"/>
    <n v="2024"/>
    <n v="12"/>
    <n v="2024"/>
    <n v="9"/>
    <s v="09"/>
    <x v="11"/>
    <x v="11"/>
    <n v="-38995.89"/>
  </r>
  <r>
    <d v="2024-12-13T00:00:00"/>
    <s v="OPT-NIFTY-19-Dec-2024-24550-C-E-I"/>
    <s v="NSE"/>
    <x v="0"/>
    <n v="100"/>
    <n v="0"/>
    <n v="241.65"/>
    <n v="24165"/>
    <s v="#202412133700018623"/>
    <n v="24.16"/>
    <n v="8.6"/>
    <n v="0"/>
    <n v="0.04"/>
    <n v="80"/>
    <n v="15.92"/>
    <n v="128.72"/>
    <n v="2024"/>
    <n v="12"/>
    <n v="2024"/>
    <n v="9"/>
    <s v="09"/>
    <x v="11"/>
    <x v="11"/>
    <n v="24036.28"/>
  </r>
  <r>
    <d v="2024-12-13T00:00:00"/>
    <s v="OPT-NIFTY-19-Dec-2024-24550-C-E-I"/>
    <s v="NSE"/>
    <x v="1"/>
    <n v="100"/>
    <n v="0"/>
    <n v="200.55"/>
    <n v="20055"/>
    <s v="#202412133700018408"/>
    <n v="0"/>
    <n v="7.13"/>
    <n v="0.6"/>
    <n v="0.02"/>
    <n v="80"/>
    <n v="15.68"/>
    <n v="103.43"/>
    <n v="2024"/>
    <n v="12"/>
    <n v="2024"/>
    <n v="9"/>
    <s v="09"/>
    <x v="11"/>
    <x v="11"/>
    <n v="-20158.43"/>
  </r>
  <r>
    <d v="2024-12-13T00:00:00"/>
    <s v="OPT-NIFTY-19-Dec-2024-24500-P-E-I"/>
    <s v="NSE"/>
    <x v="0"/>
    <n v="100"/>
    <n v="0"/>
    <n v="215.25"/>
    <n v="21525"/>
    <s v="#202412133700001539"/>
    <n v="21.52"/>
    <n v="7.64"/>
    <n v="0"/>
    <n v="0.02"/>
    <n v="80"/>
    <n v="15.76"/>
    <n v="124.94"/>
    <n v="2024"/>
    <n v="12"/>
    <n v="2024"/>
    <n v="9"/>
    <s v="09"/>
    <x v="11"/>
    <x v="11"/>
    <n v="21400.06"/>
  </r>
  <r>
    <d v="2024-12-13T00:00:00"/>
    <s v="OPT-NIFTY-19-Dec-2024-24500-P-E-I"/>
    <s v="NSE"/>
    <x v="1"/>
    <n v="100"/>
    <n v="0"/>
    <n v="201"/>
    <n v="20100"/>
    <s v="#202412133700001262"/>
    <n v="0"/>
    <n v="7.14"/>
    <n v="0.6"/>
    <n v="0.02"/>
    <n v="80"/>
    <n v="15.68"/>
    <n v="103.44"/>
    <n v="2024"/>
    <n v="12"/>
    <n v="2024"/>
    <n v="9"/>
    <s v="09"/>
    <x v="11"/>
    <x v="11"/>
    <n v="-20203.439999999999"/>
  </r>
  <r>
    <d v="2024-12-16T00:00:00"/>
    <s v="OPT-NIFTY-19-Dec-2024-24700-P-E-I"/>
    <s v="NSE"/>
    <x v="1"/>
    <n v="200"/>
    <n v="0"/>
    <n v="175.25"/>
    <n v="35050"/>
    <s v="#202412163700016230"/>
    <n v="0"/>
    <n v="12.46"/>
    <n v="1.05"/>
    <n v="0.04"/>
    <n v="160"/>
    <n v="31.04"/>
    <n v="204.59"/>
    <n v="2024"/>
    <n v="12"/>
    <n v="2024"/>
    <n v="9"/>
    <s v="09"/>
    <x v="11"/>
    <x v="11"/>
    <n v="-35254.589999999997"/>
  </r>
  <r>
    <d v="2024-12-16T00:00:00"/>
    <s v="OPT-NIFTY-19-Dec-2024-24600-P-E-I"/>
    <s v="NSE"/>
    <x v="0"/>
    <n v="250"/>
    <n v="0"/>
    <n v="162.25"/>
    <n v="40562.5"/>
    <s v="#202412163700011988"/>
    <n v="40.56"/>
    <n v="14.42"/>
    <n v="0"/>
    <n v="0.04"/>
    <n v="200"/>
    <n v="38.6"/>
    <n v="293.62"/>
    <n v="2024"/>
    <n v="12"/>
    <n v="2024"/>
    <n v="9"/>
    <s v="09"/>
    <x v="11"/>
    <x v="11"/>
    <n v="40268.879999999997"/>
  </r>
  <r>
    <d v="2024-12-16T00:00:00"/>
    <s v="OPT-NIFTY-19-Dec-2024-24600-P-E-I"/>
    <s v="NSE"/>
    <x v="1"/>
    <n v="250"/>
    <n v="0"/>
    <n v="151.25"/>
    <n v="37812.5"/>
    <s v="#202412163700009840"/>
    <n v="0"/>
    <n v="13.43"/>
    <n v="1.1299999999999999"/>
    <n v="0.04"/>
    <n v="200"/>
    <n v="38.42"/>
    <n v="253.02"/>
    <n v="2024"/>
    <n v="12"/>
    <n v="2024"/>
    <n v="9"/>
    <s v="09"/>
    <x v="11"/>
    <x v="11"/>
    <n v="-38065.519999999997"/>
  </r>
  <r>
    <d v="2024-12-16T00:00:00"/>
    <s v="OPT-NIFTY-19-Dec-2024-24650-P-E-I"/>
    <s v="NSE"/>
    <x v="0"/>
    <n v="250"/>
    <n v="0"/>
    <n v="157"/>
    <n v="39250"/>
    <s v="#202412163700007081"/>
    <n v="39.26"/>
    <n v="13.94"/>
    <n v="0"/>
    <n v="0.04"/>
    <n v="200"/>
    <n v="38.520000000000003"/>
    <n v="291.76"/>
    <n v="2024"/>
    <n v="12"/>
    <n v="2024"/>
    <n v="9"/>
    <s v="09"/>
    <x v="11"/>
    <x v="11"/>
    <n v="38958.239999999998"/>
  </r>
  <r>
    <d v="2024-12-16T00:00:00"/>
    <s v="OPT-NIFTY-19-Dec-2024-24650-P-E-I"/>
    <s v="NSE"/>
    <x v="1"/>
    <n v="250"/>
    <n v="0"/>
    <n v="131.25"/>
    <n v="32812.5"/>
    <s v="#202412163700006128"/>
    <n v="0"/>
    <n v="11.66"/>
    <n v="0.98"/>
    <n v="0.03"/>
    <n v="200"/>
    <n v="38.119999999999997"/>
    <n v="250.79"/>
    <n v="2024"/>
    <n v="12"/>
    <n v="2024"/>
    <n v="9"/>
    <s v="09"/>
    <x v="11"/>
    <x v="11"/>
    <n v="-33063.29"/>
  </r>
  <r>
    <d v="2024-12-16T00:00:00"/>
    <s v="OPT-NIFTY-19-Dec-2024-24350-P-E-I"/>
    <s v="NSE"/>
    <x v="0"/>
    <n v="1000"/>
    <n v="0"/>
    <n v="38.549999999999997"/>
    <n v="38550"/>
    <s v="#202412163700003620"/>
    <n v="38.19"/>
    <n v="13.69"/>
    <n v="0"/>
    <n v="0.03"/>
    <n v="800"/>
    <n v="146.46"/>
    <n v="998.37"/>
    <n v="2024"/>
    <n v="12"/>
    <n v="2024"/>
    <n v="9"/>
    <s v="09"/>
    <x v="11"/>
    <x v="11"/>
    <n v="37551.629999999997"/>
  </r>
  <r>
    <d v="2024-12-16T00:00:00"/>
    <s v="OPT-NIFTY-19-Dec-2024-24350-P-E-I"/>
    <s v="NSE"/>
    <x v="1"/>
    <n v="1000"/>
    <n v="0"/>
    <n v="48.05"/>
    <n v="48050"/>
    <s v="#202412163700003194"/>
    <n v="0"/>
    <n v="17.07"/>
    <n v="1.84"/>
    <n v="0.05"/>
    <n v="800"/>
    <n v="147.08000000000001"/>
    <n v="966.04"/>
    <n v="2024"/>
    <n v="12"/>
    <n v="2024"/>
    <n v="9"/>
    <s v="09"/>
    <x v="11"/>
    <x v="11"/>
    <n v="-49016.04"/>
  </r>
  <r>
    <d v="2024-12-17T00:00:00"/>
    <s v="OPT-NIFTY-19-Dec-2024-24550-C-E-I"/>
    <s v="NSE"/>
    <x v="0"/>
    <n v="500"/>
    <n v="0"/>
    <n v="70.25"/>
    <n v="35125"/>
    <s v="#202412173700018637"/>
    <n v="35.14"/>
    <n v="12.46"/>
    <n v="0"/>
    <n v="0.02"/>
    <n v="400"/>
    <n v="74.28"/>
    <n v="521.9"/>
    <n v="2024"/>
    <n v="12"/>
    <n v="2024"/>
    <n v="9"/>
    <s v="09"/>
    <x v="11"/>
    <x v="11"/>
    <n v="34603.1"/>
  </r>
  <r>
    <d v="2024-12-17T00:00:00"/>
    <s v="OPT-NIFTY-19-Dec-2024-24550-C-E-I"/>
    <s v="NSE"/>
    <x v="1"/>
    <n v="500"/>
    <n v="0"/>
    <n v="99.45"/>
    <n v="49726.25"/>
    <s v="#202412173700015309"/>
    <n v="0"/>
    <n v="17.670000000000002"/>
    <n v="1.72"/>
    <n v="0.03"/>
    <n v="400"/>
    <n v="75.2"/>
    <n v="494.62"/>
    <n v="2024"/>
    <n v="12"/>
    <n v="2024"/>
    <n v="9"/>
    <s v="09"/>
    <x v="11"/>
    <x v="11"/>
    <n v="-50220.87"/>
  </r>
  <r>
    <d v="2024-12-17T00:00:00"/>
    <s v="OPT-NIFTY-19-Dec-2024-24450-C-E-I"/>
    <s v="NSE"/>
    <x v="0"/>
    <n v="250"/>
    <n v="0"/>
    <n v="155.25"/>
    <n v="38812.5"/>
    <s v="#202412173700011243"/>
    <n v="38.81"/>
    <n v="13.79"/>
    <n v="0"/>
    <n v="0.03"/>
    <n v="200"/>
    <n v="38.479999999999997"/>
    <n v="291.11"/>
    <n v="2024"/>
    <n v="12"/>
    <n v="2024"/>
    <n v="9"/>
    <s v="09"/>
    <x v="11"/>
    <x v="11"/>
    <n v="38521.39"/>
  </r>
  <r>
    <d v="2024-12-17T00:00:00"/>
    <s v="OPT-NIFTY-19-Dec-2024-24450-C-E-I"/>
    <s v="NSE"/>
    <x v="1"/>
    <n v="50"/>
    <n v="0"/>
    <n v="168.2"/>
    <n v="8410"/>
    <s v="#202412173700009485"/>
    <n v="0"/>
    <n v="2.98"/>
    <n v="0"/>
    <n v="0"/>
    <n v="40"/>
    <n v="7.72"/>
    <n v="50.7"/>
    <n v="2024"/>
    <n v="12"/>
    <n v="2024"/>
    <n v="9"/>
    <s v="09"/>
    <x v="11"/>
    <x v="11"/>
    <n v="-8460.7000000000007"/>
  </r>
  <r>
    <d v="2024-12-17T00:00:00"/>
    <s v="OPT-NIFTY-19-Dec-2024-24450-C-E-I"/>
    <s v="NSE"/>
    <x v="1"/>
    <n v="100"/>
    <n v="0"/>
    <n v="169.95"/>
    <n v="16995"/>
    <s v="#202412173700009159"/>
    <n v="0"/>
    <n v="6.04"/>
    <n v="1.28"/>
    <n v="0.02"/>
    <n v="80"/>
    <n v="15.5"/>
    <n v="102.84"/>
    <n v="2024"/>
    <n v="12"/>
    <n v="2024"/>
    <n v="9"/>
    <s v="09"/>
    <x v="11"/>
    <x v="11"/>
    <n v="-17097.84"/>
  </r>
  <r>
    <d v="2024-12-17T00:00:00"/>
    <s v="OPT-NIFTY-19-Dec-2024-24450-C-E-I"/>
    <s v="NSE"/>
    <x v="1"/>
    <n v="100"/>
    <n v="0"/>
    <n v="171.25"/>
    <n v="17125"/>
    <s v="#202412173700009048"/>
    <n v="0"/>
    <n v="6.08"/>
    <n v="0"/>
    <n v="0.02"/>
    <n v="80"/>
    <n v="15.5"/>
    <n v="101.6"/>
    <n v="2024"/>
    <n v="12"/>
    <n v="2024"/>
    <n v="9"/>
    <s v="09"/>
    <x v="11"/>
    <x v="11"/>
    <n v="-17226.599999999999"/>
  </r>
  <r>
    <d v="2024-12-17T00:00:00"/>
    <s v="OPT-NIFTY-19-Dec-2024-24700-P-E-I"/>
    <s v="NSE"/>
    <x v="0"/>
    <n v="200"/>
    <n v="0"/>
    <n v="205.05"/>
    <n v="41010"/>
    <s v="#202412173700001238"/>
    <n v="41.06"/>
    <n v="14.57"/>
    <n v="0"/>
    <n v="0.04"/>
    <n v="160"/>
    <n v="31.42"/>
    <n v="247.09"/>
    <n v="2024"/>
    <n v="12"/>
    <n v="2024"/>
    <n v="9"/>
    <s v="09"/>
    <x v="11"/>
    <x v="11"/>
    <n v="40762.910000000003"/>
  </r>
  <r>
    <d v="2024-12-18T00:00:00"/>
    <s v="OPT-NIFTY-19-Dec-2024-24150-P-E-I"/>
    <s v="NSE"/>
    <x v="1"/>
    <n v="500"/>
    <n v="0"/>
    <n v="75"/>
    <n v="37500"/>
    <s v="#202412183700014911"/>
    <n v="0"/>
    <n v="13.32"/>
    <n v="1.39"/>
    <n v="0.04"/>
    <n v="400"/>
    <n v="74.400000000000006"/>
    <n v="489.15"/>
    <n v="2024"/>
    <n v="12"/>
    <n v="2024"/>
    <n v="9"/>
    <s v="09"/>
    <x v="11"/>
    <x v="11"/>
    <n v="-37989.15"/>
  </r>
  <r>
    <d v="2024-12-18T00:00:00"/>
    <s v="OPT-NIFTY-19-Dec-2024-24150-P-E-I"/>
    <s v="NSE"/>
    <x v="1"/>
    <n v="25"/>
    <n v="0"/>
    <n v="71"/>
    <n v="1775"/>
    <s v="#202412183700014869"/>
    <n v="0"/>
    <n v="0.63"/>
    <n v="0"/>
    <n v="0"/>
    <n v="20"/>
    <n v="3.72"/>
    <n v="24.35"/>
    <n v="2024"/>
    <n v="12"/>
    <n v="2024"/>
    <n v="9"/>
    <s v="09"/>
    <x v="11"/>
    <x v="11"/>
    <n v="-1799.35"/>
  </r>
  <r>
    <d v="2024-12-18T00:00:00"/>
    <s v="OPT-NIFTY-19-Dec-2024-24200-C-E-I"/>
    <s v="NSE"/>
    <x v="0"/>
    <n v="300"/>
    <n v="0"/>
    <n v="76"/>
    <n v="22800"/>
    <s v="#202412183700013252"/>
    <n v="23.18"/>
    <n v="8.1"/>
    <n v="0"/>
    <n v="0.03"/>
    <n v="240"/>
    <n v="44.66"/>
    <n v="315.97000000000003"/>
    <n v="2024"/>
    <n v="12"/>
    <n v="2024"/>
    <n v="9"/>
    <s v="09"/>
    <x v="11"/>
    <x v="11"/>
    <n v="22484.03"/>
  </r>
  <r>
    <d v="2024-12-18T00:00:00"/>
    <s v="OPT-NIFTY-19-Dec-2024-24200-C-E-I"/>
    <s v="NSE"/>
    <x v="1"/>
    <n v="100"/>
    <n v="0"/>
    <n v="95"/>
    <n v="9500"/>
    <s v="#202412183700013214"/>
    <n v="0"/>
    <n v="3.38"/>
    <n v="0.91"/>
    <n v="0.01"/>
    <n v="80"/>
    <n v="15.02"/>
    <n v="99.32"/>
    <n v="2024"/>
    <n v="12"/>
    <n v="2024"/>
    <n v="9"/>
    <s v="09"/>
    <x v="11"/>
    <x v="11"/>
    <n v="-9599.32"/>
  </r>
  <r>
    <d v="2024-12-18T00:00:00"/>
    <s v="OPT-NIFTY-19-Dec-2024-24200-C-E-I"/>
    <s v="NSE"/>
    <x v="1"/>
    <n v="100"/>
    <n v="0"/>
    <n v="99.3"/>
    <n v="9930"/>
    <s v="#202412183700013129"/>
    <n v="0"/>
    <n v="3.53"/>
    <n v="0"/>
    <n v="0.01"/>
    <n v="80"/>
    <n v="15.04"/>
    <n v="98.58"/>
    <n v="2024"/>
    <n v="12"/>
    <n v="2024"/>
    <n v="9"/>
    <s v="09"/>
    <x v="11"/>
    <x v="11"/>
    <n v="-10028.58"/>
  </r>
  <r>
    <d v="2024-12-18T00:00:00"/>
    <s v="OPT-NIFTY-19-Dec-2024-24200-C-E-I"/>
    <s v="NSE"/>
    <x v="1"/>
    <n v="100"/>
    <n v="0"/>
    <n v="108.66"/>
    <n v="10866.25"/>
    <s v="#202412183700012938"/>
    <n v="0"/>
    <n v="3.87"/>
    <n v="0"/>
    <n v="0.01"/>
    <n v="80"/>
    <n v="15.1"/>
    <n v="98.98"/>
    <n v="2024"/>
    <n v="12"/>
    <n v="2024"/>
    <n v="9"/>
    <s v="09"/>
    <x v="11"/>
    <x v="11"/>
    <n v="-10965.23"/>
  </r>
  <r>
    <d v="2024-12-18T00:00:00"/>
    <s v="OPT-ICIBAN-26-Dec-2024-1320-P-E-S"/>
    <s v="NSE"/>
    <x v="0"/>
    <n v="2100"/>
    <n v="0"/>
    <n v="13.25"/>
    <n v="27825"/>
    <s v="#202412183700001568"/>
    <n v="27.83"/>
    <n v="9.89"/>
    <n v="0"/>
    <n v="0.03"/>
    <n v="60"/>
    <n v="12.58"/>
    <n v="110.33"/>
    <n v="2024"/>
    <n v="12"/>
    <n v="2024"/>
    <n v="9"/>
    <s v="09"/>
    <x v="11"/>
    <x v="11"/>
    <n v="27714.67"/>
  </r>
  <r>
    <d v="2024-12-18T00:00:00"/>
    <s v="OPT-ICIBAN-26-Dec-2024-1320-P-E-S"/>
    <s v="NSE"/>
    <x v="1"/>
    <n v="2100"/>
    <n v="0"/>
    <n v="11.05"/>
    <n v="23205"/>
    <s v="#202412183700000937"/>
    <n v="0"/>
    <n v="8.25"/>
    <n v="0.7"/>
    <n v="0.03"/>
    <n v="60"/>
    <n v="12.3"/>
    <n v="81.28"/>
    <n v="2024"/>
    <n v="12"/>
    <n v="2024"/>
    <n v="9"/>
    <s v="09"/>
    <x v="11"/>
    <x v="11"/>
    <n v="-23286.28"/>
  </r>
  <r>
    <d v="2024-12-19T00:00:00"/>
    <s v="OPT-ICIBAN-26-Dec-2024-1290-P-E-S"/>
    <s v="NSE"/>
    <x v="0"/>
    <n v="2100"/>
    <n v="0"/>
    <n v="16.25"/>
    <n v="34125"/>
    <s v="#202412193700021166"/>
    <n v="34.14"/>
    <n v="12.12"/>
    <n v="0"/>
    <n v="0.03"/>
    <n v="60"/>
    <n v="12.96"/>
    <n v="119.25"/>
    <n v="2024"/>
    <n v="12"/>
    <n v="2024"/>
    <n v="9"/>
    <s v="09"/>
    <x v="11"/>
    <x v="11"/>
    <n v="34005.75"/>
  </r>
  <r>
    <d v="2024-12-19T00:00:00"/>
    <s v="OPT-ICIBAN-26-Dec-2024-1290-P-E-S"/>
    <s v="NSE"/>
    <x v="1"/>
    <n v="1400"/>
    <n v="0"/>
    <n v="14.7"/>
    <n v="20580"/>
    <s v="#202412193700021008"/>
    <n v="0"/>
    <n v="7.31"/>
    <n v="0.92"/>
    <n v="0.02"/>
    <n v="40"/>
    <n v="8.52"/>
    <n v="56.77"/>
    <n v="2024"/>
    <n v="12"/>
    <n v="2024"/>
    <n v="9"/>
    <s v="09"/>
    <x v="11"/>
    <x v="11"/>
    <n v="-20636.77"/>
  </r>
  <r>
    <d v="2024-12-19T00:00:00"/>
    <s v="OPT-ICIBAN-26-Dec-2024-1290-P-E-S"/>
    <s v="NSE"/>
    <x v="1"/>
    <n v="700"/>
    <n v="0"/>
    <n v="14.25"/>
    <n v="9975"/>
    <s v="#202412193700020177"/>
    <n v="0"/>
    <n v="3.54"/>
    <n v="0"/>
    <n v="0.01"/>
    <n v="20"/>
    <n v="4.24"/>
    <n v="27.79"/>
    <n v="2024"/>
    <n v="12"/>
    <n v="2024"/>
    <n v="9"/>
    <s v="09"/>
    <x v="11"/>
    <x v="11"/>
    <n v="-10002.790000000001"/>
  </r>
  <r>
    <d v="2024-12-19T00:00:00"/>
    <s v="OPT-LTINFO-26-Dec-2024-6300-P-E-S"/>
    <s v="NSE"/>
    <x v="0"/>
    <n v="600"/>
    <n v="0"/>
    <n v="105.25"/>
    <n v="63150"/>
    <s v="#202412193700010102"/>
    <n v="63.16"/>
    <n v="22.44"/>
    <n v="0"/>
    <n v="0.06"/>
    <n v="80"/>
    <n v="18.440000000000001"/>
    <n v="184.1"/>
    <n v="2024"/>
    <n v="12"/>
    <n v="2024"/>
    <n v="9"/>
    <s v="09"/>
    <x v="11"/>
    <x v="11"/>
    <n v="62965.9"/>
  </r>
  <r>
    <d v="2024-12-19T00:00:00"/>
    <s v="OPT-LTINFO-26-Dec-2024-6300-P-E-S"/>
    <s v="NSE"/>
    <x v="1"/>
    <n v="600"/>
    <n v="0"/>
    <n v="99.7"/>
    <n v="59820"/>
    <s v="#202412193700009588"/>
    <n v="0"/>
    <n v="21.25"/>
    <n v="2.08"/>
    <n v="0.06"/>
    <n v="80"/>
    <n v="18.239999999999998"/>
    <n v="121.63"/>
    <n v="2024"/>
    <n v="12"/>
    <n v="2024"/>
    <n v="9"/>
    <s v="09"/>
    <x v="11"/>
    <x v="11"/>
    <n v="-59941.63"/>
  </r>
  <r>
    <d v="2024-12-19T00:00:00"/>
    <s v="OPT-NIFTY-19-Dec-2024-24150-P-E-I"/>
    <s v="NSE"/>
    <x v="0"/>
    <n v="525"/>
    <n v="0"/>
    <n v="169.18"/>
    <n v="88820"/>
    <s v="#202412192500000280"/>
    <n v="88.72"/>
    <n v="31.55"/>
    <n v="0"/>
    <n v="0.09"/>
    <n v="420"/>
    <n v="81.3"/>
    <n v="621.66"/>
    <n v="2024"/>
    <n v="12"/>
    <n v="2024"/>
    <n v="9"/>
    <s v="09"/>
    <x v="11"/>
    <x v="11"/>
    <n v="88198.34"/>
  </r>
  <r>
    <d v="2024-12-20T00:00:00"/>
    <s v="OPT-NIFTY-26-Dec-2024-23850-C-E-I"/>
    <s v="NSE"/>
    <x v="1"/>
    <n v="100"/>
    <n v="0"/>
    <n v="105"/>
    <n v="10500"/>
    <s v="#202412203700021315"/>
    <n v="0"/>
    <n v="3.73"/>
    <n v="0"/>
    <n v="0.01"/>
    <n v="80"/>
    <n v="15.08"/>
    <n v="98.82"/>
    <n v="2024"/>
    <n v="12"/>
    <n v="2024"/>
    <n v="9"/>
    <s v="09"/>
    <x v="11"/>
    <x v="11"/>
    <n v="-10598.82"/>
  </r>
  <r>
    <d v="2024-12-20T00:00:00"/>
    <s v="OPT-NIFTY-26-Dec-2024-23850-C-E-I"/>
    <s v="NSE"/>
    <x v="1"/>
    <n v="200"/>
    <n v="0"/>
    <n v="141.25"/>
    <n v="28250"/>
    <s v="#202412203700016167"/>
    <n v="0"/>
    <n v="10.039999999999999"/>
    <n v="2"/>
    <n v="0.03"/>
    <n v="160"/>
    <n v="30.62"/>
    <n v="202.69"/>
    <n v="2024"/>
    <n v="12"/>
    <n v="2024"/>
    <n v="9"/>
    <s v="09"/>
    <x v="11"/>
    <x v="11"/>
    <n v="-28452.69"/>
  </r>
  <r>
    <d v="2024-12-20T00:00:00"/>
    <s v="OPT-NIFTY-26-Dec-2024-23850-C-E-I"/>
    <s v="NSE"/>
    <x v="1"/>
    <n v="100"/>
    <n v="0"/>
    <n v="190.5"/>
    <n v="19050"/>
    <s v="#202412203700013661"/>
    <n v="0"/>
    <n v="6.77"/>
    <n v="0"/>
    <n v="0.02"/>
    <n v="80"/>
    <n v="15.62"/>
    <n v="102.41"/>
    <n v="2024"/>
    <n v="12"/>
    <n v="2024"/>
    <n v="9"/>
    <s v="09"/>
    <x v="11"/>
    <x v="11"/>
    <n v="-19152.41"/>
  </r>
  <r>
    <d v="2024-12-20T00:00:00"/>
    <s v="OPT-NIFTY-26-Dec-2024-23850-C-E-I"/>
    <s v="NSE"/>
    <x v="1"/>
    <n v="100"/>
    <n v="0"/>
    <n v="206.6"/>
    <n v="20660"/>
    <s v="#202412203700013103"/>
    <n v="0"/>
    <n v="7.35"/>
    <n v="0"/>
    <n v="0.03"/>
    <n v="80"/>
    <n v="15.74"/>
    <n v="103.12"/>
    <n v="2024"/>
    <n v="12"/>
    <n v="2024"/>
    <n v="9"/>
    <s v="09"/>
    <x v="11"/>
    <x v="11"/>
    <n v="-20763.12"/>
  </r>
  <r>
    <d v="2024-12-23T00:00:00"/>
    <s v="OPT-ICIBAN-26-Dec-2024-1300-C-E-S"/>
    <s v="NSE"/>
    <x v="0"/>
    <n v="3500"/>
    <n v="0"/>
    <n v="6.1"/>
    <n v="21350"/>
    <s v="#202412233700012667"/>
    <n v="21.35"/>
    <n v="7.58"/>
    <n v="0"/>
    <n v="0.02"/>
    <n v="100"/>
    <n v="19.36"/>
    <n v="148.31"/>
    <n v="2024"/>
    <n v="12"/>
    <n v="2024"/>
    <n v="9"/>
    <s v="09"/>
    <x v="11"/>
    <x v="11"/>
    <n v="21201.69"/>
  </r>
  <r>
    <d v="2024-12-23T00:00:00"/>
    <s v="OPT-ICIBAN-26-Dec-2024-1300-C-E-S"/>
    <s v="NSE"/>
    <x v="1"/>
    <n v="3500"/>
    <n v="0"/>
    <n v="9.19"/>
    <n v="32165"/>
    <s v="#202412233700009108"/>
    <n v="0"/>
    <n v="11.44"/>
    <n v="1"/>
    <n v="0.04"/>
    <n v="100"/>
    <n v="20.079999999999998"/>
    <n v="132.56"/>
    <n v="2024"/>
    <n v="12"/>
    <n v="2024"/>
    <n v="9"/>
    <s v="09"/>
    <x v="11"/>
    <x v="11"/>
    <n v="-32297.56"/>
  </r>
  <r>
    <d v="2024-12-23T00:00:00"/>
    <s v="OPT-NIFTY-26-Dec-2024-23850-C-E-I"/>
    <s v="NSE"/>
    <x v="0"/>
    <n v="500"/>
    <n v="0"/>
    <n v="72"/>
    <n v="36000"/>
    <s v="#202412233700005004"/>
    <n v="35.65"/>
    <n v="12.79"/>
    <n v="0"/>
    <n v="0.03"/>
    <n v="400"/>
    <n v="74.319999999999993"/>
    <n v="522.79"/>
    <n v="2024"/>
    <n v="12"/>
    <n v="2024"/>
    <n v="9"/>
    <s v="09"/>
    <x v="11"/>
    <x v="11"/>
    <n v="35477.21"/>
  </r>
  <r>
    <d v="2024-12-24T00:00:00"/>
    <s v="OPT-NIFTY-26-Dec-2024-23800-C-E-I"/>
    <s v="NSE"/>
    <x v="0"/>
    <n v="400"/>
    <n v="0"/>
    <n v="53.5"/>
    <n v="21400"/>
    <s v="#202412243700022529"/>
    <n v="21.41"/>
    <n v="7.6"/>
    <n v="0"/>
    <n v="0.02"/>
    <n v="320"/>
    <n v="58.98"/>
    <n v="408.01"/>
    <n v="2024"/>
    <n v="12"/>
    <n v="2024"/>
    <n v="9"/>
    <s v="09"/>
    <x v="11"/>
    <x v="11"/>
    <n v="20991.99"/>
  </r>
  <r>
    <d v="2024-12-24T00:00:00"/>
    <s v="OPT-NIFTY-26-Dec-2024-23800-C-E-I"/>
    <s v="NSE"/>
    <x v="1"/>
    <n v="100"/>
    <n v="0"/>
    <n v="58"/>
    <n v="5800"/>
    <s v="#202412243700019033"/>
    <n v="0"/>
    <n v="2.06"/>
    <n v="0"/>
    <n v="0.01"/>
    <n v="80"/>
    <n v="14.78"/>
    <n v="96.85"/>
    <n v="2024"/>
    <n v="12"/>
    <n v="2024"/>
    <n v="9"/>
    <s v="09"/>
    <x v="11"/>
    <x v="11"/>
    <n v="-5896.85"/>
  </r>
  <r>
    <d v="2024-12-24T00:00:00"/>
    <s v="OPT-NIFTY-26-Dec-2024-23800-C-E-I"/>
    <s v="NSE"/>
    <x v="1"/>
    <n v="100"/>
    <n v="0"/>
    <n v="70.8"/>
    <n v="7080"/>
    <s v="#202412243700018377"/>
    <n v="0"/>
    <n v="2.52"/>
    <n v="0.81"/>
    <n v="0.01"/>
    <n v="80"/>
    <n v="14.86"/>
    <n v="98.2"/>
    <n v="2024"/>
    <n v="12"/>
    <n v="2024"/>
    <n v="9"/>
    <s v="09"/>
    <x v="11"/>
    <x v="11"/>
    <n v="-7178.2"/>
  </r>
  <r>
    <d v="2024-12-24T00:00:00"/>
    <s v="OPT-NIFTY-26-Dec-2024-23800-C-E-I"/>
    <s v="NSE"/>
    <x v="1"/>
    <n v="50"/>
    <n v="0"/>
    <n v="71.25"/>
    <n v="3562.5"/>
    <s v="#202412243700017127"/>
    <n v="0"/>
    <n v="1.26"/>
    <n v="0"/>
    <n v="0"/>
    <n v="40"/>
    <n v="7.44"/>
    <n v="48.7"/>
    <n v="2024"/>
    <n v="12"/>
    <n v="2024"/>
    <n v="9"/>
    <s v="09"/>
    <x v="11"/>
    <x v="11"/>
    <n v="-3611.2"/>
  </r>
  <r>
    <d v="2024-12-24T00:00:00"/>
    <s v="OPT-NIFTY-26-Dec-2024-23800-C-E-I"/>
    <s v="NSE"/>
    <x v="1"/>
    <n v="50"/>
    <n v="0"/>
    <n v="78"/>
    <n v="3900"/>
    <s v="#202412243700016418"/>
    <n v="0"/>
    <n v="1.39"/>
    <n v="0"/>
    <n v="0"/>
    <n v="40"/>
    <n v="7.46"/>
    <n v="48.85"/>
    <n v="2024"/>
    <n v="12"/>
    <n v="2024"/>
    <n v="9"/>
    <s v="09"/>
    <x v="11"/>
    <x v="11"/>
    <n v="-3948.85"/>
  </r>
  <r>
    <d v="2024-12-24T00:00:00"/>
    <s v="OPT-NIFTY-26-Dec-2024-23800-C-E-I"/>
    <s v="NSE"/>
    <x v="1"/>
    <n v="100"/>
    <n v="0"/>
    <n v="89"/>
    <n v="8900"/>
    <s v="#202412243700015467"/>
    <n v="0"/>
    <n v="3.16"/>
    <n v="0"/>
    <n v="0.01"/>
    <n v="80"/>
    <n v="14.96"/>
    <n v="98.13"/>
    <n v="2024"/>
    <n v="12"/>
    <n v="2024"/>
    <n v="9"/>
    <s v="09"/>
    <x v="11"/>
    <x v="11"/>
    <n v="-8998.1299999999992"/>
  </r>
  <r>
    <d v="2024-12-24T00:00:00"/>
    <s v="OPT-NIFTY-26-Dec-2024-23800-P-E-I"/>
    <s v="NSE"/>
    <x v="1"/>
    <n v="25"/>
    <n v="0"/>
    <n v="60.45"/>
    <n v="1511.25"/>
    <s v="#202412243700009333"/>
    <n v="0"/>
    <n v="0.54"/>
    <n v="0"/>
    <n v="0"/>
    <n v="20"/>
    <n v="3.7"/>
    <n v="24.24"/>
    <n v="2024"/>
    <n v="12"/>
    <n v="2024"/>
    <n v="9"/>
    <s v="09"/>
    <x v="11"/>
    <x v="11"/>
    <n v="-1535.49"/>
  </r>
  <r>
    <d v="2024-12-24T00:00:00"/>
    <s v="OPT-NIFTY-26-Dec-2024-23800-P-E-I"/>
    <s v="NSE"/>
    <x v="0"/>
    <n v="100"/>
    <n v="0"/>
    <n v="73.25"/>
    <n v="7325"/>
    <s v="#202412243700008331"/>
    <n v="7.6"/>
    <n v="2.6"/>
    <n v="0"/>
    <n v="0"/>
    <n v="80"/>
    <n v="14.88"/>
    <n v="105.08"/>
    <n v="2024"/>
    <n v="12"/>
    <n v="2024"/>
    <n v="9"/>
    <s v="09"/>
    <x v="11"/>
    <x v="11"/>
    <n v="7219.92"/>
  </r>
  <r>
    <d v="2024-12-24T00:00:00"/>
    <s v="OPT-NIFTY-26-Dec-2024-23800-P-E-I"/>
    <s v="NSE"/>
    <x v="1"/>
    <n v="75"/>
    <n v="0"/>
    <n v="63.95"/>
    <n v="4796.25"/>
    <s v="#202412243700008245"/>
    <n v="0"/>
    <n v="1.7"/>
    <n v="0.19"/>
    <n v="0"/>
    <n v="60"/>
    <n v="11.1"/>
    <n v="72.989999999999995"/>
    <n v="2024"/>
    <n v="12"/>
    <n v="2024"/>
    <n v="9"/>
    <s v="09"/>
    <x v="11"/>
    <x v="11"/>
    <n v="-4869.24"/>
  </r>
  <r>
    <d v="2024-12-26T00:00:00"/>
    <s v="OPT-NIFTY-26-Dec-2024-23700-P-E-I"/>
    <s v="NSE"/>
    <x v="0"/>
    <n v="500"/>
    <n v="0"/>
    <n v="16.149999999999999"/>
    <n v="8075"/>
    <s v="#202412263700015100"/>
    <n v="8.07"/>
    <n v="2.87"/>
    <n v="0"/>
    <n v="0.01"/>
    <n v="400"/>
    <n v="72.52"/>
    <n v="483.47"/>
    <n v="2024"/>
    <n v="12"/>
    <n v="2024"/>
    <n v="9"/>
    <s v="09"/>
    <x v="11"/>
    <x v="11"/>
    <n v="7591.53"/>
  </r>
  <r>
    <d v="2024-12-26T00:00:00"/>
    <s v="OPT-NIFTY-26-Dec-2024-23700-P-E-I"/>
    <s v="NSE"/>
    <x v="1"/>
    <n v="200"/>
    <n v="0"/>
    <n v="10.85"/>
    <n v="2170"/>
    <s v="#202412263700013854"/>
    <n v="0"/>
    <n v="0.77"/>
    <n v="0.25"/>
    <n v="0"/>
    <n v="160"/>
    <n v="28.94"/>
    <n v="189.96"/>
    <n v="2024"/>
    <n v="12"/>
    <n v="2024"/>
    <n v="9"/>
    <s v="09"/>
    <x v="11"/>
    <x v="11"/>
    <n v="-2359.96"/>
  </r>
  <r>
    <d v="2024-12-26T00:00:00"/>
    <s v="OPT-NIFTY-26-Dec-2024-23700-P-E-I"/>
    <s v="NSE"/>
    <x v="1"/>
    <n v="100"/>
    <n v="0"/>
    <n v="11.85"/>
    <n v="1185"/>
    <s v="#202412263700011676"/>
    <n v="0"/>
    <n v="0.42"/>
    <n v="0"/>
    <n v="0"/>
    <n v="80"/>
    <n v="14.48"/>
    <n v="94.9"/>
    <n v="2024"/>
    <n v="12"/>
    <n v="2024"/>
    <n v="9"/>
    <s v="09"/>
    <x v="11"/>
    <x v="11"/>
    <n v="-1279.9000000000001"/>
  </r>
  <r>
    <d v="2024-12-26T00:00:00"/>
    <s v="OPT-NIFTY-26-Dec-2024-23700-P-E-I"/>
    <s v="NSE"/>
    <x v="1"/>
    <n v="100"/>
    <n v="0"/>
    <n v="12.7"/>
    <n v="1270"/>
    <s v="#202412263700010390"/>
    <n v="0"/>
    <n v="0.45"/>
    <n v="0"/>
    <n v="0"/>
    <n v="80"/>
    <n v="14.48"/>
    <n v="94.93"/>
    <n v="2024"/>
    <n v="12"/>
    <n v="2024"/>
    <n v="9"/>
    <s v="09"/>
    <x v="11"/>
    <x v="11"/>
    <n v="-1364.93"/>
  </r>
  <r>
    <d v="2024-12-26T00:00:00"/>
    <s v="OPT-NIFTY-26-Dec-2024-23700-P-E-I"/>
    <s v="NSE"/>
    <x v="1"/>
    <n v="50"/>
    <n v="0"/>
    <n v="17.3"/>
    <n v="865"/>
    <s v="#202412263700010114"/>
    <n v="0"/>
    <n v="0.31"/>
    <n v="0"/>
    <n v="0"/>
    <n v="40"/>
    <n v="7.26"/>
    <n v="47.57"/>
    <n v="2024"/>
    <n v="12"/>
    <n v="2024"/>
    <n v="9"/>
    <s v="09"/>
    <x v="11"/>
    <x v="11"/>
    <n v="-912.57"/>
  </r>
  <r>
    <d v="2024-12-26T00:00:00"/>
    <s v="OPT-NIFTY-26-Dec-2024-23700-P-E-I"/>
    <s v="NSE"/>
    <x v="1"/>
    <n v="50"/>
    <n v="0"/>
    <n v="21.75"/>
    <n v="1087.5"/>
    <s v="#202412263700009863"/>
    <n v="0"/>
    <n v="0.39"/>
    <n v="0"/>
    <n v="0"/>
    <n v="40"/>
    <n v="7.28"/>
    <n v="47.67"/>
    <n v="2024"/>
    <n v="12"/>
    <n v="2024"/>
    <n v="9"/>
    <s v="09"/>
    <x v="11"/>
    <x v="11"/>
    <n v="-1135.17"/>
  </r>
  <r>
    <d v="2024-12-26T00:00:00"/>
    <s v="OPT-NIFTY-26-Dec-2024-23700-P-E-I"/>
    <s v="NSE"/>
    <x v="0"/>
    <n v="50"/>
    <n v="0"/>
    <n v="44.25"/>
    <n v="2212.5"/>
    <s v="#202412263700008976"/>
    <n v="2.1"/>
    <n v="0.79"/>
    <n v="0"/>
    <n v="0"/>
    <n v="40"/>
    <n v="7.34"/>
    <n v="50.23"/>
    <n v="2024"/>
    <n v="12"/>
    <n v="2024"/>
    <n v="9"/>
    <s v="09"/>
    <x v="11"/>
    <x v="11"/>
    <n v="2162.27"/>
  </r>
  <r>
    <d v="2024-12-26T00:00:00"/>
    <s v="OPT-NIFTY-26-Dec-2024-23700-P-E-I"/>
    <s v="NSE"/>
    <x v="1"/>
    <n v="50"/>
    <n v="0"/>
    <n v="33.9"/>
    <n v="1695"/>
    <s v="#202412263700008945"/>
    <n v="0"/>
    <n v="0.6"/>
    <n v="0"/>
    <n v="0"/>
    <n v="40"/>
    <n v="7.3"/>
    <n v="47.9"/>
    <n v="2024"/>
    <n v="12"/>
    <n v="2024"/>
    <n v="9"/>
    <s v="09"/>
    <x v="11"/>
    <x v="11"/>
    <n v="-1742.9"/>
  </r>
  <r>
    <d v="2024-12-26T00:00:00"/>
    <s v="OPT-NIFTY-26-Dec-2024-23850-P-E-I"/>
    <s v="NSE"/>
    <x v="1"/>
    <n v="25"/>
    <n v="0"/>
    <n v="123.65"/>
    <n v="3091.25"/>
    <s v="#202412263700007561"/>
    <n v="0"/>
    <n v="1.1000000000000001"/>
    <n v="0"/>
    <n v="0"/>
    <n v="20"/>
    <n v="3.8"/>
    <n v="24.9"/>
    <n v="2024"/>
    <n v="12"/>
    <n v="2024"/>
    <n v="9"/>
    <s v="09"/>
    <x v="11"/>
    <x v="11"/>
    <n v="-3116.15"/>
  </r>
  <r>
    <d v="2024-12-26T00:00:00"/>
    <s v="OPT-NIFTY-26-Dec-2024-23850-P-E-I"/>
    <s v="NSE"/>
    <x v="0"/>
    <n v="75"/>
    <n v="0"/>
    <n v="134.25"/>
    <n v="10068.75"/>
    <s v="#202412263700007406"/>
    <n v="10.07"/>
    <n v="3.58"/>
    <n v="0"/>
    <n v="0.01"/>
    <n v="60"/>
    <n v="11.44"/>
    <n v="85.1"/>
    <n v="2024"/>
    <n v="12"/>
    <n v="2024"/>
    <n v="9"/>
    <s v="09"/>
    <x v="11"/>
    <x v="11"/>
    <n v="9983.65"/>
  </r>
  <r>
    <d v="2024-12-26T00:00:00"/>
    <s v="OPT-NIFTY-26-Dec-2024-23850-P-E-I"/>
    <s v="NSE"/>
    <x v="1"/>
    <n v="25"/>
    <n v="0"/>
    <n v="111.95"/>
    <n v="2798.75"/>
    <s v="#202412263700007045"/>
    <n v="0"/>
    <n v="0.99"/>
    <n v="0"/>
    <n v="0"/>
    <n v="20"/>
    <n v="3.78"/>
    <n v="24.77"/>
    <n v="2024"/>
    <n v="12"/>
    <n v="2024"/>
    <n v="9"/>
    <s v="09"/>
    <x v="11"/>
    <x v="11"/>
    <n v="-2823.52"/>
  </r>
  <r>
    <d v="2024-12-26T00:00:00"/>
    <s v="OPT-NIFTY-26-Dec-2024-23850-P-E-I"/>
    <s v="NSE"/>
    <x v="1"/>
    <n v="25"/>
    <n v="0"/>
    <n v="120.15"/>
    <n v="3003.75"/>
    <s v="#202412263700006944"/>
    <n v="0"/>
    <n v="1.07"/>
    <n v="0"/>
    <n v="0"/>
    <n v="20"/>
    <n v="3.8"/>
    <n v="24.87"/>
    <n v="2024"/>
    <n v="12"/>
    <n v="2024"/>
    <n v="9"/>
    <s v="09"/>
    <x v="11"/>
    <x v="11"/>
    <n v="-3028.62"/>
  </r>
  <r>
    <d v="2024-12-26T00:00:00"/>
    <s v="OPT-NIFTY-26-Dec-2024-23850-P-E-I"/>
    <s v="NSE"/>
    <x v="0"/>
    <n v="100"/>
    <n v="0"/>
    <n v="77.55"/>
    <n v="7755"/>
    <s v="#202412263700005137"/>
    <n v="7.76"/>
    <n v="2.76"/>
    <n v="0"/>
    <n v="0.01"/>
    <n v="80"/>
    <n v="14.9"/>
    <n v="105.43"/>
    <n v="2024"/>
    <n v="12"/>
    <n v="2024"/>
    <n v="9"/>
    <s v="09"/>
    <x v="11"/>
    <x v="11"/>
    <n v="7649.57"/>
  </r>
  <r>
    <d v="2024-12-26T00:00:00"/>
    <s v="OPT-NIFTY-26-Dec-2024-23850-P-E-I"/>
    <s v="NSE"/>
    <x v="1"/>
    <n v="100"/>
    <n v="0"/>
    <n v="70.25"/>
    <n v="7025"/>
    <s v="#202412263700005075"/>
    <n v="0"/>
    <n v="2.4900000000000002"/>
    <n v="0.75"/>
    <n v="0"/>
    <n v="80"/>
    <n v="14.86"/>
    <n v="98.1"/>
    <n v="2024"/>
    <n v="12"/>
    <n v="2024"/>
    <n v="9"/>
    <s v="09"/>
    <x v="11"/>
    <x v="11"/>
    <n v="-7123.1"/>
  </r>
  <r>
    <d v="2024-12-27T00:00:00"/>
    <s v="OPT-NIFTY-02-Jan-2025-23800-P-E-I"/>
    <s v="NSE"/>
    <x v="0"/>
    <n v="150"/>
    <n v="0"/>
    <n v="115"/>
    <n v="17250"/>
    <s v="#202412273700011712"/>
    <n v="17.739999999999998"/>
    <n v="6.13"/>
    <n v="0"/>
    <n v="0.02"/>
    <n v="40"/>
    <n v="8.3000000000000007"/>
    <n v="72.19"/>
    <n v="2024"/>
    <n v="12"/>
    <n v="2024"/>
    <n v="9"/>
    <s v="09"/>
    <x v="11"/>
    <x v="11"/>
    <n v="17177.810000000001"/>
  </r>
  <r>
    <d v="2024-12-27T00:00:00"/>
    <s v="OPT-NIFTY-02-Jan-2025-23800-P-E-I"/>
    <s v="NSE"/>
    <x v="1"/>
    <n v="150"/>
    <n v="0"/>
    <n v="106.55"/>
    <n v="15982.5"/>
    <s v="#202412273700007531"/>
    <n v="0"/>
    <n v="5.68"/>
    <n v="1"/>
    <n v="0.02"/>
    <n v="40"/>
    <n v="8.2200000000000006"/>
    <n v="54.92"/>
    <n v="2024"/>
    <n v="12"/>
    <n v="2024"/>
    <n v="9"/>
    <s v="09"/>
    <x v="11"/>
    <x v="11"/>
    <n v="-16037.42"/>
  </r>
  <r>
    <d v="2024-12-27T00:00:00"/>
    <s v="OPT-NIFTY-02-Jan-2025-23800-P-E-I"/>
    <s v="NSE"/>
    <x v="0"/>
    <n v="150"/>
    <n v="0"/>
    <n v="101.75"/>
    <n v="15262.5"/>
    <s v="#202412273700005662"/>
    <n v="15.26"/>
    <n v="5.42"/>
    <n v="0"/>
    <n v="0.02"/>
    <n v="40"/>
    <n v="8.18"/>
    <n v="68.88"/>
    <n v="2024"/>
    <n v="12"/>
    <n v="2024"/>
    <n v="9"/>
    <s v="09"/>
    <x v="11"/>
    <x v="11"/>
    <n v="15193.62"/>
  </r>
  <r>
    <d v="2024-12-27T00:00:00"/>
    <s v="OPT-NIFTY-02-Jan-2025-23800-P-E-I"/>
    <s v="NSE"/>
    <x v="1"/>
    <n v="75"/>
    <n v="0"/>
    <n v="131.69999999999999"/>
    <n v="9877.5"/>
    <s v="#202412273700001345"/>
    <n v="0"/>
    <n v="3.51"/>
    <n v="0"/>
    <n v="0.01"/>
    <n v="20"/>
    <n v="4.24"/>
    <n v="27.76"/>
    <n v="2024"/>
    <n v="12"/>
    <n v="2024"/>
    <n v="9"/>
    <s v="09"/>
    <x v="11"/>
    <x v="11"/>
    <n v="-9905.26"/>
  </r>
  <r>
    <d v="2024-12-27T00:00:00"/>
    <s v="OPT-NIFTY-02-Jan-2025-23800-P-E-I"/>
    <s v="NSE"/>
    <x v="1"/>
    <n v="75"/>
    <n v="0"/>
    <n v="149.44999999999999"/>
    <n v="11208.75"/>
    <s v="#202412273700001191"/>
    <n v="0"/>
    <n v="3.98"/>
    <n v="0"/>
    <n v="0.01"/>
    <n v="20"/>
    <n v="4.32"/>
    <n v="28.31"/>
    <n v="2024"/>
    <n v="12"/>
    <n v="2024"/>
    <n v="9"/>
    <s v="09"/>
    <x v="11"/>
    <x v="11"/>
    <n v="-11237.06"/>
  </r>
  <r>
    <d v="2024-12-30T00:00:00"/>
    <s v="OPT-NIFTY-02-Jan-2025-23800-P-E-I"/>
    <s v="NSE"/>
    <x v="0"/>
    <n v="75"/>
    <n v="0"/>
    <n v="105.25"/>
    <n v="7893.75"/>
    <s v="#202412303700010121"/>
    <n v="7.89"/>
    <n v="2.8"/>
    <n v="0"/>
    <n v="0.01"/>
    <n v="20"/>
    <n v="4.0999999999999996"/>
    <n v="34.799999999999997"/>
    <n v="2024"/>
    <n v="12"/>
    <n v="2024"/>
    <n v="9"/>
    <s v="09"/>
    <x v="11"/>
    <x v="11"/>
    <n v="7858.95"/>
  </r>
  <r>
    <d v="2024-12-30T00:00:00"/>
    <s v="OPT-NIFTY-02-Jan-2025-23800-P-E-I"/>
    <s v="NSE"/>
    <x v="1"/>
    <n v="75"/>
    <n v="0"/>
    <n v="85"/>
    <n v="6375"/>
    <s v="#202412303700009866"/>
    <n v="0"/>
    <n v="2.27"/>
    <n v="0"/>
    <n v="0.01"/>
    <n v="20"/>
    <n v="4.0199999999999996"/>
    <n v="26.3"/>
    <n v="2024"/>
    <n v="12"/>
    <n v="2024"/>
    <n v="9"/>
    <s v="09"/>
    <x v="11"/>
    <x v="11"/>
    <n v="-6401.3"/>
  </r>
  <r>
    <d v="2024-12-30T00:00:00"/>
    <s v="OPT-NIFTY-02-Jan-2025-23800-C-E-I"/>
    <s v="NSE"/>
    <x v="0"/>
    <n v="75"/>
    <n v="0"/>
    <n v="93.45"/>
    <n v="7008.75"/>
    <s v="#202412303700002104"/>
    <n v="7.11"/>
    <n v="2.4900000000000002"/>
    <n v="0"/>
    <n v="0.01"/>
    <n v="20"/>
    <n v="4.0599999999999996"/>
    <n v="33.67"/>
    <n v="2024"/>
    <n v="12"/>
    <n v="2024"/>
    <n v="9"/>
    <s v="09"/>
    <x v="11"/>
    <x v="11"/>
    <n v="6975.08"/>
  </r>
  <r>
    <d v="2024-12-30T00:00:00"/>
    <s v="OPT-NIFTY-02-Jan-2025-23800-C-E-I"/>
    <s v="NSE"/>
    <x v="1"/>
    <n v="75"/>
    <n v="0"/>
    <n v="108.55"/>
    <n v="8141.25"/>
    <s v="#202412303700001524"/>
    <n v="0"/>
    <n v="2.89"/>
    <n v="0"/>
    <n v="0.01"/>
    <n v="20"/>
    <n v="4.12"/>
    <n v="27.02"/>
    <n v="2024"/>
    <n v="12"/>
    <n v="2024"/>
    <n v="9"/>
    <s v="09"/>
    <x v="11"/>
    <x v="11"/>
    <n v="-8168.27"/>
  </r>
  <r>
    <d v="2024-12-31T00:00:00"/>
    <s v="OPT-NIFTY-02-Jan-2025-23550-P-E-I"/>
    <s v="NSE"/>
    <x v="1"/>
    <n v="75"/>
    <n v="0"/>
    <n v="103"/>
    <n v="7725"/>
    <s v="#202412313700008524"/>
    <n v="0"/>
    <n v="2.74"/>
    <n v="0"/>
    <n v="0.01"/>
    <n v="20"/>
    <n v="4.0999999999999996"/>
    <n v="26.85"/>
    <n v="2024"/>
    <n v="12"/>
    <n v="2024"/>
    <n v="9"/>
    <s v="09"/>
    <x v="11"/>
    <x v="11"/>
    <n v="-7751.85"/>
  </r>
  <r>
    <d v="2024-12-31T00:00:00"/>
    <s v="OPT-NIFTY-02-Jan-2025-23550-P-E-I"/>
    <s v="NSE"/>
    <x v="1"/>
    <n v="75"/>
    <n v="0"/>
    <n v="108.9"/>
    <n v="8167.5"/>
    <s v="#202412313700008342"/>
    <n v="0"/>
    <n v="2.9"/>
    <n v="0"/>
    <n v="0.01"/>
    <n v="20"/>
    <n v="4.12"/>
    <n v="27.03"/>
    <n v="2024"/>
    <n v="12"/>
    <n v="2024"/>
    <n v="9"/>
    <s v="09"/>
    <x v="11"/>
    <x v="11"/>
    <n v="-8194.5300000000007"/>
  </r>
  <r>
    <d v="2024-12-31T00:00:00"/>
    <s v="OPT-NIFTY-02-Jan-2025-23550-P-E-I"/>
    <s v="NSE"/>
    <x v="1"/>
    <n v="75"/>
    <n v="0"/>
    <n v="126.25"/>
    <n v="9468.75"/>
    <s v="#202412313700007309"/>
    <n v="0"/>
    <n v="3.36"/>
    <n v="0.44"/>
    <n v="0.01"/>
    <n v="20"/>
    <n v="4.2"/>
    <n v="28.01"/>
    <n v="2024"/>
    <n v="12"/>
    <n v="2024"/>
    <n v="9"/>
    <s v="09"/>
    <x v="11"/>
    <x v="11"/>
    <n v="-9496.76"/>
  </r>
  <r>
    <d v="2024-12-31T00:00:00"/>
    <s v="OPT-NIFTY-02-Jan-2025-23550-C-E-I"/>
    <s v="NSE"/>
    <x v="0"/>
    <n v="75"/>
    <n v="0"/>
    <n v="129.25"/>
    <n v="9693.75"/>
    <s v="#202412313700004232"/>
    <n v="9.56"/>
    <n v="3.44"/>
    <n v="0"/>
    <n v="0.01"/>
    <n v="20"/>
    <n v="4.22"/>
    <n v="37.229999999999997"/>
    <n v="2024"/>
    <n v="12"/>
    <n v="2024"/>
    <n v="9"/>
    <s v="09"/>
    <x v="11"/>
    <x v="11"/>
    <n v="9656.52"/>
  </r>
  <r>
    <d v="2024-12-31T00:00:00"/>
    <s v="OPT-NIFTY-02-Jan-2025-23550-C-E-I"/>
    <s v="NSE"/>
    <x v="1"/>
    <n v="75"/>
    <n v="0"/>
    <n v="122.25"/>
    <n v="9168.75"/>
    <s v="#202412313700004183"/>
    <n v="0"/>
    <n v="3.26"/>
    <n v="0"/>
    <n v="0.01"/>
    <n v="20"/>
    <n v="4.18"/>
    <n v="27.45"/>
    <n v="2024"/>
    <n v="12"/>
    <n v="2024"/>
    <n v="9"/>
    <s v="09"/>
    <x v="11"/>
    <x v="11"/>
    <n v="-9196.2000000000007"/>
  </r>
  <r>
    <d v="2024-12-31T00:00:00"/>
    <s v="OPT-NIFTY-02-Jan-2025-23550-C-E-I"/>
    <s v="NSE"/>
    <x v="0"/>
    <n v="75"/>
    <n v="0"/>
    <n v="139.25"/>
    <n v="10443.75"/>
    <s v="#202412313700001647"/>
    <n v="10.44"/>
    <n v="3.71"/>
    <n v="0"/>
    <n v="0.01"/>
    <n v="20"/>
    <n v="4.26"/>
    <n v="38.42"/>
    <n v="2024"/>
    <n v="12"/>
    <n v="2024"/>
    <n v="9"/>
    <s v="09"/>
    <x v="11"/>
    <x v="11"/>
    <n v="10405.33"/>
  </r>
  <r>
    <d v="2024-12-31T00:00:00"/>
    <s v="OPT-NIFTY-02-Jan-2025-23550-C-E-I"/>
    <s v="NSE"/>
    <x v="1"/>
    <n v="75"/>
    <n v="0"/>
    <n v="127.2"/>
    <n v="9540"/>
    <s v="#202412313700001475"/>
    <n v="0"/>
    <n v="3.39"/>
    <n v="0.56000000000000005"/>
    <n v="0.01"/>
    <n v="20"/>
    <n v="4.22"/>
    <n v="28.18"/>
    <n v="2024"/>
    <n v="12"/>
    <n v="2024"/>
    <n v="9"/>
    <s v="09"/>
    <x v="11"/>
    <x v="11"/>
    <n v="-9568.18"/>
  </r>
  <r>
    <d v="2025-01-01T00:00:00"/>
    <s v="OPT-NIFTY-02-Jan-2025-23700-C-E-I"/>
    <s v="NSE"/>
    <x v="0"/>
    <n v="225"/>
    <n v="0"/>
    <n v="169.75"/>
    <n v="38193.75"/>
    <s v="#202501013700009702"/>
    <n v="38.19"/>
    <n v="13.57"/>
    <n v="0"/>
    <n v="0.04"/>
    <n v="60"/>
    <n v="13.24"/>
    <n v="125.04"/>
    <n v="2025"/>
    <n v="1"/>
    <n v="2024"/>
    <n v="10"/>
    <n v="10"/>
    <x v="12"/>
    <x v="12"/>
    <n v="38068.71"/>
  </r>
  <r>
    <d v="2025-01-01T00:00:00"/>
    <s v="OPT-NIFTY-02-Jan-2025-23700-C-E-I"/>
    <s v="NSE"/>
    <x v="1"/>
    <n v="225"/>
    <n v="0"/>
    <n v="160.25"/>
    <n v="36056.25"/>
    <s v="#202501013700009410"/>
    <n v="0"/>
    <n v="12.81"/>
    <n v="0.79"/>
    <n v="0.04"/>
    <n v="60"/>
    <n v="13.12"/>
    <n v="86.76"/>
    <n v="2025"/>
    <n v="1"/>
    <n v="2024"/>
    <n v="10"/>
    <n v="10"/>
    <x v="12"/>
    <x v="12"/>
    <n v="-36143.01"/>
  </r>
  <r>
    <d v="2025-01-01T00:00:00"/>
    <s v="OPT-NIFTY-02-Jan-2025-23650-C-E-I"/>
    <s v="NSE"/>
    <x v="0"/>
    <n v="225"/>
    <n v="0"/>
    <n v="115.5"/>
    <n v="25987.5"/>
    <s v="#202501013700003215"/>
    <n v="25.99"/>
    <n v="9.23"/>
    <n v="0"/>
    <n v="0.03"/>
    <n v="60"/>
    <n v="12.46"/>
    <n v="107.71"/>
    <n v="2025"/>
    <n v="1"/>
    <n v="2024"/>
    <n v="10"/>
    <n v="10"/>
    <x v="12"/>
    <x v="12"/>
    <n v="25879.79"/>
  </r>
  <r>
    <d v="2025-01-01T00:00:00"/>
    <s v="OPT-NIFTY-02-Jan-2025-23650-C-E-I"/>
    <s v="NSE"/>
    <x v="1"/>
    <n v="225"/>
    <n v="0"/>
    <n v="105.4"/>
    <n v="23715"/>
    <s v="#202501013700003149"/>
    <n v="0"/>
    <n v="8.43"/>
    <n v="0.71"/>
    <n v="0.02"/>
    <n v="60"/>
    <n v="12.32"/>
    <n v="81.48"/>
    <n v="2025"/>
    <n v="1"/>
    <n v="2024"/>
    <n v="10"/>
    <n v="10"/>
    <x v="12"/>
    <x v="12"/>
    <n v="-23796.48"/>
  </r>
  <r>
    <d v="2025-01-01T00:00:00"/>
    <s v="OPT-NIFTY-02-Jan-2025-23650-P-E-I"/>
    <s v="NSE"/>
    <x v="0"/>
    <n v="150"/>
    <n v="0"/>
    <n v="120.15"/>
    <n v="18022.5"/>
    <s v="#202501013700001757"/>
    <n v="18.02"/>
    <n v="6.4"/>
    <n v="0"/>
    <n v="0.02"/>
    <n v="40"/>
    <n v="8.36"/>
    <n v="72.8"/>
    <n v="2025"/>
    <n v="1"/>
    <n v="2024"/>
    <n v="10"/>
    <n v="10"/>
    <x v="12"/>
    <x v="12"/>
    <n v="17949.7"/>
  </r>
  <r>
    <d v="2025-01-01T00:00:00"/>
    <s v="OPT-NIFTY-02-Jan-2025-23650-P-E-I"/>
    <s v="NSE"/>
    <x v="1"/>
    <n v="75"/>
    <n v="0"/>
    <n v="110"/>
    <n v="8250"/>
    <s v="#202501013700001371"/>
    <n v="0"/>
    <n v="2.93"/>
    <n v="0.5"/>
    <n v="0.01"/>
    <n v="20"/>
    <n v="4.12"/>
    <n v="27.56"/>
    <n v="2025"/>
    <n v="1"/>
    <n v="2024"/>
    <n v="10"/>
    <n v="10"/>
    <x v="12"/>
    <x v="12"/>
    <n v="-8277.56"/>
  </r>
  <r>
    <d v="2025-01-01T00:00:00"/>
    <s v="OPT-NIFTY-02-Jan-2025-23650-P-E-I"/>
    <s v="NSE"/>
    <x v="1"/>
    <n v="75"/>
    <n v="0"/>
    <n v="113.4"/>
    <n v="8505"/>
    <s v="#202501013700001293"/>
    <n v="0"/>
    <n v="3.02"/>
    <n v="0"/>
    <n v="0.01"/>
    <n v="20"/>
    <n v="4.1399999999999997"/>
    <n v="27.17"/>
    <n v="2025"/>
    <n v="1"/>
    <n v="2024"/>
    <n v="10"/>
    <n v="10"/>
    <x v="12"/>
    <x v="12"/>
    <n v="-8532.17"/>
  </r>
  <r>
    <d v="2025-01-01T00:00:00"/>
    <s v="OPT-NIFTY-02-Jan-2025-23550-P-E-I"/>
    <s v="NSE"/>
    <x v="0"/>
    <n v="225"/>
    <n v="0"/>
    <n v="86"/>
    <n v="19350"/>
    <s v="#202501013700000301"/>
    <n v="19.8"/>
    <n v="6.87"/>
    <n v="0"/>
    <n v="0.02"/>
    <n v="60"/>
    <n v="12.04"/>
    <n v="98.73"/>
    <n v="2025"/>
    <n v="1"/>
    <n v="2024"/>
    <n v="10"/>
    <n v="10"/>
    <x v="12"/>
    <x v="12"/>
    <n v="19251.27"/>
  </r>
  <r>
    <d v="2025-01-02T00:00:00"/>
    <s v="OPT-NIFTY-02-Jan-2025-23800-P-E-I"/>
    <s v="NSE"/>
    <x v="0"/>
    <n v="300"/>
    <n v="0"/>
    <n v="37.35"/>
    <n v="11205"/>
    <s v="#202501023700009907"/>
    <n v="11.21"/>
    <n v="3.98"/>
    <n v="0"/>
    <n v="0.01"/>
    <n v="80"/>
    <n v="15.12"/>
    <n v="110.32"/>
    <n v="2025"/>
    <n v="1"/>
    <n v="2024"/>
    <n v="10"/>
    <n v="10"/>
    <x v="12"/>
    <x v="12"/>
    <n v="11094.68"/>
  </r>
  <r>
    <d v="2025-01-02T00:00:00"/>
    <s v="OPT-NIFTY-02-Jan-2025-23800-P-E-I"/>
    <s v="NSE"/>
    <x v="1"/>
    <n v="300"/>
    <n v="0"/>
    <n v="61.25"/>
    <n v="18375"/>
    <s v="#202501023700006484"/>
    <n v="0"/>
    <n v="6.53"/>
    <n v="2"/>
    <n v="0.02"/>
    <n v="80"/>
    <n v="15.58"/>
    <n v="104.13"/>
    <n v="2025"/>
    <n v="1"/>
    <n v="2024"/>
    <n v="10"/>
    <n v="10"/>
    <x v="12"/>
    <x v="12"/>
    <n v="-18479.13"/>
  </r>
  <r>
    <d v="2025-01-02T00:00:00"/>
    <s v="OPT-NIFTY-02-Jan-2025-23800-P-E-I"/>
    <s v="NSE"/>
    <x v="0"/>
    <n v="300"/>
    <n v="0"/>
    <n v="82.15"/>
    <n v="24645"/>
    <s v="#202501023700004522"/>
    <n v="24.79"/>
    <n v="8.76"/>
    <n v="0"/>
    <n v="0.03"/>
    <n v="80"/>
    <n v="16"/>
    <n v="129.58000000000001"/>
    <n v="2025"/>
    <n v="1"/>
    <n v="2024"/>
    <n v="10"/>
    <n v="10"/>
    <x v="12"/>
    <x v="12"/>
    <n v="24515.42"/>
  </r>
  <r>
    <d v="2025-01-02T00:00:00"/>
    <s v="OPT-NIFTY-02-Jan-2025-23800-P-E-I"/>
    <s v="NSE"/>
    <x v="1"/>
    <n v="75"/>
    <n v="0"/>
    <n v="114.2"/>
    <n v="8565"/>
    <s v="#202501023700002128"/>
    <n v="0"/>
    <n v="3.04"/>
    <n v="0"/>
    <n v="0.01"/>
    <n v="20"/>
    <n v="4.1399999999999997"/>
    <n v="27.19"/>
    <n v="2025"/>
    <n v="1"/>
    <n v="2024"/>
    <n v="10"/>
    <n v="10"/>
    <x v="12"/>
    <x v="12"/>
    <n v="-8592.19"/>
  </r>
  <r>
    <d v="2025-01-02T00:00:00"/>
    <s v="OPT-NIFTY-02-Jan-2025-23800-P-E-I"/>
    <s v="NSE"/>
    <x v="1"/>
    <n v="225"/>
    <n v="0"/>
    <n v="127.25"/>
    <n v="28631.25"/>
    <s v="#202501023700001889"/>
    <n v="0"/>
    <n v="10.17"/>
    <n v="0"/>
    <n v="0.03"/>
    <n v="60"/>
    <n v="12.64"/>
    <n v="82.84"/>
    <n v="2025"/>
    <n v="1"/>
    <n v="2024"/>
    <n v="10"/>
    <n v="10"/>
    <x v="12"/>
    <x v="12"/>
    <n v="-28714.09"/>
  </r>
  <r>
    <d v="2025-01-07T00:00:00"/>
    <s v="OPT-NIFTY-09-Jan-2025-23050-P-E-I"/>
    <s v="NSE"/>
    <x v="0"/>
    <n v="75"/>
    <n v="0"/>
    <n v="20.25"/>
    <n v="1518.75"/>
    <s v="#202501073700004513"/>
    <n v="2"/>
    <n v="0.54"/>
    <n v="0"/>
    <n v="0"/>
    <n v="20"/>
    <n v="3.7"/>
    <n v="26.24"/>
    <n v="2025"/>
    <n v="1"/>
    <n v="2024"/>
    <n v="10"/>
    <n v="10"/>
    <x v="12"/>
    <x v="12"/>
    <n v="1492.51"/>
  </r>
  <r>
    <d v="2025-01-07T00:00:00"/>
    <s v="OPT-NIFTY-09-Jan-2025-23050-P-E-I"/>
    <s v="NSE"/>
    <x v="1"/>
    <n v="75"/>
    <n v="0"/>
    <n v="14.25"/>
    <n v="1068.75"/>
    <s v="#202501073700003772"/>
    <n v="0"/>
    <n v="0.38"/>
    <n v="0"/>
    <n v="0"/>
    <n v="20"/>
    <n v="3.66"/>
    <n v="24.04"/>
    <n v="2025"/>
    <n v="1"/>
    <n v="2024"/>
    <n v="10"/>
    <n v="10"/>
    <x v="12"/>
    <x v="12"/>
    <n v="-1092.79"/>
  </r>
  <r>
    <d v="2025-01-08T00:00:00"/>
    <s v="OPT-NIFTY-09-Jan-2025-23050-P-E-I"/>
    <s v="NSE"/>
    <x v="0"/>
    <n v="450"/>
    <n v="0"/>
    <n v="2.4"/>
    <n v="1080"/>
    <s v="#202501083700023138"/>
    <n v="1"/>
    <n v="0.38"/>
    <n v="0"/>
    <n v="0"/>
    <n v="120"/>
    <n v="21.66"/>
    <n v="143.04"/>
    <n v="2025"/>
    <n v="1"/>
    <n v="2024"/>
    <n v="10"/>
    <n v="10"/>
    <x v="12"/>
    <x v="12"/>
    <n v="936.96"/>
  </r>
  <r>
    <d v="2025-01-08T00:00:00"/>
    <s v="OPT-NIFTY-09-Jan-2025-23050-P-E-I"/>
    <s v="NSE"/>
    <x v="1"/>
    <n v="450"/>
    <n v="0"/>
    <n v="4.25"/>
    <n v="1912.5"/>
    <s v="#202501083700005951"/>
    <n v="0"/>
    <n v="0.68"/>
    <n v="0"/>
    <n v="0"/>
    <n v="120"/>
    <n v="21.72"/>
    <n v="142.4"/>
    <n v="2025"/>
    <n v="1"/>
    <n v="2024"/>
    <n v="10"/>
    <n v="10"/>
    <x v="12"/>
    <x v="12"/>
    <n v="-2054.9"/>
  </r>
  <r>
    <d v="2025-01-15T00:00:00"/>
    <s v="OPT-NIFTY-16-Jan-2025-23200-C-E-I"/>
    <s v="NSE"/>
    <x v="0"/>
    <n v="75"/>
    <n v="0"/>
    <n v="59.25"/>
    <n v="4443.75"/>
    <s v="#202501153700014989"/>
    <n v="4"/>
    <n v="1.58"/>
    <n v="0"/>
    <n v="0"/>
    <n v="20"/>
    <n v="3.88"/>
    <n v="29.46"/>
    <n v="2025"/>
    <n v="1"/>
    <n v="2024"/>
    <n v="10"/>
    <n v="10"/>
    <x v="12"/>
    <x v="12"/>
    <n v="4414.29"/>
  </r>
  <r>
    <d v="2025-01-15T00:00:00"/>
    <s v="OPT-NIFTY-16-Jan-2025-23200-C-E-I"/>
    <s v="NSE"/>
    <x v="1"/>
    <n v="75"/>
    <n v="0"/>
    <n v="53.8"/>
    <n v="4035"/>
    <s v="#202501153700014377"/>
    <n v="0"/>
    <n v="1.43"/>
    <n v="0"/>
    <n v="0"/>
    <n v="20"/>
    <n v="3.86"/>
    <n v="25.29"/>
    <n v="2025"/>
    <n v="1"/>
    <n v="2024"/>
    <n v="10"/>
    <n v="10"/>
    <x v="12"/>
    <x v="12"/>
    <n v="-4060.29"/>
  </r>
  <r>
    <d v="2025-01-24T00:00:00"/>
    <s v="OPT-NIFTY-30-Jan-2025-23800-C-E-I"/>
    <s v="NSE"/>
    <x v="1"/>
    <n v="100"/>
    <n v="0"/>
    <n v="10"/>
    <n v="1000"/>
    <s v="#202501243700020422"/>
    <n v="0"/>
    <n v="0.36"/>
    <n v="0"/>
    <n v="0"/>
    <n v="80"/>
    <n v="14.46"/>
    <n v="94.82"/>
    <n v="2025"/>
    <n v="1"/>
    <n v="2024"/>
    <n v="10"/>
    <n v="10"/>
    <x v="12"/>
    <x v="12"/>
    <n v="-1094.82"/>
  </r>
  <r>
    <d v="2025-01-24T00:00:00"/>
    <s v="OPT-NIFTY-30-Jan-2025-23800-C-E-I"/>
    <s v="NSE"/>
    <x v="1"/>
    <n v="100"/>
    <n v="0"/>
    <n v="25.1"/>
    <n v="2510"/>
    <s v="#202501243700011763"/>
    <n v="0"/>
    <n v="0.89"/>
    <n v="0"/>
    <n v="0"/>
    <n v="80"/>
    <n v="14.56"/>
    <n v="95.45"/>
    <n v="2025"/>
    <n v="1"/>
    <n v="2024"/>
    <n v="10"/>
    <n v="10"/>
    <x v="12"/>
    <x v="12"/>
    <n v="-2605.4499999999998"/>
  </r>
  <r>
    <d v="2025-01-28T00:00:00"/>
    <s v="OPT-NIFTY-30-Jan-2025-23800-C-E-I"/>
    <s v="NSE"/>
    <x v="0"/>
    <n v="200"/>
    <n v="0"/>
    <n v="3.1"/>
    <n v="620"/>
    <s v="#202501283700003738"/>
    <n v="1"/>
    <n v="0.22"/>
    <n v="0"/>
    <n v="0"/>
    <n v="160"/>
    <n v="28.84"/>
    <n v="190.06"/>
    <n v="2025"/>
    <n v="1"/>
    <n v="2024"/>
    <n v="10"/>
    <n v="10"/>
    <x v="12"/>
    <x v="12"/>
    <n v="429.94"/>
  </r>
  <r>
    <d v="2025-01-30T00:00:00"/>
    <s v="OPT-NIFTY-30-Jan-2025-23200-C-E-I"/>
    <s v="NSE"/>
    <x v="0"/>
    <n v="25"/>
    <n v="0"/>
    <n v="123.7"/>
    <n v="3092.5"/>
    <s v="#202501303700012285"/>
    <n v="3.09"/>
    <n v="1.1000000000000001"/>
    <n v="0"/>
    <n v="0"/>
    <n v="20"/>
    <n v="3.8"/>
    <n v="27.99"/>
    <n v="2025"/>
    <n v="1"/>
    <n v="2024"/>
    <n v="10"/>
    <n v="10"/>
    <x v="12"/>
    <x v="12"/>
    <n v="3064.51"/>
  </r>
  <r>
    <d v="2025-01-30T00:00:00"/>
    <s v="OPT-NIFTY-30-Jan-2025-23200-C-E-I"/>
    <s v="NSE"/>
    <x v="1"/>
    <n v="25"/>
    <n v="0"/>
    <n v="95.75"/>
    <n v="2393.75"/>
    <s v="#202501303700011667"/>
    <n v="0"/>
    <n v="0.85"/>
    <n v="0"/>
    <n v="0"/>
    <n v="20"/>
    <n v="3.76"/>
    <n v="24.61"/>
    <n v="2025"/>
    <n v="1"/>
    <n v="2024"/>
    <n v="10"/>
    <n v="10"/>
    <x v="12"/>
    <x v="12"/>
    <n v="-2418.36"/>
  </r>
  <r>
    <d v="2025-01-30T00:00:00"/>
    <s v="OPT-NIFTY-30-Jan-2025-23200-C-E-I"/>
    <s v="NSE"/>
    <x v="0"/>
    <n v="100"/>
    <n v="0"/>
    <n v="115.25"/>
    <n v="11525"/>
    <s v="#202501303700005629"/>
    <n v="11.91"/>
    <n v="4.09"/>
    <n v="0"/>
    <n v="0.01"/>
    <n v="80"/>
    <n v="15.14"/>
    <n v="111.15"/>
    <n v="2025"/>
    <n v="1"/>
    <n v="2024"/>
    <n v="10"/>
    <n v="10"/>
    <x v="12"/>
    <x v="12"/>
    <n v="11413.85"/>
  </r>
  <r>
    <d v="2025-01-30T00:00:00"/>
    <s v="OPT-NIFTY-30-Jan-2025-23200-C-E-I"/>
    <s v="NSE"/>
    <x v="1"/>
    <n v="100"/>
    <n v="0"/>
    <n v="103.16"/>
    <n v="10316.25"/>
    <s v="#202501303700002724"/>
    <n v="0"/>
    <n v="3.67"/>
    <n v="0"/>
    <n v="0.01"/>
    <n v="80"/>
    <n v="15.06"/>
    <n v="98.74"/>
    <n v="2025"/>
    <n v="1"/>
    <n v="2024"/>
    <n v="10"/>
    <n v="10"/>
    <x v="12"/>
    <x v="12"/>
    <n v="-10414.99"/>
  </r>
  <r>
    <d v="2025-01-31T00:00:00"/>
    <s v="OPT-NIFTY-06-Feb-2025-23450-C-E-I"/>
    <s v="NSE"/>
    <x v="0"/>
    <n v="75"/>
    <n v="0"/>
    <n v="307.25"/>
    <n v="23043.75"/>
    <s v="#202501313700014454"/>
    <n v="23.04"/>
    <n v="8.19"/>
    <n v="0"/>
    <n v="0.02"/>
    <n v="20"/>
    <n v="5.08"/>
    <n v="56.33"/>
    <n v="2025"/>
    <n v="1"/>
    <n v="2024"/>
    <n v="10"/>
    <n v="10"/>
    <x v="12"/>
    <x v="12"/>
    <n v="22987.42"/>
  </r>
  <r>
    <d v="2025-01-31T00:00:00"/>
    <s v="OPT-NIFTY-06-Feb-2025-23450-C-E-I"/>
    <s v="NSE"/>
    <x v="1"/>
    <n v="75"/>
    <n v="0"/>
    <n v="286"/>
    <n v="21450"/>
    <s v="#202501313700013663"/>
    <n v="0"/>
    <n v="7.62"/>
    <n v="0"/>
    <n v="0.02"/>
    <n v="20"/>
    <n v="4.9800000000000004"/>
    <n v="32.619999999999997"/>
    <n v="2025"/>
    <n v="1"/>
    <n v="2024"/>
    <n v="10"/>
    <n v="10"/>
    <x v="12"/>
    <x v="12"/>
    <n v="-21482.62"/>
  </r>
  <r>
    <d v="2025-01-31T00:00:00"/>
    <s v="OPT-NIFTY-06-Feb-2025-23450-C-E-I"/>
    <s v="NSE"/>
    <x v="0"/>
    <n v="75"/>
    <n v="0"/>
    <n v="317.25"/>
    <n v="23793.75"/>
    <s v="#202501313700010076"/>
    <n v="23.79"/>
    <n v="8.4499999999999993"/>
    <n v="0"/>
    <n v="0.02"/>
    <n v="20"/>
    <n v="5.12"/>
    <n v="57.38"/>
    <n v="2025"/>
    <n v="1"/>
    <n v="2024"/>
    <n v="10"/>
    <n v="10"/>
    <x v="12"/>
    <x v="12"/>
    <n v="23736.37"/>
  </r>
  <r>
    <d v="2025-01-31T00:00:00"/>
    <s v="OPT-NIFTY-06-Feb-2025-23450-C-E-I"/>
    <s v="NSE"/>
    <x v="1"/>
    <n v="75"/>
    <n v="0"/>
    <n v="303.5"/>
    <n v="22762.5"/>
    <s v="#202501313700009811"/>
    <n v="0"/>
    <n v="8.09"/>
    <n v="1.33"/>
    <n v="0.02"/>
    <n v="20"/>
    <n v="5.0599999999999996"/>
    <n v="34.5"/>
    <n v="2025"/>
    <n v="1"/>
    <n v="2024"/>
    <n v="10"/>
    <n v="10"/>
    <x v="12"/>
    <x v="12"/>
    <n v="-22797"/>
  </r>
  <r>
    <d v="2025-01-31T00:00:00"/>
    <s v="OPT-NIFTY-06-Feb-2025-23400-P-E-I"/>
    <s v="NSE"/>
    <x v="0"/>
    <n v="300"/>
    <n v="0"/>
    <n v="259.25"/>
    <n v="77775"/>
    <s v="#202501313700007943"/>
    <n v="77.77"/>
    <n v="27.64"/>
    <n v="0"/>
    <n v="0.08"/>
    <n v="80"/>
    <n v="19.38"/>
    <n v="204.87"/>
    <n v="2025"/>
    <n v="1"/>
    <n v="2024"/>
    <n v="10"/>
    <n v="10"/>
    <x v="12"/>
    <x v="12"/>
    <n v="77570.13"/>
  </r>
  <r>
    <d v="2025-01-31T00:00:00"/>
    <s v="OPT-NIFTY-06-Feb-2025-23400-P-E-I"/>
    <s v="NSE"/>
    <x v="1"/>
    <n v="150"/>
    <n v="0"/>
    <n v="246.25"/>
    <n v="36937.5"/>
    <s v="#202501313700007785"/>
    <n v="0"/>
    <n v="13.12"/>
    <n v="0"/>
    <n v="0.04"/>
    <n v="40"/>
    <n v="9.56"/>
    <n v="62.72"/>
    <n v="2025"/>
    <n v="1"/>
    <n v="2024"/>
    <n v="10"/>
    <n v="10"/>
    <x v="12"/>
    <x v="12"/>
    <n v="-37000.22"/>
  </r>
  <r>
    <d v="2025-01-31T00:00:00"/>
    <s v="OPT-NIFTY-06-Feb-2025-23400-P-E-I"/>
    <s v="NSE"/>
    <x v="1"/>
    <n v="150"/>
    <n v="0"/>
    <n v="252.3"/>
    <n v="37845"/>
    <s v="#202501313700007702"/>
    <n v="0"/>
    <n v="13.45"/>
    <n v="3.67"/>
    <n v="0.04"/>
    <n v="40"/>
    <n v="9.6199999999999992"/>
    <n v="66.78"/>
    <n v="2025"/>
    <n v="1"/>
    <n v="2024"/>
    <n v="10"/>
    <n v="10"/>
    <x v="12"/>
    <x v="12"/>
    <n v="-37911.78"/>
  </r>
  <r>
    <d v="2025-01-31T00:00:00"/>
    <s v="OPT-NIFTY-06-Feb-2025-23400-P-E-I"/>
    <s v="NSE"/>
    <x v="0"/>
    <n v="150"/>
    <n v="0"/>
    <n v="247.5"/>
    <n v="37125"/>
    <s v="#202501313700007564"/>
    <n v="37.380000000000003"/>
    <n v="13.2"/>
    <n v="0"/>
    <n v="0.04"/>
    <n v="40"/>
    <n v="9.6"/>
    <n v="100.22"/>
    <n v="2025"/>
    <n v="1"/>
    <n v="2024"/>
    <n v="10"/>
    <n v="10"/>
    <x v="12"/>
    <x v="12"/>
    <n v="37024.78"/>
  </r>
  <r>
    <d v="2025-01-31T00:00:00"/>
    <s v="OPT-NIFTY-06-Feb-2025-23400-P-E-I"/>
    <s v="NSE"/>
    <x v="1"/>
    <n v="75"/>
    <n v="0"/>
    <n v="242.1"/>
    <n v="18157.5"/>
    <s v="#202501313700006901"/>
    <n v="0"/>
    <n v="6.45"/>
    <n v="0"/>
    <n v="0.02"/>
    <n v="20"/>
    <n v="4.76"/>
    <n v="31.23"/>
    <n v="2025"/>
    <n v="1"/>
    <n v="2024"/>
    <n v="10"/>
    <n v="10"/>
    <x v="12"/>
    <x v="12"/>
    <n v="-18188.73"/>
  </r>
  <r>
    <d v="2025-01-31T00:00:00"/>
    <s v="OPT-NIFTY-06-Feb-2025-23400-P-E-I"/>
    <s v="NSE"/>
    <x v="1"/>
    <n v="75"/>
    <n v="0"/>
    <n v="251.25"/>
    <n v="18843.75"/>
    <s v="#202501313700006839"/>
    <n v="0"/>
    <n v="6.7"/>
    <n v="0"/>
    <n v="0.02"/>
    <n v="20"/>
    <n v="4.8"/>
    <n v="31.52"/>
    <n v="2025"/>
    <n v="1"/>
    <n v="2024"/>
    <n v="10"/>
    <n v="10"/>
    <x v="12"/>
    <x v="12"/>
    <n v="-18875.27"/>
  </r>
  <r>
    <d v="2025-02-01T00:00:00"/>
    <s v="OPT-NIFTY-06-Feb-2025-23600-C-E-I"/>
    <s v="NSE"/>
    <x v="0"/>
    <n v="300"/>
    <n v="0"/>
    <n v="103.8"/>
    <n v="31140"/>
    <s v="#202502013700022569"/>
    <n v="31"/>
    <n v="11.06"/>
    <n v="0"/>
    <n v="0.03"/>
    <n v="80"/>
    <n v="16.399999999999999"/>
    <n v="138.49"/>
    <n v="2025"/>
    <n v="2"/>
    <n v="2024"/>
    <n v="11"/>
    <n v="11"/>
    <x v="13"/>
    <x v="13"/>
    <n v="31001.51"/>
  </r>
  <r>
    <d v="2025-02-01T00:00:00"/>
    <s v="OPT-NIFTY-06-Feb-2025-23600-C-E-I"/>
    <s v="NSE"/>
    <x v="1"/>
    <n v="75"/>
    <n v="0"/>
    <n v="215.3"/>
    <n v="16147.5"/>
    <s v="#202502013700009017"/>
    <n v="0"/>
    <n v="5.74"/>
    <n v="0"/>
    <n v="0.02"/>
    <n v="20"/>
    <n v="4.6399999999999997"/>
    <n v="30.4"/>
    <n v="2025"/>
    <n v="2"/>
    <n v="2024"/>
    <n v="11"/>
    <n v="11"/>
    <x v="13"/>
    <x v="13"/>
    <n v="-16177.9"/>
  </r>
  <r>
    <d v="2025-02-01T00:00:00"/>
    <s v="OPT-NIFTY-06-Feb-2025-23600-C-E-I"/>
    <s v="NSE"/>
    <x v="1"/>
    <n v="75"/>
    <n v="0"/>
    <n v="241.45"/>
    <n v="18108.75"/>
    <s v="#202502013700008356"/>
    <n v="0"/>
    <n v="6.43"/>
    <n v="0"/>
    <n v="0.02"/>
    <n v="20"/>
    <n v="4.76"/>
    <n v="31.21"/>
    <n v="2025"/>
    <n v="2"/>
    <n v="2024"/>
    <n v="11"/>
    <n v="11"/>
    <x v="13"/>
    <x v="13"/>
    <n v="-18139.96"/>
  </r>
  <r>
    <d v="2025-02-01T00:00:00"/>
    <s v="OPT-NIFTY-06-Feb-2025-23600-C-E-I"/>
    <s v="NSE"/>
    <x v="1"/>
    <n v="75"/>
    <n v="0"/>
    <n v="242.1"/>
    <n v="18157.5"/>
    <s v="#202502013700007399"/>
    <n v="0"/>
    <n v="6.45"/>
    <n v="0"/>
    <n v="0.02"/>
    <n v="20"/>
    <n v="4.76"/>
    <n v="31.23"/>
    <n v="2025"/>
    <n v="2"/>
    <n v="2024"/>
    <n v="11"/>
    <n v="11"/>
    <x v="13"/>
    <x v="13"/>
    <n v="-18188.73"/>
  </r>
  <r>
    <d v="2025-02-01T00:00:00"/>
    <s v="OPT-NIFTY-06-Feb-2025-23600-C-E-I"/>
    <s v="NSE"/>
    <x v="1"/>
    <n v="75"/>
    <n v="0"/>
    <n v="252"/>
    <n v="18900"/>
    <s v="#202502013700006973"/>
    <n v="0"/>
    <n v="6.72"/>
    <n v="2"/>
    <n v="0.02"/>
    <n v="20"/>
    <n v="4.82"/>
    <n v="33.56"/>
    <n v="2025"/>
    <n v="2"/>
    <n v="2024"/>
    <n v="11"/>
    <n v="11"/>
    <x v="13"/>
    <x v="13"/>
    <n v="-18933.560000000001"/>
  </r>
  <r>
    <d v="2025-02-03T00:00:00"/>
    <s v="OPT-NIFTY-06-Feb-2025-23300-C-E-I"/>
    <s v="NSE"/>
    <x v="0"/>
    <n v="150"/>
    <n v="0"/>
    <n v="169.95"/>
    <n v="25492.5"/>
    <s v="#202502033700012940"/>
    <n v="25"/>
    <n v="9.06"/>
    <n v="0"/>
    <n v="0.03"/>
    <n v="40"/>
    <n v="8.84"/>
    <n v="82.93"/>
    <n v="2025"/>
    <n v="2"/>
    <n v="2024"/>
    <n v="11"/>
    <n v="11"/>
    <x v="13"/>
    <x v="13"/>
    <n v="25409.57"/>
  </r>
  <r>
    <d v="2025-02-03T00:00:00"/>
    <s v="OPT-NIFTY-06-Feb-2025-23300-C-E-I"/>
    <s v="NSE"/>
    <x v="1"/>
    <n v="75"/>
    <n v="0"/>
    <n v="120.15"/>
    <n v="9011.25"/>
    <s v="#202502033700010414"/>
    <n v="0"/>
    <n v="3.2"/>
    <n v="0"/>
    <n v="0.01"/>
    <n v="20"/>
    <n v="4.18"/>
    <n v="27.39"/>
    <n v="2025"/>
    <n v="2"/>
    <n v="2024"/>
    <n v="11"/>
    <n v="11"/>
    <x v="13"/>
    <x v="13"/>
    <n v="-9038.64"/>
  </r>
  <r>
    <d v="2025-02-03T00:00:00"/>
    <s v="OPT-NIFTY-06-Feb-2025-23300-C-E-I"/>
    <s v="NSE"/>
    <x v="1"/>
    <n v="75"/>
    <n v="0"/>
    <n v="157.69999999999999"/>
    <n v="11827.5"/>
    <s v="#202502033700002244"/>
    <n v="0"/>
    <n v="4.2"/>
    <n v="1"/>
    <n v="0.01"/>
    <n v="20"/>
    <n v="4.3600000000000003"/>
    <n v="29.57"/>
    <n v="2025"/>
    <n v="2"/>
    <n v="2024"/>
    <n v="11"/>
    <n v="11"/>
    <x v="13"/>
    <x v="13"/>
    <n v="-11857.07"/>
  </r>
  <r>
    <d v="2025-02-04T00:00:00"/>
    <s v="OPT-NIFTY-06-Feb-2025-23700-P-E-I"/>
    <s v="NSE"/>
    <x v="0"/>
    <n v="150"/>
    <n v="0"/>
    <n v="169.25"/>
    <n v="25387.5"/>
    <s v="#202502043700016451"/>
    <n v="25.39"/>
    <n v="9.02"/>
    <n v="0"/>
    <n v="0.03"/>
    <n v="40"/>
    <n v="8.82"/>
    <n v="83.26"/>
    <n v="2025"/>
    <n v="2"/>
    <n v="2024"/>
    <n v="11"/>
    <n v="11"/>
    <x v="13"/>
    <x v="13"/>
    <n v="25304.240000000002"/>
  </r>
  <r>
    <d v="2025-02-04T00:00:00"/>
    <s v="OPT-NIFTY-06-Feb-2025-23700-P-E-I"/>
    <s v="NSE"/>
    <x v="1"/>
    <n v="75"/>
    <n v="0"/>
    <n v="145.69999999999999"/>
    <n v="10927.5"/>
    <s v="#202502043700016083"/>
    <n v="0"/>
    <n v="3.88"/>
    <n v="0"/>
    <n v="0.01"/>
    <n v="20"/>
    <n v="4.3"/>
    <n v="28.19"/>
    <n v="2025"/>
    <n v="2"/>
    <n v="2024"/>
    <n v="11"/>
    <n v="11"/>
    <x v="13"/>
    <x v="13"/>
    <n v="-10955.69"/>
  </r>
  <r>
    <d v="2025-02-04T00:00:00"/>
    <s v="OPT-NIFTY-06-Feb-2025-23700-P-E-I"/>
    <s v="NSE"/>
    <x v="1"/>
    <n v="75"/>
    <n v="0"/>
    <n v="157.69999999999999"/>
    <n v="11827.5"/>
    <s v="#202502043700015061"/>
    <n v="0"/>
    <n v="4.2"/>
    <n v="0.52"/>
    <n v="0.01"/>
    <n v="20"/>
    <n v="4.3600000000000003"/>
    <n v="29.09"/>
    <n v="2025"/>
    <n v="2"/>
    <n v="2024"/>
    <n v="11"/>
    <n v="11"/>
    <x v="13"/>
    <x v="13"/>
    <n v="-11856.59"/>
  </r>
  <r>
    <d v="2025-02-04T00:00:00"/>
    <s v="OPT-NIFTY-06-Feb-2025-23350-P-E-I"/>
    <s v="NSE"/>
    <x v="0"/>
    <n v="75"/>
    <n v="0"/>
    <n v="72"/>
    <n v="5400"/>
    <s v="#202502043700005707"/>
    <n v="5.4"/>
    <n v="1.92"/>
    <n v="0"/>
    <n v="0.01"/>
    <n v="20"/>
    <n v="3.94"/>
    <n v="31.27"/>
    <n v="2025"/>
    <n v="2"/>
    <n v="2024"/>
    <n v="11"/>
    <n v="11"/>
    <x v="13"/>
    <x v="13"/>
    <n v="5368.73"/>
  </r>
  <r>
    <d v="2025-02-04T00:00:00"/>
    <s v="OPT-NIFTY-06-Feb-2025-23600-P-E-I"/>
    <s v="NSE"/>
    <x v="0"/>
    <n v="75"/>
    <n v="0"/>
    <n v="169.75"/>
    <n v="12731.25"/>
    <s v="#202502043700005659"/>
    <n v="13.21"/>
    <n v="4.5199999999999996"/>
    <n v="0"/>
    <n v="0.01"/>
    <n v="20"/>
    <n v="4.42"/>
    <n v="42.16"/>
    <n v="2025"/>
    <n v="2"/>
    <n v="2024"/>
    <n v="11"/>
    <n v="11"/>
    <x v="13"/>
    <x v="13"/>
    <n v="12689.09"/>
  </r>
  <r>
    <d v="2025-02-04T00:00:00"/>
    <s v="OPT-NIFTY-06-Feb-2025-23600-P-E-I"/>
    <s v="NSE"/>
    <x v="1"/>
    <n v="75"/>
    <n v="0"/>
    <n v="150.44999999999999"/>
    <n v="11283.75"/>
    <s v="#202502043700004836"/>
    <n v="0"/>
    <n v="4.01"/>
    <n v="0.34"/>
    <n v="0.01"/>
    <n v="20"/>
    <n v="4.32"/>
    <n v="28.68"/>
    <n v="2025"/>
    <n v="2"/>
    <n v="2024"/>
    <n v="11"/>
    <n v="11"/>
    <x v="13"/>
    <x v="13"/>
    <n v="-11312.43"/>
  </r>
  <r>
    <d v="2025-02-04T00:00:00"/>
    <s v="OPT-NIFTY-06-Feb-2025-23350-P-E-I"/>
    <s v="NSE"/>
    <x v="1"/>
    <n v="75"/>
    <n v="0"/>
    <n v="61.25"/>
    <n v="4593.75"/>
    <s v="#202502043700002651"/>
    <n v="0"/>
    <n v="1.63"/>
    <n v="0.14000000000000001"/>
    <n v="0"/>
    <n v="20"/>
    <n v="3.9"/>
    <n v="25.67"/>
    <n v="2025"/>
    <n v="2"/>
    <n v="2024"/>
    <n v="11"/>
    <n v="11"/>
    <x v="13"/>
    <x v="13"/>
    <n v="-4619.42"/>
  </r>
  <r>
    <d v="2025-02-05T00:00:00"/>
    <s v="OPT-NIFTY-06-Feb-2025-23750-P-E-I"/>
    <s v="NSE"/>
    <x v="0"/>
    <n v="375"/>
    <n v="0"/>
    <n v="93.25"/>
    <n v="34968.75"/>
    <s v="#202502053700010640"/>
    <n v="35"/>
    <n v="12.42"/>
    <n v="0"/>
    <n v="0.03"/>
    <n v="100"/>
    <n v="20.239999999999998"/>
    <n v="167.69"/>
    <n v="2025"/>
    <n v="2"/>
    <n v="2024"/>
    <n v="11"/>
    <n v="11"/>
    <x v="13"/>
    <x v="13"/>
    <n v="34801.06"/>
  </r>
  <r>
    <d v="2025-02-05T00:00:00"/>
    <s v="OPT-NIFTY-06-Feb-2025-23750-P-E-I"/>
    <s v="NSE"/>
    <x v="1"/>
    <n v="75"/>
    <n v="0"/>
    <n v="79.55"/>
    <n v="5966.25"/>
    <s v="#202502053700007071"/>
    <n v="0"/>
    <n v="2.12"/>
    <n v="0"/>
    <n v="0.01"/>
    <n v="20"/>
    <n v="3.98"/>
    <n v="26.11"/>
    <n v="2025"/>
    <n v="2"/>
    <n v="2024"/>
    <n v="11"/>
    <n v="11"/>
    <x v="13"/>
    <x v="13"/>
    <n v="-5992.36"/>
  </r>
  <r>
    <d v="2025-02-05T00:00:00"/>
    <s v="OPT-NIFTY-06-Feb-2025-23750-P-E-I"/>
    <s v="NSE"/>
    <x v="1"/>
    <n v="75"/>
    <n v="0"/>
    <n v="91.65"/>
    <n v="6873.75"/>
    <s v="#202502053700005846"/>
    <n v="0"/>
    <n v="2.44"/>
    <n v="0"/>
    <n v="0.01"/>
    <n v="20"/>
    <n v="4.04"/>
    <n v="26.49"/>
    <n v="2025"/>
    <n v="2"/>
    <n v="2024"/>
    <n v="11"/>
    <n v="11"/>
    <x v="13"/>
    <x v="13"/>
    <n v="-6900.24"/>
  </r>
  <r>
    <d v="2025-02-05T00:00:00"/>
    <s v="OPT-NIFTY-06-Feb-2025-23750-P-E-I"/>
    <s v="NSE"/>
    <x v="1"/>
    <n v="75"/>
    <n v="0"/>
    <n v="83"/>
    <n v="6225"/>
    <s v="#202502053700005009"/>
    <n v="0"/>
    <n v="2.21"/>
    <n v="0"/>
    <n v="0.01"/>
    <n v="20"/>
    <n v="4"/>
    <n v="26.22"/>
    <n v="2025"/>
    <n v="2"/>
    <n v="2024"/>
    <n v="11"/>
    <n v="11"/>
    <x v="13"/>
    <x v="13"/>
    <n v="-6251.22"/>
  </r>
  <r>
    <d v="2025-02-05T00:00:00"/>
    <s v="OPT-NIFTY-06-Feb-2025-23750-P-E-I"/>
    <s v="NSE"/>
    <x v="1"/>
    <n v="75"/>
    <n v="0"/>
    <n v="92.25"/>
    <n v="6918.75"/>
    <s v="#202502053700004932"/>
    <n v="0"/>
    <n v="2.46"/>
    <n v="1"/>
    <n v="0.01"/>
    <n v="20"/>
    <n v="4.04"/>
    <n v="27.51"/>
    <n v="2025"/>
    <n v="2"/>
    <n v="2024"/>
    <n v="11"/>
    <n v="11"/>
    <x v="13"/>
    <x v="13"/>
    <n v="-6946.26"/>
  </r>
  <r>
    <d v="2025-02-05T00:00:00"/>
    <s v="OPT-NIFTY-06-Feb-2025-23750-P-E-I"/>
    <s v="NSE"/>
    <x v="1"/>
    <n v="75"/>
    <n v="0"/>
    <n v="92"/>
    <n v="6900"/>
    <s v="#202502053700004768"/>
    <n v="0"/>
    <n v="2.4500000000000002"/>
    <n v="0"/>
    <n v="0.01"/>
    <n v="20"/>
    <n v="4.04"/>
    <n v="26.5"/>
    <n v="2025"/>
    <n v="2"/>
    <n v="2024"/>
    <n v="11"/>
    <n v="11"/>
    <x v="13"/>
    <x v="13"/>
    <n v="-6926.5"/>
  </r>
  <r>
    <d v="2025-02-06T00:00:00"/>
    <s v="OPT-NIFTY-06-Feb-2025-23650-C-E-I"/>
    <s v="NSE"/>
    <x v="0"/>
    <n v="750"/>
    <n v="0"/>
    <n v="8"/>
    <n v="6000"/>
    <s v="#202502063700012203"/>
    <n v="6"/>
    <n v="2.13"/>
    <n v="0"/>
    <n v="0"/>
    <n v="200"/>
    <n v="36.380000000000003"/>
    <n v="244.51"/>
    <n v="2025"/>
    <n v="2"/>
    <n v="2024"/>
    <n v="11"/>
    <n v="11"/>
    <x v="13"/>
    <x v="13"/>
    <n v="5755.49"/>
  </r>
  <r>
    <d v="2025-02-06T00:00:00"/>
    <s v="OPT-NIFTY-06-Feb-2025-23650-C-E-I"/>
    <s v="NSE"/>
    <x v="1"/>
    <n v="750"/>
    <n v="0"/>
    <n v="13.7"/>
    <n v="10275"/>
    <s v="#202502063700009958"/>
    <n v="0"/>
    <n v="3.65"/>
    <n v="1"/>
    <n v="0.01"/>
    <n v="200"/>
    <n v="36.659999999999997"/>
    <n v="241.32"/>
    <n v="2025"/>
    <n v="2"/>
    <n v="2024"/>
    <n v="11"/>
    <n v="11"/>
    <x v="13"/>
    <x v="13"/>
    <n v="-10516.32"/>
  </r>
  <r>
    <d v="2025-02-06T00:00:00"/>
    <s v="OPT-NIFTY-06-Feb-2025-23650-C-E-I"/>
    <s v="NSE"/>
    <x v="0"/>
    <n v="600"/>
    <n v="0"/>
    <n v="22.25"/>
    <n v="13350"/>
    <s v="#202502063700007918"/>
    <n v="13.01"/>
    <n v="4.74"/>
    <n v="0"/>
    <n v="0.02"/>
    <n v="160"/>
    <n v="29.64"/>
    <n v="207.41"/>
    <n v="2025"/>
    <n v="2"/>
    <n v="2024"/>
    <n v="11"/>
    <n v="11"/>
    <x v="13"/>
    <x v="13"/>
    <n v="13142.59"/>
  </r>
  <r>
    <d v="2025-02-06T00:00:00"/>
    <s v="OPT-NIFTY-06-Feb-2025-23650-C-E-I"/>
    <s v="NSE"/>
    <x v="1"/>
    <n v="300"/>
    <n v="0"/>
    <n v="26.25"/>
    <n v="7875"/>
    <s v="#202502063700007382"/>
    <n v="0"/>
    <n v="2.8"/>
    <n v="0"/>
    <n v="0.01"/>
    <n v="80"/>
    <n v="14.9"/>
    <n v="97.71"/>
    <n v="2025"/>
    <n v="2"/>
    <n v="2024"/>
    <n v="11"/>
    <n v="11"/>
    <x v="13"/>
    <x v="13"/>
    <n v="-7972.71"/>
  </r>
  <r>
    <d v="2025-02-06T00:00:00"/>
    <s v="OPT-NIFTY-06-Feb-2025-23650-C-E-I"/>
    <s v="NSE"/>
    <x v="1"/>
    <n v="300"/>
    <n v="0"/>
    <n v="31.5"/>
    <n v="9450"/>
    <s v="#202502063700006734"/>
    <n v="0"/>
    <n v="3.36"/>
    <n v="0"/>
    <n v="0"/>
    <n v="80"/>
    <n v="15.02"/>
    <n v="98.38"/>
    <n v="2025"/>
    <n v="2"/>
    <n v="2024"/>
    <n v="11"/>
    <n v="11"/>
    <x v="13"/>
    <x v="13"/>
    <n v="-9548.3799999999992"/>
  </r>
  <r>
    <d v="2025-02-07T00:00:00"/>
    <s v="OPT-NIFTY-13-Feb-2025-23750-C-E-I"/>
    <s v="NSE"/>
    <x v="0"/>
    <n v="150"/>
    <n v="0"/>
    <n v="62"/>
    <n v="9300"/>
    <s v="#202502073700015043"/>
    <n v="9.3000000000000007"/>
    <n v="3.3"/>
    <n v="0"/>
    <n v="0"/>
    <n v="40"/>
    <n v="7.8"/>
    <n v="60.4"/>
    <n v="2025"/>
    <n v="2"/>
    <n v="2024"/>
    <n v="11"/>
    <n v="11"/>
    <x v="13"/>
    <x v="13"/>
    <n v="9239.6"/>
  </r>
  <r>
    <d v="2025-02-07T00:00:00"/>
    <s v="OPT-NIFTY-13-Feb-2025-23750-C-E-I"/>
    <s v="NSE"/>
    <x v="1"/>
    <n v="75"/>
    <n v="0"/>
    <n v="71.900000000000006"/>
    <n v="5392.5"/>
    <s v="#202502073700014524"/>
    <n v="0"/>
    <n v="1.92"/>
    <n v="0"/>
    <n v="0.01"/>
    <n v="20"/>
    <n v="3.94"/>
    <n v="25.87"/>
    <n v="2025"/>
    <n v="2"/>
    <n v="2024"/>
    <n v="11"/>
    <n v="11"/>
    <x v="13"/>
    <x v="13"/>
    <n v="-5418.37"/>
  </r>
  <r>
    <d v="2025-02-07T00:00:00"/>
    <s v="OPT-NIFTY-13-Feb-2025-23750-C-E-I"/>
    <s v="NSE"/>
    <x v="1"/>
    <n v="75"/>
    <n v="0"/>
    <n v="92.1"/>
    <n v="6907.5"/>
    <s v="#202502073700012222"/>
    <n v="0"/>
    <n v="2.4500000000000002"/>
    <n v="0"/>
    <n v="0.01"/>
    <n v="20"/>
    <n v="4.04"/>
    <n v="26.5"/>
    <n v="2025"/>
    <n v="2"/>
    <n v="2024"/>
    <n v="11"/>
    <n v="11"/>
    <x v="13"/>
    <x v="13"/>
    <n v="-6934"/>
  </r>
  <r>
    <d v="2025-02-07T00:00:00"/>
    <s v="OPT-NIFTY-13-Feb-2025-23550-P-E-I"/>
    <s v="NSE"/>
    <x v="0"/>
    <n v="150"/>
    <n v="0"/>
    <n v="116.25"/>
    <n v="17437.5"/>
    <s v="#202502073700010081"/>
    <n v="17.440000000000001"/>
    <n v="6.2"/>
    <n v="0"/>
    <n v="0.02"/>
    <n v="40"/>
    <n v="8.32"/>
    <n v="71.98"/>
    <n v="2025"/>
    <n v="2"/>
    <n v="2024"/>
    <n v="11"/>
    <n v="11"/>
    <x v="13"/>
    <x v="13"/>
    <n v="17365.52"/>
  </r>
  <r>
    <d v="2025-02-07T00:00:00"/>
    <s v="OPT-NIFTY-13-Feb-2025-23550-P-E-I"/>
    <s v="NSE"/>
    <x v="1"/>
    <n v="150"/>
    <n v="0"/>
    <n v="96"/>
    <n v="14400"/>
    <s v="#202502073700009473"/>
    <n v="0"/>
    <n v="5.12"/>
    <n v="0.43"/>
    <n v="0.02"/>
    <n v="40"/>
    <n v="8.1199999999999992"/>
    <n v="53.69"/>
    <n v="2025"/>
    <n v="2"/>
    <n v="2024"/>
    <n v="11"/>
    <n v="11"/>
    <x v="13"/>
    <x v="13"/>
    <n v="-14453.69"/>
  </r>
  <r>
    <d v="2025-02-07T00:00:00"/>
    <s v="OPT-NIFTY-13-Feb-2025-23750-C-E-I"/>
    <s v="NSE"/>
    <x v="0"/>
    <n v="150"/>
    <n v="0"/>
    <n v="120"/>
    <n v="18000"/>
    <s v="#202502073700003436"/>
    <n v="18"/>
    <n v="6.4"/>
    <n v="0"/>
    <n v="0.02"/>
    <n v="40"/>
    <n v="8.36"/>
    <n v="72.78"/>
    <n v="2025"/>
    <n v="2"/>
    <n v="2024"/>
    <n v="11"/>
    <n v="11"/>
    <x v="13"/>
    <x v="13"/>
    <n v="17927.22"/>
  </r>
  <r>
    <d v="2025-02-07T00:00:00"/>
    <s v="OPT-NIFTY-13-Feb-2025-23750-C-E-I"/>
    <s v="NSE"/>
    <x v="1"/>
    <n v="150"/>
    <n v="0"/>
    <n v="133"/>
    <n v="19950"/>
    <s v="#202502073700002997"/>
    <n v="0"/>
    <n v="7.09"/>
    <n v="1.57"/>
    <n v="0.02"/>
    <n v="40"/>
    <n v="8.48"/>
    <n v="57.16"/>
    <n v="2025"/>
    <n v="2"/>
    <n v="2024"/>
    <n v="11"/>
    <n v="11"/>
    <x v="13"/>
    <x v="13"/>
    <n v="-20007.16"/>
  </r>
  <r>
    <d v="2025-02-07T00:00:00"/>
    <s v="OPT-NIFTY-13-Feb-2025-23750-C-E-I"/>
    <s v="NSE"/>
    <x v="0"/>
    <n v="75"/>
    <n v="0"/>
    <n v="127.7"/>
    <n v="9577.5"/>
    <s v="#202502073700002641"/>
    <n v="9.26"/>
    <n v="3.4"/>
    <n v="0"/>
    <n v="0.01"/>
    <n v="20"/>
    <n v="4.22"/>
    <n v="36.89"/>
    <n v="2025"/>
    <n v="2"/>
    <n v="2024"/>
    <n v="11"/>
    <n v="11"/>
    <x v="13"/>
    <x v="13"/>
    <n v="9540.61"/>
  </r>
  <r>
    <d v="2025-02-07T00:00:00"/>
    <s v="OPT-NIFTY-13-Feb-2025-23750-C-E-I"/>
    <s v="NSE"/>
    <x v="1"/>
    <n v="75"/>
    <n v="0"/>
    <n v="132.25"/>
    <n v="9918.75"/>
    <s v="#202502073700002307"/>
    <n v="0"/>
    <n v="3.52"/>
    <n v="0"/>
    <n v="0.01"/>
    <n v="20"/>
    <n v="4.24"/>
    <n v="27.77"/>
    <n v="2025"/>
    <n v="2"/>
    <n v="2024"/>
    <n v="11"/>
    <n v="11"/>
    <x v="13"/>
    <x v="13"/>
    <n v="-9946.52"/>
  </r>
  <r>
    <d v="2025-02-11T00:00:00"/>
    <s v="OPT-NIFTY-13-Feb-2025-23150-P-E-I"/>
    <s v="NSE"/>
    <x v="0"/>
    <n v="75"/>
    <n v="0"/>
    <n v="185.1"/>
    <n v="13882.5"/>
    <s v="#202502113700013444"/>
    <n v="14"/>
    <n v="4.93"/>
    <n v="0"/>
    <n v="0.01"/>
    <n v="20"/>
    <n v="4.4800000000000004"/>
    <n v="43.42"/>
    <n v="2025"/>
    <n v="2"/>
    <n v="2024"/>
    <n v="11"/>
    <n v="11"/>
    <x v="13"/>
    <x v="13"/>
    <n v="13839.08"/>
  </r>
  <r>
    <d v="2025-02-11T00:00:00"/>
    <s v="OPT-NIFTY-13-Feb-2025-23150-P-E-I"/>
    <s v="NSE"/>
    <x v="1"/>
    <n v="75"/>
    <n v="0"/>
    <n v="62.5"/>
    <n v="4687.5"/>
    <s v="#202502113700009822"/>
    <n v="0"/>
    <n v="1.67"/>
    <n v="0"/>
    <n v="0"/>
    <n v="20"/>
    <n v="3.9"/>
    <n v="25.57"/>
    <n v="2025"/>
    <n v="2"/>
    <n v="2024"/>
    <n v="11"/>
    <n v="11"/>
    <x v="13"/>
    <x v="13"/>
    <n v="-4713.07"/>
  </r>
  <r>
    <d v="2025-02-12T00:00:00"/>
    <s v="OPT-NIFTY-13-Feb-2025-23300-C-E-I"/>
    <s v="NSE"/>
    <x v="1"/>
    <n v="300"/>
    <n v="0"/>
    <n v="41.5"/>
    <n v="12450"/>
    <s v="#202502123700019547"/>
    <n v="0"/>
    <n v="4.42"/>
    <n v="0.18"/>
    <n v="0.01"/>
    <n v="80"/>
    <n v="15.2"/>
    <n v="99.81"/>
    <n v="2025"/>
    <n v="2"/>
    <n v="2024"/>
    <n v="11"/>
    <n v="11"/>
    <x v="13"/>
    <x v="13"/>
    <n v="-12549.81"/>
  </r>
  <r>
    <d v="2025-02-12T00:00:00"/>
    <s v="OPT-NIFTY-13-Feb-2025-22950-P-E-I"/>
    <s v="NSE"/>
    <x v="0"/>
    <n v="150"/>
    <n v="0"/>
    <n v="35"/>
    <n v="5250"/>
    <s v="#202502123700019440"/>
    <n v="5.26"/>
    <n v="1.86"/>
    <n v="0"/>
    <n v="0"/>
    <n v="40"/>
    <n v="7.52"/>
    <n v="54.64"/>
    <n v="2025"/>
    <n v="2"/>
    <n v="2024"/>
    <n v="11"/>
    <n v="11"/>
    <x v="13"/>
    <x v="13"/>
    <n v="5195.3599999999997"/>
  </r>
  <r>
    <d v="2025-02-12T00:00:00"/>
    <s v="OPT-NIFTY-13-Feb-2025-22950-P-E-I"/>
    <s v="NSE"/>
    <x v="1"/>
    <n v="75"/>
    <n v="0"/>
    <n v="65"/>
    <n v="4875"/>
    <s v="#202502123700015237"/>
    <n v="0"/>
    <n v="1.73"/>
    <n v="0"/>
    <n v="0"/>
    <n v="20"/>
    <n v="3.92"/>
    <n v="25.65"/>
    <n v="2025"/>
    <n v="2"/>
    <n v="2024"/>
    <n v="11"/>
    <n v="11"/>
    <x v="13"/>
    <x v="13"/>
    <n v="-4900.6499999999996"/>
  </r>
  <r>
    <d v="2025-02-12T00:00:00"/>
    <s v="OPT-NIFTY-13-Feb-2025-23050-C-E-I"/>
    <s v="NSE"/>
    <x v="0"/>
    <n v="75"/>
    <n v="0"/>
    <n v="120.35"/>
    <n v="9026.25"/>
    <s v="#202502123700015017"/>
    <n v="9.0299999999999994"/>
    <n v="3.21"/>
    <n v="0"/>
    <n v="0.01"/>
    <n v="20"/>
    <n v="4.18"/>
    <n v="36.43"/>
    <n v="2025"/>
    <n v="2"/>
    <n v="2024"/>
    <n v="11"/>
    <n v="11"/>
    <x v="13"/>
    <x v="13"/>
    <n v="8989.82"/>
  </r>
  <r>
    <d v="2025-02-12T00:00:00"/>
    <s v="OPT-NIFTY-13-Feb-2025-23050-C-E-I"/>
    <s v="NSE"/>
    <x v="1"/>
    <n v="75"/>
    <n v="0"/>
    <n v="95.5"/>
    <n v="7162.5"/>
    <s v="#202502123700013613"/>
    <n v="0"/>
    <n v="2.54"/>
    <n v="0.21"/>
    <n v="0.01"/>
    <n v="20"/>
    <n v="4.0599999999999996"/>
    <n v="26.82"/>
    <n v="2025"/>
    <n v="2"/>
    <n v="2024"/>
    <n v="11"/>
    <n v="11"/>
    <x v="13"/>
    <x v="13"/>
    <n v="-7189.32"/>
  </r>
  <r>
    <d v="2025-02-12T00:00:00"/>
    <s v="OPT-NIFTY-13-Feb-2025-22950-P-E-I"/>
    <s v="NSE"/>
    <x v="1"/>
    <n v="75"/>
    <n v="0"/>
    <n v="101.25"/>
    <n v="7593.75"/>
    <s v="#202502123700012516"/>
    <n v="0"/>
    <n v="2.7"/>
    <n v="0.37"/>
    <n v="0.01"/>
    <n v="20"/>
    <n v="4.08"/>
    <n v="27.16"/>
    <n v="2025"/>
    <n v="2"/>
    <n v="2024"/>
    <n v="11"/>
    <n v="11"/>
    <x v="13"/>
    <x v="13"/>
    <n v="-7620.91"/>
  </r>
  <r>
    <d v="2025-02-12T00:00:00"/>
    <s v="OPT-NIFTY-13-Feb-2025-22850-C-E-I"/>
    <s v="NSE"/>
    <x v="0"/>
    <n v="75"/>
    <n v="0"/>
    <n v="127"/>
    <n v="9525"/>
    <s v="#202502123700007865"/>
    <n v="9.7200000000000006"/>
    <n v="3.38"/>
    <n v="0"/>
    <n v="0.01"/>
    <n v="20"/>
    <n v="4.22"/>
    <n v="37.33"/>
    <n v="2025"/>
    <n v="2"/>
    <n v="2024"/>
    <n v="11"/>
    <n v="11"/>
    <x v="13"/>
    <x v="13"/>
    <n v="9487.67"/>
  </r>
  <r>
    <d v="2025-02-12T00:00:00"/>
    <s v="OPT-NIFTY-13-Feb-2025-22850-C-E-I"/>
    <s v="NSE"/>
    <x v="1"/>
    <n v="75"/>
    <n v="0"/>
    <n v="107.15"/>
    <n v="8036.25"/>
    <s v="#202502123700006341"/>
    <n v="0"/>
    <n v="2.86"/>
    <n v="0.24"/>
    <n v="0.01"/>
    <n v="20"/>
    <n v="4.12"/>
    <n v="27.23"/>
    <n v="2025"/>
    <n v="2"/>
    <n v="2024"/>
    <n v="11"/>
    <n v="11"/>
    <x v="13"/>
    <x v="13"/>
    <n v="-8063.48"/>
  </r>
  <r>
    <d v="2025-02-13T00:00:00"/>
    <s v="OPT-NIFTY-13-Feb-2025-23300-C-E-I"/>
    <s v="NSE"/>
    <x v="0"/>
    <n v="300"/>
    <n v="0"/>
    <n v="3.9"/>
    <n v="1170"/>
    <s v="#202502133700015608"/>
    <n v="1"/>
    <n v="0.42"/>
    <n v="0"/>
    <n v="0"/>
    <n v="80"/>
    <n v="14.48"/>
    <n v="95.9"/>
    <n v="2025"/>
    <n v="2"/>
    <n v="2024"/>
    <n v="11"/>
    <n v="11"/>
    <x v="13"/>
    <x v="13"/>
    <n v="1074.0999999999999"/>
  </r>
  <r>
    <d v="2025-02-17T00:00:00"/>
    <s v="OPT-NIFTY-20-Feb-2025-23000-C-E-I"/>
    <s v="NSE"/>
    <x v="0"/>
    <n v="150"/>
    <n v="0"/>
    <n v="147.25"/>
    <n v="22087.5"/>
    <s v="#202502173700017869"/>
    <n v="22.09"/>
    <n v="7.85"/>
    <n v="0"/>
    <n v="0.02"/>
    <n v="40"/>
    <n v="8.6199999999999992"/>
    <n v="78.58"/>
    <n v="2025"/>
    <n v="2"/>
    <n v="2024"/>
    <n v="11"/>
    <n v="11"/>
    <x v="13"/>
    <x v="13"/>
    <n v="22008.92"/>
  </r>
  <r>
    <d v="2025-02-17T00:00:00"/>
    <s v="OPT-NIFTY-20-Feb-2025-23000-C-E-I"/>
    <s v="NSE"/>
    <x v="1"/>
    <n v="150"/>
    <n v="0"/>
    <n v="142"/>
    <n v="21300"/>
    <s v="#202502173700017763"/>
    <n v="0"/>
    <n v="7.57"/>
    <n v="0"/>
    <n v="0.02"/>
    <n v="40"/>
    <n v="8.56"/>
    <n v="56.15"/>
    <n v="2025"/>
    <n v="2"/>
    <n v="2024"/>
    <n v="11"/>
    <n v="11"/>
    <x v="13"/>
    <x v="13"/>
    <n v="-21356.15"/>
  </r>
  <r>
    <d v="2025-02-17T00:00:00"/>
    <s v="OPT-NIFTY-20-Feb-2025-23000-C-E-I"/>
    <s v="NSE"/>
    <x v="0"/>
    <n v="150"/>
    <n v="0"/>
    <n v="130"/>
    <n v="19500"/>
    <s v="#202502173700017102"/>
    <n v="19.5"/>
    <n v="6.93"/>
    <n v="0"/>
    <n v="0.02"/>
    <n v="40"/>
    <n v="8.4600000000000009"/>
    <n v="74.91"/>
    <n v="2025"/>
    <n v="2"/>
    <n v="2024"/>
    <n v="11"/>
    <n v="11"/>
    <x v="13"/>
    <x v="13"/>
    <n v="19425.09"/>
  </r>
  <r>
    <d v="2025-02-17T00:00:00"/>
    <s v="OPT-NIFTY-20-Feb-2025-23000-C-E-I"/>
    <s v="NSE"/>
    <x v="1"/>
    <n v="150"/>
    <n v="0"/>
    <n v="132.25"/>
    <n v="19837.5"/>
    <s v="#202502173700016857"/>
    <n v="0"/>
    <n v="7.05"/>
    <n v="1.73"/>
    <n v="0.02"/>
    <n v="40"/>
    <n v="8.48"/>
    <n v="57.28"/>
    <n v="2025"/>
    <n v="2"/>
    <n v="2024"/>
    <n v="11"/>
    <n v="11"/>
    <x v="13"/>
    <x v="13"/>
    <n v="-19894.78"/>
  </r>
  <r>
    <d v="2025-02-17T00:00:00"/>
    <s v="OPT-NIFTY-20-Feb-2025-22900-P-E-I"/>
    <s v="NSE"/>
    <x v="0"/>
    <n v="75"/>
    <n v="0"/>
    <n v="179.25"/>
    <n v="13443.75"/>
    <s v="#202502173700011242"/>
    <n v="13.44"/>
    <n v="4.78"/>
    <n v="0"/>
    <n v="0.01"/>
    <n v="20"/>
    <n v="4.46"/>
    <n v="42.69"/>
    <n v="2025"/>
    <n v="2"/>
    <n v="2024"/>
    <n v="11"/>
    <n v="11"/>
    <x v="13"/>
    <x v="13"/>
    <n v="13401.06"/>
  </r>
  <r>
    <d v="2025-02-17T00:00:00"/>
    <s v="OPT-NIFTY-20-Feb-2025-22900-P-E-I"/>
    <s v="NSE"/>
    <x v="1"/>
    <n v="75"/>
    <n v="0"/>
    <n v="156.65"/>
    <n v="11748.75"/>
    <s v="#202502173700011022"/>
    <n v="0"/>
    <n v="4.17"/>
    <n v="0.35"/>
    <n v="0.01"/>
    <n v="20"/>
    <n v="4.3600000000000003"/>
    <n v="28.89"/>
    <n v="2025"/>
    <n v="2"/>
    <n v="2024"/>
    <n v="11"/>
    <n v="11"/>
    <x v="13"/>
    <x v="13"/>
    <n v="-11777.64"/>
  </r>
  <r>
    <d v="2025-02-17T00:00:00"/>
    <s v="OPT-NIFTY-20-Feb-2025-22900-C-E-I"/>
    <s v="NSE"/>
    <x v="0"/>
    <n v="75"/>
    <n v="0"/>
    <n v="159"/>
    <n v="11925"/>
    <s v="#202502173700010940"/>
    <n v="11.93"/>
    <n v="4.24"/>
    <n v="0"/>
    <n v="0.01"/>
    <n v="20"/>
    <n v="4.3600000000000003"/>
    <n v="40.54"/>
    <n v="2025"/>
    <n v="2"/>
    <n v="2024"/>
    <n v="11"/>
    <n v="11"/>
    <x v="13"/>
    <x v="13"/>
    <n v="11884.46"/>
  </r>
  <r>
    <d v="2025-02-17T00:00:00"/>
    <s v="OPT-NIFTY-20-Feb-2025-22900-C-E-I"/>
    <s v="NSE"/>
    <x v="1"/>
    <n v="75"/>
    <n v="0"/>
    <n v="178.7"/>
    <n v="13402.5"/>
    <s v="#202502173700010799"/>
    <n v="0"/>
    <n v="4.76"/>
    <n v="0.4"/>
    <n v="0.01"/>
    <n v="20"/>
    <n v="4.46"/>
    <n v="29.63"/>
    <n v="2025"/>
    <n v="2"/>
    <n v="2024"/>
    <n v="11"/>
    <n v="11"/>
    <x v="13"/>
    <x v="13"/>
    <n v="-13432.13"/>
  </r>
  <r>
    <d v="2025-02-17T00:00:00"/>
    <s v="OPT-NIFTY-20-Feb-2025-22850-P-E-I"/>
    <s v="NSE"/>
    <x v="0"/>
    <n v="150"/>
    <n v="0"/>
    <n v="148.1"/>
    <n v="22215"/>
    <s v="#202502173700008838"/>
    <n v="22.56"/>
    <n v="7.89"/>
    <n v="0"/>
    <n v="0.02"/>
    <n v="40"/>
    <n v="8.6199999999999992"/>
    <n v="79.09"/>
    <n v="2025"/>
    <n v="2"/>
    <n v="2024"/>
    <n v="11"/>
    <n v="11"/>
    <x v="13"/>
    <x v="13"/>
    <n v="22135.91"/>
  </r>
  <r>
    <d v="2025-02-17T00:00:00"/>
    <s v="OPT-NIFTY-20-Feb-2025-22850-P-E-I"/>
    <s v="NSE"/>
    <x v="1"/>
    <n v="150"/>
    <n v="0"/>
    <n v="128"/>
    <n v="19200"/>
    <s v="#202502173700008426"/>
    <n v="0"/>
    <n v="6.82"/>
    <n v="1.1299999999999999"/>
    <n v="0.02"/>
    <n v="40"/>
    <n v="8.44"/>
    <n v="56.41"/>
    <n v="2025"/>
    <n v="2"/>
    <n v="2024"/>
    <n v="11"/>
    <n v="11"/>
    <x v="13"/>
    <x v="13"/>
    <n v="-19256.41"/>
  </r>
  <r>
    <d v="2025-02-17T00:00:00"/>
    <s v="OPT-NIFTY-20-Feb-2025-22850-P-E-I"/>
    <s v="NSE"/>
    <x v="0"/>
    <n v="150"/>
    <n v="0"/>
    <n v="135.75"/>
    <n v="20362.5"/>
    <s v="#202502173700008311"/>
    <n v="20.36"/>
    <n v="7.24"/>
    <n v="0"/>
    <n v="0.02"/>
    <n v="40"/>
    <n v="8.52"/>
    <n v="76.14"/>
    <n v="2025"/>
    <n v="2"/>
    <n v="2024"/>
    <n v="11"/>
    <n v="11"/>
    <x v="13"/>
    <x v="13"/>
    <n v="20286.36"/>
  </r>
  <r>
    <d v="2025-02-17T00:00:00"/>
    <s v="OPT-NIFTY-20-Feb-2025-22850-P-E-I"/>
    <s v="NSE"/>
    <x v="1"/>
    <n v="150"/>
    <n v="0"/>
    <n v="122.65"/>
    <n v="18397.5"/>
    <s v="#202502173700008195"/>
    <n v="0"/>
    <n v="6.54"/>
    <n v="0"/>
    <n v="0.02"/>
    <n v="40"/>
    <n v="8.3800000000000008"/>
    <n v="54.94"/>
    <n v="2025"/>
    <n v="2"/>
    <n v="2024"/>
    <n v="11"/>
    <n v="11"/>
    <x v="13"/>
    <x v="13"/>
    <n v="-18452.439999999999"/>
  </r>
  <r>
    <d v="2025-02-17T00:00:00"/>
    <s v="OPT-NIFTY-20-Feb-2025-22800-C-E-I"/>
    <s v="NSE"/>
    <x v="0"/>
    <n v="75"/>
    <n v="0"/>
    <n v="175"/>
    <n v="13125"/>
    <s v="#202502173700004814"/>
    <n v="13.13"/>
    <n v="4.66"/>
    <n v="0"/>
    <n v="0.01"/>
    <n v="20"/>
    <n v="4.4400000000000004"/>
    <n v="42.24"/>
    <n v="2025"/>
    <n v="2"/>
    <n v="2024"/>
    <n v="11"/>
    <n v="11"/>
    <x v="13"/>
    <x v="13"/>
    <n v="13082.76"/>
  </r>
  <r>
    <d v="2025-02-17T00:00:00"/>
    <s v="OPT-NIFTY-20-Feb-2025-22800-C-E-I"/>
    <s v="NSE"/>
    <x v="1"/>
    <n v="75"/>
    <n v="0"/>
    <n v="173.95"/>
    <n v="13046.25"/>
    <s v="#202502173700004606"/>
    <n v="0"/>
    <n v="4.6399999999999997"/>
    <n v="0.39"/>
    <n v="0.01"/>
    <n v="20"/>
    <n v="4.4400000000000004"/>
    <n v="29.48"/>
    <n v="2025"/>
    <n v="2"/>
    <n v="2024"/>
    <n v="11"/>
    <n v="11"/>
    <x v="13"/>
    <x v="13"/>
    <n v="-13075.73"/>
  </r>
  <r>
    <d v="2025-02-18T00:00:00"/>
    <s v="OPT-NIFTY-20-Feb-2025-22950-C-E-I"/>
    <s v="NSE"/>
    <x v="0"/>
    <n v="225"/>
    <n v="0"/>
    <n v="121.35"/>
    <n v="27303.75"/>
    <s v="#202502183700014491"/>
    <n v="27.3"/>
    <n v="9.6999999999999993"/>
    <n v="0"/>
    <n v="0.03"/>
    <n v="60"/>
    <n v="12.54"/>
    <n v="109.57"/>
    <n v="2025"/>
    <n v="2"/>
    <n v="2024"/>
    <n v="11"/>
    <n v="11"/>
    <x v="13"/>
    <x v="13"/>
    <n v="27194.18"/>
  </r>
  <r>
    <d v="2025-02-18T00:00:00"/>
    <s v="OPT-NIFTY-20-Feb-2025-22950-C-E-I"/>
    <s v="NSE"/>
    <x v="1"/>
    <n v="75"/>
    <n v="0"/>
    <n v="115"/>
    <n v="8625"/>
    <s v="#202502183700014446"/>
    <n v="0"/>
    <n v="3.06"/>
    <n v="0"/>
    <n v="0.01"/>
    <n v="20"/>
    <n v="4.16"/>
    <n v="27.23"/>
    <n v="2025"/>
    <n v="2"/>
    <n v="2024"/>
    <n v="11"/>
    <n v="11"/>
    <x v="13"/>
    <x v="13"/>
    <n v="-8652.23"/>
  </r>
  <r>
    <d v="2025-02-18T00:00:00"/>
    <s v="OPT-NIFTY-20-Feb-2025-22950-C-E-I"/>
    <s v="NSE"/>
    <x v="1"/>
    <n v="75"/>
    <n v="0"/>
    <n v="119.25"/>
    <n v="8943.75"/>
    <s v="#202502183700014287"/>
    <n v="0"/>
    <n v="3.18"/>
    <n v="0"/>
    <n v="0.01"/>
    <n v="20"/>
    <n v="4.18"/>
    <n v="27.37"/>
    <n v="2025"/>
    <n v="2"/>
    <n v="2024"/>
    <n v="11"/>
    <n v="11"/>
    <x v="13"/>
    <x v="13"/>
    <n v="-8971.1200000000008"/>
  </r>
  <r>
    <d v="2025-02-18T00:00:00"/>
    <s v="OPT-NIFTY-20-Feb-2025-22950-C-E-I"/>
    <s v="NSE"/>
    <x v="1"/>
    <n v="75"/>
    <n v="0"/>
    <n v="120"/>
    <n v="9000"/>
    <s v="#202502183700014265"/>
    <n v="0"/>
    <n v="3.2"/>
    <n v="0"/>
    <n v="0.01"/>
    <n v="20"/>
    <n v="4.18"/>
    <n v="27.39"/>
    <n v="2025"/>
    <n v="2"/>
    <n v="2024"/>
    <n v="11"/>
    <n v="11"/>
    <x v="13"/>
    <x v="13"/>
    <n v="-9027.39"/>
  </r>
  <r>
    <d v="2025-02-18T00:00:00"/>
    <s v="OPT-NIFTY-20-Feb-2025-22850-P-E-I"/>
    <s v="NSE"/>
    <x v="0"/>
    <n v="150"/>
    <n v="0"/>
    <n v="129.1"/>
    <n v="19365"/>
    <s v="#202502183700010168"/>
    <n v="19.36"/>
    <n v="6.88"/>
    <n v="0"/>
    <n v="0.02"/>
    <n v="40"/>
    <n v="8.44"/>
    <n v="74.7"/>
    <n v="2025"/>
    <n v="2"/>
    <n v="2024"/>
    <n v="11"/>
    <n v="11"/>
    <x v="13"/>
    <x v="13"/>
    <n v="19290.3"/>
  </r>
  <r>
    <d v="2025-02-18T00:00:00"/>
    <s v="OPT-NIFTY-20-Feb-2025-22850-P-E-I"/>
    <s v="NSE"/>
    <x v="1"/>
    <n v="75"/>
    <n v="0"/>
    <n v="133"/>
    <n v="9975"/>
    <s v="#202502183700010049"/>
    <n v="0"/>
    <n v="3.54"/>
    <n v="0.59"/>
    <n v="0.01"/>
    <n v="20"/>
    <n v="4.24"/>
    <n v="28.38"/>
    <n v="2025"/>
    <n v="2"/>
    <n v="2024"/>
    <n v="11"/>
    <n v="11"/>
    <x v="13"/>
    <x v="13"/>
    <n v="-10003.379999999999"/>
  </r>
  <r>
    <d v="2025-02-18T00:00:00"/>
    <s v="OPT-NIFTY-20-Feb-2025-22850-P-E-I"/>
    <s v="NSE"/>
    <x v="1"/>
    <n v="75"/>
    <n v="0"/>
    <n v="131"/>
    <n v="9825"/>
    <s v="#202502183700009964"/>
    <n v="0"/>
    <n v="3.49"/>
    <n v="0"/>
    <n v="0.01"/>
    <n v="20"/>
    <n v="4.24"/>
    <n v="27.74"/>
    <n v="2025"/>
    <n v="2"/>
    <n v="2024"/>
    <n v="11"/>
    <n v="11"/>
    <x v="13"/>
    <x v="13"/>
    <n v="-9852.74"/>
  </r>
  <r>
    <d v="2025-02-18T00:00:00"/>
    <s v="OPT-NIFTY-20-Feb-2025-22850-C-E-I"/>
    <s v="NSE"/>
    <x v="0"/>
    <n v="150"/>
    <n v="0"/>
    <n v="159.25"/>
    <n v="23887.5"/>
    <s v="#202502183700007062"/>
    <n v="23.89"/>
    <n v="8.49"/>
    <n v="0"/>
    <n v="0.02"/>
    <n v="40"/>
    <n v="8.74"/>
    <n v="81.14"/>
    <n v="2025"/>
    <n v="2"/>
    <n v="2024"/>
    <n v="11"/>
    <n v="11"/>
    <x v="13"/>
    <x v="13"/>
    <n v="23806.36"/>
  </r>
  <r>
    <d v="2025-02-18T00:00:00"/>
    <s v="OPT-NIFTY-20-Feb-2025-22850-C-E-I"/>
    <s v="NSE"/>
    <x v="1"/>
    <n v="75"/>
    <n v="0"/>
    <n v="142.19999999999999"/>
    <n v="10665"/>
    <s v="#202502183700006742"/>
    <n v="0"/>
    <n v="3.79"/>
    <n v="0.65"/>
    <n v="0.01"/>
    <n v="20"/>
    <n v="4.28"/>
    <n v="28.73"/>
    <n v="2025"/>
    <n v="2"/>
    <n v="2024"/>
    <n v="11"/>
    <n v="11"/>
    <x v="13"/>
    <x v="13"/>
    <n v="-10693.73"/>
  </r>
  <r>
    <d v="2025-02-18T00:00:00"/>
    <s v="OPT-NIFTY-20-Feb-2025-22850-C-E-I"/>
    <s v="NSE"/>
    <x v="1"/>
    <n v="75"/>
    <n v="0"/>
    <n v="145.55000000000001"/>
    <n v="10916.25"/>
    <s v="#202502183700006724"/>
    <n v="0"/>
    <n v="3.88"/>
    <n v="0"/>
    <n v="0.01"/>
    <n v="20"/>
    <n v="4.3"/>
    <n v="28.19"/>
    <n v="2025"/>
    <n v="2"/>
    <n v="2024"/>
    <n v="11"/>
    <n v="11"/>
    <x v="13"/>
    <x v="13"/>
    <n v="-10944.44"/>
  </r>
  <r>
    <d v="2025-02-18T00:00:00"/>
    <s v="OPT-NIFTY-20-Feb-2025-22950-P-E-I"/>
    <s v="NSE"/>
    <x v="0"/>
    <n v="150"/>
    <n v="0"/>
    <n v="174.25"/>
    <n v="26137.5"/>
    <s v="#202502183700004846"/>
    <n v="26.14"/>
    <n v="9.2799999999999994"/>
    <n v="0"/>
    <n v="0.02"/>
    <n v="40"/>
    <n v="8.8800000000000008"/>
    <n v="84.32"/>
    <n v="2025"/>
    <n v="2"/>
    <n v="2024"/>
    <n v="11"/>
    <n v="11"/>
    <x v="13"/>
    <x v="13"/>
    <n v="26053.18"/>
  </r>
  <r>
    <d v="2025-02-18T00:00:00"/>
    <s v="OPT-NIFTY-20-Feb-2025-22950-P-E-I"/>
    <s v="NSE"/>
    <x v="1"/>
    <n v="150"/>
    <n v="0"/>
    <n v="154.25"/>
    <n v="23137.5"/>
    <s v="#202502183700004719"/>
    <n v="0"/>
    <n v="8.2200000000000006"/>
    <n v="0.69"/>
    <n v="0.02"/>
    <n v="40"/>
    <n v="8.68"/>
    <n v="57.61"/>
    <n v="2025"/>
    <n v="2"/>
    <n v="2024"/>
    <n v="11"/>
    <n v="11"/>
    <x v="13"/>
    <x v="13"/>
    <n v="-23195.11"/>
  </r>
  <r>
    <d v="2025-02-18T00:00:00"/>
    <s v="OPT-NIFTY-20-Feb-2025-22950-C-E-I"/>
    <s v="NSE"/>
    <x v="0"/>
    <n v="150"/>
    <n v="0"/>
    <n v="137"/>
    <n v="20550"/>
    <s v="#202502183700004414"/>
    <n v="20.69"/>
    <n v="7.3"/>
    <n v="0"/>
    <n v="0.02"/>
    <n v="40"/>
    <n v="8.52"/>
    <n v="76.53"/>
    <n v="2025"/>
    <n v="2"/>
    <n v="2024"/>
    <n v="11"/>
    <n v="11"/>
    <x v="13"/>
    <x v="13"/>
    <n v="20473.47"/>
  </r>
  <r>
    <d v="2025-02-18T00:00:00"/>
    <s v="OPT-NIFTY-20-Feb-2025-22950-C-E-I"/>
    <s v="NSE"/>
    <x v="1"/>
    <n v="150"/>
    <n v="0"/>
    <n v="142.19999999999999"/>
    <n v="21330"/>
    <s v="#202502183700004187"/>
    <n v="0"/>
    <n v="7.58"/>
    <n v="0"/>
    <n v="0.02"/>
    <n v="40"/>
    <n v="8.56"/>
    <n v="56.16"/>
    <n v="2025"/>
    <n v="2"/>
    <n v="2024"/>
    <n v="11"/>
    <n v="11"/>
    <x v="13"/>
    <x v="13"/>
    <n v="-21386.16"/>
  </r>
  <r>
    <d v="2025-02-18T00:00:00"/>
    <s v="OPT-NIFTY-20-Feb-2025-22950-C-E-I"/>
    <s v="NSE"/>
    <x v="0"/>
    <n v="150"/>
    <n v="0"/>
    <n v="137.44999999999999"/>
    <n v="20617.5"/>
    <s v="#202502183700003457"/>
    <n v="20.62"/>
    <n v="7.32"/>
    <n v="0"/>
    <n v="0.02"/>
    <n v="40"/>
    <n v="8.52"/>
    <n v="76.48"/>
    <n v="2025"/>
    <n v="2"/>
    <n v="2024"/>
    <n v="11"/>
    <n v="11"/>
    <x v="13"/>
    <x v="13"/>
    <n v="20541.02"/>
  </r>
  <r>
    <d v="2025-02-18T00:00:00"/>
    <s v="OPT-NIFTY-20-Feb-2025-22950-C-E-I"/>
    <s v="NSE"/>
    <x v="1"/>
    <n v="75"/>
    <n v="0"/>
    <n v="129.80000000000001"/>
    <n v="9735"/>
    <s v="#202502183700002728"/>
    <n v="0"/>
    <n v="3.46"/>
    <n v="2.0699999999999998"/>
    <n v="0.01"/>
    <n v="20"/>
    <n v="4.22"/>
    <n v="29.76"/>
    <n v="2025"/>
    <n v="2"/>
    <n v="2024"/>
    <n v="11"/>
    <n v="11"/>
    <x v="13"/>
    <x v="13"/>
    <n v="-9764.76"/>
  </r>
  <r>
    <d v="2025-02-18T00:00:00"/>
    <s v="OPT-NIFTY-20-Feb-2025-22950-C-E-I"/>
    <s v="NSE"/>
    <x v="1"/>
    <n v="75"/>
    <n v="0"/>
    <n v="132.75"/>
    <n v="9956.25"/>
    <s v="#202502183700002653"/>
    <n v="0"/>
    <n v="3.54"/>
    <n v="0"/>
    <n v="0.01"/>
    <n v="20"/>
    <n v="4.24"/>
    <n v="27.79"/>
    <n v="2025"/>
    <n v="2"/>
    <n v="2024"/>
    <n v="11"/>
    <n v="11"/>
    <x v="13"/>
    <x v="13"/>
    <n v="-9984.0400000000009"/>
  </r>
  <r>
    <d v="2025-02-19T00:00:00"/>
    <s v="OPT-NIFTY-20-Feb-2025-22950-C-E-I"/>
    <s v="NSE"/>
    <x v="0"/>
    <n v="150"/>
    <n v="0"/>
    <n v="129.25"/>
    <n v="19387.5"/>
    <s v="#202502193700011444"/>
    <n v="19.39"/>
    <n v="6.89"/>
    <n v="0"/>
    <n v="0.02"/>
    <n v="40"/>
    <n v="8.44"/>
    <n v="74.739999999999995"/>
    <n v="2025"/>
    <n v="2"/>
    <n v="2024"/>
    <n v="11"/>
    <n v="11"/>
    <x v="13"/>
    <x v="13"/>
    <n v="19312.759999999998"/>
  </r>
  <r>
    <d v="2025-02-19T00:00:00"/>
    <s v="OPT-NIFTY-20-Feb-2025-22950-C-E-I"/>
    <s v="NSE"/>
    <x v="1"/>
    <n v="150"/>
    <n v="0"/>
    <n v="117"/>
    <n v="17550"/>
    <s v="#202502193700011259"/>
    <n v="0"/>
    <n v="6.24"/>
    <n v="0"/>
    <n v="0.02"/>
    <n v="40"/>
    <n v="8.32"/>
    <n v="54.58"/>
    <n v="2025"/>
    <n v="2"/>
    <n v="2024"/>
    <n v="11"/>
    <n v="11"/>
    <x v="13"/>
    <x v="13"/>
    <n v="-17604.580000000002"/>
  </r>
  <r>
    <d v="2025-02-19T00:00:00"/>
    <s v="OPT-NIFTY-20-Feb-2025-22950-C-E-I"/>
    <s v="NSE"/>
    <x v="0"/>
    <n v="225"/>
    <n v="0"/>
    <n v="115.9"/>
    <n v="26077.5"/>
    <s v="#202502193700010832"/>
    <n v="26.08"/>
    <n v="9.27"/>
    <n v="0"/>
    <n v="0.03"/>
    <n v="60"/>
    <n v="12.48"/>
    <n v="107.86"/>
    <n v="2025"/>
    <n v="2"/>
    <n v="2024"/>
    <n v="11"/>
    <n v="11"/>
    <x v="13"/>
    <x v="13"/>
    <n v="25969.64"/>
  </r>
  <r>
    <d v="2025-02-19T00:00:00"/>
    <s v="OPT-NIFTY-20-Feb-2025-22950-C-E-I"/>
    <s v="NSE"/>
    <x v="1"/>
    <n v="225"/>
    <n v="0"/>
    <n v="110.25"/>
    <n v="24806.25"/>
    <s v="#202502193700010239"/>
    <n v="0"/>
    <n v="8.82"/>
    <n v="0"/>
    <n v="0.03"/>
    <n v="60"/>
    <n v="12.4"/>
    <n v="81.25"/>
    <n v="2025"/>
    <n v="2"/>
    <n v="2024"/>
    <n v="11"/>
    <n v="11"/>
    <x v="13"/>
    <x v="13"/>
    <n v="-24887.5"/>
  </r>
  <r>
    <d v="2025-02-19T00:00:00"/>
    <s v="OPT-NIFTY-20-Feb-2025-22950-C-E-I"/>
    <s v="NSE"/>
    <x v="0"/>
    <n v="225"/>
    <n v="0"/>
    <n v="107.35"/>
    <n v="24153.75"/>
    <s v="#202502193700010144"/>
    <n v="24.15"/>
    <n v="8.58"/>
    <n v="0"/>
    <n v="0.02"/>
    <n v="60"/>
    <n v="12.34"/>
    <n v="105.09"/>
    <n v="2025"/>
    <n v="2"/>
    <n v="2024"/>
    <n v="11"/>
    <n v="11"/>
    <x v="13"/>
    <x v="13"/>
    <n v="24048.66"/>
  </r>
  <r>
    <d v="2025-02-19T00:00:00"/>
    <s v="OPT-NIFTY-20-Feb-2025-22950-C-E-I"/>
    <s v="NSE"/>
    <x v="1"/>
    <n v="75"/>
    <n v="0"/>
    <n v="112.55"/>
    <n v="8441.25"/>
    <s v="#202502193700010039"/>
    <n v="0"/>
    <n v="3"/>
    <n v="0"/>
    <n v="0.01"/>
    <n v="20"/>
    <n v="4.1399999999999997"/>
    <n v="27.15"/>
    <n v="2025"/>
    <n v="2"/>
    <n v="2024"/>
    <n v="11"/>
    <n v="11"/>
    <x v="13"/>
    <x v="13"/>
    <n v="-8468.4"/>
  </r>
  <r>
    <d v="2025-02-19T00:00:00"/>
    <s v="OPT-NIFTY-20-Feb-2025-22950-C-E-I"/>
    <s v="NSE"/>
    <x v="1"/>
    <n v="150"/>
    <n v="0"/>
    <n v="118.95"/>
    <n v="17842.5"/>
    <s v="#202502193700009911"/>
    <n v="0"/>
    <n v="6.34"/>
    <n v="1.83"/>
    <n v="0.02"/>
    <n v="40"/>
    <n v="8.34"/>
    <n v="56.53"/>
    <n v="2025"/>
    <n v="2"/>
    <n v="2024"/>
    <n v="11"/>
    <n v="11"/>
    <x v="13"/>
    <x v="13"/>
    <n v="-17899.03"/>
  </r>
  <r>
    <d v="2025-02-19T00:00:00"/>
    <s v="OPT-NIFTY-20-Feb-2025-22950-P-E-I"/>
    <s v="NSE"/>
    <x v="0"/>
    <n v="225"/>
    <n v="0"/>
    <n v="90"/>
    <n v="20250"/>
    <s v="#202502193700009845"/>
    <n v="20.25"/>
    <n v="7.19"/>
    <n v="0"/>
    <n v="0.02"/>
    <n v="60"/>
    <n v="12.1"/>
    <n v="99.56"/>
    <n v="2025"/>
    <n v="2"/>
    <n v="2024"/>
    <n v="11"/>
    <n v="11"/>
    <x v="13"/>
    <x v="13"/>
    <n v="20150.439999999999"/>
  </r>
  <r>
    <d v="2025-02-19T00:00:00"/>
    <s v="OPT-NIFTY-20-Feb-2025-22950-P-E-I"/>
    <s v="NSE"/>
    <x v="1"/>
    <n v="225"/>
    <n v="0"/>
    <n v="94"/>
    <n v="21150"/>
    <s v="#202502193700009713"/>
    <n v="0"/>
    <n v="7.51"/>
    <n v="0.63"/>
    <n v="0.02"/>
    <n v="60"/>
    <n v="12.16"/>
    <n v="80.319999999999993"/>
    <n v="2025"/>
    <n v="2"/>
    <n v="2024"/>
    <n v="11"/>
    <n v="11"/>
    <x v="13"/>
    <x v="13"/>
    <n v="-21230.32"/>
  </r>
  <r>
    <d v="2025-02-19T00:00:00"/>
    <s v="OPT-NIFTY-20-Feb-2025-22900-C-E-I"/>
    <s v="NSE"/>
    <x v="0"/>
    <n v="150"/>
    <n v="0"/>
    <n v="139"/>
    <n v="20850"/>
    <s v="#202502193700003793"/>
    <n v="21.13"/>
    <n v="7.41"/>
    <n v="0"/>
    <n v="0.02"/>
    <n v="40"/>
    <n v="8.5399999999999991"/>
    <n v="77.099999999999994"/>
    <n v="2025"/>
    <n v="2"/>
    <n v="2024"/>
    <n v="11"/>
    <n v="11"/>
    <x v="13"/>
    <x v="13"/>
    <n v="20772.900000000001"/>
  </r>
  <r>
    <d v="2025-02-19T00:00:00"/>
    <s v="OPT-NIFTY-20-Feb-2025-22900-C-E-I"/>
    <s v="NSE"/>
    <x v="1"/>
    <n v="150"/>
    <n v="0"/>
    <n v="120.55"/>
    <n v="18082.5"/>
    <s v="#202502193700003625"/>
    <n v="0"/>
    <n v="6.42"/>
    <n v="0.54"/>
    <n v="0.02"/>
    <n v="40"/>
    <n v="8.36"/>
    <n v="55.34"/>
    <n v="2025"/>
    <n v="2"/>
    <n v="2024"/>
    <n v="11"/>
    <n v="11"/>
    <x v="13"/>
    <x v="13"/>
    <n v="-18137.84"/>
  </r>
  <r>
    <d v="2025-02-20T00:00:00"/>
    <s v="OPT-NIFTY-20-Feb-2025-22850-P-E-I"/>
    <s v="NSE"/>
    <x v="0"/>
    <n v="675"/>
    <n v="0"/>
    <n v="14.1"/>
    <n v="9517.5"/>
    <s v="#202502203700011276"/>
    <n v="9.52"/>
    <n v="3.38"/>
    <n v="0"/>
    <n v="0.01"/>
    <n v="180"/>
    <n v="33.020000000000003"/>
    <n v="225.93"/>
    <n v="2025"/>
    <n v="2"/>
    <n v="2024"/>
    <n v="11"/>
    <n v="11"/>
    <x v="13"/>
    <x v="13"/>
    <n v="9291.57"/>
  </r>
  <r>
    <d v="2025-02-20T00:00:00"/>
    <s v="OPT-NIFTY-20-Feb-2025-22850-P-E-I"/>
    <s v="NSE"/>
    <x v="1"/>
    <n v="675"/>
    <n v="0"/>
    <n v="20.05"/>
    <n v="13533.75"/>
    <s v="#202502203700010856"/>
    <n v="0"/>
    <n v="4.8"/>
    <n v="1.08"/>
    <n v="0.01"/>
    <n v="180"/>
    <n v="33.28"/>
    <n v="219.17"/>
    <n v="2025"/>
    <n v="2"/>
    <n v="2024"/>
    <n v="11"/>
    <n v="11"/>
    <x v="13"/>
    <x v="13"/>
    <n v="-13752.92"/>
  </r>
  <r>
    <d v="2025-02-20T00:00:00"/>
    <s v="OPT-NIFTY-20-Feb-2025-22850-P-E-I"/>
    <s v="NSE"/>
    <x v="0"/>
    <n v="750"/>
    <n v="0"/>
    <n v="16"/>
    <n v="12000"/>
    <s v="#202502203700009964"/>
    <n v="12"/>
    <n v="4.2699999999999996"/>
    <n v="0"/>
    <n v="0"/>
    <n v="200"/>
    <n v="36.799999999999997"/>
    <n v="253.07"/>
    <n v="2025"/>
    <n v="2"/>
    <n v="2024"/>
    <n v="11"/>
    <n v="11"/>
    <x v="13"/>
    <x v="13"/>
    <n v="11746.93"/>
  </r>
  <r>
    <d v="2025-02-20T00:00:00"/>
    <s v="OPT-NIFTY-20-Feb-2025-22850-P-E-I"/>
    <s v="NSE"/>
    <x v="1"/>
    <n v="750"/>
    <n v="0"/>
    <n v="30.18"/>
    <n v="22631.25"/>
    <s v="#202502203700006754"/>
    <n v="0"/>
    <n v="8.0299999999999994"/>
    <n v="0"/>
    <n v="0.01"/>
    <n v="200"/>
    <n v="37.42"/>
    <n v="245.46"/>
    <n v="2025"/>
    <n v="2"/>
    <n v="2024"/>
    <n v="11"/>
    <n v="11"/>
    <x v="13"/>
    <x v="13"/>
    <n v="-22876.71"/>
  </r>
  <r>
    <d v="2025-02-20T00:00:00"/>
    <s v="OPT-NIFTY-20-Feb-2025-22850-C-E-I"/>
    <s v="NSE"/>
    <x v="0"/>
    <n v="375"/>
    <n v="0"/>
    <n v="62"/>
    <n v="23250"/>
    <s v="#202502203700005523"/>
    <n v="23.48"/>
    <n v="8.25"/>
    <n v="0"/>
    <n v="0"/>
    <n v="100"/>
    <n v="19.5"/>
    <n v="151.22999999999999"/>
    <n v="2025"/>
    <n v="2"/>
    <n v="2024"/>
    <n v="11"/>
    <n v="11"/>
    <x v="13"/>
    <x v="13"/>
    <n v="23098.77"/>
  </r>
  <r>
    <d v="2025-02-20T00:00:00"/>
    <s v="OPT-NIFTY-20-Feb-2025-22850-C-E-I"/>
    <s v="NSE"/>
    <x v="1"/>
    <n v="75"/>
    <n v="0"/>
    <n v="50.8"/>
    <n v="3810"/>
    <s v="#202502203700003732"/>
    <n v="0"/>
    <n v="1.35"/>
    <n v="0"/>
    <n v="0"/>
    <n v="20"/>
    <n v="3.84"/>
    <n v="25.19"/>
    <n v="2025"/>
    <n v="2"/>
    <n v="2024"/>
    <n v="11"/>
    <n v="11"/>
    <x v="13"/>
    <x v="13"/>
    <n v="-3835.19"/>
  </r>
  <r>
    <d v="2025-02-20T00:00:00"/>
    <s v="OPT-NIFTY-20-Feb-2025-22850-C-E-I"/>
    <s v="NSE"/>
    <x v="1"/>
    <n v="75"/>
    <n v="0"/>
    <n v="83.6"/>
    <n v="6270"/>
    <s v="#202502203700003334"/>
    <n v="0"/>
    <n v="2.23"/>
    <n v="0"/>
    <n v="0.01"/>
    <n v="20"/>
    <n v="4"/>
    <n v="26.24"/>
    <n v="2025"/>
    <n v="2"/>
    <n v="2024"/>
    <n v="11"/>
    <n v="11"/>
    <x v="13"/>
    <x v="13"/>
    <n v="-6296.24"/>
  </r>
  <r>
    <d v="2025-02-20T00:00:00"/>
    <s v="OPT-NIFTY-20-Feb-2025-22850-C-E-I"/>
    <s v="NSE"/>
    <x v="1"/>
    <n v="225"/>
    <n v="0"/>
    <n v="91"/>
    <n v="20475"/>
    <s v="#202502203700003084"/>
    <n v="0"/>
    <n v="7.27"/>
    <n v="0.92"/>
    <n v="0.02"/>
    <n v="60"/>
    <n v="12.12"/>
    <n v="80.33"/>
    <n v="2025"/>
    <n v="2"/>
    <n v="2024"/>
    <n v="11"/>
    <n v="11"/>
    <x v="13"/>
    <x v="13"/>
    <n v="-20555.330000000002"/>
  </r>
  <r>
    <d v="2025-02-25T00:00:00"/>
    <s v="OPT-NIFTY-27-Feb-2025-22600-C-E-I"/>
    <s v="NSE"/>
    <x v="0"/>
    <n v="75"/>
    <n v="0"/>
    <n v="50.25"/>
    <n v="3768.75"/>
    <s v="#202502253700008694"/>
    <n v="3.88"/>
    <n v="1.34"/>
    <n v="0"/>
    <n v="0"/>
    <n v="29"/>
    <n v="5.46"/>
    <n v="39.68"/>
    <n v="2025"/>
    <n v="2"/>
    <n v="2024"/>
    <n v="11"/>
    <n v="11"/>
    <x v="13"/>
    <x v="13"/>
    <n v="3729.07"/>
  </r>
  <r>
    <d v="2025-02-25T00:00:00"/>
    <s v="OPT-NIFTY-27-Feb-2025-22600-C-E-I"/>
    <s v="NSE"/>
    <x v="1"/>
    <n v="75"/>
    <n v="0"/>
    <n v="68.25"/>
    <n v="5118.75"/>
    <s v="#202502253700006941"/>
    <n v="0"/>
    <n v="1.82"/>
    <n v="0"/>
    <n v="0.01"/>
    <n v="29"/>
    <n v="5.54"/>
    <n v="36.369999999999997"/>
    <n v="2025"/>
    <n v="2"/>
    <n v="2024"/>
    <n v="11"/>
    <n v="11"/>
    <x v="13"/>
    <x v="13"/>
    <n v="-5155.12"/>
  </r>
  <r>
    <d v="2025-02-25T00:00:00"/>
    <s v="OPT-NIFTY-27-Feb-2025-22600-P-E-I"/>
    <s v="NSE"/>
    <x v="0"/>
    <n v="75"/>
    <n v="0"/>
    <n v="68.25"/>
    <n v="5118.75"/>
    <s v="#202502253700006563"/>
    <n v="5.12"/>
    <n v="1.82"/>
    <n v="0"/>
    <n v="0.01"/>
    <n v="29"/>
    <n v="5.54"/>
    <n v="41.49"/>
    <n v="2025"/>
    <n v="2"/>
    <n v="2024"/>
    <n v="11"/>
    <n v="11"/>
    <x v="13"/>
    <x v="13"/>
    <n v="5077.26"/>
  </r>
  <r>
    <d v="2025-02-25T00:00:00"/>
    <s v="OPT-NIFTY-27-Feb-2025-22600-P-E-I"/>
    <s v="NSE"/>
    <x v="1"/>
    <n v="75"/>
    <n v="0"/>
    <n v="70"/>
    <n v="5250"/>
    <s v="#202502253700006254"/>
    <n v="0"/>
    <n v="1.87"/>
    <n v="0"/>
    <n v="0.01"/>
    <n v="29"/>
    <n v="5.56"/>
    <n v="36.44"/>
    <n v="2025"/>
    <n v="2"/>
    <n v="2024"/>
    <n v="11"/>
    <n v="11"/>
    <x v="13"/>
    <x v="13"/>
    <n v="-5286.44"/>
  </r>
  <r>
    <d v="2025-02-27T00:00:00"/>
    <s v="OPT-NIFTY-27-Feb-2025-22550-P-E-I"/>
    <s v="NSE"/>
    <x v="0"/>
    <n v="750"/>
    <n v="0"/>
    <n v="24.25"/>
    <n v="18187.5"/>
    <s v="#202502273700011061"/>
    <n v="18"/>
    <n v="6.46"/>
    <n v="0"/>
    <n v="0.01"/>
    <n v="290"/>
    <n v="53.38"/>
    <n v="367.85"/>
    <n v="2025"/>
    <n v="2"/>
    <n v="2024"/>
    <n v="11"/>
    <n v="11"/>
    <x v="13"/>
    <x v="13"/>
    <n v="17819.650000000001"/>
  </r>
  <r>
    <d v="2025-02-27T00:00:00"/>
    <s v="OPT-NIFTY-27-Feb-2025-22550-P-E-I"/>
    <s v="NSE"/>
    <x v="1"/>
    <n v="150"/>
    <n v="0"/>
    <n v="15.25"/>
    <n v="2287.5"/>
    <s v="#202502273700008806"/>
    <n v="0"/>
    <n v="0.81"/>
    <n v="0"/>
    <n v="0"/>
    <n v="58"/>
    <n v="10.58"/>
    <n v="69.39"/>
    <n v="2025"/>
    <n v="2"/>
    <n v="2024"/>
    <n v="11"/>
    <n v="11"/>
    <x v="13"/>
    <x v="13"/>
    <n v="-2356.89"/>
  </r>
  <r>
    <d v="2025-02-27T00:00:00"/>
    <s v="OPT-NIFTY-27-Feb-2025-22550-P-E-I"/>
    <s v="NSE"/>
    <x v="1"/>
    <n v="150"/>
    <n v="0"/>
    <n v="17.05"/>
    <n v="2557.5"/>
    <s v="#202502273700008392"/>
    <n v="0"/>
    <n v="0.91"/>
    <n v="0"/>
    <n v="0"/>
    <n v="58"/>
    <n v="10.6"/>
    <n v="69.510000000000005"/>
    <n v="2025"/>
    <n v="2"/>
    <n v="2024"/>
    <n v="11"/>
    <n v="11"/>
    <x v="13"/>
    <x v="13"/>
    <n v="-2627.01"/>
  </r>
  <r>
    <d v="2025-02-27T00:00:00"/>
    <s v="OPT-NIFTY-27-Feb-2025-22550-P-E-I"/>
    <s v="NSE"/>
    <x v="1"/>
    <n v="150"/>
    <n v="0"/>
    <n v="20.149999999999999"/>
    <n v="3022.5"/>
    <s v="#202502273700008303"/>
    <n v="0"/>
    <n v="1.08"/>
    <n v="0"/>
    <n v="0"/>
    <n v="58"/>
    <n v="10.64"/>
    <n v="69.72"/>
    <n v="2025"/>
    <n v="2"/>
    <n v="2024"/>
    <n v="11"/>
    <n v="11"/>
    <x v="13"/>
    <x v="13"/>
    <n v="-3092.22"/>
  </r>
  <r>
    <d v="2025-02-27T00:00:00"/>
    <s v="OPT-NIFTY-27-Feb-2025-22550-P-E-I"/>
    <s v="NSE"/>
    <x v="1"/>
    <n v="75"/>
    <n v="0"/>
    <n v="24.25"/>
    <n v="1818.75"/>
    <s v="#202502273700005593"/>
    <n v="0"/>
    <n v="0.65"/>
    <n v="0"/>
    <n v="0"/>
    <n v="29"/>
    <n v="5.34"/>
    <n v="34.99"/>
    <n v="2025"/>
    <n v="2"/>
    <n v="2024"/>
    <n v="11"/>
    <n v="11"/>
    <x v="13"/>
    <x v="13"/>
    <n v="-1853.74"/>
  </r>
  <r>
    <d v="2025-02-27T00:00:00"/>
    <s v="OPT-NIFTY-27-Feb-2025-22550-P-E-I"/>
    <s v="NSE"/>
    <x v="1"/>
    <n v="75"/>
    <n v="0"/>
    <n v="24.25"/>
    <n v="1818.75"/>
    <s v="#202502273700005564"/>
    <n v="0"/>
    <n v="0.65"/>
    <n v="0"/>
    <n v="0"/>
    <n v="29"/>
    <n v="5.34"/>
    <n v="34.99"/>
    <n v="2025"/>
    <n v="2"/>
    <n v="2024"/>
    <n v="11"/>
    <n v="11"/>
    <x v="13"/>
    <x v="13"/>
    <n v="-1853.74"/>
  </r>
  <r>
    <d v="2025-02-27T00:00:00"/>
    <s v="OPT-NIFTY-27-Feb-2025-22550-P-E-I"/>
    <s v="NSE"/>
    <x v="1"/>
    <n v="75"/>
    <n v="0"/>
    <n v="24.15"/>
    <n v="1811.25"/>
    <s v="#202502273700005533"/>
    <n v="0"/>
    <n v="0.64"/>
    <n v="0"/>
    <n v="0"/>
    <n v="29"/>
    <n v="5.34"/>
    <n v="34.979999999999997"/>
    <n v="2025"/>
    <n v="2"/>
    <n v="2024"/>
    <n v="11"/>
    <n v="11"/>
    <x v="13"/>
    <x v="13"/>
    <n v="-1846.23"/>
  </r>
  <r>
    <d v="2025-02-27T00:00:00"/>
    <s v="OPT-NIFTY-27-Feb-2025-22550-P-E-I"/>
    <s v="NSE"/>
    <x v="1"/>
    <n v="75"/>
    <n v="0"/>
    <n v="25"/>
    <n v="1875"/>
    <s v="#202502273700005466"/>
    <n v="0"/>
    <n v="0.67"/>
    <n v="0"/>
    <n v="0"/>
    <n v="29"/>
    <n v="5.34"/>
    <n v="35.01"/>
    <n v="2025"/>
    <n v="2"/>
    <n v="2024"/>
    <n v="11"/>
    <n v="11"/>
    <x v="13"/>
    <x v="13"/>
    <n v="-1910.01"/>
  </r>
  <r>
    <d v="2025-02-28T00:00:00"/>
    <s v="OPT-NIFTY-06-Mar-2025-22300-C-E-I"/>
    <s v="NSE"/>
    <x v="0"/>
    <n v="450"/>
    <n v="0"/>
    <n v="90"/>
    <n v="40500"/>
    <s v="#202502283700019088"/>
    <n v="40.5"/>
    <n v="14.39"/>
    <n v="0"/>
    <n v="0.04"/>
    <n v="174"/>
    <n v="33.92"/>
    <n v="262.85000000000002"/>
    <n v="2025"/>
    <n v="2"/>
    <n v="2024"/>
    <n v="11"/>
    <n v="11"/>
    <x v="13"/>
    <x v="13"/>
    <n v="40237.15"/>
  </r>
  <r>
    <d v="2025-02-28T00:00:00"/>
    <s v="OPT-NIFTY-06-Mar-2025-22300-C-E-I"/>
    <s v="NSE"/>
    <x v="1"/>
    <n v="450"/>
    <n v="0"/>
    <n v="107.95"/>
    <n v="48577.5"/>
    <s v="#202502283700017550"/>
    <n v="0"/>
    <n v="17.28"/>
    <n v="0"/>
    <n v="0.06"/>
    <n v="174"/>
    <n v="34.44"/>
    <n v="225.78"/>
    <n v="2025"/>
    <n v="2"/>
    <n v="2024"/>
    <n v="11"/>
    <n v="11"/>
    <x v="13"/>
    <x v="13"/>
    <n v="-48803.28"/>
  </r>
  <r>
    <d v="2025-02-28T00:00:00"/>
    <s v="OPT-NIFTY-06-Mar-2025-22250-P-E-I"/>
    <s v="NSE"/>
    <x v="0"/>
    <n v="300"/>
    <n v="0"/>
    <n v="169.25"/>
    <n v="50775"/>
    <s v="#202502283700012945"/>
    <n v="50.65"/>
    <n v="18.04"/>
    <n v="0"/>
    <n v="0.05"/>
    <n v="116"/>
    <n v="24.14"/>
    <n v="208.88"/>
    <n v="2025"/>
    <n v="2"/>
    <n v="2024"/>
    <n v="11"/>
    <n v="11"/>
    <x v="13"/>
    <x v="13"/>
    <n v="50566.12"/>
  </r>
  <r>
    <d v="2025-02-28T00:00:00"/>
    <s v="OPT-NIFTY-06-Mar-2025-22250-P-E-I"/>
    <s v="NSE"/>
    <x v="1"/>
    <n v="300"/>
    <n v="0"/>
    <n v="148.71"/>
    <n v="44613.75"/>
    <s v="#202502283700011855"/>
    <n v="0"/>
    <n v="15.85"/>
    <n v="2.34"/>
    <n v="0.04"/>
    <n v="116"/>
    <n v="23.74"/>
    <n v="157.97"/>
    <n v="2025"/>
    <n v="2"/>
    <n v="2024"/>
    <n v="11"/>
    <n v="11"/>
    <x v="13"/>
    <x v="13"/>
    <n v="-44771.72"/>
  </r>
  <r>
    <d v="2025-02-28T00:00:00"/>
    <s v="OPT-NIFTY-06-Mar-2025-22300-C-E-I"/>
    <s v="NSE"/>
    <x v="0"/>
    <n v="300"/>
    <n v="0"/>
    <n v="127.25"/>
    <n v="38175"/>
    <s v="#202502283700011136"/>
    <n v="38.18"/>
    <n v="13.56"/>
    <n v="0"/>
    <n v="0.04"/>
    <n v="116"/>
    <n v="23.32"/>
    <n v="191.1"/>
    <n v="2025"/>
    <n v="2"/>
    <n v="2024"/>
    <n v="11"/>
    <n v="11"/>
    <x v="13"/>
    <x v="13"/>
    <n v="37983.9"/>
  </r>
  <r>
    <d v="2025-02-28T00:00:00"/>
    <s v="OPT-NIFTY-06-Mar-2025-22300-C-E-I"/>
    <s v="NSE"/>
    <x v="1"/>
    <n v="300"/>
    <n v="0"/>
    <n v="126.25"/>
    <n v="37875"/>
    <s v="#202502283700010736"/>
    <n v="0"/>
    <n v="13.46"/>
    <n v="0"/>
    <n v="0.04"/>
    <n v="116"/>
    <n v="23.32"/>
    <n v="152.82"/>
    <n v="2025"/>
    <n v="2"/>
    <n v="2024"/>
    <n v="11"/>
    <n v="11"/>
    <x v="13"/>
    <x v="13"/>
    <n v="-38027.82"/>
  </r>
  <r>
    <d v="2025-02-28T00:00:00"/>
    <s v="OPT-NIFTY-06-Mar-2025-22250-P-E-I"/>
    <s v="NSE"/>
    <x v="0"/>
    <n v="300"/>
    <n v="0"/>
    <n v="122.25"/>
    <n v="36675"/>
    <s v="#202502283700010363"/>
    <n v="36.68"/>
    <n v="13.03"/>
    <n v="0"/>
    <n v="0.04"/>
    <n v="116"/>
    <n v="23.22"/>
    <n v="188.97"/>
    <n v="2025"/>
    <n v="2"/>
    <n v="2024"/>
    <n v="11"/>
    <n v="11"/>
    <x v="13"/>
    <x v="13"/>
    <n v="36486.03"/>
  </r>
  <r>
    <d v="2025-02-28T00:00:00"/>
    <s v="OPT-NIFTY-06-Mar-2025-22250-P-E-I"/>
    <s v="NSE"/>
    <x v="1"/>
    <n v="300"/>
    <n v="0"/>
    <n v="111.78"/>
    <n v="33532.5"/>
    <s v="#202502283700010184"/>
    <n v="0"/>
    <n v="11.92"/>
    <n v="0"/>
    <n v="0.04"/>
    <n v="116"/>
    <n v="23.04"/>
    <n v="151"/>
    <n v="2025"/>
    <n v="2"/>
    <n v="2024"/>
    <n v="11"/>
    <n v="11"/>
    <x v="13"/>
    <x v="13"/>
    <n v="-33683.5"/>
  </r>
  <r>
    <d v="2025-02-28T00:00:00"/>
    <s v="OPT-NIFTY-06-Mar-2025-22300-C-E-I"/>
    <s v="NSE"/>
    <x v="0"/>
    <n v="375"/>
    <n v="0"/>
    <n v="128"/>
    <n v="48000"/>
    <s v="#202502283700010008"/>
    <n v="48"/>
    <n v="17.05"/>
    <n v="0"/>
    <n v="0.05"/>
    <n v="145"/>
    <n v="29.18"/>
    <n v="239.28"/>
    <n v="2025"/>
    <n v="2"/>
    <n v="2024"/>
    <n v="11"/>
    <n v="11"/>
    <x v="13"/>
    <x v="13"/>
    <n v="47760.72"/>
  </r>
  <r>
    <d v="2025-02-28T00:00:00"/>
    <s v="OPT-NIFTY-06-Mar-2025-22300-C-E-I"/>
    <s v="NSE"/>
    <x v="1"/>
    <n v="300"/>
    <n v="0"/>
    <n v="145.25"/>
    <n v="43575"/>
    <s v="#202502283700009540"/>
    <n v="0"/>
    <n v="15.48"/>
    <n v="4.66"/>
    <n v="0.04"/>
    <n v="116"/>
    <n v="23.68"/>
    <n v="159.86000000000001"/>
    <n v="2025"/>
    <n v="2"/>
    <n v="2024"/>
    <n v="11"/>
    <n v="11"/>
    <x v="13"/>
    <x v="13"/>
    <n v="-43734.86"/>
  </r>
  <r>
    <d v="2025-02-28T00:00:00"/>
    <s v="OPT-NIFTY-06-Mar-2025-22300-C-E-I"/>
    <s v="NSE"/>
    <x v="1"/>
    <n v="75"/>
    <n v="0"/>
    <n v="205.2"/>
    <n v="15390"/>
    <s v="#202502283700001198"/>
    <n v="0"/>
    <n v="5.47"/>
    <n v="0"/>
    <n v="0.02"/>
    <n v="29"/>
    <n v="6.2"/>
    <n v="40.69"/>
    <n v="2025"/>
    <n v="2"/>
    <n v="2024"/>
    <n v="11"/>
    <n v="11"/>
    <x v="13"/>
    <x v="13"/>
    <n v="-15430.69"/>
  </r>
  <r>
    <d v="2025-03-03T00:00:00"/>
    <s v="OPT-NIFTY-06-Mar-2025-22250-P-E-I"/>
    <s v="NSE"/>
    <x v="0"/>
    <n v="75"/>
    <n v="0"/>
    <n v="174.25"/>
    <n v="13068.75"/>
    <s v="#202503033700018063"/>
    <n v="13.07"/>
    <n v="4.6399999999999997"/>
    <n v="0"/>
    <n v="0.01"/>
    <n v="29"/>
    <n v="6.06"/>
    <n v="52.78"/>
    <n v="2025"/>
    <n v="3"/>
    <n v="2024"/>
    <n v="12"/>
    <n v="12"/>
    <x v="14"/>
    <x v="14"/>
    <n v="13015.97"/>
  </r>
  <r>
    <d v="2025-03-03T00:00:00"/>
    <s v="OPT-NIFTY-06-Mar-2025-22250-P-E-I"/>
    <s v="NSE"/>
    <x v="1"/>
    <n v="75"/>
    <n v="0"/>
    <n v="152.5"/>
    <n v="11437.5"/>
    <s v="#202503033700014960"/>
    <n v="0"/>
    <n v="4.0599999999999996"/>
    <n v="0.34"/>
    <n v="0.01"/>
    <n v="29"/>
    <n v="5.96"/>
    <n v="39.369999999999997"/>
    <n v="2025"/>
    <n v="3"/>
    <n v="2024"/>
    <n v="12"/>
    <n v="12"/>
    <x v="14"/>
    <x v="14"/>
    <n v="-11476.87"/>
  </r>
  <r>
    <d v="2025-03-03T00:00:00"/>
    <s v="OPT-NIFTY-06-Mar-2025-22250-C-E-I"/>
    <s v="NSE"/>
    <x v="0"/>
    <n v="300"/>
    <n v="0"/>
    <n v="51.25"/>
    <n v="15375"/>
    <s v="#202503033700010257"/>
    <n v="15.43"/>
    <n v="5.46"/>
    <n v="0"/>
    <n v="0.02"/>
    <n v="116"/>
    <n v="21.86"/>
    <n v="158.77000000000001"/>
    <n v="2025"/>
    <n v="3"/>
    <n v="2024"/>
    <n v="12"/>
    <n v="12"/>
    <x v="14"/>
    <x v="14"/>
    <n v="15216.23"/>
  </r>
  <r>
    <d v="2025-03-03T00:00:00"/>
    <s v="OPT-NIFTY-06-Mar-2025-22250-C-E-I"/>
    <s v="NSE"/>
    <x v="1"/>
    <n v="300"/>
    <n v="0"/>
    <n v="53.2"/>
    <n v="15960"/>
    <s v="#202503033700009522"/>
    <n v="0"/>
    <n v="5.67"/>
    <n v="0.66"/>
    <n v="0.02"/>
    <n v="116"/>
    <n v="21.9"/>
    <n v="144.25"/>
    <n v="2025"/>
    <n v="3"/>
    <n v="2024"/>
    <n v="12"/>
    <n v="12"/>
    <x v="14"/>
    <x v="14"/>
    <n v="-16104.25"/>
  </r>
  <r>
    <d v="2025-03-03T00:00:00"/>
    <s v="OPT-NIFTY-06-Mar-2025-22250-C-E-I"/>
    <s v="NSE"/>
    <x v="0"/>
    <n v="225"/>
    <n v="0"/>
    <n v="60"/>
    <n v="13500"/>
    <s v="#202503033700008507"/>
    <n v="13.5"/>
    <n v="4.8"/>
    <n v="0"/>
    <n v="0.01"/>
    <n v="87"/>
    <n v="16.52"/>
    <n v="121.83"/>
    <n v="2025"/>
    <n v="3"/>
    <n v="2024"/>
    <n v="12"/>
    <n v="12"/>
    <x v="14"/>
    <x v="14"/>
    <n v="13378.17"/>
  </r>
  <r>
    <d v="2025-03-03T00:00:00"/>
    <s v="OPT-NIFTY-06-Mar-2025-22250-C-E-I"/>
    <s v="NSE"/>
    <x v="1"/>
    <n v="75"/>
    <n v="0"/>
    <n v="65.25"/>
    <n v="4893.75"/>
    <s v="#202503033700005932"/>
    <n v="0"/>
    <n v="1.74"/>
    <n v="0"/>
    <n v="0"/>
    <n v="29"/>
    <n v="5.54"/>
    <n v="36.28"/>
    <n v="2025"/>
    <n v="3"/>
    <n v="2024"/>
    <n v="12"/>
    <n v="12"/>
    <x v="14"/>
    <x v="14"/>
    <n v="-4930.03"/>
  </r>
  <r>
    <d v="2025-03-03T00:00:00"/>
    <s v="OPT-NIFTY-06-Mar-2025-22250-C-E-I"/>
    <s v="NSE"/>
    <x v="1"/>
    <n v="75"/>
    <n v="0"/>
    <n v="63.35"/>
    <n v="4751.25"/>
    <s v="#202503033700005611"/>
    <n v="0"/>
    <n v="1.69"/>
    <n v="0"/>
    <n v="0"/>
    <n v="29"/>
    <n v="5.52"/>
    <n v="36.21"/>
    <n v="2025"/>
    <n v="3"/>
    <n v="2024"/>
    <n v="12"/>
    <n v="12"/>
    <x v="14"/>
    <x v="14"/>
    <n v="-4787.46"/>
  </r>
  <r>
    <d v="2025-03-03T00:00:00"/>
    <s v="OPT-NIFTY-06-Mar-2025-22250-C-E-I"/>
    <s v="NSE"/>
    <x v="1"/>
    <n v="75"/>
    <n v="0"/>
    <n v="109.6"/>
    <n v="8220"/>
    <s v="#202503033700003050"/>
    <n v="0"/>
    <n v="2.92"/>
    <n v="0"/>
    <n v="0.01"/>
    <n v="29"/>
    <n v="5.74"/>
    <n v="37.67"/>
    <n v="2025"/>
    <n v="3"/>
    <n v="2024"/>
    <n v="12"/>
    <n v="12"/>
    <x v="14"/>
    <x v="14"/>
    <n v="-8257.67"/>
  </r>
  <r>
    <d v="2025-03-04T00:00:00"/>
    <s v="OPT-NIFTY-06-Mar-2025-22050-P-E-I"/>
    <s v="NSE"/>
    <x v="0"/>
    <n v="225"/>
    <n v="0"/>
    <n v="81.2"/>
    <n v="18270"/>
    <s v="#202503043700015279"/>
    <n v="18.32"/>
    <n v="6.49"/>
    <n v="0"/>
    <n v="0.02"/>
    <n v="87"/>
    <n v="16.84"/>
    <n v="128.66999999999999"/>
    <n v="2025"/>
    <n v="3"/>
    <n v="2024"/>
    <n v="12"/>
    <n v="12"/>
    <x v="14"/>
    <x v="14"/>
    <n v="18141.330000000002"/>
  </r>
  <r>
    <d v="2025-03-04T00:00:00"/>
    <s v="OPT-NIFTY-06-Mar-2025-22050-P-E-I"/>
    <s v="NSE"/>
    <x v="1"/>
    <n v="150"/>
    <n v="0"/>
    <n v="77.05"/>
    <n v="11557.5"/>
    <s v="#202503043700014966"/>
    <n v="0"/>
    <n v="4.0999999999999996"/>
    <n v="0.72"/>
    <n v="0.02"/>
    <n v="58"/>
    <n v="11.2"/>
    <n v="74.040000000000006"/>
    <n v="2025"/>
    <n v="3"/>
    <n v="2024"/>
    <n v="12"/>
    <n v="12"/>
    <x v="14"/>
    <x v="14"/>
    <n v="-11631.54"/>
  </r>
  <r>
    <d v="2025-03-04T00:00:00"/>
    <s v="OPT-NIFTY-06-Mar-2025-22050-P-E-I"/>
    <s v="NSE"/>
    <x v="1"/>
    <n v="75"/>
    <n v="0"/>
    <n v="76"/>
    <n v="5700"/>
    <s v="#202503043700014950"/>
    <n v="0"/>
    <n v="2.0299999999999998"/>
    <n v="0"/>
    <n v="0.01"/>
    <n v="29"/>
    <n v="5.58"/>
    <n v="36.619999999999997"/>
    <n v="2025"/>
    <n v="3"/>
    <n v="2024"/>
    <n v="12"/>
    <n v="12"/>
    <x v="14"/>
    <x v="14"/>
    <n v="-5736.62"/>
  </r>
  <r>
    <d v="2025-03-04T00:00:00"/>
    <s v="OPT-NIFTY-06-Mar-2025-22250-C-E-I"/>
    <s v="NSE"/>
    <x v="0"/>
    <n v="300"/>
    <n v="0"/>
    <n v="42.25"/>
    <n v="12675"/>
    <s v="#202503043700003865"/>
    <n v="12.68"/>
    <n v="4.51"/>
    <n v="0"/>
    <n v="0.01"/>
    <n v="116"/>
    <n v="21.68"/>
    <n v="154.88"/>
    <n v="2025"/>
    <n v="3"/>
    <n v="2024"/>
    <n v="12"/>
    <n v="12"/>
    <x v="14"/>
    <x v="14"/>
    <n v="12520.12"/>
  </r>
  <r>
    <d v="2025-03-04T00:00:00"/>
    <s v="OPT-NIFTY-06-Mar-2025-22250-C-E-I"/>
    <s v="NSE"/>
    <x v="1"/>
    <n v="300"/>
    <n v="0"/>
    <n v="31.25"/>
    <n v="9375"/>
    <s v="#202503043700002804"/>
    <n v="0"/>
    <n v="3.33"/>
    <n v="0.28000000000000003"/>
    <n v="0.01"/>
    <n v="116"/>
    <n v="21.48"/>
    <n v="141.1"/>
    <n v="2025"/>
    <n v="3"/>
    <n v="2024"/>
    <n v="12"/>
    <n v="12"/>
    <x v="14"/>
    <x v="14"/>
    <n v="-9516.1"/>
  </r>
  <r>
    <d v="2025-03-06T00:00:00"/>
    <s v="OPT-NIFTY-06-Mar-2025-22450-C-E-I"/>
    <s v="NSE"/>
    <x v="0"/>
    <n v="375"/>
    <n v="0"/>
    <n v="24.25"/>
    <n v="9093.75"/>
    <s v="#202503063700015441"/>
    <n v="9.09"/>
    <n v="3.23"/>
    <n v="0"/>
    <n v="0.01"/>
    <n v="145"/>
    <n v="26.68"/>
    <n v="184.01"/>
    <n v="2025"/>
    <n v="3"/>
    <n v="2024"/>
    <n v="12"/>
    <n v="12"/>
    <x v="14"/>
    <x v="14"/>
    <n v="8909.74"/>
  </r>
  <r>
    <d v="2025-03-06T00:00:00"/>
    <s v="OPT-NIFTY-06-Mar-2025-22450-C-E-I"/>
    <s v="NSE"/>
    <x v="1"/>
    <n v="375"/>
    <n v="0"/>
    <n v="13.25"/>
    <n v="4968.75"/>
    <s v="#202503063700014454"/>
    <n v="0"/>
    <n v="1.77"/>
    <n v="0"/>
    <n v="0"/>
    <n v="145"/>
    <n v="26.42"/>
    <n v="173.19"/>
    <n v="2025"/>
    <n v="3"/>
    <n v="2024"/>
    <n v="12"/>
    <n v="12"/>
    <x v="14"/>
    <x v="14"/>
    <n v="-5141.9399999999996"/>
  </r>
  <r>
    <d v="2025-03-06T00:00:00"/>
    <s v="OPT-NIFTY-06-Mar-2025-22150-P-E-I"/>
    <s v="NSE"/>
    <x v="0"/>
    <n v="375"/>
    <n v="0"/>
    <n v="23.73"/>
    <n v="8898.75"/>
    <s v="#202503063700005686"/>
    <n v="8.91"/>
    <n v="3.16"/>
    <n v="0"/>
    <n v="0"/>
    <n v="145"/>
    <n v="26.66"/>
    <n v="183.73"/>
    <n v="2025"/>
    <n v="3"/>
    <n v="2024"/>
    <n v="12"/>
    <n v="12"/>
    <x v="14"/>
    <x v="14"/>
    <n v="8715.02"/>
  </r>
  <r>
    <d v="2025-03-06T00:00:00"/>
    <s v="OPT-NIFTY-06-Mar-2025-22150-P-E-I"/>
    <s v="NSE"/>
    <x v="1"/>
    <n v="375"/>
    <n v="0"/>
    <n v="11.15"/>
    <n v="4181.25"/>
    <s v="#202503063700002621"/>
    <n v="0"/>
    <n v="1.49"/>
    <n v="0"/>
    <n v="0"/>
    <n v="145"/>
    <n v="26.36"/>
    <n v="172.85"/>
    <n v="2025"/>
    <n v="3"/>
    <n v="2024"/>
    <n v="12"/>
    <n v="12"/>
    <x v="14"/>
    <x v="14"/>
    <n v="-4354.1000000000004"/>
  </r>
  <r>
    <d v="2025-03-07T00:00:00"/>
    <s v="OPT-NIFTY-13-Mar-2025-22700-C-E-I"/>
    <s v="NSE"/>
    <x v="0"/>
    <n v="150"/>
    <n v="0"/>
    <n v="90.3"/>
    <n v="13545"/>
    <s v="#202503073700016083"/>
    <n v="13.55"/>
    <n v="4.8099999999999996"/>
    <n v="0"/>
    <n v="0.01"/>
    <n v="58"/>
    <n v="11.3"/>
    <n v="87.67"/>
    <n v="2025"/>
    <n v="3"/>
    <n v="2024"/>
    <n v="12"/>
    <n v="12"/>
    <x v="14"/>
    <x v="14"/>
    <n v="13457.33"/>
  </r>
  <r>
    <d v="2025-03-07T00:00:00"/>
    <s v="OPT-NIFTY-13-Mar-2025-22700-C-E-I"/>
    <s v="NSE"/>
    <x v="1"/>
    <n v="150"/>
    <n v="0"/>
    <n v="87.65"/>
    <n v="13147.5"/>
    <s v="#202503073700014311"/>
    <n v="0"/>
    <n v="4.67"/>
    <n v="1.55"/>
    <n v="0.01"/>
    <n v="58"/>
    <n v="11.28"/>
    <n v="75.510000000000005"/>
    <n v="2025"/>
    <n v="3"/>
    <n v="2024"/>
    <n v="12"/>
    <n v="12"/>
    <x v="14"/>
    <x v="14"/>
    <n v="-13223.01"/>
  </r>
  <r>
    <d v="2025-03-07T00:00:00"/>
    <s v="OPT-NIFTY-13-Mar-2025-22700-C-E-I"/>
    <s v="NSE"/>
    <x v="0"/>
    <n v="150"/>
    <n v="0"/>
    <n v="78.5"/>
    <n v="11775"/>
    <s v="#202503073700013258"/>
    <n v="11.78"/>
    <n v="4.18"/>
    <n v="0"/>
    <n v="0.01"/>
    <n v="58"/>
    <n v="11.2"/>
    <n v="85.17"/>
    <n v="2025"/>
    <n v="3"/>
    <n v="2024"/>
    <n v="12"/>
    <n v="12"/>
    <x v="14"/>
    <x v="14"/>
    <n v="11689.83"/>
  </r>
  <r>
    <d v="2025-03-07T00:00:00"/>
    <s v="OPT-NIFTY-13-Mar-2025-22700-C-E-I"/>
    <s v="NSE"/>
    <x v="1"/>
    <n v="75"/>
    <n v="0"/>
    <n v="103.35"/>
    <n v="7751.25"/>
    <s v="#202503073700008704"/>
    <n v="0"/>
    <n v="2.75"/>
    <n v="0"/>
    <n v="0.01"/>
    <n v="29"/>
    <n v="5.72"/>
    <n v="37.479999999999997"/>
    <n v="2025"/>
    <n v="3"/>
    <n v="2024"/>
    <n v="12"/>
    <n v="12"/>
    <x v="14"/>
    <x v="14"/>
    <n v="-7788.73"/>
  </r>
  <r>
    <d v="2025-03-07T00:00:00"/>
    <s v="OPT-NIFTY-13-Mar-2025-22700-C-E-I"/>
    <s v="NSE"/>
    <x v="1"/>
    <n v="75"/>
    <n v="0"/>
    <n v="102"/>
    <n v="7650"/>
    <s v="#202503073700008543"/>
    <n v="0"/>
    <n v="2.72"/>
    <n v="0"/>
    <n v="0.01"/>
    <n v="29"/>
    <n v="5.72"/>
    <n v="37.450000000000003"/>
    <n v="2025"/>
    <n v="3"/>
    <n v="2024"/>
    <n v="12"/>
    <n v="12"/>
    <x v="14"/>
    <x v="14"/>
    <n v="-7687.45"/>
  </r>
  <r>
    <d v="2025-03-07T00:00:00"/>
    <s v="OPT-NIFTY-13-Mar-2025-22700-C-E-I"/>
    <s v="NSE"/>
    <x v="0"/>
    <n v="75"/>
    <n v="0"/>
    <n v="105.7"/>
    <n v="7927.5"/>
    <s v="#202503073700007663"/>
    <n v="7.93"/>
    <n v="2.82"/>
    <n v="0"/>
    <n v="0.01"/>
    <n v="29"/>
    <n v="5.72"/>
    <n v="45.48"/>
    <n v="2025"/>
    <n v="3"/>
    <n v="2024"/>
    <n v="12"/>
    <n v="12"/>
    <x v="14"/>
    <x v="14"/>
    <n v="7882.02"/>
  </r>
  <r>
    <d v="2025-03-07T00:00:00"/>
    <s v="OPT-NIFTY-13-Mar-2025-22700-C-E-I"/>
    <s v="NSE"/>
    <x v="1"/>
    <n v="75"/>
    <n v="0"/>
    <n v="110.05"/>
    <n v="8253.75"/>
    <s v="#202503073700007444"/>
    <n v="0"/>
    <n v="2.93"/>
    <n v="0"/>
    <n v="0.01"/>
    <n v="29"/>
    <n v="5.74"/>
    <n v="37.68"/>
    <n v="2025"/>
    <n v="3"/>
    <n v="2024"/>
    <n v="12"/>
    <n v="12"/>
    <x v="14"/>
    <x v="14"/>
    <n v="-8291.43"/>
  </r>
  <r>
    <d v="2025-03-07T00:00:00"/>
    <s v="OPT-NIFTY-13-Mar-2025-22350-P-E-I"/>
    <s v="NSE"/>
    <x v="0"/>
    <n v="150"/>
    <n v="0"/>
    <n v="54.68"/>
    <n v="8201.25"/>
    <s v="#202503073700007392"/>
    <n v="8"/>
    <n v="2.92"/>
    <n v="0"/>
    <n v="0"/>
    <n v="58"/>
    <n v="10.96"/>
    <n v="79.88"/>
    <n v="2025"/>
    <n v="3"/>
    <n v="2024"/>
    <n v="12"/>
    <n v="12"/>
    <x v="14"/>
    <x v="14"/>
    <n v="8121.37"/>
  </r>
  <r>
    <d v="2025-03-07T00:00:00"/>
    <s v="OPT-NIFTY-13-Mar-2025-22350-P-E-I"/>
    <s v="NSE"/>
    <x v="1"/>
    <n v="150"/>
    <n v="0"/>
    <n v="58.8"/>
    <n v="8820"/>
    <s v="#202503073700007288"/>
    <n v="0"/>
    <n v="3.13"/>
    <n v="0.45"/>
    <n v="0.01"/>
    <n v="58"/>
    <n v="11"/>
    <n v="72.59"/>
    <n v="2025"/>
    <n v="3"/>
    <n v="2024"/>
    <n v="12"/>
    <n v="12"/>
    <x v="14"/>
    <x v="14"/>
    <n v="-8892.59"/>
  </r>
  <r>
    <d v="2025-03-07T00:00:00"/>
    <s v="OPT-NIFTY-13-Mar-2025-22700-C-E-I"/>
    <s v="NSE"/>
    <x v="0"/>
    <n v="150"/>
    <n v="0"/>
    <n v="98.75"/>
    <n v="14812.5"/>
    <s v="#202503073700005224"/>
    <n v="14.81"/>
    <n v="5.26"/>
    <n v="0"/>
    <n v="0.01"/>
    <n v="58"/>
    <n v="11.38"/>
    <n v="89.46"/>
    <n v="2025"/>
    <n v="3"/>
    <n v="2024"/>
    <n v="12"/>
    <n v="12"/>
    <x v="14"/>
    <x v="14"/>
    <n v="14723.04"/>
  </r>
  <r>
    <d v="2025-03-07T00:00:00"/>
    <s v="OPT-NIFTY-13-Mar-2025-22700-C-E-I"/>
    <s v="NSE"/>
    <x v="1"/>
    <n v="75"/>
    <n v="0"/>
    <n v="81.400000000000006"/>
    <n v="6105"/>
    <s v="#202503073700004640"/>
    <n v="0"/>
    <n v="2.17"/>
    <n v="0"/>
    <n v="0.01"/>
    <n v="29"/>
    <n v="5.62"/>
    <n v="36.799999999999997"/>
    <n v="2025"/>
    <n v="3"/>
    <n v="2024"/>
    <n v="12"/>
    <n v="12"/>
    <x v="14"/>
    <x v="14"/>
    <n v="-6141.8"/>
  </r>
  <r>
    <d v="2025-03-07T00:00:00"/>
    <s v="OPT-NIFTY-13-Mar-2025-22350-P-E-I"/>
    <s v="NSE"/>
    <x v="0"/>
    <n v="75"/>
    <n v="0"/>
    <n v="70.400000000000006"/>
    <n v="5280"/>
    <s v="#202503073700004603"/>
    <n v="5.28"/>
    <n v="1.88"/>
    <n v="0"/>
    <n v="0.01"/>
    <n v="29"/>
    <n v="5.56"/>
    <n v="41.73"/>
    <n v="2025"/>
    <n v="3"/>
    <n v="2024"/>
    <n v="12"/>
    <n v="12"/>
    <x v="14"/>
    <x v="14"/>
    <n v="5238.2700000000004"/>
  </r>
  <r>
    <d v="2025-03-07T00:00:00"/>
    <s v="OPT-NIFTY-13-Mar-2025-22700-C-E-I"/>
    <s v="NSE"/>
    <x v="1"/>
    <n v="75"/>
    <n v="0"/>
    <n v="81.25"/>
    <n v="6093.75"/>
    <s v="#202503073700004565"/>
    <n v="0"/>
    <n v="2.17"/>
    <n v="0"/>
    <n v="0.01"/>
    <n v="29"/>
    <n v="5.62"/>
    <n v="36.799999999999997"/>
    <n v="2025"/>
    <n v="3"/>
    <n v="2024"/>
    <n v="12"/>
    <n v="12"/>
    <x v="14"/>
    <x v="14"/>
    <n v="-6130.55"/>
  </r>
  <r>
    <d v="2025-03-07T00:00:00"/>
    <s v="OPT-NIFTY-13-Mar-2025-22700-C-E-I"/>
    <s v="NSE"/>
    <x v="0"/>
    <n v="75"/>
    <n v="0"/>
    <n v="75.5"/>
    <n v="5662.5"/>
    <s v="#202503073700003607"/>
    <n v="5.66"/>
    <n v="2.0099999999999998"/>
    <n v="0"/>
    <n v="0.01"/>
    <n v="29"/>
    <n v="5.58"/>
    <n v="42.26"/>
    <n v="2025"/>
    <n v="3"/>
    <n v="2024"/>
    <n v="12"/>
    <n v="12"/>
    <x v="14"/>
    <x v="14"/>
    <n v="5620.24"/>
  </r>
  <r>
    <d v="2025-03-07T00:00:00"/>
    <s v="OPT-NIFTY-13-Mar-2025-22350-P-E-I"/>
    <s v="NSE"/>
    <x v="1"/>
    <n v="75"/>
    <n v="0"/>
    <n v="81"/>
    <n v="6075"/>
    <s v="#202503073700003054"/>
    <n v="0"/>
    <n v="2.16"/>
    <n v="0"/>
    <n v="0.01"/>
    <n v="29"/>
    <n v="5.62"/>
    <n v="36.79"/>
    <n v="2025"/>
    <n v="3"/>
    <n v="2024"/>
    <n v="12"/>
    <n v="12"/>
    <x v="14"/>
    <x v="14"/>
    <n v="-6111.79"/>
  </r>
  <r>
    <d v="2025-03-07T00:00:00"/>
    <s v="OPT-NIFTY-13-Mar-2025-22700-C-E-I"/>
    <s v="NSE"/>
    <x v="1"/>
    <n v="75"/>
    <n v="0"/>
    <n v="89.5"/>
    <n v="6712.5"/>
    <s v="#202503073700002797"/>
    <n v="0"/>
    <n v="2.38"/>
    <n v="0"/>
    <n v="0.01"/>
    <n v="29"/>
    <n v="5.66"/>
    <n v="37.049999999999997"/>
    <n v="2025"/>
    <n v="3"/>
    <n v="2024"/>
    <n v="12"/>
    <n v="12"/>
    <x v="14"/>
    <x v="14"/>
    <n v="-6749.55"/>
  </r>
  <r>
    <d v="2025-03-11T00:00:00"/>
    <s v="OPT-NIFTY-13-Mar-2025-22450-P-E-I"/>
    <s v="NSE"/>
    <x v="1"/>
    <n v="75"/>
    <n v="0"/>
    <n v="127.15"/>
    <n v="9536.25"/>
    <s v="#202503113700007148"/>
    <n v="0"/>
    <n v="3.39"/>
    <n v="0"/>
    <n v="0.01"/>
    <n v="29"/>
    <n v="5.84"/>
    <n v="38.24"/>
    <n v="2025"/>
    <n v="3"/>
    <n v="2024"/>
    <n v="12"/>
    <n v="12"/>
    <x v="14"/>
    <x v="14"/>
    <n v="-9574.49"/>
  </r>
  <r>
    <d v="2025-03-12T00:00:00"/>
    <s v="OPT-NIFTY-13-Mar-2025-22350-C-E-I"/>
    <s v="NSE"/>
    <x v="0"/>
    <n v="300"/>
    <n v="0"/>
    <n v="72.25"/>
    <n v="21675"/>
    <s v="#202503123700014416"/>
    <n v="21.68"/>
    <n v="7.72"/>
    <n v="0"/>
    <n v="0.04"/>
    <n v="116"/>
    <n v="22.24"/>
    <n v="167.68"/>
    <n v="2025"/>
    <n v="3"/>
    <n v="2024"/>
    <n v="12"/>
    <n v="12"/>
    <x v="14"/>
    <x v="14"/>
    <n v="21507.32"/>
  </r>
  <r>
    <d v="2025-03-12T00:00:00"/>
    <s v="OPT-NIFTY-13-Mar-2025-22350-C-E-I"/>
    <s v="NSE"/>
    <x v="1"/>
    <n v="300"/>
    <n v="0"/>
    <n v="79.5"/>
    <n v="23850"/>
    <s v="#202503123700014084"/>
    <n v="0"/>
    <n v="8.4700000000000006"/>
    <n v="0.72"/>
    <n v="0.02"/>
    <n v="116"/>
    <n v="22.4"/>
    <n v="147.61000000000001"/>
    <n v="2025"/>
    <n v="3"/>
    <n v="2024"/>
    <n v="12"/>
    <n v="12"/>
    <x v="14"/>
    <x v="14"/>
    <n v="-23997.61"/>
  </r>
  <r>
    <d v="2025-03-12T00:00:00"/>
    <s v="OPT-NIFTY-13-Mar-2025-22450-P-E-I"/>
    <s v="NSE"/>
    <x v="0"/>
    <n v="75"/>
    <n v="0"/>
    <n v="147.25"/>
    <n v="11043.75"/>
    <s v="#202503123700011847"/>
    <n v="11.04"/>
    <n v="3.92"/>
    <n v="0"/>
    <n v="0.01"/>
    <n v="29"/>
    <n v="5.92"/>
    <n v="49.89"/>
    <n v="2025"/>
    <n v="3"/>
    <n v="2024"/>
    <n v="12"/>
    <n v="12"/>
    <x v="14"/>
    <x v="14"/>
    <n v="10993.86"/>
  </r>
  <r>
    <d v="2025-03-12T00:00:00"/>
    <s v="OPT-NIFTY-13-Mar-2025-22350-P-E-I"/>
    <s v="NSE"/>
    <x v="0"/>
    <n v="525"/>
    <n v="0"/>
    <n v="59.25"/>
    <n v="31106.25"/>
    <s v="#202503123700006973"/>
    <n v="31.28"/>
    <n v="11.05"/>
    <n v="0"/>
    <n v="0.03"/>
    <n v="203"/>
    <n v="38.54"/>
    <n v="283.89999999999998"/>
    <n v="2025"/>
    <n v="3"/>
    <n v="2024"/>
    <n v="12"/>
    <n v="12"/>
    <x v="14"/>
    <x v="14"/>
    <n v="30822.35"/>
  </r>
  <r>
    <d v="2025-03-12T00:00:00"/>
    <s v="OPT-NIFTY-13-Mar-2025-22350-P-E-I"/>
    <s v="NSE"/>
    <x v="1"/>
    <n v="525"/>
    <n v="0"/>
    <n v="50.25"/>
    <n v="26381.25"/>
    <s v="#202503123700002901"/>
    <n v="0"/>
    <n v="9.3699999999999992"/>
    <n v="1.28"/>
    <n v="0.02"/>
    <n v="203"/>
    <n v="38.22"/>
    <n v="251.89"/>
    <n v="2025"/>
    <n v="3"/>
    <n v="2024"/>
    <n v="12"/>
    <n v="12"/>
    <x v="14"/>
    <x v="14"/>
    <n v="-26633.14"/>
  </r>
  <r>
    <d v="2025-03-17T00:00:00"/>
    <s v="OPT-NIFTY-20-Mar-2025-22500-P-E-I"/>
    <s v="NSE"/>
    <x v="0"/>
    <n v="75"/>
    <n v="0"/>
    <n v="101.75"/>
    <n v="7631.25"/>
    <s v="#202503173700016172"/>
    <n v="7.63"/>
    <n v="2.71"/>
    <n v="0"/>
    <n v="0.01"/>
    <n v="29"/>
    <n v="5.7"/>
    <n v="45.05"/>
    <n v="2025"/>
    <n v="3"/>
    <n v="2024"/>
    <n v="12"/>
    <n v="12"/>
    <x v="14"/>
    <x v="14"/>
    <n v="7586.2"/>
  </r>
  <r>
    <d v="2025-03-17T00:00:00"/>
    <s v="OPT-NIFTY-20-Mar-2025-22500-P-E-I"/>
    <s v="NSE"/>
    <x v="1"/>
    <n v="75"/>
    <n v="0"/>
    <n v="104.55"/>
    <n v="7841.25"/>
    <s v="#202503173700015655"/>
    <n v="0"/>
    <n v="2.79"/>
    <n v="0"/>
    <n v="0.01"/>
    <n v="29"/>
    <n v="5.72"/>
    <n v="37.520000000000003"/>
    <n v="2025"/>
    <n v="3"/>
    <n v="2024"/>
    <n v="12"/>
    <n v="12"/>
    <x v="14"/>
    <x v="14"/>
    <n v="-7878.77"/>
  </r>
  <r>
    <d v="2025-03-17T00:00:00"/>
    <s v="OPT-NIFTY-20-Mar-2025-22500-P-E-I"/>
    <s v="NSE"/>
    <x v="0"/>
    <n v="75"/>
    <n v="0"/>
    <n v="105.25"/>
    <n v="7893.75"/>
    <s v="#202503173700006056"/>
    <n v="8.3699999999999992"/>
    <n v="2.8"/>
    <n v="0"/>
    <n v="0.01"/>
    <n v="29"/>
    <n v="5.72"/>
    <n v="45.9"/>
    <n v="2025"/>
    <n v="3"/>
    <n v="2024"/>
    <n v="12"/>
    <n v="12"/>
    <x v="14"/>
    <x v="14"/>
    <n v="7847.85"/>
  </r>
  <r>
    <d v="2025-03-17T00:00:00"/>
    <s v="OPT-NIFTY-20-Mar-2025-22500-P-E-I"/>
    <s v="NSE"/>
    <x v="1"/>
    <n v="75"/>
    <n v="0"/>
    <n v="102.85"/>
    <n v="7713.75"/>
    <s v="#202503173700005581"/>
    <n v="0"/>
    <n v="2.74"/>
    <n v="0"/>
    <n v="0.01"/>
    <n v="29"/>
    <n v="5.72"/>
    <n v="37.47"/>
    <n v="2025"/>
    <n v="3"/>
    <n v="2024"/>
    <n v="12"/>
    <n v="12"/>
    <x v="14"/>
    <x v="14"/>
    <n v="-7751.22"/>
  </r>
  <r>
    <d v="2025-03-19T00:00:00"/>
    <s v="OPT-NIFTY-20-Mar-2025-22950-C-E-I"/>
    <s v="NSE"/>
    <x v="0"/>
    <n v="75"/>
    <n v="0"/>
    <n v="76.25"/>
    <n v="5718.75"/>
    <s v="#202503193700017435"/>
    <n v="6"/>
    <n v="2.0299999999999998"/>
    <n v="0"/>
    <n v="0.01"/>
    <n v="29"/>
    <n v="5.58"/>
    <n v="42.62"/>
    <n v="2025"/>
    <n v="3"/>
    <n v="2024"/>
    <n v="12"/>
    <n v="12"/>
    <x v="14"/>
    <x v="14"/>
    <n v="5676.13"/>
  </r>
  <r>
    <d v="2025-03-19T00:00:00"/>
    <s v="OPT-NIFTY-20-Mar-2025-22950-C-E-I"/>
    <s v="NSE"/>
    <x v="1"/>
    <n v="75"/>
    <n v="0"/>
    <n v="65.7"/>
    <n v="4927.5"/>
    <s v="#202503193700017393"/>
    <n v="0"/>
    <n v="1.75"/>
    <n v="0"/>
    <n v="0"/>
    <n v="29"/>
    <n v="5.54"/>
    <n v="36.29"/>
    <n v="2025"/>
    <n v="3"/>
    <n v="2024"/>
    <n v="12"/>
    <n v="12"/>
    <x v="14"/>
    <x v="14"/>
    <n v="-4963.79"/>
  </r>
  <r>
    <d v="2025-03-20T00:00:00"/>
    <s v="OPT-NIFTY-20-Mar-2025-23100-C-E-I"/>
    <s v="NSE"/>
    <x v="0"/>
    <n v="300"/>
    <n v="0"/>
    <n v="26.75"/>
    <n v="8025"/>
    <s v="#202503203700016230"/>
    <n v="8"/>
    <n v="2.85"/>
    <n v="0"/>
    <n v="0.01"/>
    <n v="116"/>
    <n v="21.4"/>
    <n v="148.26"/>
    <n v="2025"/>
    <n v="3"/>
    <n v="2024"/>
    <n v="12"/>
    <n v="12"/>
    <x v="14"/>
    <x v="14"/>
    <n v="7876.74"/>
  </r>
  <r>
    <d v="2025-03-20T00:00:00"/>
    <s v="OPT-NIFTY-20-Mar-2025-23100-C-E-I"/>
    <s v="NSE"/>
    <x v="1"/>
    <n v="75"/>
    <n v="0"/>
    <n v="14.15"/>
    <n v="1061.25"/>
    <s v="#202503203700014633"/>
    <n v="0"/>
    <n v="0.38"/>
    <n v="0"/>
    <n v="0"/>
    <n v="29"/>
    <n v="5.28"/>
    <n v="34.659999999999997"/>
    <n v="2025"/>
    <n v="3"/>
    <n v="2024"/>
    <n v="12"/>
    <n v="12"/>
    <x v="14"/>
    <x v="14"/>
    <n v="-1095.9100000000001"/>
  </r>
  <r>
    <d v="2025-03-20T00:00:00"/>
    <s v="OPT-NIFTY-20-Mar-2025-23100-C-E-I"/>
    <s v="NSE"/>
    <x v="1"/>
    <n v="225"/>
    <n v="0"/>
    <n v="17.25"/>
    <n v="3881.25"/>
    <s v="#202503203700014266"/>
    <n v="0"/>
    <n v="1.38"/>
    <n v="0"/>
    <n v="0"/>
    <n v="87"/>
    <n v="15.9"/>
    <n v="104.28"/>
    <n v="2025"/>
    <n v="3"/>
    <n v="2024"/>
    <n v="12"/>
    <n v="12"/>
    <x v="14"/>
    <x v="14"/>
    <n v="-3985.53"/>
  </r>
  <r>
    <d v="2025-03-26T00:00:00"/>
    <s v="OPT-NIFTY-27-Mar-2025-23450-P-E-I"/>
    <s v="NSE"/>
    <x v="0"/>
    <n v="75"/>
    <n v="0"/>
    <n v="49.25"/>
    <n v="3693.75"/>
    <s v="#202503263700018572"/>
    <n v="3.96"/>
    <n v="1.31"/>
    <n v="0"/>
    <n v="0"/>
    <n v="29"/>
    <n v="5.46"/>
    <n v="39.729999999999997"/>
    <n v="2025"/>
    <n v="3"/>
    <n v="2024"/>
    <n v="12"/>
    <n v="12"/>
    <x v="14"/>
    <x v="14"/>
    <n v="3654.02"/>
  </r>
  <r>
    <d v="2025-03-26T00:00:00"/>
    <s v="OPT-NIFTY-27-Mar-2025-23450-P-E-I"/>
    <s v="NSE"/>
    <x v="1"/>
    <n v="75"/>
    <n v="0"/>
    <n v="41.1"/>
    <n v="3082.5"/>
    <s v="#202503263700018211"/>
    <n v="0"/>
    <n v="1.1000000000000001"/>
    <n v="0"/>
    <n v="0"/>
    <n v="29"/>
    <n v="5.42"/>
    <n v="35.520000000000003"/>
    <n v="2025"/>
    <n v="3"/>
    <n v="2024"/>
    <n v="12"/>
    <n v="12"/>
    <x v="14"/>
    <x v="14"/>
    <n v="-3118.02"/>
  </r>
  <r>
    <d v="2025-03-26T00:00:00"/>
    <s v="OPT-NIFTY-27-Mar-2025-23700-C-E-I"/>
    <s v="NSE"/>
    <x v="0"/>
    <n v="75"/>
    <n v="0"/>
    <n v="107.25"/>
    <n v="8043.75"/>
    <s v="#202503263700006640"/>
    <n v="8.0399999999999991"/>
    <n v="2.86"/>
    <n v="0"/>
    <n v="0.01"/>
    <n v="29"/>
    <n v="5.74"/>
    <n v="45.65"/>
    <n v="2025"/>
    <n v="3"/>
    <n v="2024"/>
    <n v="12"/>
    <n v="12"/>
    <x v="14"/>
    <x v="14"/>
    <n v="7998.1"/>
  </r>
  <r>
    <d v="2025-03-26T00:00:00"/>
    <s v="OPT-NIFTY-27-Mar-2025-23700-C-E-I"/>
    <s v="NSE"/>
    <x v="1"/>
    <n v="75"/>
    <n v="0"/>
    <n v="87.9"/>
    <n v="6592.5"/>
    <s v="#202503263700005766"/>
    <n v="0"/>
    <n v="2.34"/>
    <n v="0"/>
    <n v="0.01"/>
    <n v="29"/>
    <n v="5.64"/>
    <n v="36.99"/>
    <n v="2025"/>
    <n v="3"/>
    <n v="2024"/>
    <n v="12"/>
    <n v="12"/>
    <x v="14"/>
    <x v="14"/>
    <n v="-6629.49"/>
  </r>
  <r>
    <d v="2025-03-27T00:00:00"/>
    <s v="OPT-NIFTY-27-Mar-2025-23650-C-E-I"/>
    <s v="NSE"/>
    <x v="0"/>
    <n v="525"/>
    <n v="0"/>
    <n v="5.25"/>
    <n v="2756.25"/>
    <s v="#202503273700015756"/>
    <n v="2.76"/>
    <n v="0.98"/>
    <n v="0"/>
    <n v="0"/>
    <n v="203"/>
    <n v="36.72"/>
    <n v="243.46"/>
    <n v="2025"/>
    <n v="3"/>
    <n v="2024"/>
    <n v="12"/>
    <n v="12"/>
    <x v="14"/>
    <x v="14"/>
    <n v="2512.79"/>
  </r>
  <r>
    <d v="2025-03-27T00:00:00"/>
    <s v="OPT-NIFTY-27-Mar-2025-23650-C-E-I"/>
    <s v="NSE"/>
    <x v="1"/>
    <n v="75"/>
    <n v="0"/>
    <n v="15.15"/>
    <n v="1136.25"/>
    <s v="#202503273700012658"/>
    <n v="0"/>
    <n v="0.4"/>
    <n v="0"/>
    <n v="0"/>
    <n v="29"/>
    <n v="5.3"/>
    <n v="34.700000000000003"/>
    <n v="2025"/>
    <n v="3"/>
    <n v="2024"/>
    <n v="12"/>
    <n v="12"/>
    <x v="14"/>
    <x v="14"/>
    <n v="-1170.95"/>
  </r>
  <r>
    <d v="2025-03-27T00:00:00"/>
    <s v="OPT-NIFTY-27-Mar-2025-23650-C-E-I"/>
    <s v="NSE"/>
    <x v="1"/>
    <n v="450"/>
    <n v="0"/>
    <n v="16.600000000000001"/>
    <n v="7470"/>
    <s v="#202503273700012529"/>
    <n v="0"/>
    <n v="2.65"/>
    <n v="0"/>
    <n v="0.01"/>
    <n v="174"/>
    <n v="31.8"/>
    <n v="208.46"/>
    <n v="2025"/>
    <n v="3"/>
    <n v="2024"/>
    <n v="12"/>
    <n v="12"/>
    <x v="14"/>
    <x v="14"/>
    <n v="-7678.46"/>
  </r>
  <r>
    <d v="2025-03-27T00:00:00"/>
    <s v="OPT-NIFTY-27-Mar-2025-23550-C-E-I"/>
    <s v="NSE"/>
    <x v="0"/>
    <n v="75"/>
    <n v="0"/>
    <n v="83.65"/>
    <n v="6273.75"/>
    <s v="#202503273700006827"/>
    <n v="6.24"/>
    <n v="2.23"/>
    <n v="0"/>
    <n v="0.01"/>
    <n v="29"/>
    <n v="5.62"/>
    <n v="43.1"/>
    <n v="2025"/>
    <n v="3"/>
    <n v="2024"/>
    <n v="12"/>
    <n v="12"/>
    <x v="14"/>
    <x v="14"/>
    <n v="6230.65"/>
  </r>
  <r>
    <d v="2025-03-27T00:00:00"/>
    <s v="OPT-NIFTY-27-Mar-2025-23550-C-E-I"/>
    <s v="NSE"/>
    <x v="1"/>
    <n v="75"/>
    <n v="0"/>
    <n v="65.8"/>
    <n v="4935"/>
    <s v="#202503273700006519"/>
    <n v="0"/>
    <n v="1.75"/>
    <n v="0"/>
    <n v="0"/>
    <n v="29"/>
    <n v="5.54"/>
    <n v="36.29"/>
    <n v="2025"/>
    <n v="3"/>
    <n v="2024"/>
    <n v="12"/>
    <n v="12"/>
    <x v="14"/>
    <x v="14"/>
    <n v="-4971.29"/>
  </r>
  <r>
    <d v="2025-03-28T00:00:00"/>
    <s v="OPT-NIFTY-03-Apr-2025-23250-P-E-I"/>
    <s v="NSE"/>
    <x v="0"/>
    <n v="150"/>
    <n v="0"/>
    <n v="39.25"/>
    <n v="5887.5"/>
    <s v="#202503283700008186"/>
    <n v="5.89"/>
    <n v="2.09"/>
    <n v="0"/>
    <n v="0.01"/>
    <n v="58"/>
    <n v="10.82"/>
    <n v="76.81"/>
    <n v="2025"/>
    <n v="3"/>
    <n v="2024"/>
    <n v="12"/>
    <n v="12"/>
    <x v="14"/>
    <x v="14"/>
    <n v="5810.69"/>
  </r>
  <r>
    <d v="2025-03-28T00:00:00"/>
    <s v="OPT-NIFTY-03-Apr-2025-23250-P-E-I"/>
    <s v="NSE"/>
    <x v="1"/>
    <n v="150"/>
    <n v="0"/>
    <n v="33.450000000000003"/>
    <n v="5017.5"/>
    <s v="#202503283700008114"/>
    <n v="0"/>
    <n v="1.78"/>
    <n v="0"/>
    <n v="0.01"/>
    <n v="58"/>
    <n v="10.76"/>
    <n v="70.55"/>
    <n v="2025"/>
    <n v="3"/>
    <n v="2024"/>
    <n v="12"/>
    <n v="12"/>
    <x v="14"/>
    <x v="14"/>
    <n v="-5088.05"/>
  </r>
  <r>
    <d v="2025-03-28T00:00:00"/>
    <s v="OPT-NIFTY-03-Apr-2025-23250-P-E-I"/>
    <s v="NSE"/>
    <x v="0"/>
    <n v="75"/>
    <n v="0"/>
    <n v="40.5"/>
    <n v="3037.5"/>
    <s v="#202503283700006001"/>
    <n v="3.11"/>
    <n v="1.08"/>
    <n v="0"/>
    <n v="0"/>
    <n v="29"/>
    <n v="5.42"/>
    <n v="38.61"/>
    <n v="2025"/>
    <n v="3"/>
    <n v="2024"/>
    <n v="12"/>
    <n v="12"/>
    <x v="14"/>
    <x v="14"/>
    <n v="2998.89"/>
  </r>
  <r>
    <d v="2025-03-28T00:00:00"/>
    <s v="OPT-NIFTY-03-Apr-2025-23250-P-E-I"/>
    <s v="NSE"/>
    <x v="1"/>
    <n v="75"/>
    <n v="0"/>
    <n v="42.5"/>
    <n v="3187.5"/>
    <s v="#202503283700001412"/>
    <n v="0"/>
    <n v="1.1299999999999999"/>
    <n v="0"/>
    <n v="0"/>
    <n v="29"/>
    <n v="5.42"/>
    <n v="35.549999999999997"/>
    <n v="2025"/>
    <n v="3"/>
    <n v="2024"/>
    <n v="12"/>
    <n v="12"/>
    <x v="14"/>
    <x v="14"/>
    <n v="-3223.05"/>
  </r>
  <r>
    <d v="2025-04-01T00:00:00"/>
    <s v="OPT-NIFTY-03-Apr-2025-22550-P-E-I"/>
    <s v="NSE"/>
    <x v="1"/>
    <n v="525"/>
    <n v="0"/>
    <n v="6.05"/>
    <n v="3176.25"/>
    <s v="#202504013700015773"/>
    <n v="0"/>
    <n v="1.1200000000000001"/>
    <n v="0.1"/>
    <n v="0"/>
    <n v="203"/>
    <n v="36.700000000000003"/>
    <n v="240.92"/>
    <n v="2025"/>
    <n v="4"/>
    <n v="2025"/>
    <n v="1"/>
    <s v="01"/>
    <x v="15"/>
    <x v="15"/>
    <n v="-3417.17"/>
  </r>
  <r>
    <d v="2025-04-01T00:00:00"/>
    <s v="OPT-NIFTY-03-Apr-2025-23500-P-E-I"/>
    <s v="NSE"/>
    <x v="0"/>
    <n v="450"/>
    <n v="0"/>
    <n v="136.30000000000001"/>
    <n v="61335"/>
    <s v="#202504013700006262"/>
    <n v="61.34"/>
    <n v="21.79"/>
    <n v="0"/>
    <n v="0.06"/>
    <n v="174"/>
    <n v="35.26"/>
    <n v="292.45"/>
    <n v="2025"/>
    <n v="4"/>
    <n v="2025"/>
    <n v="1"/>
    <s v="01"/>
    <x v="15"/>
    <x v="15"/>
    <n v="61042.55"/>
  </r>
  <r>
    <d v="2025-04-01T00:00:00"/>
    <s v="OPT-NIFTY-03-Apr-2025-23500-P-E-I"/>
    <s v="NSE"/>
    <x v="1"/>
    <n v="225"/>
    <n v="0"/>
    <n v="112.85"/>
    <n v="25391.25"/>
    <s v="#202504013700005299"/>
    <n v="0"/>
    <n v="9.02"/>
    <n v="0"/>
    <n v="0.03"/>
    <n v="87"/>
    <n v="17.28"/>
    <n v="113.33"/>
    <n v="2025"/>
    <n v="4"/>
    <n v="2025"/>
    <n v="1"/>
    <s v="01"/>
    <x v="15"/>
    <x v="15"/>
    <n v="-25504.58"/>
  </r>
  <r>
    <d v="2025-04-01T00:00:00"/>
    <s v="OPT-NIFTY-03-Apr-2025-23500-P-E-I"/>
    <s v="NSE"/>
    <x v="1"/>
    <n v="225"/>
    <n v="0"/>
    <n v="104.6"/>
    <n v="23535"/>
    <s v="#202504013700004870"/>
    <n v="0"/>
    <n v="8.36"/>
    <n v="2.14"/>
    <n v="0.03"/>
    <n v="87"/>
    <n v="17.16"/>
    <n v="114.69"/>
    <n v="2025"/>
    <n v="4"/>
    <n v="2025"/>
    <n v="1"/>
    <s v="01"/>
    <x v="15"/>
    <x v="15"/>
    <n v="-23649.69"/>
  </r>
  <r>
    <d v="2025-04-01T00:00:00"/>
    <s v="OPT-NIFTY-03-Apr-2025-23500-P-E-I"/>
    <s v="NSE"/>
    <x v="0"/>
    <n v="225"/>
    <n v="0"/>
    <n v="92.3"/>
    <n v="20767.5"/>
    <s v="#202504013700004775"/>
    <n v="20.76"/>
    <n v="7.38"/>
    <n v="0"/>
    <n v="0.03"/>
    <n v="87"/>
    <n v="16.98"/>
    <n v="132.15"/>
    <n v="2025"/>
    <n v="4"/>
    <n v="2025"/>
    <n v="1"/>
    <s v="01"/>
    <x v="15"/>
    <x v="15"/>
    <n v="20635.349999999999"/>
  </r>
  <r>
    <d v="2025-04-01T00:00:00"/>
    <s v="OPT-NIFTY-03-Apr-2025-23500-P-E-I"/>
    <s v="NSE"/>
    <x v="1"/>
    <n v="225"/>
    <n v="0"/>
    <n v="95.3"/>
    <n v="21442.5"/>
    <s v="#202504013700004563"/>
    <n v="0"/>
    <n v="7.62"/>
    <n v="0"/>
    <n v="0.02"/>
    <n v="87"/>
    <n v="17.04"/>
    <n v="111.68"/>
    <n v="2025"/>
    <n v="4"/>
    <n v="2025"/>
    <n v="1"/>
    <s v="01"/>
    <x v="15"/>
    <x v="15"/>
    <n v="-21554.18"/>
  </r>
  <r>
    <d v="2025-04-01T00:00:00"/>
    <s v="OPT-NIFTY-03-Apr-2025-23500-C-E-I"/>
    <s v="NSE"/>
    <x v="0"/>
    <n v="225"/>
    <n v="0"/>
    <n v="143.25"/>
    <n v="32231.25"/>
    <s v="#202504013700003041"/>
    <n v="31.9"/>
    <n v="11.45"/>
    <n v="0"/>
    <n v="0.03"/>
    <n v="87"/>
    <n v="17.72"/>
    <n v="148.1"/>
    <n v="2025"/>
    <n v="4"/>
    <n v="2025"/>
    <n v="1"/>
    <s v="01"/>
    <x v="15"/>
    <x v="15"/>
    <n v="32083.15"/>
  </r>
  <r>
    <d v="2025-04-01T00:00:00"/>
    <s v="OPT-NIFTY-03-Apr-2025-23500-C-E-I"/>
    <s v="NSE"/>
    <x v="1"/>
    <n v="225"/>
    <n v="0"/>
    <n v="112.75"/>
    <n v="25368.75"/>
    <s v="#202504013700002731"/>
    <n v="0"/>
    <n v="9"/>
    <n v="0.76"/>
    <n v="0.03"/>
    <n v="87"/>
    <n v="17.28"/>
    <n v="114.07"/>
    <n v="2025"/>
    <n v="4"/>
    <n v="2025"/>
    <n v="1"/>
    <s v="01"/>
    <x v="15"/>
    <x v="15"/>
    <n v="-25482.82"/>
  </r>
  <r>
    <d v="2025-04-02T00:00:00"/>
    <s v="OPT-NIFTY-03-Apr-2025-22550-P-E-I"/>
    <s v="NSE"/>
    <x v="0"/>
    <n v="525"/>
    <n v="0"/>
    <n v="3.5"/>
    <n v="1837.5"/>
    <s v="#202504023700014292"/>
    <n v="1.87"/>
    <n v="0.65"/>
    <n v="0"/>
    <n v="0"/>
    <n v="203"/>
    <n v="36.659999999999997"/>
    <n v="242.18"/>
    <n v="2025"/>
    <n v="4"/>
    <n v="2025"/>
    <n v="1"/>
    <s v="01"/>
    <x v="15"/>
    <x v="15"/>
    <n v="1595.32"/>
  </r>
  <r>
    <d v="2025-04-02T00:00:00"/>
    <s v="OPT-NIFTY-03-Apr-2025-23150-P-E-I"/>
    <s v="NSE"/>
    <x v="0"/>
    <n v="1500"/>
    <n v="0"/>
    <n v="29"/>
    <n v="43500"/>
    <s v="#202504023700014277"/>
    <n v="43.5"/>
    <n v="15.46"/>
    <n v="0"/>
    <n v="0.04"/>
    <n v="580"/>
    <n v="107.2"/>
    <n v="746.2"/>
    <n v="2025"/>
    <n v="4"/>
    <n v="2025"/>
    <n v="1"/>
    <s v="01"/>
    <x v="15"/>
    <x v="15"/>
    <n v="42753.8"/>
  </r>
  <r>
    <d v="2025-04-02T00:00:00"/>
    <s v="OPT-NIFTY-03-Apr-2025-23150-P-E-I"/>
    <s v="NSE"/>
    <x v="1"/>
    <n v="750"/>
    <n v="0"/>
    <n v="51.66"/>
    <n v="38745"/>
    <s v="#202504023700006643"/>
    <n v="0"/>
    <n v="13.77"/>
    <n v="0"/>
    <n v="0.04"/>
    <n v="290"/>
    <n v="54.68"/>
    <n v="358.49"/>
    <n v="2025"/>
    <n v="4"/>
    <n v="2025"/>
    <n v="1"/>
    <s v="01"/>
    <x v="15"/>
    <x v="15"/>
    <n v="-39103.49"/>
  </r>
  <r>
    <d v="2025-04-02T00:00:00"/>
    <s v="OPT-NIFTY-03-Apr-2025-23150-P-E-I"/>
    <s v="NSE"/>
    <x v="1"/>
    <n v="750"/>
    <n v="0"/>
    <n v="56.7"/>
    <n v="42525"/>
    <s v="#202504023700005458"/>
    <n v="0"/>
    <n v="15.11"/>
    <n v="5.17"/>
    <n v="0.04"/>
    <n v="290"/>
    <n v="54.94"/>
    <n v="365.26"/>
    <n v="2025"/>
    <n v="4"/>
    <n v="2025"/>
    <n v="1"/>
    <s v="01"/>
    <x v="15"/>
    <x v="15"/>
    <n v="-42890.26"/>
  </r>
  <r>
    <d v="2025-04-02T00:00:00"/>
    <s v="OPT-NIFTY-03-Apr-2025-23150-P-E-I"/>
    <s v="NSE"/>
    <x v="0"/>
    <n v="1200"/>
    <n v="0"/>
    <n v="60.08"/>
    <n v="72097.5"/>
    <s v="#202504023700004964"/>
    <n v="72.11"/>
    <n v="25.6"/>
    <n v="0"/>
    <n v="0.06"/>
    <n v="464"/>
    <n v="88.12"/>
    <n v="649.89"/>
    <n v="2025"/>
    <n v="4"/>
    <n v="2025"/>
    <n v="1"/>
    <s v="01"/>
    <x v="15"/>
    <x v="15"/>
    <n v="71447.61"/>
  </r>
  <r>
    <d v="2025-04-02T00:00:00"/>
    <s v="OPT-NIFTY-03-Apr-2025-23150-P-E-I"/>
    <s v="NSE"/>
    <x v="1"/>
    <n v="300"/>
    <n v="0"/>
    <n v="52.85"/>
    <n v="15855"/>
    <s v="#202504023700003256"/>
    <n v="0"/>
    <n v="5.64"/>
    <n v="0"/>
    <n v="0.01"/>
    <n v="116"/>
    <n v="21.9"/>
    <n v="143.55000000000001"/>
    <n v="2025"/>
    <n v="4"/>
    <n v="2025"/>
    <n v="1"/>
    <s v="01"/>
    <x v="15"/>
    <x v="15"/>
    <n v="-15998.55"/>
  </r>
  <r>
    <d v="2025-04-02T00:00:00"/>
    <s v="OPT-NIFTY-03-Apr-2025-23150-P-E-I"/>
    <s v="NSE"/>
    <x v="1"/>
    <n v="300"/>
    <n v="0"/>
    <n v="58.1"/>
    <n v="17430"/>
    <s v="#202504023700002403"/>
    <n v="0"/>
    <n v="6.19"/>
    <n v="0"/>
    <n v="0.01"/>
    <n v="116"/>
    <n v="22"/>
    <n v="144.19999999999999"/>
    <n v="2025"/>
    <n v="4"/>
    <n v="2025"/>
    <n v="1"/>
    <s v="01"/>
    <x v="15"/>
    <x v="15"/>
    <n v="-17574.2"/>
  </r>
  <r>
    <d v="2025-04-02T00:00:00"/>
    <s v="OPT-NIFTY-03-Apr-2025-23150-P-E-I"/>
    <s v="NSE"/>
    <x v="1"/>
    <n v="300"/>
    <n v="0"/>
    <n v="70.56"/>
    <n v="21168.75"/>
    <s v="#202504023700001891"/>
    <n v="0"/>
    <n v="7.52"/>
    <n v="0"/>
    <n v="0.03"/>
    <n v="116"/>
    <n v="22.24"/>
    <n v="145.79"/>
    <n v="2025"/>
    <n v="4"/>
    <n v="2025"/>
    <n v="1"/>
    <s v="01"/>
    <x v="15"/>
    <x v="15"/>
    <n v="-21314.54"/>
  </r>
  <r>
    <d v="2025-04-02T00:00:00"/>
    <s v="OPT-NIFTY-03-Apr-2025-23150-P-E-I"/>
    <s v="NSE"/>
    <x v="1"/>
    <n v="300"/>
    <n v="0"/>
    <n v="88.15"/>
    <n v="26445"/>
    <s v="#202504023700001347"/>
    <n v="0"/>
    <n v="9.4"/>
    <n v="0"/>
    <n v="0.03"/>
    <n v="116"/>
    <n v="22.58"/>
    <n v="148.01"/>
    <n v="2025"/>
    <n v="4"/>
    <n v="2025"/>
    <n v="1"/>
    <s v="01"/>
    <x v="15"/>
    <x v="15"/>
    <n v="-26593.01"/>
  </r>
  <r>
    <d v="2025-04-02T00:00:00"/>
    <s v="OPT-NIFTY-03-Apr-2025-23250-C-E-I"/>
    <s v="NSE"/>
    <x v="0"/>
    <n v="300"/>
    <n v="0"/>
    <n v="85.1"/>
    <n v="25530"/>
    <s v="#202504023700001224"/>
    <n v="25.53"/>
    <n v="9.08"/>
    <n v="0"/>
    <n v="0.03"/>
    <n v="116"/>
    <n v="22.54"/>
    <n v="173.18"/>
    <n v="2025"/>
    <n v="4"/>
    <n v="2025"/>
    <n v="1"/>
    <s v="01"/>
    <x v="15"/>
    <x v="15"/>
    <n v="25356.82"/>
  </r>
  <r>
    <d v="2025-04-02T00:00:00"/>
    <s v="OPT-NIFTY-03-Apr-2025-23250-C-E-I"/>
    <s v="NSE"/>
    <x v="1"/>
    <n v="300"/>
    <n v="0"/>
    <n v="92.45"/>
    <n v="27735"/>
    <s v="#202504023700000692"/>
    <n v="0"/>
    <n v="9.85"/>
    <n v="0.83"/>
    <n v="0.03"/>
    <n v="116"/>
    <n v="22.64"/>
    <n v="149.35"/>
    <n v="2025"/>
    <n v="4"/>
    <n v="2025"/>
    <n v="1"/>
    <s v="01"/>
    <x v="15"/>
    <x v="15"/>
    <n v="-27884.35"/>
  </r>
  <r>
    <d v="2025-04-03T00:00:00"/>
    <s v="OPT-NIFTY-03-Apr-2025-23300-P-E-I"/>
    <s v="NSE"/>
    <x v="0"/>
    <n v="75"/>
    <n v="0"/>
    <n v="44.45"/>
    <n v="3333.75"/>
    <s v="#202504033700018010"/>
    <n v="3.33"/>
    <n v="1.18"/>
    <n v="0"/>
    <n v="0"/>
    <n v="29"/>
    <n v="5.44"/>
    <n v="38.950000000000003"/>
    <n v="2025"/>
    <n v="4"/>
    <n v="2025"/>
    <n v="1"/>
    <s v="01"/>
    <x v="15"/>
    <x v="15"/>
    <n v="3294.8"/>
  </r>
  <r>
    <d v="2025-04-03T00:00:00"/>
    <s v="OPT-NIFTY-03-Apr-2025-23300-P-E-I"/>
    <s v="NSE"/>
    <x v="1"/>
    <n v="75"/>
    <n v="0"/>
    <n v="45"/>
    <n v="3375"/>
    <s v="#202504033700017781"/>
    <n v="0"/>
    <n v="1.2"/>
    <n v="0"/>
    <n v="0"/>
    <n v="29"/>
    <n v="5.44"/>
    <n v="35.64"/>
    <n v="2025"/>
    <n v="4"/>
    <n v="2025"/>
    <n v="1"/>
    <s v="01"/>
    <x v="15"/>
    <x v="15"/>
    <n v="-3410.64"/>
  </r>
  <r>
    <d v="2025-04-03T00:00:00"/>
    <s v="OPT-NIFTY-03-Apr-2025-23300-P-E-I"/>
    <s v="NSE"/>
    <x v="0"/>
    <n v="75"/>
    <n v="0"/>
    <n v="47.85"/>
    <n v="3588.75"/>
    <s v="#202504033700016758"/>
    <n v="3.65"/>
    <n v="1.28"/>
    <n v="0"/>
    <n v="0"/>
    <n v="29"/>
    <n v="5.46"/>
    <n v="39.39"/>
    <n v="2025"/>
    <n v="4"/>
    <n v="2025"/>
    <n v="1"/>
    <s v="01"/>
    <x v="15"/>
    <x v="15"/>
    <n v="3549.36"/>
  </r>
  <r>
    <d v="2025-04-03T00:00:00"/>
    <s v="OPT-NIFTY-03-Apr-2025-23300-P-E-I"/>
    <s v="NSE"/>
    <x v="1"/>
    <n v="75"/>
    <n v="0"/>
    <n v="49.05"/>
    <n v="3678.75"/>
    <s v="#202504033700015423"/>
    <n v="0"/>
    <n v="1.31"/>
    <n v="0"/>
    <n v="0"/>
    <n v="29"/>
    <n v="5.46"/>
    <n v="35.770000000000003"/>
    <n v="2025"/>
    <n v="4"/>
    <n v="2025"/>
    <n v="1"/>
    <s v="01"/>
    <x v="15"/>
    <x v="15"/>
    <n v="-3714.52"/>
  </r>
  <r>
    <d v="2025-04-03T00:00:00"/>
    <s v="OPT-NIFTY-03-Apr-2025-23300-P-E-I"/>
    <s v="NSE"/>
    <x v="0"/>
    <n v="300"/>
    <n v="0"/>
    <n v="47.75"/>
    <n v="14325"/>
    <s v="#202504033700014502"/>
    <n v="14.33"/>
    <n v="5.09"/>
    <n v="0"/>
    <n v="0.01"/>
    <n v="116"/>
    <n v="21.8"/>
    <n v="157.22999999999999"/>
    <n v="2025"/>
    <n v="4"/>
    <n v="2025"/>
    <n v="1"/>
    <s v="01"/>
    <x v="15"/>
    <x v="15"/>
    <n v="14167.77"/>
  </r>
  <r>
    <d v="2025-04-03T00:00:00"/>
    <s v="OPT-NIFTY-03-Apr-2025-23300-P-E-I"/>
    <s v="NSE"/>
    <x v="1"/>
    <n v="300"/>
    <n v="0"/>
    <n v="37.5"/>
    <n v="11250"/>
    <s v="#202504033700014083"/>
    <n v="0"/>
    <n v="4"/>
    <n v="0.76"/>
    <n v="0.01"/>
    <n v="116"/>
    <n v="21.6"/>
    <n v="142.37"/>
    <n v="2025"/>
    <n v="4"/>
    <n v="2025"/>
    <n v="1"/>
    <s v="01"/>
    <x v="15"/>
    <x v="15"/>
    <n v="-11392.37"/>
  </r>
  <r>
    <d v="2025-04-03T00:00:00"/>
    <s v="OPT-STABAN-24-Apr-2025-770-P-E-S"/>
    <s v="NSE"/>
    <x v="0"/>
    <n v="750"/>
    <n v="0"/>
    <n v="10.25"/>
    <n v="7687.5"/>
    <s v="#202504033700013624"/>
    <n v="7.69"/>
    <n v="2.73"/>
    <n v="0"/>
    <n v="0.01"/>
    <n v="29"/>
    <n v="5.72"/>
    <n v="45.15"/>
    <n v="2025"/>
    <n v="4"/>
    <n v="2025"/>
    <n v="1"/>
    <s v="01"/>
    <x v="15"/>
    <x v="15"/>
    <n v="7642.35"/>
  </r>
  <r>
    <d v="2025-04-03T00:00:00"/>
    <s v="OPT-STABAN-24-Apr-2025-770-P-E-S"/>
    <s v="NSE"/>
    <x v="1"/>
    <n v="750"/>
    <n v="0"/>
    <n v="10.45"/>
    <n v="7837.5"/>
    <s v="#202504033700010526"/>
    <n v="0"/>
    <n v="2.78"/>
    <n v="0.24"/>
    <n v="0.01"/>
    <n v="29"/>
    <n v="5.72"/>
    <n v="37.75"/>
    <n v="2025"/>
    <n v="4"/>
    <n v="2025"/>
    <n v="1"/>
    <s v="01"/>
    <x v="15"/>
    <x v="15"/>
    <n v="-7875.25"/>
  </r>
  <r>
    <d v="2025-04-04T00:00:00"/>
    <s v="OPT-NIFTY-09-Apr-2025-22900-C-E-I"/>
    <s v="NSE"/>
    <x v="0"/>
    <n v="75"/>
    <n v="0"/>
    <n v="112.45"/>
    <n v="8433.75"/>
    <s v="#202504043700018117"/>
    <n v="8.43"/>
    <n v="3"/>
    <n v="0"/>
    <n v="0.01"/>
    <n v="29"/>
    <n v="5.76"/>
    <n v="46.2"/>
    <n v="2025"/>
    <n v="4"/>
    <n v="2025"/>
    <n v="1"/>
    <s v="01"/>
    <x v="15"/>
    <x v="15"/>
    <n v="8387.5499999999993"/>
  </r>
  <r>
    <d v="2025-04-04T00:00:00"/>
    <s v="OPT-NIFTY-09-Apr-2025-22900-C-E-I"/>
    <s v="NSE"/>
    <x v="1"/>
    <n v="75"/>
    <n v="0"/>
    <n v="114.25"/>
    <n v="8568.75"/>
    <s v="#202504043700018012"/>
    <n v="0"/>
    <n v="3.04"/>
    <n v="0.26"/>
    <n v="0.01"/>
    <n v="29"/>
    <n v="5.76"/>
    <n v="38.07"/>
    <n v="2025"/>
    <n v="4"/>
    <n v="2025"/>
    <n v="1"/>
    <s v="01"/>
    <x v="15"/>
    <x v="15"/>
    <n v="-8606.82"/>
  </r>
  <r>
    <d v="2025-04-04T00:00:00"/>
    <s v="OPT-NIFTY-09-Apr-2025-22950-P-E-I"/>
    <s v="NSE"/>
    <x v="0"/>
    <n v="75"/>
    <n v="0"/>
    <n v="125.25"/>
    <n v="9393.75"/>
    <s v="#202504043700015765"/>
    <n v="9.39"/>
    <n v="3.34"/>
    <n v="0"/>
    <n v="0.01"/>
    <n v="29"/>
    <n v="5.82"/>
    <n v="47.56"/>
    <n v="2025"/>
    <n v="4"/>
    <n v="2025"/>
    <n v="1"/>
    <s v="01"/>
    <x v="15"/>
    <x v="15"/>
    <n v="9346.19"/>
  </r>
  <r>
    <d v="2025-04-04T00:00:00"/>
    <s v="OPT-NIFTY-09-Apr-2025-22950-P-E-I"/>
    <s v="NSE"/>
    <x v="0"/>
    <n v="75"/>
    <n v="0"/>
    <n v="137.25"/>
    <n v="10293.75"/>
    <s v="#202504043700015164"/>
    <n v="10.29"/>
    <n v="3.66"/>
    <n v="0"/>
    <n v="0.01"/>
    <n v="29"/>
    <n v="5.88"/>
    <n v="48.84"/>
    <n v="2025"/>
    <n v="4"/>
    <n v="2025"/>
    <n v="1"/>
    <s v="01"/>
    <x v="15"/>
    <x v="15"/>
    <n v="10244.91"/>
  </r>
  <r>
    <d v="2025-04-04T00:00:00"/>
    <s v="OPT-NIFTY-09-Apr-2025-22950-P-E-I"/>
    <s v="NSE"/>
    <x v="1"/>
    <n v="75"/>
    <n v="0"/>
    <n v="119.15"/>
    <n v="8936.25"/>
    <s v="#202504043700014621"/>
    <n v="0"/>
    <n v="3.18"/>
    <n v="0"/>
    <n v="0.01"/>
    <n v="29"/>
    <n v="5.8"/>
    <n v="37.99"/>
    <n v="2025"/>
    <n v="4"/>
    <n v="2025"/>
    <n v="1"/>
    <s v="01"/>
    <x v="15"/>
    <x v="15"/>
    <n v="-8974.24"/>
  </r>
  <r>
    <d v="2025-04-04T00:00:00"/>
    <s v="OPT-NIFTY-09-Apr-2025-22950-P-E-I"/>
    <s v="NSE"/>
    <x v="1"/>
    <n v="75"/>
    <n v="0"/>
    <n v="133.94999999999999"/>
    <n v="10046.25"/>
    <s v="#202504043700013703"/>
    <n v="0"/>
    <n v="3.57"/>
    <n v="0"/>
    <n v="0.01"/>
    <n v="29"/>
    <n v="5.86"/>
    <n v="38.44"/>
    <n v="2025"/>
    <n v="4"/>
    <n v="2025"/>
    <n v="1"/>
    <s v="01"/>
    <x v="15"/>
    <x v="15"/>
    <n v="-10084.69"/>
  </r>
  <r>
    <d v="2025-04-04T00:00:00"/>
    <s v="OPT-NIFTY-09-Apr-2025-22950-P-E-I"/>
    <s v="NSE"/>
    <x v="0"/>
    <n v="75"/>
    <n v="0"/>
    <n v="127.25"/>
    <n v="9543.75"/>
    <s v="#202504043700013001"/>
    <n v="9.9"/>
    <n v="3.39"/>
    <n v="0"/>
    <n v="0.01"/>
    <n v="29"/>
    <n v="5.84"/>
    <n v="48.14"/>
    <n v="2025"/>
    <n v="4"/>
    <n v="2025"/>
    <n v="1"/>
    <s v="01"/>
    <x v="15"/>
    <x v="15"/>
    <n v="9495.61"/>
  </r>
  <r>
    <d v="2025-04-04T00:00:00"/>
    <s v="OPT-NIFTY-09-Apr-2025-22950-P-E-I"/>
    <s v="NSE"/>
    <x v="1"/>
    <n v="75"/>
    <n v="0"/>
    <n v="121.55"/>
    <n v="9116.25"/>
    <s v="#202504043700011423"/>
    <n v="0"/>
    <n v="3.24"/>
    <n v="0.46"/>
    <n v="0.01"/>
    <n v="29"/>
    <n v="5.8"/>
    <n v="38.51"/>
    <n v="2025"/>
    <n v="4"/>
    <n v="2025"/>
    <n v="1"/>
    <s v="01"/>
    <x v="15"/>
    <x v="15"/>
    <n v="-9154.76"/>
  </r>
  <r>
    <d v="2025-04-04T00:00:00"/>
    <s v="OPT-NIFTY-09-Apr-2025-23000-C-E-I"/>
    <s v="NSE"/>
    <x v="0"/>
    <n v="75"/>
    <n v="0"/>
    <n v="133.05000000000001"/>
    <n v="9978.75"/>
    <s v="#202504043700011100"/>
    <n v="9.98"/>
    <n v="3.55"/>
    <n v="0"/>
    <n v="0.01"/>
    <n v="29"/>
    <n v="5.86"/>
    <n v="48.4"/>
    <n v="2025"/>
    <n v="4"/>
    <n v="2025"/>
    <n v="1"/>
    <s v="01"/>
    <x v="15"/>
    <x v="15"/>
    <n v="9930.35"/>
  </r>
  <r>
    <d v="2025-04-04T00:00:00"/>
    <s v="OPT-NIFTY-09-Apr-2025-23000-C-E-I"/>
    <s v="NSE"/>
    <x v="1"/>
    <n v="75"/>
    <n v="0"/>
    <n v="124.75"/>
    <n v="9356.25"/>
    <s v="#202504043700010497"/>
    <n v="0"/>
    <n v="3.32"/>
    <n v="0.28000000000000003"/>
    <n v="0.01"/>
    <n v="29"/>
    <n v="5.82"/>
    <n v="38.43"/>
    <n v="2025"/>
    <n v="4"/>
    <n v="2025"/>
    <n v="1"/>
    <s v="01"/>
    <x v="15"/>
    <x v="15"/>
    <n v="-9394.68"/>
  </r>
  <r>
    <d v="2025-04-07T00:00:00"/>
    <s v="OPT-NIFTY-09-Apr-2025-21500-P-E-I"/>
    <s v="NSE"/>
    <x v="0"/>
    <n v="150"/>
    <n v="0"/>
    <n v="156.85"/>
    <n v="23527.5"/>
    <s v="#202504073700022063"/>
    <n v="23.24"/>
    <n v="8.36"/>
    <n v="0"/>
    <n v="0.02"/>
    <n v="58"/>
    <n v="11.94"/>
    <n v="101.56"/>
    <n v="2025"/>
    <n v="4"/>
    <n v="2025"/>
    <n v="1"/>
    <s v="01"/>
    <x v="15"/>
    <x v="15"/>
    <n v="23425.94"/>
  </r>
  <r>
    <d v="2025-04-07T00:00:00"/>
    <s v="OPT-NIFTY-09-Apr-2025-21500-P-E-I"/>
    <s v="NSE"/>
    <x v="1"/>
    <n v="75"/>
    <n v="0"/>
    <n v="142.80000000000001"/>
    <n v="10710"/>
    <s v="#202504073700021653"/>
    <n v="0"/>
    <n v="3.81"/>
    <n v="0"/>
    <n v="0.01"/>
    <n v="29"/>
    <n v="5.9"/>
    <n v="38.72"/>
    <n v="2025"/>
    <n v="4"/>
    <n v="2025"/>
    <n v="1"/>
    <s v="01"/>
    <x v="15"/>
    <x v="15"/>
    <n v="-10748.72"/>
  </r>
  <r>
    <d v="2025-04-07T00:00:00"/>
    <s v="OPT-NIFTY-09-Apr-2025-22850-C-E-I"/>
    <s v="NSE"/>
    <x v="0"/>
    <n v="525"/>
    <n v="0"/>
    <n v="24.15"/>
    <n v="12678.75"/>
    <s v="#202504073700021629"/>
    <n v="12.67"/>
    <n v="4.51"/>
    <n v="0"/>
    <n v="0.01"/>
    <n v="203"/>
    <n v="37.36"/>
    <n v="257.55"/>
    <n v="2025"/>
    <n v="4"/>
    <n v="2025"/>
    <n v="1"/>
    <s v="01"/>
    <x v="15"/>
    <x v="15"/>
    <n v="12421.2"/>
  </r>
  <r>
    <d v="2025-04-07T00:00:00"/>
    <s v="OPT-NIFTY-09-Apr-2025-22850-C-E-I"/>
    <s v="NSE"/>
    <x v="1"/>
    <n v="525"/>
    <n v="0"/>
    <n v="25.04"/>
    <n v="13147.5"/>
    <s v="#202504073700021511"/>
    <n v="0"/>
    <n v="4.68"/>
    <n v="1.02"/>
    <n v="0.01"/>
    <n v="203"/>
    <n v="37.380000000000003"/>
    <n v="246.09"/>
    <n v="2025"/>
    <n v="4"/>
    <n v="2025"/>
    <n v="1"/>
    <s v="01"/>
    <x v="15"/>
    <x v="15"/>
    <n v="-13393.59"/>
  </r>
  <r>
    <d v="2025-04-07T00:00:00"/>
    <s v="OPT-NIFTY-09-Apr-2025-21500-P-E-I"/>
    <s v="NSE"/>
    <x v="1"/>
    <n v="75"/>
    <n v="0"/>
    <n v="160.25"/>
    <n v="12018.75"/>
    <s v="#202504073700020729"/>
    <n v="0"/>
    <n v="4.2699999999999996"/>
    <n v="0"/>
    <n v="0.01"/>
    <n v="29"/>
    <n v="6"/>
    <n v="39.28"/>
    <n v="2025"/>
    <n v="4"/>
    <n v="2025"/>
    <n v="1"/>
    <s v="01"/>
    <x v="15"/>
    <x v="15"/>
    <n v="-12058.03"/>
  </r>
  <r>
    <d v="2025-04-07T00:00:00"/>
    <s v="OPT-NIFTY-09-Apr-2025-21500-P-E-I"/>
    <s v="NSE"/>
    <x v="0"/>
    <n v="75"/>
    <n v="0"/>
    <n v="139.44999999999999"/>
    <n v="10458.75"/>
    <s v="#202504073700007675"/>
    <n v="10.46"/>
    <n v="3.72"/>
    <n v="0"/>
    <n v="0.01"/>
    <n v="29"/>
    <n v="5.9"/>
    <n v="49.09"/>
    <n v="2025"/>
    <n v="4"/>
    <n v="2025"/>
    <n v="1"/>
    <s v="01"/>
    <x v="15"/>
    <x v="15"/>
    <n v="10409.66"/>
  </r>
  <r>
    <d v="2025-04-07T00:00:00"/>
    <s v="OPT-NIFTY-09-Apr-2025-21500-P-E-I"/>
    <s v="NSE"/>
    <x v="1"/>
    <n v="75"/>
    <n v="0"/>
    <n v="131.69999999999999"/>
    <n v="9877.5"/>
    <s v="#202504073700007635"/>
    <n v="0"/>
    <n v="3.51"/>
    <n v="0.98"/>
    <n v="0.01"/>
    <n v="29"/>
    <n v="5.86"/>
    <n v="39.36"/>
    <n v="2025"/>
    <n v="4"/>
    <n v="2025"/>
    <n v="1"/>
    <s v="01"/>
    <x v="15"/>
    <x v="15"/>
    <n v="-9916.86"/>
  </r>
  <r>
    <d v="2025-04-07T00:00:00"/>
    <s v="OPT-NIFTY-09-Apr-2025-22850-C-E-I"/>
    <s v="NSE"/>
    <x v="0"/>
    <n v="525"/>
    <n v="0"/>
    <n v="26.1"/>
    <n v="13702.5"/>
    <s v="#202504073700004058"/>
    <n v="13.72"/>
    <n v="4.8899999999999997"/>
    <n v="0"/>
    <n v="0"/>
    <n v="203"/>
    <n v="37.4"/>
    <n v="259.01"/>
    <n v="2025"/>
    <n v="4"/>
    <n v="2025"/>
    <n v="1"/>
    <s v="01"/>
    <x v="15"/>
    <x v="15"/>
    <n v="13443.49"/>
  </r>
  <r>
    <d v="2025-04-07T00:00:00"/>
    <s v="OPT-NIFTY-09-Apr-2025-22850-C-E-I"/>
    <s v="NSE"/>
    <x v="0"/>
    <n v="525"/>
    <n v="0"/>
    <n v="37.950000000000003"/>
    <n v="19923.75"/>
    <s v="#202504073700003414"/>
    <n v="19.93"/>
    <n v="7.07"/>
    <n v="0"/>
    <n v="0.02"/>
    <n v="203"/>
    <n v="37.799999999999997"/>
    <n v="267.82"/>
    <n v="2025"/>
    <n v="4"/>
    <n v="2025"/>
    <n v="1"/>
    <s v="01"/>
    <x v="15"/>
    <x v="15"/>
    <n v="19655.93"/>
  </r>
  <r>
    <d v="2025-04-07T00:00:00"/>
    <s v="OPT-NIFTY-09-Apr-2025-22850-C-E-I"/>
    <s v="NSE"/>
    <x v="1"/>
    <n v="525"/>
    <n v="0"/>
    <n v="18.25"/>
    <n v="9581.25"/>
    <s v="#202504073700001225"/>
    <n v="0"/>
    <n v="3.41"/>
    <n v="0"/>
    <n v="0.01"/>
    <n v="203"/>
    <n v="37.14"/>
    <n v="243.56"/>
    <n v="2025"/>
    <n v="4"/>
    <n v="2025"/>
    <n v="1"/>
    <s v="01"/>
    <x v="15"/>
    <x v="15"/>
    <n v="-9824.81"/>
  </r>
  <r>
    <d v="2025-04-07T00:00:00"/>
    <s v="OPT-NIFTY-09-Apr-2025-22850-C-E-I"/>
    <s v="NSE"/>
    <x v="1"/>
    <n v="525"/>
    <n v="0"/>
    <n v="33.26"/>
    <n v="17463.75"/>
    <s v="#202504073700000705"/>
    <n v="0"/>
    <n v="6.22"/>
    <n v="0"/>
    <n v="0"/>
    <n v="203"/>
    <n v="37.659999999999997"/>
    <n v="246.88"/>
    <n v="2025"/>
    <n v="4"/>
    <n v="2025"/>
    <n v="1"/>
    <s v="01"/>
    <x v="15"/>
    <x v="15"/>
    <n v="-17710.63"/>
  </r>
  <r>
    <d v="2025-04-08T00:00:00"/>
    <s v="OPT-NIFTY-09-Apr-2025-22350-P-E-I"/>
    <s v="NSE"/>
    <x v="0"/>
    <n v="75"/>
    <n v="0"/>
    <n v="86.7"/>
    <n v="6502.5"/>
    <s v="#202504083700022230"/>
    <n v="6.5"/>
    <n v="2.31"/>
    <n v="0"/>
    <n v="0.01"/>
    <n v="29"/>
    <n v="5.64"/>
    <n v="43.46"/>
    <n v="2025"/>
    <n v="4"/>
    <n v="2025"/>
    <n v="1"/>
    <s v="01"/>
    <x v="15"/>
    <x v="15"/>
    <n v="6459.04"/>
  </r>
  <r>
    <d v="2025-04-08T00:00:00"/>
    <s v="OPT-NIFTY-09-Apr-2025-22350-P-E-I"/>
    <s v="NSE"/>
    <x v="1"/>
    <n v="75"/>
    <n v="0"/>
    <n v="92.25"/>
    <n v="6918.75"/>
    <s v="#202504083700022105"/>
    <n v="0"/>
    <n v="2.46"/>
    <n v="0"/>
    <n v="0.01"/>
    <n v="29"/>
    <n v="5.66"/>
    <n v="37.130000000000003"/>
    <n v="2025"/>
    <n v="4"/>
    <n v="2025"/>
    <n v="1"/>
    <s v="01"/>
    <x v="15"/>
    <x v="15"/>
    <n v="-6955.88"/>
  </r>
  <r>
    <d v="2025-04-08T00:00:00"/>
    <s v="OPT-NIFTY-09-Apr-2025-22650-C-E-I"/>
    <s v="NSE"/>
    <x v="0"/>
    <n v="75"/>
    <n v="0"/>
    <n v="139.69999999999999"/>
    <n v="10477.5"/>
    <s v="#202504083700021049"/>
    <n v="10.48"/>
    <n v="3.72"/>
    <n v="0"/>
    <n v="0.01"/>
    <n v="29"/>
    <n v="5.9"/>
    <n v="49.11"/>
    <n v="2025"/>
    <n v="4"/>
    <n v="2025"/>
    <n v="1"/>
    <s v="01"/>
    <x v="15"/>
    <x v="15"/>
    <n v="10428.39"/>
  </r>
  <r>
    <d v="2025-04-08T00:00:00"/>
    <s v="OPT-NIFTY-09-Apr-2025-22650-C-E-I"/>
    <s v="NSE"/>
    <x v="1"/>
    <n v="75"/>
    <n v="0"/>
    <n v="122.7"/>
    <n v="9202.5"/>
    <s v="#202504083700021012"/>
    <n v="0"/>
    <n v="3.27"/>
    <n v="0.28000000000000003"/>
    <n v="0.01"/>
    <n v="29"/>
    <n v="5.82"/>
    <n v="38.380000000000003"/>
    <n v="2025"/>
    <n v="4"/>
    <n v="2025"/>
    <n v="1"/>
    <s v="01"/>
    <x v="15"/>
    <x v="15"/>
    <n v="-9240.8799999999992"/>
  </r>
  <r>
    <d v="2025-04-08T00:00:00"/>
    <s v="OPT-NIFTY-09-Apr-2025-22350-P-E-I"/>
    <s v="NSE"/>
    <x v="0"/>
    <n v="75"/>
    <n v="0"/>
    <n v="131.25"/>
    <n v="9843.75"/>
    <s v="#202504083700019683"/>
    <n v="9.84"/>
    <n v="3.5"/>
    <n v="0"/>
    <n v="0.01"/>
    <n v="29"/>
    <n v="5.86"/>
    <n v="48.21"/>
    <n v="2025"/>
    <n v="4"/>
    <n v="2025"/>
    <n v="1"/>
    <s v="01"/>
    <x v="15"/>
    <x v="15"/>
    <n v="9795.5400000000009"/>
  </r>
  <r>
    <d v="2025-04-08T00:00:00"/>
    <s v="OPT-NIFTY-09-Apr-2025-22350-P-E-I"/>
    <s v="NSE"/>
    <x v="1"/>
    <n v="75"/>
    <n v="0"/>
    <n v="101.25"/>
    <n v="7593.75"/>
    <s v="#202504083700019480"/>
    <n v="0"/>
    <n v="2.7"/>
    <n v="0"/>
    <n v="0.01"/>
    <n v="29"/>
    <n v="5.7"/>
    <n v="37.409999999999997"/>
    <n v="2025"/>
    <n v="4"/>
    <n v="2025"/>
    <n v="1"/>
    <s v="01"/>
    <x v="15"/>
    <x v="15"/>
    <n v="-7631.16"/>
  </r>
  <r>
    <d v="2025-04-08T00:00:00"/>
    <s v="OPT-NIFTY-09-Apr-2025-22350-P-E-I"/>
    <s v="NSE"/>
    <x v="0"/>
    <n v="75"/>
    <n v="0"/>
    <n v="98.65"/>
    <n v="7398.75"/>
    <s v="#202504083700016818"/>
    <n v="7.4"/>
    <n v="2.63"/>
    <n v="0"/>
    <n v="0.01"/>
    <n v="29"/>
    <n v="5.7"/>
    <n v="44.74"/>
    <n v="2025"/>
    <n v="4"/>
    <n v="2025"/>
    <n v="1"/>
    <s v="01"/>
    <x v="15"/>
    <x v="15"/>
    <n v="7354.01"/>
  </r>
  <r>
    <d v="2025-04-08T00:00:00"/>
    <s v="OPT-NIFTY-09-Apr-2025-22350-P-E-I"/>
    <s v="NSE"/>
    <x v="1"/>
    <n v="75"/>
    <n v="0"/>
    <n v="102.1"/>
    <n v="7657.5"/>
    <s v="#202504083700016377"/>
    <n v="0"/>
    <n v="2.72"/>
    <n v="0"/>
    <n v="0.01"/>
    <n v="29"/>
    <n v="5.72"/>
    <n v="37.450000000000003"/>
    <n v="2025"/>
    <n v="4"/>
    <n v="2025"/>
    <n v="1"/>
    <s v="01"/>
    <x v="15"/>
    <x v="15"/>
    <n v="-7694.95"/>
  </r>
  <r>
    <d v="2025-04-08T00:00:00"/>
    <s v="OPT-NIFTY-09-Apr-2025-22350-P-E-I"/>
    <s v="NSE"/>
    <x v="0"/>
    <n v="75"/>
    <n v="0"/>
    <n v="90.1"/>
    <n v="6757.5"/>
    <s v="#202504083700015587"/>
    <n v="6.76"/>
    <n v="2.4"/>
    <n v="0"/>
    <n v="0.01"/>
    <n v="29"/>
    <n v="5.66"/>
    <n v="43.83"/>
    <n v="2025"/>
    <n v="4"/>
    <n v="2025"/>
    <n v="1"/>
    <s v="01"/>
    <x v="15"/>
    <x v="15"/>
    <n v="6713.67"/>
  </r>
  <r>
    <d v="2025-04-08T00:00:00"/>
    <s v="OPT-NIFTY-09-Apr-2025-22350-P-E-I"/>
    <s v="NSE"/>
    <x v="1"/>
    <n v="75"/>
    <n v="0"/>
    <n v="160.25"/>
    <n v="12018.75"/>
    <s v="#202504083700013472"/>
    <n v="0"/>
    <n v="4.2699999999999996"/>
    <n v="0"/>
    <n v="0.01"/>
    <n v="29"/>
    <n v="6"/>
    <n v="39.28"/>
    <n v="2025"/>
    <n v="4"/>
    <n v="2025"/>
    <n v="1"/>
    <s v="01"/>
    <x v="15"/>
    <x v="15"/>
    <n v="-12058.03"/>
  </r>
  <r>
    <d v="2025-04-08T00:00:00"/>
    <s v="OPT-NIFTY-09-Apr-2025-22350-C-E-I"/>
    <s v="NSE"/>
    <x v="0"/>
    <n v="75"/>
    <n v="0"/>
    <n v="228.5"/>
    <n v="17137.5"/>
    <s v="#202504083700012620"/>
    <n v="17.14"/>
    <n v="6.09"/>
    <n v="0"/>
    <n v="0.02"/>
    <n v="29"/>
    <n v="6.32"/>
    <n v="58.57"/>
    <n v="2025"/>
    <n v="4"/>
    <n v="2025"/>
    <n v="1"/>
    <s v="01"/>
    <x v="15"/>
    <x v="15"/>
    <n v="17078.93"/>
  </r>
  <r>
    <d v="2025-04-08T00:00:00"/>
    <s v="OPT-NIFTY-09-Apr-2025-22350-C-E-I"/>
    <s v="NSE"/>
    <x v="1"/>
    <n v="75"/>
    <n v="0"/>
    <n v="215.85"/>
    <n v="16188.75"/>
    <s v="#202504083700011844"/>
    <n v="0"/>
    <n v="5.75"/>
    <n v="0.83"/>
    <n v="0.02"/>
    <n v="29"/>
    <n v="6.26"/>
    <n v="41.86"/>
    <n v="2025"/>
    <n v="4"/>
    <n v="2025"/>
    <n v="1"/>
    <s v="01"/>
    <x v="15"/>
    <x v="15"/>
    <n v="-16230.61"/>
  </r>
  <r>
    <d v="2025-04-08T00:00:00"/>
    <s v="OPT-NIFTY-09-Apr-2025-22350-P-E-I"/>
    <s v="NSE"/>
    <x v="0"/>
    <n v="75"/>
    <n v="0"/>
    <n v="149.80000000000001"/>
    <n v="11235"/>
    <s v="#202504083700011365"/>
    <n v="11.24"/>
    <n v="3.99"/>
    <n v="0"/>
    <n v="0.01"/>
    <n v="29"/>
    <n v="5.94"/>
    <n v="50.18"/>
    <n v="2025"/>
    <n v="4"/>
    <n v="2025"/>
    <n v="1"/>
    <s v="01"/>
    <x v="15"/>
    <x v="15"/>
    <n v="11184.82"/>
  </r>
  <r>
    <d v="2025-04-08T00:00:00"/>
    <s v="OPT-NIFTY-09-Apr-2025-22350-P-E-I"/>
    <s v="NSE"/>
    <x v="1"/>
    <n v="75"/>
    <n v="0"/>
    <n v="138.5"/>
    <n v="10387.5"/>
    <s v="#202504083700011344"/>
    <n v="0"/>
    <n v="3.69"/>
    <n v="0.89"/>
    <n v="0.01"/>
    <n v="29"/>
    <n v="5.88"/>
    <n v="39.47"/>
    <n v="2025"/>
    <n v="4"/>
    <n v="2025"/>
    <n v="1"/>
    <s v="01"/>
    <x v="15"/>
    <x v="15"/>
    <n v="-10426.969999999999"/>
  </r>
  <r>
    <d v="2025-04-08T00:00:00"/>
    <s v="OPT-NIFTY-09-Apr-2025-22350-C-E-I"/>
    <s v="NSE"/>
    <x v="0"/>
    <n v="75"/>
    <n v="0"/>
    <n v="167.95"/>
    <n v="12596.25"/>
    <s v="#202504083700009580"/>
    <n v="12.65"/>
    <n v="4.4800000000000004"/>
    <n v="0"/>
    <n v="0.01"/>
    <n v="29"/>
    <n v="6.02"/>
    <n v="52.16"/>
    <n v="2025"/>
    <n v="4"/>
    <n v="2025"/>
    <n v="1"/>
    <s v="01"/>
    <x v="15"/>
    <x v="15"/>
    <n v="12544.09"/>
  </r>
  <r>
    <d v="2025-04-08T00:00:00"/>
    <s v="OPT-NIFTY-09-Apr-2025-22350-C-E-I"/>
    <s v="NSE"/>
    <x v="1"/>
    <n v="75"/>
    <n v="0"/>
    <n v="154.19999999999999"/>
    <n v="11565"/>
    <s v="#202504083700009315"/>
    <n v="0"/>
    <n v="4.1100000000000003"/>
    <n v="0"/>
    <n v="0.01"/>
    <n v="29"/>
    <n v="5.96"/>
    <n v="39.08"/>
    <n v="2025"/>
    <n v="4"/>
    <n v="2025"/>
    <n v="1"/>
    <s v="01"/>
    <x v="15"/>
    <x v="15"/>
    <n v="-11604.08"/>
  </r>
  <r>
    <d v="2025-04-09T00:00:00"/>
    <s v="OPT-NIFTY-09-Apr-2025-22400-P-E-I"/>
    <s v="NSE"/>
    <x v="0"/>
    <n v="900"/>
    <n v="0"/>
    <n v="4.1500000000000004"/>
    <n v="3735"/>
    <s v="#202504093700020424"/>
    <n v="3.74"/>
    <n v="1.32"/>
    <n v="0"/>
    <n v="0"/>
    <n v="348"/>
    <n v="62.88"/>
    <n v="415.94"/>
    <n v="2025"/>
    <n v="4"/>
    <n v="2025"/>
    <n v="1"/>
    <s v="01"/>
    <x v="15"/>
    <x v="15"/>
    <n v="3319.06"/>
  </r>
  <r>
    <d v="2025-04-09T00:00:00"/>
    <s v="OPT-NIFTY-09-Apr-2025-22400-P-E-I"/>
    <s v="NSE"/>
    <x v="1"/>
    <n v="450"/>
    <n v="0"/>
    <n v="8.75"/>
    <n v="3937.5"/>
    <s v="#202504093700017156"/>
    <n v="0"/>
    <n v="1.4"/>
    <n v="0.55000000000000004"/>
    <n v="0"/>
    <n v="174"/>
    <n v="31.58"/>
    <n v="207.53"/>
    <n v="2025"/>
    <n v="4"/>
    <n v="2025"/>
    <n v="1"/>
    <s v="01"/>
    <x v="15"/>
    <x v="15"/>
    <n v="-4145.03"/>
  </r>
  <r>
    <d v="2025-04-09T00:00:00"/>
    <s v="OPT-NIFTY-09-Apr-2025-22500-C-E-I"/>
    <s v="NSE"/>
    <x v="0"/>
    <n v="750"/>
    <n v="0"/>
    <n v="7.25"/>
    <n v="5437.5"/>
    <s v="#202504093700017088"/>
    <n v="5.44"/>
    <n v="1.93"/>
    <n v="0"/>
    <n v="0.01"/>
    <n v="290"/>
    <n v="52.54"/>
    <n v="349.92"/>
    <n v="2025"/>
    <n v="4"/>
    <n v="2025"/>
    <n v="1"/>
    <s v="01"/>
    <x v="15"/>
    <x v="15"/>
    <n v="5087.58"/>
  </r>
  <r>
    <d v="2025-04-09T00:00:00"/>
    <s v="OPT-NIFTY-09-Apr-2025-22500-C-E-I"/>
    <s v="NSE"/>
    <x v="1"/>
    <n v="750"/>
    <n v="0"/>
    <n v="9.6"/>
    <n v="7200"/>
    <s v="#202504093700017000"/>
    <n v="0"/>
    <n v="2.5499999999999998"/>
    <n v="0.22"/>
    <n v="0"/>
    <n v="290"/>
    <n v="52.66"/>
    <n v="345.43"/>
    <n v="2025"/>
    <n v="4"/>
    <n v="2025"/>
    <n v="1"/>
    <s v="01"/>
    <x v="15"/>
    <x v="15"/>
    <n v="-7545.43"/>
  </r>
  <r>
    <d v="2025-04-09T00:00:00"/>
    <s v="OPT-NIFTY-09-Apr-2025-22400-P-E-I"/>
    <s v="NSE"/>
    <x v="1"/>
    <n v="75"/>
    <n v="0"/>
    <n v="9.25"/>
    <n v="693.75"/>
    <s v="#202504093700016598"/>
    <n v="0"/>
    <n v="0.25"/>
    <n v="0"/>
    <n v="0"/>
    <n v="29"/>
    <n v="5.26"/>
    <n v="34.51"/>
    <n v="2025"/>
    <n v="4"/>
    <n v="2025"/>
    <n v="1"/>
    <s v="01"/>
    <x v="15"/>
    <x v="15"/>
    <n v="-728.26"/>
  </r>
  <r>
    <d v="2025-04-09T00:00:00"/>
    <s v="OPT-NIFTY-09-Apr-2025-22400-P-E-I"/>
    <s v="NSE"/>
    <x v="1"/>
    <n v="75"/>
    <n v="0"/>
    <n v="13.15"/>
    <n v="986.25"/>
    <s v="#202504093700015487"/>
    <n v="0"/>
    <n v="0.35"/>
    <n v="0"/>
    <n v="0"/>
    <n v="29"/>
    <n v="5.28"/>
    <n v="34.630000000000003"/>
    <n v="2025"/>
    <n v="4"/>
    <n v="2025"/>
    <n v="1"/>
    <s v="01"/>
    <x v="15"/>
    <x v="15"/>
    <n v="-1020.88"/>
  </r>
  <r>
    <d v="2025-04-09T00:00:00"/>
    <s v="OPT-NIFTY-09-Apr-2025-22400-P-E-I"/>
    <s v="NSE"/>
    <x v="1"/>
    <n v="75"/>
    <n v="0"/>
    <n v="19.3"/>
    <n v="1447.5"/>
    <s v="#202504093700014578"/>
    <n v="0"/>
    <n v="0.51"/>
    <n v="0"/>
    <n v="0"/>
    <n v="29"/>
    <n v="5.32"/>
    <n v="34.83"/>
    <n v="2025"/>
    <n v="4"/>
    <n v="2025"/>
    <n v="1"/>
    <s v="01"/>
    <x v="15"/>
    <x v="15"/>
    <n v="-1482.33"/>
  </r>
  <r>
    <d v="2025-04-09T00:00:00"/>
    <s v="OPT-NIFTY-09-Apr-2025-22400-C-E-I"/>
    <s v="NSE"/>
    <x v="0"/>
    <n v="75"/>
    <n v="0"/>
    <n v="28.15"/>
    <n v="2111.25"/>
    <s v="#202504093700014289"/>
    <n v="2.11"/>
    <n v="0.75"/>
    <n v="0"/>
    <n v="0"/>
    <n v="29"/>
    <n v="5.36"/>
    <n v="37.22"/>
    <n v="2025"/>
    <n v="4"/>
    <n v="2025"/>
    <n v="1"/>
    <s v="01"/>
    <x v="15"/>
    <x v="15"/>
    <n v="2074.0300000000002"/>
  </r>
  <r>
    <d v="2025-04-09T00:00:00"/>
    <s v="OPT-NIFTY-09-Apr-2025-22400-C-E-I"/>
    <s v="NSE"/>
    <x v="1"/>
    <n v="75"/>
    <n v="0"/>
    <n v="32.200000000000003"/>
    <n v="2415"/>
    <s v="#202504093700014210"/>
    <n v="0"/>
    <n v="0.86"/>
    <n v="0"/>
    <n v="0"/>
    <n v="29"/>
    <n v="5.38"/>
    <n v="35.24"/>
    <n v="2025"/>
    <n v="4"/>
    <n v="2025"/>
    <n v="1"/>
    <s v="01"/>
    <x v="15"/>
    <x v="15"/>
    <n v="-2450.2399999999998"/>
  </r>
  <r>
    <d v="2025-04-09T00:00:00"/>
    <s v="OPT-NIFTY-09-Apr-2025-22400-P-E-I"/>
    <s v="NSE"/>
    <x v="1"/>
    <n v="75"/>
    <n v="0"/>
    <n v="23.4"/>
    <n v="1755"/>
    <s v="#202504093700013953"/>
    <n v="0"/>
    <n v="0.62"/>
    <n v="0"/>
    <n v="0"/>
    <n v="29"/>
    <n v="5.34"/>
    <n v="34.96"/>
    <n v="2025"/>
    <n v="4"/>
    <n v="2025"/>
    <n v="1"/>
    <s v="01"/>
    <x v="15"/>
    <x v="15"/>
    <n v="-1789.96"/>
  </r>
  <r>
    <d v="2025-04-09T00:00:00"/>
    <s v="OPT-NIFTY-09-Apr-2025-22400-P-E-I"/>
    <s v="NSE"/>
    <x v="1"/>
    <n v="75"/>
    <n v="0"/>
    <n v="28.15"/>
    <n v="2111.25"/>
    <s v="#202504093700012838"/>
    <n v="0"/>
    <n v="0.75"/>
    <n v="0"/>
    <n v="0"/>
    <n v="29"/>
    <n v="5.36"/>
    <n v="35.11"/>
    <n v="2025"/>
    <n v="4"/>
    <n v="2025"/>
    <n v="1"/>
    <s v="01"/>
    <x v="15"/>
    <x v="15"/>
    <n v="-2146.36"/>
  </r>
  <r>
    <d v="2025-04-09T00:00:00"/>
    <s v="OPT-NIFTY-09-Apr-2025-22400-P-E-I"/>
    <s v="NSE"/>
    <x v="1"/>
    <n v="75"/>
    <n v="0"/>
    <n v="69.05"/>
    <n v="5178.75"/>
    <s v="#202504093700008064"/>
    <n v="0"/>
    <n v="1.84"/>
    <n v="0"/>
    <n v="0.01"/>
    <n v="29"/>
    <n v="5.56"/>
    <n v="36.409999999999997"/>
    <n v="2025"/>
    <n v="4"/>
    <n v="2025"/>
    <n v="1"/>
    <s v="01"/>
    <x v="15"/>
    <x v="15"/>
    <n v="-5215.16"/>
  </r>
  <r>
    <d v="2025-04-09T00:00:00"/>
    <s v="OPT-NIFTY-09-Apr-2025-22400-C-E-I"/>
    <s v="NSE"/>
    <x v="0"/>
    <n v="75"/>
    <n v="0"/>
    <n v="83.25"/>
    <n v="6243.75"/>
    <s v="#202504093700007105"/>
    <n v="6.24"/>
    <n v="2.2200000000000002"/>
    <n v="0"/>
    <n v="0.01"/>
    <n v="29"/>
    <n v="5.62"/>
    <n v="43.09"/>
    <n v="2025"/>
    <n v="4"/>
    <n v="2025"/>
    <n v="1"/>
    <s v="01"/>
    <x v="15"/>
    <x v="15"/>
    <n v="6200.66"/>
  </r>
  <r>
    <d v="2025-04-09T00:00:00"/>
    <s v="OPT-NIFTY-09-Apr-2025-22400-C-E-I"/>
    <s v="NSE"/>
    <x v="1"/>
    <n v="75"/>
    <n v="0"/>
    <n v="68.099999999999994"/>
    <n v="5107.5"/>
    <s v="#202504093700006957"/>
    <n v="0"/>
    <n v="1.81"/>
    <n v="0.23"/>
    <n v="0.01"/>
    <n v="29"/>
    <n v="5.54"/>
    <n v="36.590000000000003"/>
    <n v="2025"/>
    <n v="4"/>
    <n v="2025"/>
    <n v="1"/>
    <s v="01"/>
    <x v="15"/>
    <x v="15"/>
    <n v="-5144.09"/>
  </r>
  <r>
    <d v="2025-04-09T00:00:00"/>
    <s v="OPT-NIFTY-09-Apr-2025-22400-P-E-I"/>
    <s v="NSE"/>
    <x v="0"/>
    <n v="75"/>
    <n v="0"/>
    <n v="81"/>
    <n v="6075"/>
    <s v="#202504093700006425"/>
    <n v="6.47"/>
    <n v="2.16"/>
    <n v="0"/>
    <n v="0.01"/>
    <n v="29"/>
    <n v="5.62"/>
    <n v="43.26"/>
    <n v="2025"/>
    <n v="4"/>
    <n v="2025"/>
    <n v="1"/>
    <s v="01"/>
    <x v="15"/>
    <x v="15"/>
    <n v="6031.74"/>
  </r>
  <r>
    <d v="2025-04-09T00:00:00"/>
    <s v="OPT-NIFTY-09-Apr-2025-22400-P-E-I"/>
    <s v="NSE"/>
    <x v="1"/>
    <n v="75"/>
    <n v="0"/>
    <n v="83.3"/>
    <n v="6247.5"/>
    <s v="#202504093700006200"/>
    <n v="0"/>
    <n v="2.2200000000000002"/>
    <n v="0"/>
    <n v="0.01"/>
    <n v="29"/>
    <n v="5.62"/>
    <n v="36.85"/>
    <n v="2025"/>
    <n v="4"/>
    <n v="2025"/>
    <n v="1"/>
    <s v="01"/>
    <x v="15"/>
    <x v="15"/>
    <n v="-6284.35"/>
  </r>
  <r>
    <d v="2025-04-15T00:00:00"/>
    <s v="OPT-NIFTY-17-Apr-2025-22750-P-E-I"/>
    <s v="NSE"/>
    <x v="0"/>
    <n v="150"/>
    <n v="0"/>
    <n v="17.7"/>
    <n v="2655"/>
    <s v="#202504153700004658"/>
    <n v="3"/>
    <n v="0.94"/>
    <n v="0"/>
    <n v="0"/>
    <n v="58"/>
    <n v="10.6"/>
    <n v="72.540000000000006"/>
    <n v="2025"/>
    <n v="4"/>
    <n v="2025"/>
    <n v="1"/>
    <s v="01"/>
    <x v="15"/>
    <x v="15"/>
    <n v="2582.46"/>
  </r>
  <r>
    <d v="2025-04-15T00:00:00"/>
    <s v="OPT-NIFTY-17-Apr-2025-22750-P-E-I"/>
    <s v="NSE"/>
    <x v="1"/>
    <n v="75"/>
    <n v="0"/>
    <n v="23"/>
    <n v="1725"/>
    <s v="#202504153700003201"/>
    <n v="0"/>
    <n v="0.61"/>
    <n v="0"/>
    <n v="0"/>
    <n v="29"/>
    <n v="5.32"/>
    <n v="34.93"/>
    <n v="2025"/>
    <n v="4"/>
    <n v="2025"/>
    <n v="1"/>
    <s v="01"/>
    <x v="15"/>
    <x v="15"/>
    <n v="-1759.93"/>
  </r>
  <r>
    <d v="2025-04-15T00:00:00"/>
    <s v="OPT-NIFTY-17-Apr-2025-22750-P-E-I"/>
    <s v="NSE"/>
    <x v="1"/>
    <n v="75"/>
    <n v="0"/>
    <n v="23.5"/>
    <n v="1762.5"/>
    <s v="#202504153700003067"/>
    <n v="0"/>
    <n v="0.63"/>
    <n v="0"/>
    <n v="0"/>
    <n v="29"/>
    <n v="5.34"/>
    <n v="34.97"/>
    <n v="2025"/>
    <n v="4"/>
    <n v="2025"/>
    <n v="1"/>
    <s v="01"/>
    <x v="15"/>
    <x v="15"/>
    <n v="-1797.47"/>
  </r>
  <r>
    <d v="2025-05-02T00:00:00"/>
    <s v="OPT-NIFTY-08-May-2025-24350-P-E-I"/>
    <s v="NSE"/>
    <x v="0"/>
    <n v="150"/>
    <n v="0"/>
    <n v="145.80000000000001"/>
    <n v="21870"/>
    <s v="#202505023700019488"/>
    <n v="21.87"/>
    <n v="7.77"/>
    <n v="0"/>
    <n v="0.02"/>
    <n v="58"/>
    <n v="11.84"/>
    <n v="99.5"/>
    <n v="2025"/>
    <n v="5"/>
    <n v="2025"/>
    <n v="2"/>
    <s v="02"/>
    <x v="16"/>
    <x v="16"/>
    <n v="21770.5"/>
  </r>
  <r>
    <d v="2025-05-02T00:00:00"/>
    <s v="OPT-NIFTY-08-May-2025-24350-P-E-I"/>
    <s v="NSE"/>
    <x v="1"/>
    <n v="150"/>
    <n v="0"/>
    <n v="152.69999999999999"/>
    <n v="22905"/>
    <s v="#202505023700019371"/>
    <n v="0"/>
    <n v="8.14"/>
    <n v="2.44"/>
    <n v="0.02"/>
    <n v="58"/>
    <n v="11.92"/>
    <n v="80.52"/>
    <n v="2025"/>
    <n v="5"/>
    <n v="2025"/>
    <n v="2"/>
    <s v="02"/>
    <x v="16"/>
    <x v="16"/>
    <n v="-22985.52"/>
  </r>
  <r>
    <d v="2025-05-02T00:00:00"/>
    <s v="OPT-NIFTY-08-May-2025-24350-P-E-I"/>
    <s v="NSE"/>
    <x v="0"/>
    <n v="75"/>
    <n v="0"/>
    <n v="146.9"/>
    <n v="11017.5"/>
    <s v="#202505023700019299"/>
    <n v="11.02"/>
    <n v="3.91"/>
    <n v="0"/>
    <n v="0.01"/>
    <n v="29"/>
    <n v="5.92"/>
    <n v="49.86"/>
    <n v="2025"/>
    <n v="5"/>
    <n v="2025"/>
    <n v="2"/>
    <s v="02"/>
    <x v="16"/>
    <x v="16"/>
    <n v="10967.64"/>
  </r>
  <r>
    <d v="2025-05-02T00:00:00"/>
    <s v="OPT-NIFTY-08-May-2025-24350-P-E-I"/>
    <s v="NSE"/>
    <x v="1"/>
    <n v="75"/>
    <n v="0"/>
    <n v="156.44999999999999"/>
    <n v="11733.75"/>
    <s v="#202505023700019157"/>
    <n v="0"/>
    <n v="4.17"/>
    <n v="0"/>
    <n v="0.01"/>
    <n v="29"/>
    <n v="5.98"/>
    <n v="39.159999999999997"/>
    <n v="2025"/>
    <n v="5"/>
    <n v="2025"/>
    <n v="2"/>
    <s v="02"/>
    <x v="16"/>
    <x v="16"/>
    <n v="-11772.91"/>
  </r>
  <r>
    <d v="2025-05-02T00:00:00"/>
    <s v="OPT-NIFTY-08-May-2025-24300-P-E-I"/>
    <s v="NSE"/>
    <x v="0"/>
    <n v="150"/>
    <n v="0"/>
    <n v="209.15"/>
    <n v="31372.5"/>
    <s v="#202505023700017315"/>
    <n v="31.37"/>
    <n v="11.15"/>
    <n v="0"/>
    <n v="0.03"/>
    <n v="58"/>
    <n v="12.46"/>
    <n v="113.01"/>
    <n v="2025"/>
    <n v="5"/>
    <n v="2025"/>
    <n v="2"/>
    <s v="02"/>
    <x v="16"/>
    <x v="16"/>
    <n v="31259.49"/>
  </r>
  <r>
    <d v="2025-05-02T00:00:00"/>
    <s v="OPT-NIFTY-08-May-2025-24300-P-E-I"/>
    <s v="NSE"/>
    <x v="1"/>
    <n v="75"/>
    <n v="0"/>
    <n v="203"/>
    <n v="15225"/>
    <s v="#202505023700017303"/>
    <n v="0"/>
    <n v="5.41"/>
    <n v="0"/>
    <n v="0.02"/>
    <n v="29"/>
    <n v="6.2"/>
    <n v="40.630000000000003"/>
    <n v="2025"/>
    <n v="5"/>
    <n v="2025"/>
    <n v="2"/>
    <s v="02"/>
    <x v="16"/>
    <x v="16"/>
    <n v="-15265.63"/>
  </r>
  <r>
    <d v="2025-05-02T00:00:00"/>
    <s v="OPT-NIFTY-08-May-2025-24300-P-E-I"/>
    <s v="NSE"/>
    <x v="1"/>
    <n v="75"/>
    <n v="0"/>
    <n v="199.6"/>
    <n v="14970"/>
    <s v="#202505023700017225"/>
    <n v="0"/>
    <n v="5.32"/>
    <n v="0.91"/>
    <n v="0.01"/>
    <n v="29"/>
    <n v="6.18"/>
    <n v="41.42"/>
    <n v="2025"/>
    <n v="5"/>
    <n v="2025"/>
    <n v="2"/>
    <s v="02"/>
    <x v="16"/>
    <x v="16"/>
    <n v="-15011.42"/>
  </r>
  <r>
    <d v="2025-05-02T00:00:00"/>
    <s v="OPT-NIFTY-08-May-2025-24350-P-E-I"/>
    <s v="NSE"/>
    <x v="0"/>
    <n v="150"/>
    <n v="0"/>
    <n v="217.25"/>
    <n v="32587.5"/>
    <s v="#202505023700014773"/>
    <n v="32.58"/>
    <n v="11.58"/>
    <n v="0"/>
    <n v="0.04"/>
    <n v="58"/>
    <n v="12.52"/>
    <n v="114.72"/>
    <n v="2025"/>
    <n v="5"/>
    <n v="2025"/>
    <n v="2"/>
    <s v="02"/>
    <x v="16"/>
    <x v="16"/>
    <n v="32472.78"/>
  </r>
  <r>
    <d v="2025-05-02T00:00:00"/>
    <s v="OPT-NIFTY-08-May-2025-24350-P-E-I"/>
    <s v="NSE"/>
    <x v="1"/>
    <n v="150"/>
    <n v="0"/>
    <n v="204"/>
    <n v="30600"/>
    <s v="#202505023700014462"/>
    <n v="0"/>
    <n v="10.88"/>
    <n v="0"/>
    <n v="0.04"/>
    <n v="58"/>
    <n v="12.4"/>
    <n v="81.319999999999993"/>
    <n v="2025"/>
    <n v="5"/>
    <n v="2025"/>
    <n v="2"/>
    <s v="02"/>
    <x v="16"/>
    <x v="16"/>
    <n v="-30681.32"/>
  </r>
  <r>
    <d v="2025-05-02T00:00:00"/>
    <s v="OPT-NIFTY-08-May-2025-24450-P-E-I"/>
    <s v="NSE"/>
    <x v="0"/>
    <n v="150"/>
    <n v="0"/>
    <n v="215.45"/>
    <n v="32317.5"/>
    <s v="#202505023700012079"/>
    <n v="32.32"/>
    <n v="11.48"/>
    <n v="0"/>
    <n v="0.04"/>
    <n v="58"/>
    <n v="12.52"/>
    <n v="114.36"/>
    <n v="2025"/>
    <n v="5"/>
    <n v="2025"/>
    <n v="2"/>
    <s v="02"/>
    <x v="16"/>
    <x v="16"/>
    <n v="32203.14"/>
  </r>
  <r>
    <d v="2025-05-02T00:00:00"/>
    <s v="OPT-NIFTY-08-May-2025-24450-P-E-I"/>
    <s v="NSE"/>
    <x v="1"/>
    <n v="150"/>
    <n v="0"/>
    <n v="203.3"/>
    <n v="30495"/>
    <s v="#202505023700011548"/>
    <n v="0"/>
    <n v="10.84"/>
    <n v="0"/>
    <n v="0.04"/>
    <n v="58"/>
    <n v="12.4"/>
    <n v="81.28"/>
    <n v="2025"/>
    <n v="5"/>
    <n v="2025"/>
    <n v="2"/>
    <s v="02"/>
    <x v="16"/>
    <x v="16"/>
    <n v="-30576.28"/>
  </r>
  <r>
    <d v="2025-05-02T00:00:00"/>
    <s v="OPT-NIFTY-08-May-2025-24500-P-E-I"/>
    <s v="NSE"/>
    <x v="0"/>
    <n v="75"/>
    <n v="0"/>
    <n v="204.55"/>
    <n v="15341.25"/>
    <s v="#202505023700011205"/>
    <n v="15.34"/>
    <n v="5.45"/>
    <n v="0"/>
    <n v="0.02"/>
    <n v="29"/>
    <n v="6.2"/>
    <n v="56.01"/>
    <n v="2025"/>
    <n v="5"/>
    <n v="2025"/>
    <n v="2"/>
    <s v="02"/>
    <x v="16"/>
    <x v="16"/>
    <n v="15285.24"/>
  </r>
  <r>
    <d v="2025-05-02T00:00:00"/>
    <s v="OPT-NIFTY-08-May-2025-24500-P-E-I"/>
    <s v="NSE"/>
    <x v="1"/>
    <n v="75"/>
    <n v="0"/>
    <n v="202.1"/>
    <n v="15157.5"/>
    <s v="#202505023700010749"/>
    <n v="0"/>
    <n v="5.39"/>
    <n v="0.45"/>
    <n v="0.02"/>
    <n v="29"/>
    <n v="6.2"/>
    <n v="41.06"/>
    <n v="2025"/>
    <n v="5"/>
    <n v="2025"/>
    <n v="2"/>
    <s v="02"/>
    <x v="16"/>
    <x v="16"/>
    <n v="-15198.56"/>
  </r>
  <r>
    <d v="2025-05-02T00:00:00"/>
    <s v="OPT-NIFTY-08-May-2025-24450-P-E-I"/>
    <s v="NSE"/>
    <x v="0"/>
    <n v="75"/>
    <n v="0"/>
    <n v="159.25"/>
    <n v="11943.75"/>
    <s v="#202505023700008123"/>
    <n v="11.94"/>
    <n v="4.24"/>
    <n v="0"/>
    <n v="0.01"/>
    <n v="29"/>
    <n v="5.98"/>
    <n v="51.17"/>
    <n v="2025"/>
    <n v="5"/>
    <n v="2025"/>
    <n v="2"/>
    <s v="02"/>
    <x v="16"/>
    <x v="16"/>
    <n v="11892.58"/>
  </r>
  <r>
    <d v="2025-05-02T00:00:00"/>
    <s v="OPT-NIFTY-08-May-2025-24450-P-E-I"/>
    <s v="NSE"/>
    <x v="1"/>
    <n v="75"/>
    <n v="0"/>
    <n v="151.25"/>
    <n v="11343.75"/>
    <s v="#202505023700008095"/>
    <n v="0"/>
    <n v="4.03"/>
    <n v="1.26"/>
    <n v="0.01"/>
    <n v="29"/>
    <n v="5.94"/>
    <n v="40.24"/>
    <n v="2025"/>
    <n v="5"/>
    <n v="2025"/>
    <n v="2"/>
    <s v="02"/>
    <x v="16"/>
    <x v="16"/>
    <n v="-11383.99"/>
  </r>
  <r>
    <d v="2025-05-02T00:00:00"/>
    <s v="OPT-NIFTY-08-May-2025-24450-C-E-I"/>
    <s v="NSE"/>
    <x v="0"/>
    <n v="150"/>
    <n v="0"/>
    <n v="227.25"/>
    <n v="34087.5"/>
    <s v="#202505023700002386"/>
    <n v="34.549999999999997"/>
    <n v="12.11"/>
    <n v="0"/>
    <n v="0.03"/>
    <n v="58"/>
    <n v="12.62"/>
    <n v="117.31"/>
    <n v="2025"/>
    <n v="5"/>
    <n v="2025"/>
    <n v="2"/>
    <s v="02"/>
    <x v="16"/>
    <x v="16"/>
    <n v="33970.19"/>
  </r>
  <r>
    <d v="2025-05-02T00:00:00"/>
    <s v="OPT-NIFTY-08-May-2025-24450-C-E-I"/>
    <s v="NSE"/>
    <x v="1"/>
    <n v="150"/>
    <n v="0"/>
    <n v="208.78"/>
    <n v="31316.25"/>
    <s v="#202505023700002229"/>
    <n v="0"/>
    <n v="11.12"/>
    <n v="0.94"/>
    <n v="0.04"/>
    <n v="58"/>
    <n v="12.44"/>
    <n v="82.54"/>
    <n v="2025"/>
    <n v="5"/>
    <n v="2025"/>
    <n v="2"/>
    <s v="02"/>
    <x v="16"/>
    <x v="16"/>
    <n v="-31398.79"/>
  </r>
  <r>
    <d v="2025-05-07T00:00:00"/>
    <s v="OPT-NIFTY-08-May-2025-24300-C-E-I"/>
    <s v="NSE"/>
    <x v="0"/>
    <n v="150"/>
    <n v="0"/>
    <n v="103.45"/>
    <n v="15517.5"/>
    <s v="#202505073700009231"/>
    <n v="15.52"/>
    <n v="5.51"/>
    <n v="0"/>
    <n v="0.02"/>
    <n v="58"/>
    <n v="11.44"/>
    <n v="90.49"/>
    <n v="2025"/>
    <n v="5"/>
    <n v="2025"/>
    <n v="2"/>
    <s v="02"/>
    <x v="16"/>
    <x v="16"/>
    <n v="15427.01"/>
  </r>
  <r>
    <d v="2025-05-07T00:00:00"/>
    <s v="OPT-NIFTY-08-May-2025-24300-C-E-I"/>
    <s v="NSE"/>
    <x v="1"/>
    <n v="150"/>
    <n v="0"/>
    <n v="99.75"/>
    <n v="14962.5"/>
    <s v="#202505073700009114"/>
    <n v="0"/>
    <n v="5.32"/>
    <n v="0"/>
    <n v="0.01"/>
    <n v="58"/>
    <n v="11.4"/>
    <n v="74.73"/>
    <n v="2025"/>
    <n v="5"/>
    <n v="2025"/>
    <n v="2"/>
    <s v="02"/>
    <x v="16"/>
    <x v="16"/>
    <n v="-15037.23"/>
  </r>
  <r>
    <d v="2025-05-07T00:00:00"/>
    <s v="OPT-NIFTY-08-May-2025-24300-C-E-I"/>
    <s v="NSE"/>
    <x v="0"/>
    <n v="150"/>
    <n v="0"/>
    <n v="91.4"/>
    <n v="13710"/>
    <s v="#202505073700009035"/>
    <n v="13.72"/>
    <n v="4.88"/>
    <n v="0"/>
    <n v="0.02"/>
    <n v="58"/>
    <n v="11.32"/>
    <n v="87.94"/>
    <n v="2025"/>
    <n v="5"/>
    <n v="2025"/>
    <n v="2"/>
    <s v="02"/>
    <x v="16"/>
    <x v="16"/>
    <n v="13622.06"/>
  </r>
  <r>
    <d v="2025-05-07T00:00:00"/>
    <s v="OPT-NIFTY-08-May-2025-24300-C-E-I"/>
    <s v="NSE"/>
    <x v="1"/>
    <n v="150"/>
    <n v="0"/>
    <n v="91.6"/>
    <n v="13740"/>
    <s v="#202505073700008527"/>
    <n v="0"/>
    <n v="4.88"/>
    <n v="1"/>
    <n v="0.01"/>
    <n v="58"/>
    <n v="11.32"/>
    <n v="75.209999999999994"/>
    <n v="2025"/>
    <n v="5"/>
    <n v="2025"/>
    <n v="2"/>
    <s v="02"/>
    <x v="16"/>
    <x v="16"/>
    <n v="-13815.21"/>
  </r>
  <r>
    <d v="2025-05-07T00:00:00"/>
    <s v="OPT-NIFTY-08-May-2025-24300-C-E-I"/>
    <s v="NSE"/>
    <x v="0"/>
    <n v="150"/>
    <n v="0"/>
    <n v="78.05"/>
    <n v="11707.5"/>
    <s v="#202505073700008461"/>
    <n v="11.77"/>
    <n v="4.16"/>
    <n v="0"/>
    <n v="0.02"/>
    <n v="58"/>
    <n v="11.2"/>
    <n v="85.15"/>
    <n v="2025"/>
    <n v="5"/>
    <n v="2025"/>
    <n v="2"/>
    <s v="02"/>
    <x v="16"/>
    <x v="16"/>
    <n v="11622.35"/>
  </r>
  <r>
    <d v="2025-05-07T00:00:00"/>
    <s v="OPT-NIFTY-08-May-2025-24300-C-E-I"/>
    <s v="NSE"/>
    <x v="1"/>
    <n v="75"/>
    <n v="0"/>
    <n v="85.2"/>
    <n v="6390"/>
    <s v="#202505073700007600"/>
    <n v="0"/>
    <n v="2.27"/>
    <n v="0"/>
    <n v="0.01"/>
    <n v="29"/>
    <n v="5.64"/>
    <n v="36.92"/>
    <n v="2025"/>
    <n v="5"/>
    <n v="2025"/>
    <n v="2"/>
    <s v="02"/>
    <x v="16"/>
    <x v="16"/>
    <n v="-6426.92"/>
  </r>
  <r>
    <d v="2025-05-07T00:00:00"/>
    <s v="OPT-NIFTY-08-May-2025-24300-C-E-I"/>
    <s v="NSE"/>
    <x v="1"/>
    <n v="75"/>
    <n v="0"/>
    <n v="118"/>
    <n v="8850"/>
    <s v="#202505073700006263"/>
    <n v="0"/>
    <n v="3.14"/>
    <n v="0"/>
    <n v="0.01"/>
    <n v="29"/>
    <n v="5.78"/>
    <n v="37.93"/>
    <n v="2025"/>
    <n v="5"/>
    <n v="2025"/>
    <n v="2"/>
    <s v="02"/>
    <x v="16"/>
    <x v="16"/>
    <n v="-8887.93"/>
  </r>
  <r>
    <d v="2025-05-08T00:00:00"/>
    <s v="OPT-NIFTY-08-May-2025-24400-P-E-I"/>
    <s v="NSE"/>
    <x v="0"/>
    <n v="225"/>
    <n v="0"/>
    <n v="10.199999999999999"/>
    <n v="2295"/>
    <s v="#202505083700011713"/>
    <n v="2.2999999999999998"/>
    <n v="0.81"/>
    <n v="0"/>
    <n v="0"/>
    <n v="87"/>
    <n v="15.8"/>
    <n v="105.91"/>
    <n v="2025"/>
    <n v="5"/>
    <n v="2025"/>
    <n v="2"/>
    <s v="02"/>
    <x v="16"/>
    <x v="16"/>
    <n v="2189.09"/>
  </r>
  <r>
    <d v="2025-05-08T00:00:00"/>
    <s v="OPT-NIFTY-08-May-2025-24400-P-E-I"/>
    <s v="NSE"/>
    <x v="1"/>
    <n v="225"/>
    <n v="0"/>
    <n v="11.65"/>
    <n v="2621.25"/>
    <s v="#202505083700011579"/>
    <n v="0"/>
    <n v="0.93"/>
    <n v="0"/>
    <n v="0"/>
    <n v="87"/>
    <n v="15.82"/>
    <n v="103.75"/>
    <n v="2025"/>
    <n v="5"/>
    <n v="2025"/>
    <n v="2"/>
    <s v="02"/>
    <x v="16"/>
    <x v="16"/>
    <n v="-2725"/>
  </r>
  <r>
    <d v="2025-05-08T00:00:00"/>
    <s v="OPT-NIFTY-08-May-2025-24400-P-E-I"/>
    <s v="NSE"/>
    <x v="0"/>
    <n v="300"/>
    <n v="0"/>
    <n v="11.35"/>
    <n v="3405"/>
    <s v="#202505083700010422"/>
    <n v="3.7"/>
    <n v="1.2"/>
    <n v="0"/>
    <n v="0"/>
    <n v="116"/>
    <n v="21.1"/>
    <n v="142"/>
    <n v="2025"/>
    <n v="5"/>
    <n v="2025"/>
    <n v="2"/>
    <s v="02"/>
    <x v="16"/>
    <x v="16"/>
    <n v="3263"/>
  </r>
  <r>
    <d v="2025-05-08T00:00:00"/>
    <s v="OPT-NIFTY-08-May-2025-24400-P-E-I"/>
    <s v="NSE"/>
    <x v="1"/>
    <n v="75"/>
    <n v="0"/>
    <n v="16.350000000000001"/>
    <n v="1226.25"/>
    <s v="#202505083700009329"/>
    <n v="0"/>
    <n v="0.44"/>
    <n v="0"/>
    <n v="0"/>
    <n v="29"/>
    <n v="5.3"/>
    <n v="34.74"/>
    <n v="2025"/>
    <n v="5"/>
    <n v="2025"/>
    <n v="2"/>
    <s v="02"/>
    <x v="16"/>
    <x v="16"/>
    <n v="-1260.99"/>
  </r>
  <r>
    <d v="2025-05-08T00:00:00"/>
    <s v="OPT-NIFTY-08-May-2025-24400-P-E-I"/>
    <s v="NSE"/>
    <x v="1"/>
    <n v="75"/>
    <n v="0"/>
    <n v="24.85"/>
    <n v="1863.75"/>
    <s v="#202505083700007209"/>
    <n v="0"/>
    <n v="0.66"/>
    <n v="0"/>
    <n v="0"/>
    <n v="29"/>
    <n v="5.34"/>
    <n v="35"/>
    <n v="2025"/>
    <n v="5"/>
    <n v="2025"/>
    <n v="2"/>
    <s v="02"/>
    <x v="16"/>
    <x v="16"/>
    <n v="-1898.75"/>
  </r>
  <r>
    <d v="2025-05-08T00:00:00"/>
    <s v="OPT-NIFTY-08-May-2025-24400-P-E-I"/>
    <s v="NSE"/>
    <x v="1"/>
    <n v="150"/>
    <n v="0"/>
    <n v="37.450000000000003"/>
    <n v="5617.5"/>
    <s v="#202505083700006575"/>
    <n v="0"/>
    <n v="2"/>
    <n v="0"/>
    <n v="0.01"/>
    <n v="58"/>
    <n v="10.8"/>
    <n v="70.81"/>
    <n v="2025"/>
    <n v="5"/>
    <n v="2025"/>
    <n v="2"/>
    <s v="02"/>
    <x v="16"/>
    <x v="16"/>
    <n v="-5688.31"/>
  </r>
  <r>
    <d v="2025-05-15T00:00:00"/>
    <s v="OPT-NIFTY-15-May-2025-24650-P-E-I"/>
    <s v="NSE"/>
    <x v="0"/>
    <n v="750"/>
    <n v="0"/>
    <n v="16.25"/>
    <n v="12187.5"/>
    <s v="#202505153700021703"/>
    <n v="12.19"/>
    <n v="4.33"/>
    <n v="0"/>
    <n v="0.01"/>
    <n v="290"/>
    <n v="52.98"/>
    <n v="359.51"/>
    <n v="2025"/>
    <n v="5"/>
    <n v="2025"/>
    <n v="2"/>
    <s v="02"/>
    <x v="16"/>
    <x v="16"/>
    <n v="11827.99"/>
  </r>
  <r>
    <d v="2025-05-15T00:00:00"/>
    <s v="OPT-NIFTY-15-May-2025-24650-P-E-I"/>
    <s v="NSE"/>
    <x v="1"/>
    <n v="750"/>
    <n v="0"/>
    <n v="21.25"/>
    <n v="15937.5"/>
    <s v="#202505153700020609"/>
    <n v="0"/>
    <n v="5.67"/>
    <n v="1.74"/>
    <n v="0.02"/>
    <n v="290"/>
    <n v="53.24"/>
    <n v="350.67"/>
    <n v="2025"/>
    <n v="5"/>
    <n v="2025"/>
    <n v="2"/>
    <s v="02"/>
    <x v="16"/>
    <x v="16"/>
    <n v="-16288.17"/>
  </r>
  <r>
    <d v="2025-05-15T00:00:00"/>
    <s v="OPT-NIFTY-15-May-2025-24650-P-E-I"/>
    <s v="NSE"/>
    <x v="0"/>
    <n v="300"/>
    <n v="0"/>
    <n v="18.850000000000001"/>
    <n v="5655"/>
    <s v="#202505153700020206"/>
    <n v="5.65"/>
    <n v="2"/>
    <n v="0"/>
    <n v="0"/>
    <n v="116"/>
    <n v="21.26"/>
    <n v="144.91"/>
    <n v="2025"/>
    <n v="5"/>
    <n v="2025"/>
    <n v="2"/>
    <s v="02"/>
    <x v="16"/>
    <x v="16"/>
    <n v="5510.09"/>
  </r>
  <r>
    <d v="2025-05-15T00:00:00"/>
    <s v="OPT-NIFTY-15-May-2025-24650-P-E-I"/>
    <s v="NSE"/>
    <x v="1"/>
    <n v="150"/>
    <n v="0"/>
    <n v="38.25"/>
    <n v="5737.5"/>
    <s v="#202505153700019566"/>
    <n v="0"/>
    <n v="2.04"/>
    <n v="0"/>
    <n v="0.01"/>
    <n v="58"/>
    <n v="10.8"/>
    <n v="70.849999999999994"/>
    <n v="2025"/>
    <n v="5"/>
    <n v="2025"/>
    <n v="2"/>
    <s v="02"/>
    <x v="16"/>
    <x v="16"/>
    <n v="-5808.35"/>
  </r>
  <r>
    <d v="2025-05-15T00:00:00"/>
    <s v="OPT-NIFTY-15-May-2025-24650-P-E-I"/>
    <s v="NSE"/>
    <x v="1"/>
    <n v="150"/>
    <n v="0"/>
    <n v="81"/>
    <n v="12150"/>
    <s v="#202505153700017843"/>
    <n v="0"/>
    <n v="4.32"/>
    <n v="0"/>
    <n v="0.01"/>
    <n v="58"/>
    <n v="11.22"/>
    <n v="73.55"/>
    <n v="2025"/>
    <n v="5"/>
    <n v="2025"/>
    <n v="2"/>
    <s v="02"/>
    <x v="16"/>
    <x v="16"/>
    <n v="-12223.55"/>
  </r>
  <r>
    <d v="2025-05-15T00:00:00"/>
    <s v="OPT-NIFTY-15-May-2025-24650-P-E-I"/>
    <s v="NSE"/>
    <x v="0"/>
    <n v="150"/>
    <n v="0"/>
    <n v="95.25"/>
    <n v="14287.5"/>
    <s v="#202505153700016785"/>
    <n v="14.29"/>
    <n v="5.08"/>
    <n v="0"/>
    <n v="0.01"/>
    <n v="58"/>
    <n v="11.36"/>
    <n v="88.74"/>
    <n v="2025"/>
    <n v="5"/>
    <n v="2025"/>
    <n v="2"/>
    <s v="02"/>
    <x v="16"/>
    <x v="16"/>
    <n v="14198.76"/>
  </r>
  <r>
    <d v="2025-05-15T00:00:00"/>
    <s v="OPT-NIFTY-15-May-2025-24650-P-E-I"/>
    <s v="NSE"/>
    <x v="1"/>
    <n v="75"/>
    <n v="0"/>
    <n v="73"/>
    <n v="5475"/>
    <s v="#202505153700016057"/>
    <n v="0"/>
    <n v="1.95"/>
    <n v="0"/>
    <n v="0.01"/>
    <n v="29"/>
    <n v="5.58"/>
    <n v="36.54"/>
    <n v="2025"/>
    <n v="5"/>
    <n v="2025"/>
    <n v="2"/>
    <s v="02"/>
    <x v="16"/>
    <x v="16"/>
    <n v="-5511.54"/>
  </r>
  <r>
    <d v="2025-05-15T00:00:00"/>
    <s v="OPT-NIFTY-15-May-2025-24650-P-E-I"/>
    <s v="NSE"/>
    <x v="1"/>
    <n v="75"/>
    <n v="0"/>
    <n v="99.2"/>
    <n v="7440"/>
    <s v="#202505153700015627"/>
    <n v="0"/>
    <n v="2.64"/>
    <n v="0"/>
    <n v="0.01"/>
    <n v="29"/>
    <n v="5.7"/>
    <n v="37.35"/>
    <n v="2025"/>
    <n v="5"/>
    <n v="2025"/>
    <n v="2"/>
    <s v="02"/>
    <x v="16"/>
    <x v="16"/>
    <n v="-7477.35"/>
  </r>
  <r>
    <d v="2025-05-15T00:00:00"/>
    <s v="OPT-NIFTY-15-May-2025-24550-C-E-I"/>
    <s v="NSE"/>
    <x v="0"/>
    <n v="75"/>
    <n v="0"/>
    <n v="131.5"/>
    <n v="9862.5"/>
    <s v="#202505153700014098"/>
    <n v="9.8699999999999992"/>
    <n v="3.5"/>
    <n v="0"/>
    <n v="0.01"/>
    <n v="29"/>
    <n v="5.86"/>
    <n v="48.24"/>
    <n v="2025"/>
    <n v="5"/>
    <n v="2025"/>
    <n v="2"/>
    <s v="02"/>
    <x v="16"/>
    <x v="16"/>
    <n v="9814.26"/>
  </r>
  <r>
    <d v="2025-05-15T00:00:00"/>
    <s v="OPT-NIFTY-15-May-2025-24550-C-E-I"/>
    <s v="NSE"/>
    <x v="1"/>
    <n v="75"/>
    <n v="0"/>
    <n v="114.9"/>
    <n v="8617.5"/>
    <s v="#202505153700012471"/>
    <n v="0"/>
    <n v="3.06"/>
    <n v="0.26"/>
    <n v="0.01"/>
    <n v="29"/>
    <n v="5.78"/>
    <n v="38.11"/>
    <n v="2025"/>
    <n v="5"/>
    <n v="2025"/>
    <n v="2"/>
    <s v="02"/>
    <x v="16"/>
    <x v="16"/>
    <n v="-8655.61"/>
  </r>
  <r>
    <d v="2025-05-21T00:00:00"/>
    <s v="OPT-NIFTY-22-May-2025-24750-P-E-I"/>
    <s v="NSE"/>
    <x v="0"/>
    <n v="150"/>
    <n v="0"/>
    <n v="77.349999999999994"/>
    <n v="11602.5"/>
    <s v="#202505213700006174"/>
    <n v="12"/>
    <n v="4.12"/>
    <n v="0"/>
    <n v="0.01"/>
    <n v="58"/>
    <n v="11.18"/>
    <n v="85.31"/>
    <n v="2025"/>
    <n v="5"/>
    <n v="2025"/>
    <n v="2"/>
    <s v="02"/>
    <x v="16"/>
    <x v="16"/>
    <n v="11517.19"/>
  </r>
  <r>
    <d v="2025-05-21T00:00:00"/>
    <s v="OPT-NIFTY-22-May-2025-24750-P-E-I"/>
    <s v="NSE"/>
    <x v="1"/>
    <n v="150"/>
    <n v="0"/>
    <n v="125.6"/>
    <n v="18840"/>
    <s v="#202505213700000977"/>
    <n v="0"/>
    <n v="6.69"/>
    <n v="1"/>
    <n v="0.02"/>
    <n v="58"/>
    <n v="11.64"/>
    <n v="77.349999999999994"/>
    <n v="2025"/>
    <n v="5"/>
    <n v="2025"/>
    <n v="2"/>
    <s v="02"/>
    <x v="16"/>
    <x v="16"/>
    <n v="-18917.349999999999"/>
  </r>
  <r>
    <d v="2025-05-23T00:00:00"/>
    <s v="OPT-NIFTY-29-May-2025-24050-P-E-I"/>
    <s v="NSE"/>
    <x v="1"/>
    <n v="75"/>
    <n v="0"/>
    <n v="24.65"/>
    <n v="1848.75"/>
    <s v="#202505233700005571"/>
    <n v="0"/>
    <n v="0.66"/>
    <n v="0"/>
    <n v="0"/>
    <n v="29"/>
    <n v="5.34"/>
    <n v="35"/>
    <n v="2025"/>
    <n v="5"/>
    <n v="2025"/>
    <n v="2"/>
    <s v="02"/>
    <x v="16"/>
    <x v="16"/>
    <n v="-1883.75"/>
  </r>
  <r>
    <d v="2025-05-29T00:00:00"/>
    <s v="OPT-NIFTY-29-May-2025-24750-C-E-I"/>
    <s v="NSE"/>
    <x v="0"/>
    <n v="150"/>
    <n v="0"/>
    <n v="29.25"/>
    <n v="4387.5"/>
    <s v="#202505293700021886"/>
    <n v="4.38"/>
    <n v="1.56"/>
    <n v="0"/>
    <n v="0"/>
    <n v="58"/>
    <n v="10.72"/>
    <n v="74.66"/>
    <n v="2025"/>
    <n v="5"/>
    <n v="2025"/>
    <n v="2"/>
    <s v="02"/>
    <x v="16"/>
    <x v="16"/>
    <n v="4312.84"/>
  </r>
  <r>
    <d v="2025-05-29T00:00:00"/>
    <s v="OPT-NIFTY-29-May-2025-24750-C-E-I"/>
    <s v="NSE"/>
    <x v="1"/>
    <n v="150"/>
    <n v="0"/>
    <n v="28.15"/>
    <n v="4222.5"/>
    <s v="#202505293700021784"/>
    <n v="0"/>
    <n v="1.5"/>
    <n v="0"/>
    <n v="0"/>
    <n v="58"/>
    <n v="10.72"/>
    <n v="70.22"/>
    <n v="2025"/>
    <n v="5"/>
    <n v="2025"/>
    <n v="2"/>
    <s v="02"/>
    <x v="16"/>
    <x v="16"/>
    <n v="-4292.72"/>
  </r>
  <r>
    <d v="2025-05-29T00:00:00"/>
    <s v="OPT-NIFTY-29-May-2025-24050-P-E-I"/>
    <s v="NSE"/>
    <x v="0"/>
    <n v="75"/>
    <n v="0"/>
    <n v="1.5"/>
    <n v="112.5"/>
    <s v="#202505293700001341"/>
    <n v="0.61"/>
    <n v="0.04"/>
    <n v="0"/>
    <n v="0"/>
    <n v="29"/>
    <n v="5.22"/>
    <n v="34.869999999999997"/>
    <n v="2025"/>
    <n v="5"/>
    <n v="2025"/>
    <n v="2"/>
    <s v="02"/>
    <x v="16"/>
    <x v="16"/>
    <n v="77.63"/>
  </r>
  <r>
    <d v="2025-06-05T00:00:00"/>
    <s v="OPT-NIFTY-05-Jun-2025-24850-C-E-I"/>
    <s v="NSE"/>
    <x v="0"/>
    <n v="150"/>
    <n v="0"/>
    <n v="5"/>
    <n v="750"/>
    <s v="#202506053700024913"/>
    <n v="1"/>
    <n v="0.27"/>
    <n v="0"/>
    <n v="0"/>
    <n v="58"/>
    <n v="10.48"/>
    <n v="69.75"/>
    <n v="2025"/>
    <n v="6"/>
    <n v="2025"/>
    <n v="3"/>
    <s v="03"/>
    <x v="17"/>
    <x v="17"/>
    <n v="680.25"/>
  </r>
  <r>
    <d v="2025-06-05T00:00:00"/>
    <s v="OPT-NIFTY-05-Jun-2025-24850-C-E-I"/>
    <s v="NSE"/>
    <x v="1"/>
    <n v="150"/>
    <n v="0"/>
    <n v="22"/>
    <n v="3300"/>
    <s v="#202506053700018371"/>
    <n v="0"/>
    <n v="1.17"/>
    <n v="0"/>
    <n v="0"/>
    <n v="58"/>
    <n v="10.66"/>
    <n v="69.83"/>
    <n v="2025"/>
    <n v="6"/>
    <n v="2025"/>
    <n v="3"/>
    <s v="03"/>
    <x v="17"/>
    <x v="17"/>
    <n v="-3369.83"/>
  </r>
  <r>
    <d v="2025-07-04T00:00:00"/>
    <s v="OPT-NIFTY-10-Jul-2025-25400-P-E-I"/>
    <s v="NSE"/>
    <x v="0"/>
    <n v="375"/>
    <n v="0"/>
    <n v="152.25"/>
    <n v="57093.75"/>
    <s v="#202507043700010841"/>
    <n v="56.97"/>
    <n v="20.28"/>
    <n v="0"/>
    <n v="0.05"/>
    <n v="145"/>
    <n v="29.76"/>
    <n v="252.06"/>
    <n v="2025"/>
    <n v="7"/>
    <n v="2025"/>
    <n v="4"/>
    <s v="04"/>
    <x v="18"/>
    <x v="18"/>
    <n v="56841.69"/>
  </r>
  <r>
    <d v="2025-07-04T00:00:00"/>
    <s v="OPT-NIFTY-10-Jul-2025-25400-P-E-I"/>
    <s v="NSE"/>
    <x v="1"/>
    <n v="375"/>
    <n v="0"/>
    <n v="157.1"/>
    <n v="58912.5"/>
    <s v="#202507043700010716"/>
    <n v="0"/>
    <n v="20.94"/>
    <n v="3"/>
    <n v="0.06"/>
    <n v="145"/>
    <n v="29.88"/>
    <n v="198.88"/>
    <n v="2025"/>
    <n v="7"/>
    <n v="2025"/>
    <n v="4"/>
    <s v="04"/>
    <x v="18"/>
    <x v="18"/>
    <n v="-59111.38"/>
  </r>
  <r>
    <d v="2025-07-04T00:00:00"/>
    <s v="OPT-NIFTY-10-Jul-2025-25400-P-E-I"/>
    <s v="NSE"/>
    <x v="0"/>
    <n v="300"/>
    <n v="0"/>
    <n v="153.44999999999999"/>
    <n v="46035"/>
    <s v="#202507043700010648"/>
    <n v="46.04"/>
    <n v="16.36"/>
    <n v="0"/>
    <n v="0.04"/>
    <n v="116"/>
    <n v="23.84"/>
    <n v="202.28"/>
    <n v="2025"/>
    <n v="7"/>
    <n v="2025"/>
    <n v="4"/>
    <s v="04"/>
    <x v="18"/>
    <x v="18"/>
    <n v="45832.72"/>
  </r>
  <r>
    <d v="2025-07-04T00:00:00"/>
    <s v="OPT-NIFTY-10-Jul-2025-25400-P-E-I"/>
    <s v="NSE"/>
    <x v="1"/>
    <n v="300"/>
    <n v="0"/>
    <n v="157.69999999999999"/>
    <n v="47310"/>
    <s v="#202507043700010535"/>
    <n v="0"/>
    <n v="16.8"/>
    <n v="0"/>
    <n v="0.04"/>
    <n v="116"/>
    <n v="23.92"/>
    <n v="156.76"/>
    <n v="2025"/>
    <n v="7"/>
    <n v="2025"/>
    <n v="4"/>
    <s v="04"/>
    <x v="18"/>
    <x v="18"/>
    <n v="-47466.76"/>
  </r>
  <r>
    <d v="2025-08-12T00:00:00"/>
    <s v="OPT-NIFTY-14-Aug-2025-24700-C-E-I"/>
    <s v="NSE"/>
    <x v="0"/>
    <n v="450"/>
    <n v="0"/>
    <n v="59.65"/>
    <n v="26842.5"/>
    <s v="#202508123700012255"/>
    <n v="27"/>
    <n v="9.5399999999999991"/>
    <n v="0"/>
    <n v="0.02"/>
    <n v="174"/>
    <n v="33.04"/>
    <n v="243.6"/>
    <n v="2025"/>
    <n v="8"/>
    <n v="2025"/>
    <n v="5"/>
    <s v="05"/>
    <x v="19"/>
    <x v="19"/>
    <n v="26598.9"/>
  </r>
  <r>
    <d v="2025-08-12T00:00:00"/>
    <s v="OPT-NIFTY-14-Aug-2025-24700-C-E-I"/>
    <s v="NSE"/>
    <x v="1"/>
    <n v="225"/>
    <n v="0"/>
    <n v="44.3"/>
    <n v="9967.5"/>
    <s v="#202508123700010646"/>
    <n v="0"/>
    <n v="3.54"/>
    <n v="0"/>
    <n v="0.01"/>
    <n v="87"/>
    <n v="16.3"/>
    <n v="106.85"/>
    <n v="2025"/>
    <n v="8"/>
    <n v="2025"/>
    <n v="5"/>
    <s v="05"/>
    <x v="19"/>
    <x v="19"/>
    <n v="-10074.35"/>
  </r>
  <r>
    <d v="2025-08-12T00:00:00"/>
    <s v="OPT-NIFTY-14-Aug-2025-24700-C-E-I"/>
    <s v="NSE"/>
    <x v="1"/>
    <n v="150"/>
    <n v="0"/>
    <n v="66.05"/>
    <n v="9907.5"/>
    <s v="#202508123700006900"/>
    <n v="0"/>
    <n v="3.52"/>
    <n v="1"/>
    <n v="0.01"/>
    <n v="58"/>
    <n v="11.08"/>
    <n v="73.61"/>
    <n v="2025"/>
    <n v="8"/>
    <n v="2025"/>
    <n v="5"/>
    <s v="05"/>
    <x v="19"/>
    <x v="19"/>
    <n v="-9981.11"/>
  </r>
  <r>
    <d v="2025-08-12T00:00:00"/>
    <s v="OPT-NIFTY-14-Aug-2025-24700-C-E-I"/>
    <s v="NSE"/>
    <x v="1"/>
    <n v="75"/>
    <n v="0"/>
    <n v="82.3"/>
    <n v="6172.5"/>
    <s v="#202508123700006526"/>
    <n v="0"/>
    <n v="2.19"/>
    <n v="0"/>
    <n v="0.01"/>
    <n v="29"/>
    <n v="5.62"/>
    <n v="36.82"/>
    <n v="2025"/>
    <n v="8"/>
    <n v="2025"/>
    <n v="5"/>
    <s v="05"/>
    <x v="19"/>
    <x v="19"/>
    <n v="-6209.32"/>
  </r>
  <r>
    <d v="2025-08-21T00:00:00"/>
    <s v="OPT-NIFTY-21-Aug-2025-25150-C-E-I"/>
    <s v="NSE"/>
    <x v="0"/>
    <n v="900"/>
    <n v="0"/>
    <n v="4.1500000000000004"/>
    <n v="3735"/>
    <s v="#202508213700018813"/>
    <n v="3.73"/>
    <n v="1.33"/>
    <n v="0"/>
    <n v="0"/>
    <n v="348"/>
    <n v="62.88"/>
    <n v="415.94"/>
    <n v="2025"/>
    <n v="8"/>
    <n v="2025"/>
    <n v="5"/>
    <s v="05"/>
    <x v="19"/>
    <x v="19"/>
    <n v="3319.06"/>
  </r>
  <r>
    <d v="2025-08-21T00:00:00"/>
    <s v="OPT-NIFTY-21-Aug-2025-25150-C-E-I"/>
    <s v="NSE"/>
    <x v="0"/>
    <n v="1500"/>
    <n v="0"/>
    <n v="3.8"/>
    <n v="5700"/>
    <s v="#202508213700018369"/>
    <n v="5.72"/>
    <n v="2.02"/>
    <n v="0"/>
    <n v="0"/>
    <n v="580"/>
    <n v="104.76"/>
    <n v="692.5"/>
    <n v="2025"/>
    <n v="8"/>
    <n v="2025"/>
    <n v="5"/>
    <s v="05"/>
    <x v="19"/>
    <x v="19"/>
    <n v="5007.5"/>
  </r>
  <r>
    <d v="2025-08-21T00:00:00"/>
    <s v="OPT-NIFTY-21-Aug-2025-25150-C-E-I"/>
    <s v="NSE"/>
    <x v="0"/>
    <n v="450"/>
    <n v="0"/>
    <n v="3.8"/>
    <n v="1710"/>
    <s v="#202508213700018285"/>
    <n v="1.71"/>
    <n v="0.61"/>
    <n v="0"/>
    <n v="0"/>
    <n v="174"/>
    <n v="31.42"/>
    <n v="207.74"/>
    <n v="2025"/>
    <n v="8"/>
    <n v="2025"/>
    <n v="5"/>
    <s v="05"/>
    <x v="19"/>
    <x v="19"/>
    <n v="1502.26"/>
  </r>
  <r>
    <d v="2025-08-21T00:00:00"/>
    <s v="OPT-NIFTY-21-Aug-2025-25150-C-E-I"/>
    <s v="NSE"/>
    <x v="0"/>
    <n v="150"/>
    <n v="0"/>
    <n v="12.05"/>
    <n v="1807.5"/>
    <s v="#202508213700016581"/>
    <n v="1.86"/>
    <n v="0.64"/>
    <n v="0"/>
    <n v="0"/>
    <n v="58"/>
    <n v="10.56"/>
    <n v="71.06"/>
    <n v="2025"/>
    <n v="8"/>
    <n v="2025"/>
    <n v="5"/>
    <s v="05"/>
    <x v="19"/>
    <x v="19"/>
    <n v="1736.44"/>
  </r>
  <r>
    <d v="2025-08-21T00:00:00"/>
    <s v="OPT-NIFTY-21-Aug-2025-25150-C-E-I"/>
    <s v="NSE"/>
    <x v="1"/>
    <n v="1500"/>
    <n v="0"/>
    <n v="9.9"/>
    <n v="14850"/>
    <s v="#202508213700016277"/>
    <n v="0"/>
    <n v="5.28"/>
    <n v="1"/>
    <n v="0.01"/>
    <n v="580"/>
    <n v="105.36"/>
    <n v="691.65"/>
    <n v="2025"/>
    <n v="8"/>
    <n v="2025"/>
    <n v="5"/>
    <s v="05"/>
    <x v="19"/>
    <x v="19"/>
    <n v="-15541.65"/>
  </r>
  <r>
    <d v="2025-08-21T00:00:00"/>
    <s v="OPT-NIFTY-21-Aug-2025-25150-C-E-I"/>
    <s v="NSE"/>
    <x v="1"/>
    <n v="750"/>
    <n v="0"/>
    <n v="14.69"/>
    <n v="11017.5"/>
    <s v="#202508213700015714"/>
    <n v="0"/>
    <n v="3.91"/>
    <n v="0"/>
    <n v="0.01"/>
    <n v="290"/>
    <n v="52.92"/>
    <n v="346.84"/>
    <n v="2025"/>
    <n v="8"/>
    <n v="2025"/>
    <n v="5"/>
    <s v="05"/>
    <x v="19"/>
    <x v="19"/>
    <n v="-11364.34"/>
  </r>
  <r>
    <d v="2025-08-21T00:00:00"/>
    <s v="OPT-NIFTY-21-Aug-2025-25150-C-E-I"/>
    <s v="NSE"/>
    <x v="1"/>
    <n v="750"/>
    <n v="0"/>
    <n v="13.45"/>
    <n v="10087.5"/>
    <s v="#202508213700015673"/>
    <n v="0"/>
    <n v="3.58"/>
    <n v="0"/>
    <n v="0.01"/>
    <n v="290"/>
    <n v="52.84"/>
    <n v="346.43"/>
    <n v="2025"/>
    <n v="8"/>
    <n v="2025"/>
    <n v="5"/>
    <s v="05"/>
    <x v="19"/>
    <x v="19"/>
    <n v="-10433.93"/>
  </r>
  <r>
    <d v="2025-08-28T00:00:00"/>
    <s v="OPT-NIFTY-28-Aug-2025-24500-P-E-I"/>
    <s v="NSE"/>
    <x v="0"/>
    <n v="1200"/>
    <n v="0"/>
    <n v="17.649999999999999"/>
    <n v="21180"/>
    <s v="#202508283700020082"/>
    <n v="21.55"/>
    <n v="7.53"/>
    <n v="0"/>
    <n v="0.02"/>
    <n v="464"/>
    <n v="84.88"/>
    <n v="577.98"/>
    <n v="2025"/>
    <n v="8"/>
    <n v="2025"/>
    <n v="5"/>
    <s v="05"/>
    <x v="19"/>
    <x v="19"/>
    <n v="20602.02"/>
  </r>
  <r>
    <d v="2025-08-28T00:00:00"/>
    <s v="OPT-NIFTY-28-Aug-2025-24500-P-E-I"/>
    <s v="NSE"/>
    <x v="1"/>
    <n v="600"/>
    <n v="0"/>
    <n v="8.25"/>
    <n v="4950"/>
    <s v="#202508283700019428"/>
    <n v="0"/>
    <n v="1.76"/>
    <n v="0.32"/>
    <n v="0"/>
    <n v="232"/>
    <n v="42.08"/>
    <n v="276.16000000000003"/>
    <n v="2025"/>
    <n v="8"/>
    <n v="2025"/>
    <n v="5"/>
    <s v="05"/>
    <x v="19"/>
    <x v="19"/>
    <n v="-5226.16"/>
  </r>
  <r>
    <d v="2025-08-28T00:00:00"/>
    <s v="OPT-NIFTY-28-Aug-2025-24500-P-E-I"/>
    <s v="NSE"/>
    <x v="1"/>
    <n v="600"/>
    <n v="0"/>
    <n v="9.6"/>
    <n v="5760"/>
    <s v="#202508283700018912"/>
    <n v="0"/>
    <n v="2.0499999999999998"/>
    <n v="0"/>
    <n v="0"/>
    <n v="232"/>
    <n v="42.12"/>
    <n v="276.17"/>
    <n v="2025"/>
    <n v="8"/>
    <n v="2025"/>
    <n v="5"/>
    <s v="05"/>
    <x v="19"/>
    <x v="19"/>
    <n v="-6036.17"/>
  </r>
  <r>
    <d v="2025-08-28T00:00:00"/>
    <s v="OPT-NIFTY-28-Aug-2025-24550-C-E-I"/>
    <s v="NSE"/>
    <x v="0"/>
    <n v="675"/>
    <n v="0"/>
    <n v="49.55"/>
    <n v="33446.25"/>
    <s v="#202508283700005256"/>
    <n v="33.450000000000003"/>
    <n v="11.88"/>
    <n v="0"/>
    <n v="0.03"/>
    <n v="261"/>
    <n v="49.14"/>
    <n v="355.5"/>
    <n v="2025"/>
    <n v="8"/>
    <n v="2025"/>
    <n v="5"/>
    <s v="05"/>
    <x v="19"/>
    <x v="19"/>
    <n v="33090.75"/>
  </r>
  <r>
    <d v="2025-08-28T00:00:00"/>
    <s v="OPT-NIFTY-28-Aug-2025-24550-C-E-I"/>
    <s v="NSE"/>
    <x v="1"/>
    <n v="675"/>
    <n v="0"/>
    <n v="40.07"/>
    <n v="27048.75"/>
    <s v="#202508283700004752"/>
    <n v="0"/>
    <n v="9.6199999999999992"/>
    <n v="0.68"/>
    <n v="0.01"/>
    <n v="261"/>
    <n v="48.76"/>
    <n v="320.07"/>
    <n v="2025"/>
    <n v="8"/>
    <n v="2025"/>
    <n v="5"/>
    <s v="05"/>
    <x v="19"/>
    <x v="19"/>
    <n v="-27368.82"/>
  </r>
  <r>
    <d v="2025-09-02T00:00:00"/>
    <s v="OPT-NIFTY-02-Sep-2025-24700-P-E-I"/>
    <s v="NSE"/>
    <x v="0"/>
    <n v="750"/>
    <n v="0"/>
    <n v="40.25"/>
    <n v="30187.5"/>
    <s v="#202509023700019020"/>
    <n v="30"/>
    <n v="10.73"/>
    <n v="0"/>
    <n v="0.03"/>
    <n v="290"/>
    <n v="54.14"/>
    <n v="384.9"/>
    <n v="2025"/>
    <n v="9"/>
    <n v="2025"/>
    <n v="6"/>
    <s v="06"/>
    <x v="20"/>
    <x v="20"/>
    <n v="29802.6"/>
  </r>
  <r>
    <d v="2025-09-02T00:00:00"/>
    <s v="OPT-NIFTY-02-Sep-2025-24700-P-E-I"/>
    <s v="NSE"/>
    <x v="1"/>
    <n v="375"/>
    <n v="0"/>
    <n v="24.25"/>
    <n v="9093.75"/>
    <s v="#202509023700018759"/>
    <n v="0"/>
    <n v="3.23"/>
    <n v="1"/>
    <n v="0.01"/>
    <n v="145"/>
    <n v="26.68"/>
    <n v="175.92"/>
    <n v="2025"/>
    <n v="9"/>
    <n v="2025"/>
    <n v="6"/>
    <s v="06"/>
    <x v="20"/>
    <x v="20"/>
    <n v="-9269.67"/>
  </r>
  <r>
    <d v="2025-09-02T00:00:00"/>
    <s v="OPT-NIFTY-02-Sep-2025-24700-P-E-I"/>
    <s v="NSE"/>
    <x v="1"/>
    <n v="375"/>
    <n v="0"/>
    <n v="24.5"/>
    <n v="9187.5"/>
    <s v="#202509023700018665"/>
    <n v="0"/>
    <n v="3.26"/>
    <n v="0"/>
    <n v="0.01"/>
    <n v="145"/>
    <n v="26.7"/>
    <n v="174.97"/>
    <n v="2025"/>
    <n v="9"/>
    <n v="2025"/>
    <n v="6"/>
    <s v="06"/>
    <x v="20"/>
    <x v="20"/>
    <n v="-9362.4699999999993"/>
  </r>
  <r>
    <d v="2025-09-03T00:00:00"/>
    <s v="OPT-NIFTY-09-Sep-2025-24650-P-E-I"/>
    <s v="NSE"/>
    <x v="0"/>
    <n v="375"/>
    <n v="0"/>
    <n v="94.8"/>
    <n v="35550"/>
    <s v="#202509033700015732"/>
    <n v="35.69"/>
    <n v="12.63"/>
    <n v="0"/>
    <n v="0.03"/>
    <n v="145"/>
    <n v="28.4"/>
    <n v="221.75"/>
    <n v="2025"/>
    <n v="9"/>
    <n v="2025"/>
    <n v="6"/>
    <s v="06"/>
    <x v="20"/>
    <x v="20"/>
    <n v="35328.25"/>
  </r>
  <r>
    <d v="2025-09-03T00:00:00"/>
    <s v="OPT-NIFTY-09-Sep-2025-24650-P-E-I"/>
    <s v="NSE"/>
    <x v="1"/>
    <n v="375"/>
    <n v="0"/>
    <n v="97.15"/>
    <n v="36431.25"/>
    <s v="#202509033700015506"/>
    <n v="0"/>
    <n v="12.95"/>
    <n v="3"/>
    <n v="0.04"/>
    <n v="145"/>
    <n v="28.44"/>
    <n v="189.43"/>
    <n v="2025"/>
    <n v="9"/>
    <n v="2025"/>
    <n v="6"/>
    <s v="06"/>
    <x v="20"/>
    <x v="20"/>
    <n v="-36620.68"/>
  </r>
  <r>
    <d v="2025-09-03T00:00:00"/>
    <s v="OPT-NIFTY-09-Sep-2025-24650-P-E-I"/>
    <s v="NSE"/>
    <x v="0"/>
    <n v="300"/>
    <n v="0"/>
    <n v="94.33"/>
    <n v="28297.5"/>
    <s v="#202509033700014916"/>
    <n v="28.3"/>
    <n v="10.06"/>
    <n v="0"/>
    <n v="0.02"/>
    <n v="116"/>
    <n v="22.68"/>
    <n v="177.06"/>
    <n v="2025"/>
    <n v="9"/>
    <n v="2025"/>
    <n v="6"/>
    <s v="06"/>
    <x v="20"/>
    <x v="20"/>
    <n v="28120.44"/>
  </r>
  <r>
    <d v="2025-09-03T00:00:00"/>
    <s v="OPT-NIFTY-09-Sep-2025-24650-P-E-I"/>
    <s v="NSE"/>
    <x v="1"/>
    <n v="300"/>
    <n v="0"/>
    <n v="97.45"/>
    <n v="29235"/>
    <s v="#202509033700014826"/>
    <n v="0"/>
    <n v="10.38"/>
    <n v="0"/>
    <n v="0.02"/>
    <n v="116"/>
    <n v="22.76"/>
    <n v="149.16"/>
    <n v="2025"/>
    <n v="9"/>
    <n v="2025"/>
    <n v="6"/>
    <s v="06"/>
    <x v="20"/>
    <x v="20"/>
    <n v="-29384.16"/>
  </r>
  <r>
    <d v="2025-09-03T00:00:00"/>
    <s v="OPT-NIFTY-09-Sep-2025-24650-P-E-I"/>
    <s v="NSE"/>
    <x v="0"/>
    <n v="300"/>
    <n v="0"/>
    <n v="94.6"/>
    <n v="28380"/>
    <s v="#202509033700014620"/>
    <n v="28.39"/>
    <n v="10.08"/>
    <n v="0"/>
    <n v="0.03"/>
    <n v="116"/>
    <n v="22.7"/>
    <n v="177.2"/>
    <n v="2025"/>
    <n v="9"/>
    <n v="2025"/>
    <n v="6"/>
    <s v="06"/>
    <x v="20"/>
    <x v="20"/>
    <n v="28202.799999999999"/>
  </r>
  <r>
    <d v="2025-09-03T00:00:00"/>
    <s v="OPT-NIFTY-09-Sep-2025-24650-P-E-I"/>
    <s v="NSE"/>
    <x v="1"/>
    <n v="300"/>
    <n v="0"/>
    <n v="97.55"/>
    <n v="29265"/>
    <s v="#202509033700014568"/>
    <n v="0"/>
    <n v="10.4"/>
    <n v="0"/>
    <n v="0.04"/>
    <n v="116"/>
    <n v="22.72"/>
    <n v="149.16"/>
    <n v="2025"/>
    <n v="9"/>
    <n v="2025"/>
    <n v="6"/>
    <s v="06"/>
    <x v="20"/>
    <x v="20"/>
    <n v="-29414.16"/>
  </r>
  <r>
    <d v="2025-09-03T00:00:00"/>
    <s v="OPT-NIFTY-09-Sep-2025-24650-P-E-I"/>
    <s v="NSE"/>
    <x v="0"/>
    <n v="150"/>
    <n v="0"/>
    <n v="97.58"/>
    <n v="14636.25"/>
    <s v="#202509033700014210"/>
    <n v="14.64"/>
    <n v="5.2"/>
    <n v="0"/>
    <n v="0.02"/>
    <n v="58"/>
    <n v="11.36"/>
    <n v="89.22"/>
    <n v="2025"/>
    <n v="9"/>
    <n v="2025"/>
    <n v="6"/>
    <s v="06"/>
    <x v="20"/>
    <x v="20"/>
    <n v="14547.03"/>
  </r>
  <r>
    <d v="2025-09-03T00:00:00"/>
    <s v="OPT-NIFTY-09-Sep-2025-24650-P-E-I"/>
    <s v="NSE"/>
    <x v="1"/>
    <n v="75"/>
    <n v="0"/>
    <n v="101.8"/>
    <n v="7635"/>
    <s v="#202509033700014113"/>
    <n v="0"/>
    <n v="2.71"/>
    <n v="0"/>
    <n v="0.01"/>
    <n v="29"/>
    <n v="5.7"/>
    <n v="37.42"/>
    <n v="2025"/>
    <n v="9"/>
    <n v="2025"/>
    <n v="6"/>
    <s v="06"/>
    <x v="20"/>
    <x v="20"/>
    <n v="-7672.42"/>
  </r>
  <r>
    <d v="2025-09-03T00:00:00"/>
    <s v="OPT-NIFTY-09-Sep-2025-24650-P-E-I"/>
    <s v="NSE"/>
    <x v="1"/>
    <n v="75"/>
    <n v="0"/>
    <n v="102.65"/>
    <n v="7698.75"/>
    <s v="#202509033700014091"/>
    <n v="0"/>
    <n v="2.74"/>
    <n v="0"/>
    <n v="0.01"/>
    <n v="29"/>
    <n v="5.72"/>
    <n v="37.47"/>
    <n v="2025"/>
    <n v="9"/>
    <n v="2025"/>
    <n v="6"/>
    <s v="06"/>
    <x v="20"/>
    <x v="20"/>
    <n v="-7736.22"/>
  </r>
  <r>
    <d v="2025-09-04T00:00:00"/>
    <s v="OPT-NIFTY-09-Sep-2025-24700-P-E-I"/>
    <s v="NSE"/>
    <x v="0"/>
    <n v="900"/>
    <n v="0"/>
    <n v="63.25"/>
    <n v="56925"/>
    <s v="#202509043700015846"/>
    <n v="56.93"/>
    <n v="20.23"/>
    <n v="0"/>
    <n v="0.05"/>
    <n v="348"/>
    <n v="66.28"/>
    <n v="491.49"/>
    <n v="2025"/>
    <n v="9"/>
    <n v="2025"/>
    <n v="6"/>
    <s v="06"/>
    <x v="20"/>
    <x v="20"/>
    <n v="56433.51"/>
  </r>
  <r>
    <d v="2025-09-04T00:00:00"/>
    <s v="OPT-NIFTY-09-Sep-2025-24700-P-E-I"/>
    <s v="NSE"/>
    <x v="1"/>
    <n v="450"/>
    <n v="0"/>
    <n v="49.05"/>
    <n v="22072.5"/>
    <s v="#202509043700014255"/>
    <n v="0"/>
    <n v="7.84"/>
    <n v="1.08"/>
    <n v="0.02"/>
    <n v="174"/>
    <n v="32.74"/>
    <n v="215.68"/>
    <n v="2025"/>
    <n v="9"/>
    <n v="2025"/>
    <n v="6"/>
    <s v="06"/>
    <x v="20"/>
    <x v="20"/>
    <n v="-22288.18"/>
  </r>
  <r>
    <d v="2025-09-04T00:00:00"/>
    <s v="OPT-NIFTY-09-Sep-2025-24700-P-E-I"/>
    <s v="NSE"/>
    <x v="1"/>
    <n v="450"/>
    <n v="0"/>
    <n v="52.35"/>
    <n v="23557.5"/>
    <s v="#202509043700014101"/>
    <n v="0"/>
    <n v="8.35"/>
    <n v="0"/>
    <n v="0.01"/>
    <n v="174"/>
    <n v="32.86"/>
    <n v="215.22"/>
    <n v="2025"/>
    <n v="9"/>
    <n v="2025"/>
    <n v="6"/>
    <s v="06"/>
    <x v="20"/>
    <x v="20"/>
    <n v="-23772.720000000001"/>
  </r>
  <r>
    <d v="2025-09-04T00:00:00"/>
    <s v="OPT-NIFTY-09-Sep-2025-24650-P-E-I"/>
    <s v="NSE"/>
    <x v="0"/>
    <n v="750"/>
    <n v="0"/>
    <n v="39.950000000000003"/>
    <n v="29962.5"/>
    <s v="#202509043700011561"/>
    <n v="30.08"/>
    <n v="10.64"/>
    <n v="0"/>
    <n v="0.03"/>
    <n v="290"/>
    <n v="54.14"/>
    <n v="384.89"/>
    <n v="2025"/>
    <n v="9"/>
    <n v="2025"/>
    <n v="6"/>
    <s v="06"/>
    <x v="20"/>
    <x v="20"/>
    <n v="29577.61"/>
  </r>
  <r>
    <d v="2025-09-04T00:00:00"/>
    <s v="OPT-NIFTY-09-Sep-2025-24650-P-E-I"/>
    <s v="NSE"/>
    <x v="1"/>
    <n v="375"/>
    <n v="0"/>
    <n v="40.450000000000003"/>
    <n v="15168.75"/>
    <s v="#202509043700011524"/>
    <n v="0"/>
    <n v="5.39"/>
    <n v="0.92"/>
    <n v="0.01"/>
    <n v="145"/>
    <n v="27.08"/>
    <n v="178.4"/>
    <n v="2025"/>
    <n v="9"/>
    <n v="2025"/>
    <n v="6"/>
    <s v="06"/>
    <x v="20"/>
    <x v="20"/>
    <n v="-15347.15"/>
  </r>
  <r>
    <d v="2025-09-04T00:00:00"/>
    <s v="OPT-NIFTY-09-Sep-2025-24650-P-E-I"/>
    <s v="NSE"/>
    <x v="1"/>
    <n v="225"/>
    <n v="0"/>
    <n v="41.55"/>
    <n v="9348.75"/>
    <s v="#202509043700011379"/>
    <n v="0"/>
    <n v="3.32"/>
    <n v="0"/>
    <n v="0.01"/>
    <n v="87"/>
    <n v="16.260000000000002"/>
    <n v="106.59"/>
    <n v="2025"/>
    <n v="9"/>
    <n v="2025"/>
    <n v="6"/>
    <s v="06"/>
    <x v="20"/>
    <x v="20"/>
    <n v="-9455.34"/>
  </r>
  <r>
    <d v="2025-09-04T00:00:00"/>
    <s v="OPT-NIFTY-09-Sep-2025-24650-P-E-I"/>
    <s v="NSE"/>
    <x v="1"/>
    <n v="150"/>
    <n v="0"/>
    <n v="41"/>
    <n v="6150"/>
    <s v="#202509043700011274"/>
    <n v="0"/>
    <n v="2.19"/>
    <n v="0"/>
    <n v="0.01"/>
    <n v="58"/>
    <n v="10.84"/>
    <n v="71.040000000000006"/>
    <n v="2025"/>
    <n v="9"/>
    <n v="2025"/>
    <n v="6"/>
    <s v="06"/>
    <x v="20"/>
    <x v="20"/>
    <n v="-6221.04"/>
  </r>
  <r>
    <d v="2025-09-05T00:00:00"/>
    <s v="OPT-NIFTY-09-Sep-2025-24700-C-E-I"/>
    <s v="NSE"/>
    <x v="0"/>
    <n v="150"/>
    <n v="0"/>
    <n v="139.25"/>
    <n v="20887.5"/>
    <s v="#202509053700018058"/>
    <n v="20.89"/>
    <n v="7.42"/>
    <n v="0"/>
    <n v="0.02"/>
    <n v="58"/>
    <n v="11.78"/>
    <n v="98.11"/>
    <n v="2025"/>
    <n v="9"/>
    <n v="2025"/>
    <n v="6"/>
    <s v="06"/>
    <x v="20"/>
    <x v="20"/>
    <n v="20789.39"/>
  </r>
  <r>
    <d v="2025-09-05T00:00:00"/>
    <s v="OPT-NIFTY-09-Sep-2025-24700-C-E-I"/>
    <s v="NSE"/>
    <x v="1"/>
    <n v="150"/>
    <n v="0"/>
    <n v="132.19999999999999"/>
    <n v="19830"/>
    <s v="#202509053700017968"/>
    <n v="0"/>
    <n v="7.04"/>
    <n v="0.59"/>
    <n v="0.02"/>
    <n v="58"/>
    <n v="11.72"/>
    <n v="77.37"/>
    <n v="2025"/>
    <n v="9"/>
    <n v="2025"/>
    <n v="6"/>
    <s v="06"/>
    <x v="20"/>
    <x v="20"/>
    <n v="-19907.37"/>
  </r>
  <r>
    <d v="2025-09-05T00:00:00"/>
    <s v="OPT-NIFTY-09-Sep-2025-24650-P-E-I"/>
    <s v="NSE"/>
    <x v="0"/>
    <n v="975"/>
    <n v="0"/>
    <n v="69.45"/>
    <n v="67713.75"/>
    <s v="#202509053700011778"/>
    <n v="68.12"/>
    <n v="24.05"/>
    <n v="0"/>
    <n v="7.0000000000000007E-2"/>
    <n v="377"/>
    <n v="72.2"/>
    <n v="541.44000000000005"/>
    <n v="2025"/>
    <n v="9"/>
    <n v="2025"/>
    <n v="6"/>
    <s v="06"/>
    <x v="20"/>
    <x v="20"/>
    <n v="67172.31"/>
  </r>
  <r>
    <d v="2025-09-05T00:00:00"/>
    <s v="OPT-NIFTY-09-Sep-2025-24650-P-E-I"/>
    <s v="NSE"/>
    <x v="1"/>
    <n v="225"/>
    <n v="0"/>
    <n v="60.9"/>
    <n v="13702.5"/>
    <s v="#202509053700011699"/>
    <n v="0"/>
    <n v="4.87"/>
    <n v="0"/>
    <n v="0.01"/>
    <n v="87"/>
    <n v="16.54"/>
    <n v="108.42"/>
    <n v="2025"/>
    <n v="9"/>
    <n v="2025"/>
    <n v="6"/>
    <s v="06"/>
    <x v="20"/>
    <x v="20"/>
    <n v="-13810.92"/>
  </r>
  <r>
    <d v="2025-09-05T00:00:00"/>
    <s v="OPT-NIFTY-09-Sep-2025-24650-P-E-I"/>
    <s v="NSE"/>
    <x v="1"/>
    <n v="300"/>
    <n v="0"/>
    <n v="63.8"/>
    <n v="19140"/>
    <s v="#202509053700011568"/>
    <n v="0"/>
    <n v="6.8"/>
    <n v="0"/>
    <n v="0"/>
    <n v="116"/>
    <n v="22.08"/>
    <n v="144.88"/>
    <n v="2025"/>
    <n v="9"/>
    <n v="2025"/>
    <n v="6"/>
    <s v="06"/>
    <x v="20"/>
    <x v="20"/>
    <n v="-19284.88"/>
  </r>
  <r>
    <d v="2025-09-05T00:00:00"/>
    <s v="OPT-NIFTY-09-Sep-2025-24650-P-E-I"/>
    <s v="NSE"/>
    <x v="1"/>
    <n v="450"/>
    <n v="0"/>
    <n v="68.3"/>
    <n v="30735"/>
    <s v="#202509053700010806"/>
    <n v="0"/>
    <n v="10.92"/>
    <n v="2.41"/>
    <n v="0.04"/>
    <n v="174"/>
    <n v="33.28"/>
    <n v="220.65"/>
    <n v="2025"/>
    <n v="9"/>
    <n v="2025"/>
    <n v="6"/>
    <s v="06"/>
    <x v="20"/>
    <x v="20"/>
    <n v="-30955.65"/>
  </r>
  <r>
    <d v="2025-09-08T00:00:00"/>
    <s v="OPT-NIFTY-09-Sep-2025-24750-P-E-I"/>
    <s v="NSE"/>
    <x v="0"/>
    <n v="975"/>
    <n v="0"/>
    <n v="18.25"/>
    <n v="17793.75"/>
    <s v="#202509083700033845"/>
    <n v="17.809999999999999"/>
    <n v="6.33"/>
    <n v="0"/>
    <n v="0.02"/>
    <n v="377"/>
    <n v="69.02"/>
    <n v="470.18"/>
    <n v="2025"/>
    <n v="9"/>
    <n v="2025"/>
    <n v="6"/>
    <s v="06"/>
    <x v="20"/>
    <x v="20"/>
    <n v="17323.57"/>
  </r>
  <r>
    <d v="2025-09-08T00:00:00"/>
    <s v="OPT-NIFTY-09-Sep-2025-24750-P-E-I"/>
    <s v="NSE"/>
    <x v="0"/>
    <n v="75"/>
    <n v="0"/>
    <n v="21.95"/>
    <n v="1646.25"/>
    <s v="#202509083700029705"/>
    <n v="1.65"/>
    <n v="0.57999999999999996"/>
    <n v="0"/>
    <n v="0"/>
    <n v="29"/>
    <n v="5.32"/>
    <n v="36.549999999999997"/>
    <n v="2025"/>
    <n v="9"/>
    <n v="2025"/>
    <n v="6"/>
    <s v="06"/>
    <x v="20"/>
    <x v="20"/>
    <n v="1609.7"/>
  </r>
  <r>
    <d v="2025-09-08T00:00:00"/>
    <s v="OPT-NIFTY-09-Sep-2025-24750-P-E-I"/>
    <s v="NSE"/>
    <x v="0"/>
    <n v="150"/>
    <n v="0"/>
    <n v="20.95"/>
    <n v="3142.5"/>
    <s v="#202509083700029191"/>
    <n v="3.14"/>
    <n v="1.1200000000000001"/>
    <n v="0"/>
    <n v="0"/>
    <n v="58"/>
    <n v="10.64"/>
    <n v="72.900000000000006"/>
    <n v="2025"/>
    <n v="9"/>
    <n v="2025"/>
    <n v="6"/>
    <s v="06"/>
    <x v="20"/>
    <x v="20"/>
    <n v="3069.6"/>
  </r>
  <r>
    <d v="2025-09-08T00:00:00"/>
    <s v="OPT-NIFTY-09-Sep-2025-24750-P-E-I"/>
    <s v="NSE"/>
    <x v="0"/>
    <n v="150"/>
    <n v="0"/>
    <n v="19.95"/>
    <n v="2992.5"/>
    <s v="#202509083700029135"/>
    <n v="2.99"/>
    <n v="1.06"/>
    <n v="0"/>
    <n v="0"/>
    <n v="58"/>
    <n v="10.64"/>
    <n v="72.69"/>
    <n v="2025"/>
    <n v="9"/>
    <n v="2025"/>
    <n v="6"/>
    <s v="06"/>
    <x v="20"/>
    <x v="20"/>
    <n v="2919.81"/>
  </r>
  <r>
    <d v="2025-09-08T00:00:00"/>
    <s v="OPT-NIFTY-09-Sep-2025-24750-P-E-I"/>
    <s v="NSE"/>
    <x v="1"/>
    <n v="450"/>
    <n v="0"/>
    <n v="30.4"/>
    <n v="13680"/>
    <s v="#202509083700016674"/>
    <n v="0"/>
    <n v="4.8600000000000003"/>
    <n v="0"/>
    <n v="0.01"/>
    <n v="174"/>
    <n v="32.200000000000003"/>
    <n v="211.07"/>
    <n v="2025"/>
    <n v="9"/>
    <n v="2025"/>
    <n v="6"/>
    <s v="06"/>
    <x v="20"/>
    <x v="20"/>
    <n v="-13891.07"/>
  </r>
  <r>
    <d v="2025-09-08T00:00:00"/>
    <s v="OPT-NIFTY-09-Sep-2025-24750-P-E-I"/>
    <s v="NSE"/>
    <x v="1"/>
    <n v="450"/>
    <n v="0"/>
    <n v="31.9"/>
    <n v="14355"/>
    <s v="#202509083700016156"/>
    <n v="0"/>
    <n v="5.0999999999999996"/>
    <n v="2"/>
    <n v="0.01"/>
    <n v="174"/>
    <n v="32.24"/>
    <n v="213.35"/>
    <n v="2025"/>
    <n v="9"/>
    <n v="2025"/>
    <n v="6"/>
    <s v="06"/>
    <x v="20"/>
    <x v="20"/>
    <n v="-14568.35"/>
  </r>
  <r>
    <d v="2025-09-08T00:00:00"/>
    <s v="OPT-NIFTY-09-Sep-2025-24750-P-E-I"/>
    <s v="NSE"/>
    <x v="1"/>
    <n v="450"/>
    <n v="0"/>
    <n v="41.05"/>
    <n v="18472.5"/>
    <s v="#202509083700014695"/>
    <n v="0"/>
    <n v="6.56"/>
    <n v="0"/>
    <n v="0.02"/>
    <n v="174"/>
    <n v="32.5"/>
    <n v="213.08"/>
    <n v="2025"/>
    <n v="9"/>
    <n v="2025"/>
    <n v="6"/>
    <s v="06"/>
    <x v="20"/>
    <x v="20"/>
    <n v="-18685.580000000002"/>
  </r>
  <r>
    <d v="2025-09-08T00:00:00"/>
    <s v="OPT-NIFTY-09-Sep-2025-24750-P-E-I"/>
    <s v="NSE"/>
    <x v="0"/>
    <n v="900"/>
    <n v="0"/>
    <n v="37.950000000000003"/>
    <n v="34155"/>
    <s v="#202509083700011120"/>
    <n v="34.42"/>
    <n v="12.14"/>
    <n v="0"/>
    <n v="0.03"/>
    <n v="348"/>
    <n v="64.84"/>
    <n v="459.43"/>
    <n v="2025"/>
    <n v="9"/>
    <n v="2025"/>
    <n v="6"/>
    <s v="06"/>
    <x v="20"/>
    <x v="20"/>
    <n v="33695.57"/>
  </r>
  <r>
    <d v="2025-09-08T00:00:00"/>
    <s v="OPT-NIFTY-09-Sep-2025-24750-P-E-I"/>
    <s v="NSE"/>
    <x v="1"/>
    <n v="450"/>
    <n v="0"/>
    <n v="34.950000000000003"/>
    <n v="15727.5"/>
    <s v="#202509083700010728"/>
    <n v="0"/>
    <n v="5.58"/>
    <n v="0"/>
    <n v="0.02"/>
    <n v="174"/>
    <n v="32.32"/>
    <n v="211.92"/>
    <n v="2025"/>
    <n v="9"/>
    <n v="2025"/>
    <n v="6"/>
    <s v="06"/>
    <x v="20"/>
    <x v="20"/>
    <n v="-15939.42"/>
  </r>
  <r>
    <d v="2025-09-08T00:00:00"/>
    <s v="OPT-NIFTY-09-Sep-2025-24750-P-E-I"/>
    <s v="NSE"/>
    <x v="1"/>
    <n v="450"/>
    <n v="0"/>
    <n v="38.65"/>
    <n v="17392.5"/>
    <s v="#202509083700010231"/>
    <n v="0"/>
    <n v="6.18"/>
    <n v="0"/>
    <n v="0.01"/>
    <n v="174"/>
    <n v="32.42"/>
    <n v="212.61"/>
    <n v="2025"/>
    <n v="9"/>
    <n v="2025"/>
    <n v="6"/>
    <s v="06"/>
    <x v="20"/>
    <x v="20"/>
    <n v="-17605.11"/>
  </r>
  <r>
    <d v="2025-09-09T00:00:00"/>
    <s v="OPT-NIFTY-09-Sep-2025-24750-P-E-I"/>
    <s v="NSE"/>
    <x v="0"/>
    <n v="900"/>
    <n v="0"/>
    <n v="3.45"/>
    <n v="3105"/>
    <s v="#202509093700032000"/>
    <n v="3.11"/>
    <n v="1.1000000000000001"/>
    <n v="0"/>
    <n v="0"/>
    <n v="348"/>
    <n v="62.84"/>
    <n v="415.05"/>
    <n v="2025"/>
    <n v="9"/>
    <n v="2025"/>
    <n v="6"/>
    <s v="06"/>
    <x v="20"/>
    <x v="20"/>
    <n v="2689.95"/>
  </r>
  <r>
    <d v="2025-09-09T00:00:00"/>
    <s v="OPT-NIFTY-09-Sep-2025-24750-P-E-I"/>
    <s v="NSE"/>
    <x v="0"/>
    <n v="1500"/>
    <n v="0"/>
    <n v="3.65"/>
    <n v="5475"/>
    <s v="#202509093700031951"/>
    <n v="5.48"/>
    <n v="1.95"/>
    <n v="0"/>
    <n v="0.01"/>
    <n v="580"/>
    <n v="104.76"/>
    <n v="692.2"/>
    <n v="2025"/>
    <n v="9"/>
    <n v="2025"/>
    <n v="6"/>
    <s v="06"/>
    <x v="20"/>
    <x v="20"/>
    <n v="4782.8"/>
  </r>
  <r>
    <d v="2025-09-09T00:00:00"/>
    <s v="OPT-NIFTY-09-Sep-2025-24750-P-E-I"/>
    <s v="NSE"/>
    <x v="0"/>
    <n v="1500"/>
    <n v="0"/>
    <n v="3.3"/>
    <n v="4950"/>
    <s v="#202509093700031817"/>
    <n v="4.95"/>
    <n v="1.76"/>
    <n v="0"/>
    <n v="0"/>
    <n v="580"/>
    <n v="104.72"/>
    <n v="691.43"/>
    <n v="2025"/>
    <n v="9"/>
    <n v="2025"/>
    <n v="6"/>
    <s v="06"/>
    <x v="20"/>
    <x v="20"/>
    <n v="4258.57"/>
  </r>
  <r>
    <d v="2025-09-09T00:00:00"/>
    <s v="OPT-NIFTY-09-Sep-2025-24750-P-E-I"/>
    <s v="NSE"/>
    <x v="0"/>
    <n v="1500"/>
    <n v="0"/>
    <n v="3.4"/>
    <n v="5100"/>
    <s v="#202509093700031713"/>
    <n v="5.0999999999999996"/>
    <n v="1.81"/>
    <n v="0"/>
    <n v="0"/>
    <n v="580"/>
    <n v="104.74"/>
    <n v="691.65"/>
    <n v="2025"/>
    <n v="9"/>
    <n v="2025"/>
    <n v="6"/>
    <s v="06"/>
    <x v="20"/>
    <x v="20"/>
    <n v="4408.3500000000004"/>
  </r>
  <r>
    <d v="2025-09-09T00:00:00"/>
    <s v="OPT-NIFTY-09-Sep-2025-24750-P-E-I"/>
    <s v="NSE"/>
    <x v="1"/>
    <n v="1350"/>
    <n v="0"/>
    <n v="9.25"/>
    <n v="12487.5"/>
    <s v="#202509093700024548"/>
    <n v="0"/>
    <n v="4.4400000000000004"/>
    <n v="0"/>
    <n v="0.01"/>
    <n v="522"/>
    <n v="94.76"/>
    <n v="621.21"/>
    <n v="2025"/>
    <n v="9"/>
    <n v="2025"/>
    <n v="6"/>
    <s v="06"/>
    <x v="20"/>
    <x v="20"/>
    <n v="-13108.71"/>
  </r>
  <r>
    <d v="2025-09-09T00:00:00"/>
    <s v="OPT-NIFTY-09-Sep-2025-24750-P-E-I"/>
    <s v="NSE"/>
    <x v="1"/>
    <n v="1350"/>
    <n v="0"/>
    <n v="10.7"/>
    <n v="14445"/>
    <s v="#202509093700022732"/>
    <n v="0"/>
    <n v="5.14"/>
    <n v="0"/>
    <n v="0.01"/>
    <n v="522"/>
    <n v="94.88"/>
    <n v="622.03"/>
    <n v="2025"/>
    <n v="9"/>
    <n v="2025"/>
    <n v="6"/>
    <s v="06"/>
    <x v="20"/>
    <x v="20"/>
    <n v="-15067.03"/>
  </r>
  <r>
    <d v="2025-09-09T00:00:00"/>
    <s v="OPT-NIFTY-09-Sep-2025-24750-P-E-I"/>
    <s v="NSE"/>
    <x v="1"/>
    <n v="1350"/>
    <n v="0"/>
    <n v="14.25"/>
    <n v="19237.5"/>
    <s v="#202509093700021839"/>
    <n v="0"/>
    <n v="6.84"/>
    <n v="2.2200000000000002"/>
    <n v="0.02"/>
    <n v="522"/>
    <n v="95.2"/>
    <n v="626.28"/>
    <n v="2025"/>
    <n v="9"/>
    <n v="2025"/>
    <n v="6"/>
    <s v="06"/>
    <x v="20"/>
    <x v="20"/>
    <n v="-19863.78"/>
  </r>
  <r>
    <d v="2025-09-09T00:00:00"/>
    <s v="OPT-NIFTY-09-Sep-2025-24750-P-E-I"/>
    <s v="NSE"/>
    <x v="1"/>
    <n v="1350"/>
    <n v="0"/>
    <n v="16.3"/>
    <n v="22005"/>
    <s v="#202509093700021666"/>
    <n v="0"/>
    <n v="7.81"/>
    <n v="0"/>
    <n v="0.02"/>
    <n v="522"/>
    <n v="95.36"/>
    <n v="625.19000000000005"/>
    <n v="2025"/>
    <n v="9"/>
    <n v="2025"/>
    <n v="6"/>
    <s v="06"/>
    <x v="20"/>
    <x v="20"/>
    <n v="-22630.19"/>
  </r>
  <r>
    <d v="2025-09-09T00:00:00"/>
    <s v="OPT-NIFTY-09-Sep-2025-24850-P-E-I"/>
    <s v="NSE"/>
    <x v="0"/>
    <n v="450"/>
    <n v="0"/>
    <n v="57.95"/>
    <n v="26077.5"/>
    <s v="#202509093700011440"/>
    <n v="26.09"/>
    <n v="9.26"/>
    <n v="0"/>
    <n v="0.02"/>
    <n v="174"/>
    <n v="33"/>
    <n v="242.37"/>
    <n v="2025"/>
    <n v="9"/>
    <n v="2025"/>
    <n v="6"/>
    <s v="06"/>
    <x v="20"/>
    <x v="20"/>
    <n v="25835.13"/>
  </r>
  <r>
    <d v="2025-09-09T00:00:00"/>
    <s v="OPT-NIFTY-09-Sep-2025-24850-P-E-I"/>
    <s v="NSE"/>
    <x v="1"/>
    <n v="450"/>
    <n v="0"/>
    <n v="53.25"/>
    <n v="23962.5"/>
    <s v="#202509093700011365"/>
    <n v="0"/>
    <n v="8.51"/>
    <n v="0.72"/>
    <n v="0.02"/>
    <n v="174"/>
    <n v="32.86"/>
    <n v="216.11"/>
    <n v="2025"/>
    <n v="9"/>
    <n v="2025"/>
    <n v="6"/>
    <s v="06"/>
    <x v="20"/>
    <x v="20"/>
    <n v="-24178.61"/>
  </r>
  <r>
    <d v="2025-09-09T00:00:00"/>
    <s v="OPT-NIFTY-09-Sep-2025-24850-C-E-I"/>
    <s v="NSE"/>
    <x v="0"/>
    <n v="750"/>
    <n v="0"/>
    <n v="52.95"/>
    <n v="39712.5"/>
    <s v="#202509093700006739"/>
    <n v="39.28"/>
    <n v="14.1"/>
    <n v="0"/>
    <n v="0.02"/>
    <n v="290"/>
    <n v="54.76"/>
    <n v="398.16"/>
    <n v="2025"/>
    <n v="9"/>
    <n v="2025"/>
    <n v="6"/>
    <s v="06"/>
    <x v="20"/>
    <x v="20"/>
    <n v="39314.339999999997"/>
  </r>
  <r>
    <d v="2025-09-09T00:00:00"/>
    <s v="OPT-NIFTY-09-Sep-2025-24850-C-E-I"/>
    <s v="NSE"/>
    <x v="1"/>
    <n v="750"/>
    <n v="0"/>
    <n v="47.05"/>
    <n v="35287.5"/>
    <s v="#202509093700005552"/>
    <n v="0"/>
    <n v="12.54"/>
    <n v="1.06"/>
    <n v="0.04"/>
    <n v="290"/>
    <n v="54.48"/>
    <n v="358.12"/>
    <n v="2025"/>
    <n v="9"/>
    <n v="2025"/>
    <n v="6"/>
    <s v="06"/>
    <x v="20"/>
    <x v="20"/>
    <n v="-35645.620000000003"/>
  </r>
  <r>
    <d v="2025-09-10T00:00:00"/>
    <s v="OPT-NIFTY-16-Sep-2025-24950-P-E-I"/>
    <s v="NSE"/>
    <x v="0"/>
    <n v="225"/>
    <n v="0"/>
    <n v="87.8"/>
    <n v="19755"/>
    <s v="#202509103700014903"/>
    <n v="19.760000000000002"/>
    <n v="7.02"/>
    <n v="0"/>
    <n v="0.02"/>
    <n v="87"/>
    <n v="16.920000000000002"/>
    <n v="130.72"/>
    <n v="2025"/>
    <n v="9"/>
    <n v="2025"/>
    <n v="6"/>
    <s v="06"/>
    <x v="20"/>
    <x v="20"/>
    <n v="19624.28"/>
  </r>
  <r>
    <d v="2025-09-10T00:00:00"/>
    <s v="OPT-NIFTY-16-Sep-2025-24950-P-E-I"/>
    <s v="NSE"/>
    <x v="1"/>
    <n v="225"/>
    <n v="0"/>
    <n v="90.8"/>
    <n v="20430"/>
    <s v="#202509103700014737"/>
    <n v="0"/>
    <n v="7.26"/>
    <n v="0.61"/>
    <n v="0.02"/>
    <n v="87"/>
    <n v="16.98"/>
    <n v="111.87"/>
    <n v="2025"/>
    <n v="9"/>
    <n v="2025"/>
    <n v="6"/>
    <s v="06"/>
    <x v="20"/>
    <x v="20"/>
    <n v="-20541.87"/>
  </r>
  <r>
    <d v="2025-09-10T00:00:00"/>
    <s v="OPT-NIFTY-16-Sep-2025-25000-C-E-I"/>
    <s v="NSE"/>
    <x v="0"/>
    <n v="150"/>
    <n v="0"/>
    <n v="119"/>
    <n v="17850"/>
    <s v="#202509103700013709"/>
    <n v="17.850000000000001"/>
    <n v="6.34"/>
    <n v="0"/>
    <n v="0.02"/>
    <n v="58"/>
    <n v="11.58"/>
    <n v="93.79"/>
    <n v="2025"/>
    <n v="9"/>
    <n v="2025"/>
    <n v="6"/>
    <s v="06"/>
    <x v="20"/>
    <x v="20"/>
    <n v="17756.21"/>
  </r>
  <r>
    <d v="2025-09-10T00:00:00"/>
    <s v="OPT-NIFTY-16-Sep-2025-25000-C-E-I"/>
    <s v="NSE"/>
    <x v="1"/>
    <n v="150"/>
    <n v="0"/>
    <n v="121.9"/>
    <n v="18285"/>
    <s v="#202509103700013511"/>
    <n v="0"/>
    <n v="6.5"/>
    <n v="1.39"/>
    <n v="0.02"/>
    <n v="58"/>
    <n v="11.62"/>
    <n v="77.53"/>
    <n v="2025"/>
    <n v="9"/>
    <n v="2025"/>
    <n v="6"/>
    <s v="06"/>
    <x v="20"/>
    <x v="20"/>
    <n v="-18362.53"/>
  </r>
  <r>
    <d v="2025-09-10T00:00:00"/>
    <s v="OPT-NIFTY-16-Sep-2025-25000-C-E-I"/>
    <s v="NSE"/>
    <x v="0"/>
    <n v="150"/>
    <n v="0"/>
    <n v="118.7"/>
    <n v="17805"/>
    <s v="#202509103700013364"/>
    <n v="17.399999999999999"/>
    <n v="6.33"/>
    <n v="0"/>
    <n v="0.02"/>
    <n v="58"/>
    <n v="11.58"/>
    <n v="93.33"/>
    <n v="2025"/>
    <n v="9"/>
    <n v="2025"/>
    <n v="6"/>
    <s v="06"/>
    <x v="20"/>
    <x v="20"/>
    <n v="17711.669999999998"/>
  </r>
  <r>
    <d v="2025-09-10T00:00:00"/>
    <s v="OPT-NIFTY-16-Sep-2025-25000-C-E-I"/>
    <s v="NSE"/>
    <x v="1"/>
    <n v="75"/>
    <n v="0"/>
    <n v="125.05"/>
    <n v="9378.75"/>
    <s v="#202509103700012986"/>
    <n v="0"/>
    <n v="3.33"/>
    <n v="0"/>
    <n v="0.01"/>
    <n v="29"/>
    <n v="5.82"/>
    <n v="38.159999999999997"/>
    <n v="2025"/>
    <n v="9"/>
    <n v="2025"/>
    <n v="6"/>
    <s v="06"/>
    <x v="20"/>
    <x v="20"/>
    <n v="-9416.91"/>
  </r>
  <r>
    <d v="2025-09-10T00:00:00"/>
    <s v="OPT-NIFTY-16-Sep-2025-25000-C-E-I"/>
    <s v="NSE"/>
    <x v="1"/>
    <n v="75"/>
    <n v="0"/>
    <n v="128.5"/>
    <n v="9637.5"/>
    <s v="#202509103700012844"/>
    <n v="0"/>
    <n v="3.42"/>
    <n v="0"/>
    <n v="0.01"/>
    <n v="29"/>
    <n v="5.84"/>
    <n v="38.270000000000003"/>
    <n v="2025"/>
    <n v="9"/>
    <n v="2025"/>
    <n v="6"/>
    <s v="06"/>
    <x v="20"/>
    <x v="20"/>
    <n v="-9675.77"/>
  </r>
  <r>
    <d v="2025-11-04T00:00:00"/>
    <s v="OPT-NIFTY-04-Nov-2025-25750-P-E-I"/>
    <s v="NSE"/>
    <x v="0"/>
    <n v="450"/>
    <n v="0"/>
    <n v="78.900000000000006"/>
    <n v="35505"/>
    <s v="#202511043700006125"/>
    <n v="36"/>
    <n v="12.61"/>
    <n v="0"/>
    <n v="0.04"/>
    <n v="174"/>
    <n v="33.6"/>
    <n v="256.25"/>
    <n v="2025"/>
    <n v="11"/>
    <n v="2025"/>
    <n v="8"/>
    <s v="08"/>
    <x v="21"/>
    <x v="21"/>
    <n v="35248.75"/>
  </r>
  <r>
    <d v="2025-11-04T00:00:00"/>
    <s v="OPT-NIFTY-04-Nov-2025-25750-P-E-I"/>
    <s v="NSE"/>
    <x v="1"/>
    <n v="450"/>
    <n v="0"/>
    <n v="71.25"/>
    <n v="32062.5"/>
    <s v="#202511043700005997"/>
    <n v="0"/>
    <n v="11.4"/>
    <n v="1"/>
    <n v="0.04"/>
    <n v="174"/>
    <n v="33.36"/>
    <n v="219.8"/>
    <n v="2025"/>
    <n v="11"/>
    <n v="2025"/>
    <n v="8"/>
    <s v="08"/>
    <x v="21"/>
    <x v="21"/>
    <n v="-32282.3"/>
  </r>
  <r>
    <d v="2025-11-10T00:00:00"/>
    <s v="OPT-NIFTY-11-Nov-2025-25600-C-E-I"/>
    <s v="NSE"/>
    <x v="0"/>
    <n v="75"/>
    <n v="0"/>
    <n v="84.85"/>
    <n v="6363.75"/>
    <s v="#202511103700016322"/>
    <n v="6.36"/>
    <n v="2.2599999999999998"/>
    <n v="0"/>
    <n v="0.01"/>
    <n v="29"/>
    <n v="5.62"/>
    <n v="43.25"/>
    <n v="2025"/>
    <n v="11"/>
    <n v="2025"/>
    <n v="8"/>
    <s v="08"/>
    <x v="21"/>
    <x v="21"/>
    <n v="6320.5"/>
  </r>
  <r>
    <d v="2025-11-10T00:00:00"/>
    <s v="OPT-NIFTY-11-Nov-2025-25600-C-E-I"/>
    <s v="NSE"/>
    <x v="1"/>
    <n v="75"/>
    <n v="0"/>
    <n v="80.55"/>
    <n v="6041.25"/>
    <s v="#202511103700015958"/>
    <n v="0"/>
    <n v="2.15"/>
    <n v="0"/>
    <n v="0.01"/>
    <n v="29"/>
    <n v="5.6"/>
    <n v="36.76"/>
    <n v="2025"/>
    <n v="11"/>
    <n v="2025"/>
    <n v="8"/>
    <s v="08"/>
    <x v="21"/>
    <x v="21"/>
    <n v="-6078.01"/>
  </r>
  <r>
    <d v="2025-11-10T00:00:00"/>
    <s v="OPT-NIFTY-11-Nov-2025-25650-P-E-I"/>
    <s v="NSE"/>
    <x v="0"/>
    <n v="75"/>
    <n v="0"/>
    <n v="64.25"/>
    <n v="4818.75"/>
    <s v="#202511103700012959"/>
    <n v="4.6399999999999997"/>
    <n v="1.71"/>
    <n v="0"/>
    <n v="0"/>
    <n v="29"/>
    <n v="5.52"/>
    <n v="40.869999999999997"/>
    <n v="2025"/>
    <n v="11"/>
    <n v="2025"/>
    <n v="8"/>
    <s v="08"/>
    <x v="21"/>
    <x v="21"/>
    <n v="4777.88"/>
  </r>
  <r>
    <d v="2025-11-10T00:00:00"/>
    <s v="OPT-NIFTY-11-Nov-2025-25650-P-E-I"/>
    <s v="NSE"/>
    <x v="1"/>
    <n v="75"/>
    <n v="0"/>
    <n v="68.3"/>
    <n v="5122.5"/>
    <s v="#202511103700012854"/>
    <n v="0"/>
    <n v="1.82"/>
    <n v="0"/>
    <n v="0.01"/>
    <n v="29"/>
    <n v="5.54"/>
    <n v="36.369999999999997"/>
    <n v="2025"/>
    <n v="11"/>
    <n v="2025"/>
    <n v="8"/>
    <s v="08"/>
    <x v="21"/>
    <x v="21"/>
    <n v="-5158.87"/>
  </r>
  <r>
    <d v="2025-11-12T00:00:00"/>
    <s v="OPT-NIFTY-18-Nov-2025-25850-P-E-I"/>
    <s v="NSE"/>
    <x v="1"/>
    <n v="75"/>
    <n v="0"/>
    <n v="97.35"/>
    <n v="7301.25"/>
    <s v="#202511123700013669"/>
    <n v="0"/>
    <n v="2.59"/>
    <n v="0"/>
    <n v="0.01"/>
    <n v="29"/>
    <n v="5.68"/>
    <n v="37.28"/>
    <n v="2025"/>
    <n v="11"/>
    <n v="2025"/>
    <n v="8"/>
    <s v="08"/>
    <x v="21"/>
    <x v="21"/>
    <n v="-7338.53"/>
  </r>
  <r>
    <d v="2025-11-12T00:00:00"/>
    <s v="OPT-NIFTY-18-Nov-2025-25950-C-E-I"/>
    <s v="NSE"/>
    <x v="0"/>
    <n v="75"/>
    <n v="0"/>
    <n v="102.1"/>
    <n v="7657.5"/>
    <s v="#202511123700009214"/>
    <n v="8"/>
    <n v="2.72"/>
    <n v="0"/>
    <n v="0.01"/>
    <n v="29"/>
    <n v="5.72"/>
    <n v="45.45"/>
    <n v="2025"/>
    <n v="11"/>
    <n v="2025"/>
    <n v="8"/>
    <s v="08"/>
    <x v="21"/>
    <x v="21"/>
    <n v="7612.05"/>
  </r>
  <r>
    <d v="2025-11-12T00:00:00"/>
    <s v="OPT-NIFTY-18-Nov-2025-25950-C-E-I"/>
    <s v="NSE"/>
    <x v="1"/>
    <n v="75"/>
    <n v="0"/>
    <n v="113.35"/>
    <n v="8501.25"/>
    <s v="#202511123700007622"/>
    <n v="0"/>
    <n v="3.02"/>
    <n v="0"/>
    <n v="0.01"/>
    <n v="29"/>
    <n v="5.76"/>
    <n v="37.79"/>
    <n v="2025"/>
    <n v="11"/>
    <n v="2025"/>
    <n v="8"/>
    <s v="08"/>
    <x v="21"/>
    <x v="21"/>
    <n v="-8539.0400000000009"/>
  </r>
  <r>
    <d v="2025-11-13T00:00:00"/>
    <s v="OPT-NIFTY-18-Nov-2025-25850-P-E-I"/>
    <s v="NSE"/>
    <x v="0"/>
    <n v="75"/>
    <n v="0"/>
    <n v="119"/>
    <n v="8925"/>
    <s v="#202511132600000650"/>
    <n v="9"/>
    <n v="3.17"/>
    <n v="0"/>
    <n v="0.01"/>
    <n v="29"/>
    <n v="5.8"/>
    <n v="46.98"/>
    <n v="2025"/>
    <n v="11"/>
    <n v="2025"/>
    <n v="8"/>
    <s v="08"/>
    <x v="21"/>
    <x v="21"/>
    <n v="8878.02"/>
  </r>
  <r>
    <d v="2025-11-14T00:00:00"/>
    <s v="OPT-NIFTY-18-Nov-2025-25750-P-E-I"/>
    <s v="NSE"/>
    <x v="0"/>
    <n v="150"/>
    <n v="0"/>
    <n v="74.900000000000006"/>
    <n v="11235"/>
    <s v="#202511143700019554"/>
    <n v="11"/>
    <n v="4"/>
    <n v="0"/>
    <n v="0.02"/>
    <n v="58"/>
    <n v="11.16"/>
    <n v="84.18"/>
    <n v="2025"/>
    <n v="11"/>
    <n v="2025"/>
    <n v="8"/>
    <s v="08"/>
    <x v="21"/>
    <x v="21"/>
    <n v="11150.82"/>
  </r>
  <r>
    <d v="2025-11-14T00:00:00"/>
    <s v="OPT-NIFTY-18-Nov-2025-25750-P-E-I"/>
    <s v="NSE"/>
    <x v="1"/>
    <n v="75"/>
    <n v="0"/>
    <n v="62.95"/>
    <n v="4721.25"/>
    <s v="#202511143700018575"/>
    <n v="0"/>
    <n v="1.68"/>
    <n v="0"/>
    <n v="0"/>
    <n v="29"/>
    <n v="5.52"/>
    <n v="36.200000000000003"/>
    <n v="2025"/>
    <n v="11"/>
    <n v="2025"/>
    <n v="8"/>
    <s v="08"/>
    <x v="21"/>
    <x v="21"/>
    <n v="-4757.45"/>
  </r>
  <r>
    <d v="2025-11-14T00:00:00"/>
    <s v="OPT-NIFTY-18-Nov-2025-25750-P-E-I"/>
    <s v="NSE"/>
    <x v="1"/>
    <n v="75"/>
    <n v="0"/>
    <n v="76.349999999999994"/>
    <n v="5726.25"/>
    <s v="#202511143700018296"/>
    <n v="0"/>
    <n v="2.0299999999999998"/>
    <n v="0"/>
    <n v="0.01"/>
    <n v="29"/>
    <n v="5.58"/>
    <n v="36.619999999999997"/>
    <n v="2025"/>
    <n v="11"/>
    <n v="2025"/>
    <n v="8"/>
    <s v="08"/>
    <x v="21"/>
    <x v="21"/>
    <n v="-5762.87"/>
  </r>
  <r>
    <d v="2025-11-17T00:00:00"/>
    <s v="OPT-NIFTY-18-Nov-2025-26000-P-E-I"/>
    <s v="NSE"/>
    <x v="0"/>
    <n v="75"/>
    <n v="0"/>
    <n v="97.25"/>
    <n v="7293.75"/>
    <s v="#202511173700005651"/>
    <n v="7"/>
    <n v="2.59"/>
    <n v="0"/>
    <n v="0.01"/>
    <n v="29"/>
    <n v="5.68"/>
    <n v="44.28"/>
    <n v="2025"/>
    <n v="11"/>
    <n v="2025"/>
    <n v="8"/>
    <s v="08"/>
    <x v="21"/>
    <x v="21"/>
    <n v="7249.47"/>
  </r>
  <r>
    <d v="2025-11-17T00:00:00"/>
    <s v="OPT-NIFTY-18-Nov-2025-26000-P-E-I"/>
    <s v="NSE"/>
    <x v="1"/>
    <n v="75"/>
    <n v="0"/>
    <n v="87.1"/>
    <n v="6532.5"/>
    <s v="#202511173700004824"/>
    <n v="0"/>
    <n v="2.3199999999999998"/>
    <n v="0"/>
    <n v="0.01"/>
    <n v="29"/>
    <n v="5.64"/>
    <n v="36.97"/>
    <n v="2025"/>
    <n v="11"/>
    <n v="2025"/>
    <n v="8"/>
    <s v="08"/>
    <x v="21"/>
    <x v="21"/>
    <n v="-6569.47"/>
  </r>
  <r>
    <d v="2025-11-18T00:00:00"/>
    <s v="OPT-NIFTY-18-Nov-2025-26000-P-E-I"/>
    <s v="NSE"/>
    <x v="0"/>
    <n v="300"/>
    <n v="0"/>
    <n v="28.85"/>
    <n v="8655"/>
    <s v="#202511183700027198"/>
    <n v="8.66"/>
    <n v="3.08"/>
    <n v="0"/>
    <n v="0"/>
    <n v="116"/>
    <n v="21.44"/>
    <n v="149.18"/>
    <n v="2025"/>
    <n v="11"/>
    <n v="2025"/>
    <n v="8"/>
    <s v="08"/>
    <x v="21"/>
    <x v="21"/>
    <n v="8505.82"/>
  </r>
  <r>
    <d v="2025-11-18T00:00:00"/>
    <s v="OPT-NIFTY-18-Nov-2025-26000-P-E-I"/>
    <s v="NSE"/>
    <x v="0"/>
    <n v="75"/>
    <n v="0"/>
    <n v="45.25"/>
    <n v="3393.75"/>
    <s v="#202511183700026903"/>
    <n v="3.39"/>
    <n v="1.21"/>
    <n v="0"/>
    <n v="0"/>
    <n v="29"/>
    <n v="5.44"/>
    <n v="39.04"/>
    <n v="2025"/>
    <n v="11"/>
    <n v="2025"/>
    <n v="8"/>
    <s v="08"/>
    <x v="21"/>
    <x v="21"/>
    <n v="3354.71"/>
  </r>
  <r>
    <d v="2025-11-18T00:00:00"/>
    <s v="OPT-NIFTY-18-Nov-2025-26000-P-E-I"/>
    <s v="NSE"/>
    <x v="1"/>
    <n v="75"/>
    <n v="0"/>
    <n v="76.650000000000006"/>
    <n v="5748.75"/>
    <s v="#202511183700022527"/>
    <n v="0"/>
    <n v="2.04"/>
    <n v="0"/>
    <n v="0.01"/>
    <n v="29"/>
    <n v="5.58"/>
    <n v="36.630000000000003"/>
    <n v="2025"/>
    <n v="11"/>
    <n v="2025"/>
    <n v="8"/>
    <s v="08"/>
    <x v="21"/>
    <x v="21"/>
    <n v="-5785.38"/>
  </r>
  <r>
    <d v="2025-11-18T00:00:00"/>
    <s v="OPT-NIFTY-18-Nov-2025-26000-P-E-I"/>
    <s v="NSE"/>
    <x v="1"/>
    <n v="300"/>
    <n v="0"/>
    <n v="79.7"/>
    <n v="23910"/>
    <s v="#202511183700022281"/>
    <n v="0"/>
    <n v="8.49"/>
    <n v="0"/>
    <n v="0.03"/>
    <n v="116"/>
    <n v="22.4"/>
    <n v="146.91999999999999"/>
    <n v="2025"/>
    <n v="11"/>
    <n v="2025"/>
    <n v="8"/>
    <s v="08"/>
    <x v="21"/>
    <x v="21"/>
    <n v="-24056.92"/>
  </r>
  <r>
    <d v="2025-11-18T00:00:00"/>
    <s v="OPT-NIFTY-18-Nov-2025-26000-P-E-I"/>
    <s v="NSE"/>
    <x v="0"/>
    <n v="375"/>
    <n v="0"/>
    <n v="59.9"/>
    <n v="22462.5"/>
    <s v="#202511183700019883"/>
    <n v="22.46"/>
    <n v="7.99"/>
    <n v="0"/>
    <n v="0.01"/>
    <n v="145"/>
    <n v="27.52"/>
    <n v="202.98"/>
    <n v="2025"/>
    <n v="11"/>
    <n v="2025"/>
    <n v="8"/>
    <s v="08"/>
    <x v="21"/>
    <x v="21"/>
    <n v="22259.52"/>
  </r>
  <r>
    <d v="2025-11-18T00:00:00"/>
    <s v="OPT-NIFTY-18-Nov-2025-26000-P-E-I"/>
    <s v="NSE"/>
    <x v="1"/>
    <n v="375"/>
    <n v="0"/>
    <n v="52.25"/>
    <n v="19593.75"/>
    <s v="#202511183700019807"/>
    <n v="0"/>
    <n v="6.96"/>
    <n v="1.0900000000000001"/>
    <n v="0.01"/>
    <n v="145"/>
    <n v="27.38"/>
    <n v="180.44"/>
    <n v="2025"/>
    <n v="11"/>
    <n v="2025"/>
    <n v="8"/>
    <s v="08"/>
    <x v="21"/>
    <x v="21"/>
    <n v="-19774.189999999999"/>
  </r>
  <r>
    <d v="2025-11-18T00:00:00"/>
    <s v="OPT-NIFTY-18-Nov-2025-26000-C-E-I"/>
    <s v="NSE"/>
    <x v="0"/>
    <n v="750"/>
    <n v="0"/>
    <n v="30.1"/>
    <n v="22575"/>
    <s v="#202511183700018572"/>
    <n v="22.49"/>
    <n v="8.02"/>
    <n v="0"/>
    <n v="0.02"/>
    <n v="290"/>
    <n v="53.64"/>
    <n v="374.17"/>
    <n v="2025"/>
    <n v="11"/>
    <n v="2025"/>
    <n v="8"/>
    <s v="08"/>
    <x v="21"/>
    <x v="21"/>
    <n v="22200.83"/>
  </r>
  <r>
    <d v="2025-11-18T00:00:00"/>
    <s v="OPT-NIFTY-18-Nov-2025-26000-C-E-I"/>
    <s v="NSE"/>
    <x v="1"/>
    <n v="75"/>
    <n v="0"/>
    <n v="37.9"/>
    <n v="2842.5"/>
    <s v="#202511183700004571"/>
    <n v="0"/>
    <n v="1.01"/>
    <n v="0"/>
    <n v="0"/>
    <n v="29"/>
    <n v="5.4"/>
    <n v="35.409999999999997"/>
    <n v="2025"/>
    <n v="11"/>
    <n v="2025"/>
    <n v="8"/>
    <s v="08"/>
    <x v="21"/>
    <x v="21"/>
    <n v="-2877.91"/>
  </r>
  <r>
    <d v="2025-11-18T00:00:00"/>
    <s v="OPT-NIFTY-18-Nov-2025-26000-C-E-I"/>
    <s v="NSE"/>
    <x v="1"/>
    <n v="225"/>
    <n v="0"/>
    <n v="39.6"/>
    <n v="8910"/>
    <s v="#202511183700004021"/>
    <n v="0"/>
    <n v="3.17"/>
    <n v="0"/>
    <n v="0.01"/>
    <n v="87"/>
    <n v="16.239999999999998"/>
    <n v="106.42"/>
    <n v="2025"/>
    <n v="11"/>
    <n v="2025"/>
    <n v="8"/>
    <s v="08"/>
    <x v="21"/>
    <x v="21"/>
    <n v="-9016.42"/>
  </r>
  <r>
    <d v="2025-11-18T00:00:00"/>
    <s v="OPT-NIFTY-18-Nov-2025-26000-C-E-I"/>
    <s v="NSE"/>
    <x v="1"/>
    <n v="450"/>
    <n v="0"/>
    <n v="40.98"/>
    <n v="18438.75"/>
    <s v="#202511183700003404"/>
    <n v="0"/>
    <n v="6.55"/>
    <n v="0.91"/>
    <n v="0.02"/>
    <n v="174"/>
    <n v="32.520000000000003"/>
    <n v="214"/>
    <n v="2025"/>
    <n v="11"/>
    <n v="2025"/>
    <n v="8"/>
    <s v="08"/>
    <x v="21"/>
    <x v="21"/>
    <n v="-18652.75"/>
  </r>
  <r>
    <d v="2025-11-20T00:00:00"/>
    <s v="OPT-NIFTY-25-Nov-2025-26100-P-E-I"/>
    <s v="NSE"/>
    <x v="1"/>
    <n v="75"/>
    <n v="0"/>
    <n v="103.15"/>
    <n v="7736.25"/>
    <s v="#202511203700008974"/>
    <n v="0"/>
    <n v="2.75"/>
    <n v="0"/>
    <n v="0.01"/>
    <n v="29"/>
    <n v="5.72"/>
    <n v="37.479999999999997"/>
    <n v="2025"/>
    <n v="11"/>
    <n v="2025"/>
    <n v="8"/>
    <s v="08"/>
    <x v="21"/>
    <x v="21"/>
    <n v="-7773.73"/>
  </r>
  <r>
    <d v="2025-11-21T00:00:00"/>
    <s v="OPT-NIFTY-25-Nov-2025-26100-P-E-I"/>
    <s v="NSE"/>
    <x v="0"/>
    <n v="75"/>
    <n v="0"/>
    <n v="119.9"/>
    <n v="8992.5"/>
    <s v="#202511213700007438"/>
    <n v="9"/>
    <n v="3.2"/>
    <n v="0"/>
    <n v="0.01"/>
    <n v="29"/>
    <n v="5.8"/>
    <n v="47.01"/>
    <n v="2025"/>
    <n v="11"/>
    <n v="2025"/>
    <n v="8"/>
    <s v="08"/>
    <x v="21"/>
    <x v="21"/>
    <n v="8945.49"/>
  </r>
  <r>
    <d v="2025-11-24T00:00:00"/>
    <s v="OPT-NIFTY-25-Nov-2025-26100-P-E-I"/>
    <s v="NSE"/>
    <x v="0"/>
    <n v="75"/>
    <n v="0"/>
    <n v="74.75"/>
    <n v="5606.25"/>
    <s v="#202511243700017022"/>
    <n v="6"/>
    <n v="1.99"/>
    <n v="0"/>
    <n v="0.01"/>
    <n v="29"/>
    <n v="5.58"/>
    <n v="42.58"/>
    <n v="2025"/>
    <n v="11"/>
    <n v="2025"/>
    <n v="8"/>
    <s v="08"/>
    <x v="21"/>
    <x v="21"/>
    <n v="5563.67"/>
  </r>
  <r>
    <d v="2025-11-24T00:00:00"/>
    <s v="OPT-NIFTY-25-Nov-2025-26100-P-E-I"/>
    <s v="NSE"/>
    <x v="1"/>
    <n v="75"/>
    <n v="0"/>
    <n v="71.75"/>
    <n v="5381.25"/>
    <s v="#202511243700016998"/>
    <n v="0"/>
    <n v="1.91"/>
    <n v="0"/>
    <n v="0.01"/>
    <n v="29"/>
    <n v="5.56"/>
    <n v="36.479999999999997"/>
    <n v="2025"/>
    <n v="11"/>
    <n v="2025"/>
    <n v="8"/>
    <s v="08"/>
    <x v="21"/>
    <x v="21"/>
    <n v="-5417.73"/>
  </r>
  <r>
    <d v="2025-11-25T00:00:00"/>
    <s v="OPT-NIFTY-25-Nov-2025-25950-P-E-I"/>
    <s v="NSE"/>
    <x v="0"/>
    <n v="450"/>
    <n v="0"/>
    <n v="19.75"/>
    <n v="8887.5"/>
    <s v="#202511253700029325"/>
    <n v="9"/>
    <n v="3.16"/>
    <n v="0"/>
    <n v="0.01"/>
    <n v="174"/>
    <n v="31.9"/>
    <n v="218.07"/>
    <n v="2025"/>
    <n v="11"/>
    <n v="2025"/>
    <n v="8"/>
    <s v="08"/>
    <x v="21"/>
    <x v="21"/>
    <n v="8669.43"/>
  </r>
  <r>
    <d v="2025-11-25T00:00:00"/>
    <s v="OPT-NIFTY-25-Nov-2025-25950-P-E-I"/>
    <s v="NSE"/>
    <x v="1"/>
    <n v="450"/>
    <n v="0"/>
    <n v="14.75"/>
    <n v="6637.5"/>
    <s v="#202511253700025830"/>
    <n v="0"/>
    <n v="2.36"/>
    <n v="0"/>
    <n v="0"/>
    <n v="174"/>
    <n v="31.76"/>
    <n v="208.12"/>
    <n v="2025"/>
    <n v="11"/>
    <n v="2025"/>
    <n v="8"/>
    <s v="08"/>
    <x v="21"/>
    <x v="21"/>
    <n v="-6845.62"/>
  </r>
  <r>
    <d v="2025-11-27T00:00:00"/>
    <s v="OPT-NIFTY-02-Dec-2025-26250-P-E-I"/>
    <s v="NSE"/>
    <x v="1"/>
    <n v="75"/>
    <n v="0"/>
    <n v="109"/>
    <n v="8175"/>
    <s v="#202511273700012267"/>
    <n v="0"/>
    <n v="2.9"/>
    <n v="0"/>
    <n v="0.01"/>
    <n v="29"/>
    <n v="5.74"/>
    <n v="37.65"/>
    <n v="2025"/>
    <n v="11"/>
    <n v="2025"/>
    <n v="8"/>
    <s v="08"/>
    <x v="21"/>
    <x v="21"/>
    <n v="-8212.65"/>
  </r>
  <r>
    <d v="2025-11-28T00:00:00"/>
    <s v="OPT-NIFTY-02-Dec-2025-26100-P-E-I"/>
    <s v="NSE"/>
    <x v="1"/>
    <n v="375"/>
    <n v="0"/>
    <n v="44.1"/>
    <n v="16537.5"/>
    <s v="#202511283700015905"/>
    <n v="0"/>
    <n v="5.88"/>
    <n v="0.76"/>
    <n v="0.02"/>
    <n v="145"/>
    <n v="27.16"/>
    <n v="178.82"/>
    <n v="2025"/>
    <n v="11"/>
    <n v="2025"/>
    <n v="8"/>
    <s v="08"/>
    <x v="21"/>
    <x v="21"/>
    <n v="-16716.32"/>
  </r>
  <r>
    <d v="2025-11-28T00:00:00"/>
    <s v="OPT-NIFTY-02-Dec-2025-26100-P-E-I"/>
    <s v="NSE"/>
    <x v="1"/>
    <n v="75"/>
    <n v="0"/>
    <n v="44.1"/>
    <n v="3307.5"/>
    <s v="#202511283700015879"/>
    <n v="0"/>
    <n v="1.18"/>
    <n v="0"/>
    <n v="0"/>
    <n v="29"/>
    <n v="5.44"/>
    <n v="35.619999999999997"/>
    <n v="2025"/>
    <n v="11"/>
    <n v="2025"/>
    <n v="8"/>
    <s v="08"/>
    <x v="21"/>
    <x v="21"/>
    <n v="-3343.12"/>
  </r>
  <r>
    <d v="2025-11-28T00:00:00"/>
    <s v="OPT-NIFTY-02-Dec-2025-26200-C-E-I"/>
    <s v="NSE"/>
    <x v="0"/>
    <n v="75"/>
    <n v="0"/>
    <n v="105"/>
    <n v="7875"/>
    <s v="#202511283700015412"/>
    <n v="8"/>
    <n v="2.8"/>
    <n v="0"/>
    <n v="0.01"/>
    <n v="29"/>
    <n v="5.72"/>
    <n v="45.53"/>
    <n v="2025"/>
    <n v="11"/>
    <n v="2025"/>
    <n v="8"/>
    <s v="08"/>
    <x v="21"/>
    <x v="21"/>
    <n v="7829.47"/>
  </r>
  <r>
    <d v="2025-11-28T00:00:00"/>
    <s v="OPT-NIFTY-02-Dec-2025-26200-C-E-I"/>
    <s v="NSE"/>
    <x v="1"/>
    <n v="75"/>
    <n v="0"/>
    <n v="105.85"/>
    <n v="7938.75"/>
    <s v="#202511283700015346"/>
    <n v="0"/>
    <n v="2.82"/>
    <n v="0.24"/>
    <n v="0.01"/>
    <n v="29"/>
    <n v="5.72"/>
    <n v="37.79"/>
    <n v="2025"/>
    <n v="11"/>
    <n v="2025"/>
    <n v="8"/>
    <s v="08"/>
    <x v="21"/>
    <x v="21"/>
    <n v="-7976.54"/>
  </r>
  <r>
    <d v="2025-12-01T00:00:00"/>
    <s v="OPT-NIFTY-02-Dec-2025-26250-P-E-I"/>
    <s v="NSE"/>
    <x v="0"/>
    <n v="150"/>
    <n v="0"/>
    <n v="119.25"/>
    <n v="17887.5"/>
    <s v="#202512013700021299"/>
    <n v="17.89"/>
    <n v="6.36"/>
    <n v="0"/>
    <n v="0.02"/>
    <n v="58"/>
    <n v="11.58"/>
    <n v="93.85"/>
    <n v="2025"/>
    <n v="12"/>
    <n v="2025"/>
    <n v="9"/>
    <s v="09"/>
    <x v="22"/>
    <x v="22"/>
    <n v="17793.650000000001"/>
  </r>
  <r>
    <d v="2025-12-01T00:00:00"/>
    <s v="OPT-NIFTY-02-Dec-2025-26100-P-E-I"/>
    <s v="NSE"/>
    <x v="0"/>
    <n v="1800"/>
    <n v="0"/>
    <n v="35"/>
    <n v="63000"/>
    <s v="#202512013700011531"/>
    <n v="63.12"/>
    <n v="22.38"/>
    <n v="0"/>
    <n v="0.06"/>
    <n v="696"/>
    <n v="129.32"/>
    <n v="910.88"/>
    <n v="2025"/>
    <n v="12"/>
    <n v="2025"/>
    <n v="9"/>
    <s v="09"/>
    <x v="22"/>
    <x v="22"/>
    <n v="62089.120000000003"/>
  </r>
  <r>
    <d v="2025-12-01T00:00:00"/>
    <s v="OPT-NIFTY-02-Dec-2025-26100-P-E-I"/>
    <s v="NSE"/>
    <x v="1"/>
    <n v="900"/>
    <n v="0"/>
    <n v="16.25"/>
    <n v="14625"/>
    <s v="#202512013700004091"/>
    <n v="0"/>
    <n v="5.2"/>
    <n v="0.88"/>
    <n v="0.01"/>
    <n v="348"/>
    <n v="63.58"/>
    <n v="417.67"/>
    <n v="2025"/>
    <n v="12"/>
    <n v="2025"/>
    <n v="9"/>
    <s v="09"/>
    <x v="22"/>
    <x v="22"/>
    <n v="-15042.67"/>
  </r>
  <r>
    <d v="2025-12-01T00:00:00"/>
    <s v="OPT-NIFTY-02-Dec-2025-26250-P-E-I"/>
    <s v="NSE"/>
    <x v="1"/>
    <n v="75"/>
    <n v="0"/>
    <n v="52.95"/>
    <n v="3971.25"/>
    <s v="#202512013700002407"/>
    <n v="0"/>
    <n v="1.41"/>
    <n v="0.12"/>
    <n v="0"/>
    <n v="29"/>
    <n v="5.48"/>
    <n v="36.01"/>
    <n v="2025"/>
    <n v="12"/>
    <n v="2025"/>
    <n v="9"/>
    <s v="09"/>
    <x v="22"/>
    <x v="22"/>
    <n v="-4007.26"/>
  </r>
  <r>
    <d v="2025-12-01T00:00:00"/>
    <s v="OPT-NIFTY-02-Dec-2025-26100-P-E-I"/>
    <s v="NSE"/>
    <x v="1"/>
    <n v="450"/>
    <n v="0"/>
    <n v="18.899999999999999"/>
    <n v="8505"/>
    <s v="#202512013700001235"/>
    <n v="0"/>
    <n v="3.02"/>
    <n v="0"/>
    <n v="0.01"/>
    <n v="174"/>
    <n v="31.88"/>
    <n v="208.91"/>
    <n v="2025"/>
    <n v="12"/>
    <n v="2025"/>
    <n v="9"/>
    <s v="09"/>
    <x v="22"/>
    <x v="22"/>
    <n v="-8713.91"/>
  </r>
  <r>
    <d v="2025-12-02T00:00:00"/>
    <s v="OPT-NIFTY-02-Dec-2025-26050-P-E-I"/>
    <s v="NSE"/>
    <x v="0"/>
    <n v="300"/>
    <n v="0"/>
    <n v="39.25"/>
    <n v="11775"/>
    <s v="#202512023700025744"/>
    <n v="12"/>
    <n v="4.18"/>
    <n v="0"/>
    <n v="0.01"/>
    <n v="116"/>
    <n v="21.64"/>
    <n v="153.83000000000001"/>
    <n v="2025"/>
    <n v="12"/>
    <n v="2025"/>
    <n v="9"/>
    <s v="09"/>
    <x v="22"/>
    <x v="22"/>
    <n v="11621.17"/>
  </r>
  <r>
    <d v="2025-12-02T00:00:00"/>
    <s v="OPT-NIFTY-02-Dec-2025-26050-P-E-I"/>
    <s v="NSE"/>
    <x v="1"/>
    <n v="225"/>
    <n v="0"/>
    <n v="30.1"/>
    <n v="6772.5"/>
    <s v="#202512023700015551"/>
    <n v="0"/>
    <n v="2.41"/>
    <n v="0"/>
    <n v="0.01"/>
    <n v="87"/>
    <n v="16.100000000000001"/>
    <n v="105.52"/>
    <n v="2025"/>
    <n v="12"/>
    <n v="2025"/>
    <n v="9"/>
    <s v="09"/>
    <x v="22"/>
    <x v="22"/>
    <n v="-6878.02"/>
  </r>
  <r>
    <d v="2025-12-02T00:00:00"/>
    <s v="OPT-NIFTY-02-Dec-2025-26050-P-E-I"/>
    <s v="NSE"/>
    <x v="1"/>
    <n v="75"/>
    <n v="0"/>
    <n v="34"/>
    <n v="2550"/>
    <s v="#202512023700015171"/>
    <n v="0"/>
    <n v="0.91"/>
    <n v="0"/>
    <n v="0"/>
    <n v="29"/>
    <n v="5.38"/>
    <n v="35.29"/>
    <n v="2025"/>
    <n v="12"/>
    <n v="2025"/>
    <n v="9"/>
    <s v="09"/>
    <x v="22"/>
    <x v="22"/>
    <n v="-2585.29"/>
  </r>
  <r>
    <d v="2025-12-03T00:00:00"/>
    <s v="OPT-NIFTY-09-Dec-2025-26000-P-E-I"/>
    <s v="NSE"/>
    <x v="1"/>
    <n v="75"/>
    <n v="0"/>
    <n v="123.6"/>
    <n v="9270"/>
    <s v="#202512033700016479"/>
    <n v="0"/>
    <n v="3.29"/>
    <n v="0.28000000000000003"/>
    <n v="0.01"/>
    <n v="29"/>
    <n v="5.82"/>
    <n v="38.4"/>
    <n v="2025"/>
    <n v="12"/>
    <n v="2025"/>
    <n v="9"/>
    <s v="09"/>
    <x v="22"/>
    <x v="22"/>
    <n v="-9308.4"/>
  </r>
  <r>
    <d v="2025-12-03T00:00:00"/>
    <s v="OPT-NIFTY-09-Dec-2025-25950-C-E-I"/>
    <s v="NSE"/>
    <x v="0"/>
    <n v="75"/>
    <n v="0"/>
    <n v="149.9"/>
    <n v="11242.5"/>
    <s v="#202512033700010578"/>
    <n v="11"/>
    <n v="3.99"/>
    <n v="0"/>
    <n v="0.01"/>
    <n v="29"/>
    <n v="5.94"/>
    <n v="49.94"/>
    <n v="2025"/>
    <n v="12"/>
    <n v="2025"/>
    <n v="9"/>
    <s v="09"/>
    <x v="22"/>
    <x v="22"/>
    <n v="11192.56"/>
  </r>
  <r>
    <d v="2025-12-03T00:00:00"/>
    <s v="OPT-NIFTY-09-Dec-2025-25950-C-E-I"/>
    <s v="NSE"/>
    <x v="1"/>
    <n v="75"/>
    <n v="0"/>
    <n v="144"/>
    <n v="10800"/>
    <s v="#202512033700010533"/>
    <n v="0"/>
    <n v="3.84"/>
    <n v="0.72"/>
    <n v="0.01"/>
    <n v="29"/>
    <n v="5.92"/>
    <n v="39.49"/>
    <n v="2025"/>
    <n v="12"/>
    <n v="2025"/>
    <n v="9"/>
    <s v="09"/>
    <x v="22"/>
    <x v="22"/>
    <n v="-10839.49"/>
  </r>
  <r>
    <d v="2025-12-04T00:00:00"/>
    <s v="OPT-NIFTY-09-Dec-2025-26000-P-E-I"/>
    <s v="NSE"/>
    <x v="0"/>
    <n v="75"/>
    <n v="0"/>
    <n v="63.95"/>
    <n v="4796.25"/>
    <s v="#202512043700010558"/>
    <n v="5"/>
    <n v="1.7"/>
    <n v="0"/>
    <n v="0"/>
    <n v="29"/>
    <n v="5.52"/>
    <n v="41.22"/>
    <n v="2025"/>
    <n v="12"/>
    <n v="2025"/>
    <n v="9"/>
    <s v="09"/>
    <x v="22"/>
    <x v="22"/>
    <n v="4755.03"/>
  </r>
  <r>
    <d v="2025-12-05T00:00:00"/>
    <s v="OPT-NIFTY-09-Dec-2025-26100-P-E-I"/>
    <s v="NSE"/>
    <x v="1"/>
    <n v="75"/>
    <n v="0"/>
    <n v="67.25"/>
    <n v="5043.75"/>
    <s v="#202512053700013831"/>
    <n v="0"/>
    <n v="1.79"/>
    <n v="0"/>
    <n v="0.01"/>
    <n v="29"/>
    <n v="5.54"/>
    <n v="36.340000000000003"/>
    <n v="2025"/>
    <n v="12"/>
    <n v="2025"/>
    <n v="9"/>
    <s v="09"/>
    <x v="22"/>
    <x v="22"/>
    <n v="-5080.09"/>
  </r>
  <r>
    <d v="2025-12-08T00:00:00"/>
    <s v="OPT-NIFTY-09-Dec-2025-26100-P-E-I"/>
    <s v="NSE"/>
    <x v="0"/>
    <n v="75"/>
    <n v="0"/>
    <n v="77.25"/>
    <n v="5793.75"/>
    <s v="#202512083700013987"/>
    <n v="6"/>
    <n v="2.06"/>
    <n v="0"/>
    <n v="0.01"/>
    <n v="29"/>
    <n v="5.6"/>
    <n v="42.67"/>
    <n v="2025"/>
    <n v="12"/>
    <n v="2025"/>
    <n v="9"/>
    <s v="09"/>
    <x v="22"/>
    <x v="22"/>
    <n v="5751.08"/>
  </r>
  <r>
    <d v="2025-12-11T00:00:00"/>
    <s v="OPT-NIFTY-16-Dec-2025-25800-P-E-I"/>
    <s v="NSE"/>
    <x v="1"/>
    <n v="75"/>
    <n v="0"/>
    <n v="61.25"/>
    <n v="4593.75"/>
    <s v="#202512113700024410"/>
    <n v="0"/>
    <n v="1.63"/>
    <n v="0"/>
    <n v="0"/>
    <n v="29"/>
    <n v="5.52"/>
    <n v="36.15"/>
    <n v="2025"/>
    <n v="12"/>
    <n v="2025"/>
    <n v="9"/>
    <s v="09"/>
    <x v="22"/>
    <x v="22"/>
    <n v="-4629.8999999999996"/>
  </r>
  <r>
    <d v="2025-12-11T00:00:00"/>
    <s v="OPT-NIFTY-16-Dec-2025-25800-P-E-I"/>
    <s v="NSE"/>
    <x v="1"/>
    <n v="75"/>
    <n v="0"/>
    <n v="82.25"/>
    <n v="6168.75"/>
    <s v="#202512113700015729"/>
    <n v="0"/>
    <n v="2.19"/>
    <n v="0"/>
    <n v="0.01"/>
    <n v="29"/>
    <n v="5.62"/>
    <n v="36.82"/>
    <n v="2025"/>
    <n v="12"/>
    <n v="2025"/>
    <n v="9"/>
    <s v="09"/>
    <x v="22"/>
    <x v="22"/>
    <n v="-6205.57"/>
  </r>
  <r>
    <d v="2025-12-12T00:00:00"/>
    <s v="OPT-NIFTY-16-Dec-2025-25800-P-E-I"/>
    <s v="NSE"/>
    <x v="0"/>
    <n v="750"/>
    <n v="0"/>
    <n v="13"/>
    <n v="9750"/>
    <s v="#202512123700036144"/>
    <n v="10"/>
    <n v="3.46"/>
    <n v="0"/>
    <n v="0.01"/>
    <n v="290"/>
    <n v="52.82"/>
    <n v="356.29"/>
    <n v="2025"/>
    <n v="12"/>
    <n v="2025"/>
    <n v="9"/>
    <s v="09"/>
    <x v="22"/>
    <x v="22"/>
    <n v="9393.7099999999991"/>
  </r>
  <r>
    <d v="2025-12-12T00:00:00"/>
    <s v="OPT-NIFTY-16-Dec-2025-25800-P-E-I"/>
    <s v="NSE"/>
    <x v="1"/>
    <n v="150"/>
    <n v="0"/>
    <n v="18.100000000000001"/>
    <n v="2715"/>
    <s v="#202512123700020712"/>
    <n v="0"/>
    <n v="0.96"/>
    <n v="0"/>
    <n v="0"/>
    <n v="58"/>
    <n v="10.62"/>
    <n v="69.58"/>
    <n v="2025"/>
    <n v="12"/>
    <n v="2025"/>
    <n v="9"/>
    <s v="09"/>
    <x v="22"/>
    <x v="22"/>
    <n v="-2784.58"/>
  </r>
  <r>
    <d v="2025-12-12T00:00:00"/>
    <s v="OPT-NIFTY-16-Dec-2025-25800-P-E-I"/>
    <s v="NSE"/>
    <x v="1"/>
    <n v="150"/>
    <n v="0"/>
    <n v="19.25"/>
    <n v="2887.5"/>
    <s v="#202512123700018183"/>
    <n v="0"/>
    <n v="1.02"/>
    <n v="0"/>
    <n v="0"/>
    <n v="58"/>
    <n v="10.64"/>
    <n v="69.66"/>
    <n v="2025"/>
    <n v="12"/>
    <n v="2025"/>
    <n v="9"/>
    <s v="09"/>
    <x v="22"/>
    <x v="22"/>
    <n v="-2957.16"/>
  </r>
  <r>
    <d v="2025-12-12T00:00:00"/>
    <s v="OPT-NIFTY-16-Dec-2025-25800-P-E-I"/>
    <s v="NSE"/>
    <x v="1"/>
    <n v="150"/>
    <n v="0"/>
    <n v="21.25"/>
    <n v="3187.5"/>
    <s v="#202512123700016184"/>
    <n v="0"/>
    <n v="1.1299999999999999"/>
    <n v="0"/>
    <n v="0"/>
    <n v="58"/>
    <n v="10.64"/>
    <n v="69.77"/>
    <n v="2025"/>
    <n v="12"/>
    <n v="2025"/>
    <n v="9"/>
    <s v="09"/>
    <x v="22"/>
    <x v="22"/>
    <n v="-3257.27"/>
  </r>
  <r>
    <d v="2025-12-12T00:00:00"/>
    <s v="OPT-NIFTY-16-Dec-2025-25800-P-E-I"/>
    <s v="NSE"/>
    <x v="1"/>
    <n v="75"/>
    <n v="0"/>
    <n v="21.25"/>
    <n v="1593.75"/>
    <s v="#202512123700010037"/>
    <n v="0"/>
    <n v="0.56999999999999995"/>
    <n v="0"/>
    <n v="0"/>
    <n v="29"/>
    <n v="5.32"/>
    <n v="34.89"/>
    <n v="2025"/>
    <n v="12"/>
    <n v="2025"/>
    <n v="9"/>
    <s v="09"/>
    <x v="22"/>
    <x v="22"/>
    <n v="-1628.64"/>
  </r>
  <r>
    <d v="2025-12-12T00:00:00"/>
    <s v="OPT-NIFTY-16-Dec-2025-25800-P-E-I"/>
    <s v="NSE"/>
    <x v="1"/>
    <n v="75"/>
    <n v="0"/>
    <n v="29.1"/>
    <n v="2182.5"/>
    <s v="#202512122600001017"/>
    <n v="0"/>
    <n v="0.78"/>
    <n v="0"/>
    <n v="0"/>
    <n v="29"/>
    <n v="5.36"/>
    <n v="35.14"/>
    <n v="2025"/>
    <n v="12"/>
    <n v="2025"/>
    <n v="9"/>
    <s v="09"/>
    <x v="22"/>
    <x v="22"/>
    <n v="-2217.64"/>
  </r>
  <r>
    <d v="2026-01-13T00:00:00"/>
    <s v="OPT-NIFTY-20-Jan-2026-26050-C-E-I"/>
    <s v="NSE"/>
    <x v="1"/>
    <n v="65"/>
    <n v="0"/>
    <n v="67.25"/>
    <n v="4371.25"/>
    <s v="#202601133100025909"/>
    <n v="0"/>
    <n v="1.55"/>
    <n v="0"/>
    <n v="0"/>
    <n v="29"/>
    <n v="5.5"/>
    <n v="36.049999999999997"/>
    <n v="2026"/>
    <n v="1"/>
    <n v="2025"/>
    <n v="10"/>
    <n v="10"/>
    <x v="23"/>
    <x v="23"/>
    <n v="-4407.3"/>
  </r>
  <r>
    <d v="2026-01-19T00:00:00"/>
    <s v="OPT-NIFTY-20-Jan-2026-26050-C-E-I"/>
    <s v="NSE"/>
    <x v="0"/>
    <n v="65"/>
    <n v="0"/>
    <n v="4.4000000000000004"/>
    <n v="286"/>
    <s v="#202601193100004090"/>
    <n v="0"/>
    <n v="0.1"/>
    <n v="0"/>
    <n v="0"/>
    <n v="29"/>
    <n v="5.24"/>
    <n v="34.340000000000003"/>
    <n v="2026"/>
    <n v="1"/>
    <n v="2025"/>
    <n v="10"/>
    <n v="10"/>
    <x v="23"/>
    <x v="23"/>
    <n v="251.66"/>
  </r>
  <r>
    <d v="2026-01-27T00:00:00"/>
    <s v="OPT-NIFTY-27-Jan-2026-25000-C-E-I"/>
    <s v="NSE"/>
    <x v="0"/>
    <n v="130"/>
    <n v="0"/>
    <n v="89.9"/>
    <n v="11687"/>
    <s v="#202601272700053910"/>
    <n v="11.69"/>
    <n v="4.1500000000000004"/>
    <n v="0"/>
    <n v="0.01"/>
    <n v="58"/>
    <n v="11.18"/>
    <n v="85.03"/>
    <n v="2026"/>
    <n v="1"/>
    <n v="2025"/>
    <n v="10"/>
    <n v="10"/>
    <x v="23"/>
    <x v="23"/>
    <n v="11601.97"/>
  </r>
  <r>
    <d v="2026-01-27T00:00:00"/>
    <s v="OPT-NIFTY-27-Jan-2026-25000-C-E-I"/>
    <s v="NSE"/>
    <x v="1"/>
    <n v="65"/>
    <n v="0"/>
    <n v="82"/>
    <n v="5330"/>
    <s v="#202601272700049123"/>
    <n v="0"/>
    <n v="1.89"/>
    <n v="0.34"/>
    <n v="0.01"/>
    <n v="29"/>
    <n v="5.56"/>
    <n v="36.799999999999997"/>
    <n v="2026"/>
    <n v="1"/>
    <n v="2025"/>
    <n v="10"/>
    <n v="10"/>
    <x v="23"/>
    <x v="23"/>
    <n v="-5366.8"/>
  </r>
  <r>
    <d v="2026-01-27T00:00:00"/>
    <s v="OPT-NIFTY-27-Jan-2026-25000-C-E-I"/>
    <s v="NSE"/>
    <x v="1"/>
    <n v="65"/>
    <n v="0"/>
    <n v="91"/>
    <n v="5915"/>
    <s v="#202601272700048910"/>
    <n v="0"/>
    <n v="2.1"/>
    <n v="0"/>
    <n v="0.01"/>
    <n v="29"/>
    <n v="5.6"/>
    <n v="36.71"/>
    <n v="2026"/>
    <n v="1"/>
    <n v="2025"/>
    <n v="10"/>
    <n v="10"/>
    <x v="23"/>
    <x v="23"/>
    <n v="-5951.71"/>
  </r>
  <r>
    <d v="2026-01-27T00:00:00"/>
    <s v="OPT-NIFTY-27-Jan-2026-24950-C-E-I"/>
    <s v="NSE"/>
    <x v="0"/>
    <n v="65"/>
    <n v="0"/>
    <n v="195.25"/>
    <n v="12691.25"/>
    <s v="#202601272700010103"/>
    <n v="12.69"/>
    <n v="4.51"/>
    <n v="0"/>
    <n v="0.01"/>
    <n v="29"/>
    <n v="6.04"/>
    <n v="52.25"/>
    <n v="2026"/>
    <n v="1"/>
    <n v="2025"/>
    <n v="10"/>
    <n v="10"/>
    <x v="23"/>
    <x v="23"/>
    <n v="12639"/>
  </r>
  <r>
    <d v="2026-01-27T00:00:00"/>
    <s v="OPT-NIFTY-27-Jan-2026-24950-C-E-I"/>
    <s v="NSE"/>
    <x v="0"/>
    <n v="65"/>
    <n v="0"/>
    <n v="181.25"/>
    <n v="11781.25"/>
    <s v="#202601272700009601"/>
    <n v="11.62"/>
    <n v="4.1900000000000004"/>
    <n v="0"/>
    <n v="0.01"/>
    <n v="29"/>
    <n v="5.98"/>
    <n v="50.8"/>
    <n v="2026"/>
    <n v="1"/>
    <n v="2025"/>
    <n v="10"/>
    <n v="10"/>
    <x v="23"/>
    <x v="23"/>
    <n v="11730.45"/>
  </r>
  <r>
    <d v="2026-01-27T00:00:00"/>
    <s v="OPT-NIFTY-27-Jan-2026-24950-C-E-I"/>
    <s v="NSE"/>
    <x v="1"/>
    <n v="65"/>
    <n v="0"/>
    <n v="191.25"/>
    <n v="12431.25"/>
    <s v="#202601272700006358"/>
    <n v="0"/>
    <n v="4.42"/>
    <n v="0"/>
    <n v="0.01"/>
    <n v="29"/>
    <n v="6.02"/>
    <n v="39.450000000000003"/>
    <n v="2026"/>
    <n v="1"/>
    <n v="2025"/>
    <n v="10"/>
    <n v="10"/>
    <x v="23"/>
    <x v="23"/>
    <n v="-12470.7"/>
  </r>
  <r>
    <d v="2026-01-27T00:00:00"/>
    <s v="OPT-NIFTY-27-Jan-2026-24950-C-E-I"/>
    <s v="NSE"/>
    <x v="1"/>
    <n v="65"/>
    <n v="0"/>
    <n v="109.3"/>
    <n v="7104.5"/>
    <s v="#202601272700005475"/>
    <n v="0"/>
    <n v="2.52"/>
    <n v="0.66"/>
    <n v="0.01"/>
    <n v="29"/>
    <n v="5.68"/>
    <n v="37.869999999999997"/>
    <n v="2026"/>
    <n v="1"/>
    <n v="2025"/>
    <n v="10"/>
    <n v="10"/>
    <x v="23"/>
    <x v="23"/>
    <n v="-7142.37"/>
  </r>
  <r>
    <d v="2026-01-28T00:00:00"/>
    <s v="OPT-NIFTY-03-Feb-2026-25300-P-E-I"/>
    <s v="NSE"/>
    <x v="0"/>
    <n v="195"/>
    <n v="0"/>
    <n v="209.9"/>
    <n v="40930.5"/>
    <s v="#202601282700019192"/>
    <n v="40.93"/>
    <n v="14.54"/>
    <n v="0"/>
    <n v="0.04"/>
    <n v="87"/>
    <n v="18.28"/>
    <n v="160.79"/>
    <n v="2026"/>
    <n v="1"/>
    <n v="2025"/>
    <n v="10"/>
    <n v="10"/>
    <x v="23"/>
    <x v="23"/>
    <n v="40769.71"/>
  </r>
  <r>
    <d v="2026-01-28T00:00:00"/>
    <s v="OPT-NIFTY-03-Feb-2026-25300-P-E-I"/>
    <s v="NSE"/>
    <x v="1"/>
    <n v="195"/>
    <n v="0"/>
    <n v="202.4"/>
    <n v="39468"/>
    <s v="#202601282700019168"/>
    <n v="0"/>
    <n v="14.01"/>
    <n v="0"/>
    <n v="0.03"/>
    <n v="87"/>
    <n v="18.18"/>
    <n v="119.22"/>
    <n v="2026"/>
    <n v="1"/>
    <n v="2025"/>
    <n v="10"/>
    <n v="10"/>
    <x v="23"/>
    <x v="23"/>
    <n v="-39587.22"/>
  </r>
  <r>
    <d v="2026-01-28T00:00:00"/>
    <s v="OPT-NIFTY-03-Feb-2026-25400-C-E-I"/>
    <s v="NSE"/>
    <x v="0"/>
    <n v="195"/>
    <n v="0"/>
    <n v="179.25"/>
    <n v="34953.75"/>
    <s v="#202601282700019090"/>
    <n v="34.950000000000003"/>
    <n v="12.42"/>
    <n v="0"/>
    <n v="0.04"/>
    <n v="87"/>
    <n v="17.899999999999999"/>
    <n v="152.31"/>
    <n v="2026"/>
    <n v="1"/>
    <n v="2025"/>
    <n v="10"/>
    <n v="10"/>
    <x v="23"/>
    <x v="23"/>
    <n v="34801.440000000002"/>
  </r>
  <r>
    <d v="2026-01-28T00:00:00"/>
    <s v="OPT-NIFTY-03-Feb-2026-25400-C-E-I"/>
    <s v="NSE"/>
    <x v="1"/>
    <n v="65"/>
    <n v="0"/>
    <n v="190.25"/>
    <n v="12366.25"/>
    <s v="#202601282700018753"/>
    <n v="0"/>
    <n v="4.3899999999999997"/>
    <n v="0"/>
    <n v="0.01"/>
    <n v="29"/>
    <n v="6.02"/>
    <n v="39.42"/>
    <n v="2026"/>
    <n v="1"/>
    <n v="2025"/>
    <n v="10"/>
    <n v="10"/>
    <x v="23"/>
    <x v="23"/>
    <n v="-12405.67"/>
  </r>
  <r>
    <d v="2026-01-28T00:00:00"/>
    <s v="OPT-NIFTY-03-Feb-2026-25400-C-E-I"/>
    <s v="NSE"/>
    <x v="1"/>
    <n v="130"/>
    <n v="0"/>
    <n v="200.4"/>
    <n v="26052"/>
    <s v="#202601282700017879"/>
    <n v="0"/>
    <n v="9.26"/>
    <n v="1.1499999999999999"/>
    <n v="0.03"/>
    <n v="58"/>
    <n v="12.12"/>
    <n v="80.56"/>
    <n v="2026"/>
    <n v="1"/>
    <n v="2025"/>
    <n v="10"/>
    <n v="10"/>
    <x v="23"/>
    <x v="23"/>
    <n v="-26132.560000000001"/>
  </r>
  <r>
    <d v="2026-01-28T00:00:00"/>
    <s v="OPT-NIFTY-03-Feb-2026-25300-P-E-I"/>
    <s v="NSE"/>
    <x v="0"/>
    <n v="65"/>
    <n v="0"/>
    <n v="219.9"/>
    <n v="14293.5"/>
    <s v="#202601282700004408"/>
    <n v="14.12"/>
    <n v="5.08"/>
    <n v="0"/>
    <n v="0.01"/>
    <n v="29"/>
    <n v="6.14"/>
    <n v="54.35"/>
    <n v="2026"/>
    <n v="1"/>
    <n v="2025"/>
    <n v="10"/>
    <n v="10"/>
    <x v="23"/>
    <x v="23"/>
    <n v="14239.15"/>
  </r>
  <r>
    <d v="2026-01-28T00:00:00"/>
    <s v="OPT-NIFTY-03-Feb-2026-25300-P-E-I"/>
    <s v="NSE"/>
    <x v="1"/>
    <n v="65"/>
    <n v="0"/>
    <n v="203.1"/>
    <n v="13201.5"/>
    <s v="#202601282700004257"/>
    <n v="0"/>
    <n v="4.6900000000000004"/>
    <n v="1.85"/>
    <n v="0.01"/>
    <n v="29"/>
    <n v="6.06"/>
    <n v="41.61"/>
    <n v="2026"/>
    <n v="1"/>
    <n v="2025"/>
    <n v="10"/>
    <n v="10"/>
    <x v="23"/>
    <x v="23"/>
    <n v="-13243.11"/>
  </r>
  <r>
    <d v="2026-01-29T00:00:00"/>
    <s v="OPT-NIFTY-03-Feb-2026-25400-P-E-I"/>
    <s v="NSE"/>
    <x v="0"/>
    <n v="130"/>
    <n v="0"/>
    <n v="167.8"/>
    <n v="21814"/>
    <s v="#202601292700028824"/>
    <n v="21.81"/>
    <n v="7.75"/>
    <n v="0"/>
    <n v="0.02"/>
    <n v="58"/>
    <n v="11.84"/>
    <n v="99.42"/>
    <n v="2026"/>
    <n v="1"/>
    <n v="2025"/>
    <n v="10"/>
    <n v="10"/>
    <x v="23"/>
    <x v="23"/>
    <n v="21714.58"/>
  </r>
  <r>
    <d v="2026-01-29T00:00:00"/>
    <s v="OPT-NIFTY-03-Feb-2026-25400-P-E-I"/>
    <s v="NSE"/>
    <x v="1"/>
    <n v="130"/>
    <n v="0"/>
    <n v="178.75"/>
    <n v="23237.5"/>
    <s v="#202601292700028229"/>
    <n v="0"/>
    <n v="8.26"/>
    <n v="0.61"/>
    <n v="0.02"/>
    <n v="58"/>
    <n v="11.92"/>
    <n v="78.81"/>
    <n v="2026"/>
    <n v="1"/>
    <n v="2025"/>
    <n v="10"/>
    <n v="10"/>
    <x v="23"/>
    <x v="23"/>
    <n v="-23316.31"/>
  </r>
  <r>
    <d v="2026-01-29T00:00:00"/>
    <s v="OPT-NIFTY-03-Feb-2026-25300-C-E-I"/>
    <s v="NSE"/>
    <x v="0"/>
    <n v="65"/>
    <n v="0"/>
    <n v="161.55000000000001"/>
    <n v="10500.75"/>
    <s v="#202601292700012571"/>
    <n v="10.19"/>
    <n v="3.73"/>
    <n v="0"/>
    <n v="0.01"/>
    <n v="29"/>
    <n v="5.9"/>
    <n v="48.83"/>
    <n v="2026"/>
    <n v="1"/>
    <n v="2025"/>
    <n v="10"/>
    <n v="10"/>
    <x v="23"/>
    <x v="23"/>
    <n v="10451.92"/>
  </r>
  <r>
    <d v="2026-01-29T00:00:00"/>
    <s v="OPT-NIFTY-03-Feb-2026-25300-C-E-I"/>
    <s v="NSE"/>
    <x v="1"/>
    <n v="65"/>
    <n v="0"/>
    <n v="199.6"/>
    <n v="12974"/>
    <s v="#202601292700003148"/>
    <n v="0"/>
    <n v="4.6100000000000003"/>
    <n v="0.39"/>
    <n v="0.01"/>
    <n v="29"/>
    <n v="6.06"/>
    <n v="40.07"/>
    <n v="2026"/>
    <n v="1"/>
    <n v="2025"/>
    <n v="10"/>
    <n v="10"/>
    <x v="23"/>
    <x v="23"/>
    <n v="-13014.07"/>
  </r>
  <r>
    <d v="2026-01-30T00:00:00"/>
    <s v="OPT-NIFTY-03-Feb-2026-25250-C-E-I"/>
    <s v="NSE"/>
    <x v="0"/>
    <n v="65"/>
    <n v="0"/>
    <n v="251.55"/>
    <n v="16350.75"/>
    <s v="#202601302700035394"/>
    <n v="16"/>
    <n v="5.81"/>
    <n v="0"/>
    <n v="0.02"/>
    <n v="29"/>
    <n v="6.26"/>
    <n v="57.09"/>
    <n v="2026"/>
    <n v="1"/>
    <n v="2025"/>
    <n v="10"/>
    <n v="10"/>
    <x v="23"/>
    <x v="23"/>
    <n v="16293.66"/>
  </r>
  <r>
    <d v="2026-01-30T00:00:00"/>
    <s v="OPT-NIFTY-03-Feb-2026-25250-C-E-I"/>
    <s v="NSE"/>
    <x v="1"/>
    <n v="65"/>
    <n v="0"/>
    <n v="250.55"/>
    <n v="16285.75"/>
    <s v="#202601302700035163"/>
    <n v="0"/>
    <n v="5.79"/>
    <n v="0"/>
    <n v="0.02"/>
    <n v="29"/>
    <n v="6.26"/>
    <n v="41.07"/>
    <n v="2026"/>
    <n v="1"/>
    <n v="2025"/>
    <n v="10"/>
    <n v="10"/>
    <x v="23"/>
    <x v="23"/>
    <n v="-16326.82"/>
  </r>
  <r>
    <d v="2026-01-30T00:00:00"/>
    <s v="OPT-NIFTY-03-Feb-2026-25250-C-E-I"/>
    <s v="NSE"/>
    <x v="0"/>
    <n v="65"/>
    <n v="0"/>
    <n v="259.89999999999998"/>
    <n v="16893.5"/>
    <s v="#202601302700033361"/>
    <n v="16.89"/>
    <n v="6"/>
    <n v="0"/>
    <n v="0.02"/>
    <n v="29"/>
    <n v="6.3"/>
    <n v="58.21"/>
    <n v="2026"/>
    <n v="1"/>
    <n v="2025"/>
    <n v="10"/>
    <n v="10"/>
    <x v="23"/>
    <x v="23"/>
    <n v="16835.29"/>
  </r>
  <r>
    <d v="2026-01-30T00:00:00"/>
    <s v="OPT-NIFTY-03-Feb-2026-25250-C-E-I"/>
    <s v="NSE"/>
    <x v="1"/>
    <n v="65"/>
    <n v="0"/>
    <n v="234.8"/>
    <n v="15262"/>
    <s v="#202601302700032962"/>
    <n v="0"/>
    <n v="5.42"/>
    <n v="0"/>
    <n v="0.02"/>
    <n v="29"/>
    <n v="6.2"/>
    <n v="40.64"/>
    <n v="2026"/>
    <n v="1"/>
    <n v="2025"/>
    <n v="10"/>
    <n v="10"/>
    <x v="23"/>
    <x v="23"/>
    <n v="-15302.64"/>
  </r>
  <r>
    <d v="2026-01-30T00:00:00"/>
    <s v="OPT-NIFTY-03-Feb-2026-25300-P-E-I"/>
    <s v="NSE"/>
    <x v="0"/>
    <n v="65"/>
    <n v="0"/>
    <n v="208.8"/>
    <n v="13572"/>
    <s v="#202601302700020593"/>
    <n v="13.57"/>
    <n v="4.82"/>
    <n v="0"/>
    <n v="0.01"/>
    <n v="29"/>
    <n v="6.1"/>
    <n v="53.5"/>
    <n v="2026"/>
    <n v="1"/>
    <n v="2025"/>
    <n v="10"/>
    <n v="10"/>
    <x v="23"/>
    <x v="23"/>
    <n v="13518.5"/>
  </r>
  <r>
    <d v="2026-01-30T00:00:00"/>
    <s v="OPT-NIFTY-03-Feb-2026-25300-P-E-I"/>
    <s v="NSE"/>
    <x v="1"/>
    <n v="65"/>
    <n v="0"/>
    <n v="217.6"/>
    <n v="14144"/>
    <s v="#202601302700020353"/>
    <n v="0"/>
    <n v="5.03"/>
    <n v="0.42"/>
    <n v="0.01"/>
    <n v="29"/>
    <n v="6.12"/>
    <n v="40.58"/>
    <n v="2026"/>
    <n v="1"/>
    <n v="2025"/>
    <n v="10"/>
    <n v="10"/>
    <x v="23"/>
    <x v="23"/>
    <n v="-14184.58"/>
  </r>
  <r>
    <d v="2026-01-30T00:00:00"/>
    <s v="OPT-NIFTY-03-Feb-2026-25250-C-E-I"/>
    <s v="NSE"/>
    <x v="0"/>
    <n v="130"/>
    <n v="0"/>
    <n v="234.9"/>
    <n v="30537"/>
    <s v="#202601302700005687"/>
    <n v="30.54"/>
    <n v="10.85"/>
    <n v="0"/>
    <n v="0.03"/>
    <n v="58"/>
    <n v="12.4"/>
    <n v="111.82"/>
    <n v="2026"/>
    <n v="1"/>
    <n v="2025"/>
    <n v="10"/>
    <n v="10"/>
    <x v="23"/>
    <x v="23"/>
    <n v="30425.18"/>
  </r>
  <r>
    <d v="2026-01-30T00:00:00"/>
    <s v="OPT-NIFTY-03-Feb-2026-25250-C-E-I"/>
    <s v="NSE"/>
    <x v="1"/>
    <n v="130"/>
    <n v="0"/>
    <n v="201.25"/>
    <n v="26162.5"/>
    <s v="#202601302700002911"/>
    <n v="0"/>
    <n v="9.3000000000000007"/>
    <n v="1.58"/>
    <n v="0.02"/>
    <n v="58"/>
    <n v="12.12"/>
    <n v="81.02"/>
    <n v="2026"/>
    <n v="1"/>
    <n v="2025"/>
    <n v="10"/>
    <n v="10"/>
    <x v="23"/>
    <x v="23"/>
    <n v="-26243.52"/>
  </r>
  <r>
    <d v="2026-02-01T00:00:00"/>
    <s v="OPT-NIFTY-03-Feb-2026-25000-C-E-I"/>
    <s v="NSE"/>
    <x v="0"/>
    <n v="65"/>
    <n v="0"/>
    <n v="197.25"/>
    <n v="12821.25"/>
    <s v="#202602012700051991"/>
    <n v="12.82"/>
    <n v="4.5599999999999996"/>
    <n v="0"/>
    <n v="0.01"/>
    <n v="29"/>
    <n v="6.04"/>
    <n v="52.43"/>
    <n v="2026"/>
    <n v="2"/>
    <n v="2025"/>
    <n v="11"/>
    <n v="11"/>
    <x v="24"/>
    <x v="24"/>
    <n v="12768.82"/>
  </r>
  <r>
    <d v="2026-02-01T00:00:00"/>
    <s v="OPT-NIFTY-03-Feb-2026-25000-C-E-I"/>
    <s v="NSE"/>
    <x v="1"/>
    <n v="65"/>
    <n v="0"/>
    <n v="182.5"/>
    <n v="11862.5"/>
    <s v="#202602012700051727"/>
    <n v="0"/>
    <n v="4.21"/>
    <n v="0.36"/>
    <n v="0.01"/>
    <n v="29"/>
    <n v="5.98"/>
    <n v="39.56"/>
    <n v="2026"/>
    <n v="2"/>
    <n v="2025"/>
    <n v="11"/>
    <n v="11"/>
    <x v="24"/>
    <x v="24"/>
    <n v="-11902.06"/>
  </r>
  <r>
    <d v="2026-02-01T00:00:00"/>
    <s v="OPT-NIFTY-03-Feb-2026-25300-C-E-I"/>
    <s v="NSE"/>
    <x v="0"/>
    <n v="130"/>
    <n v="0"/>
    <n v="80.849999999999994"/>
    <n v="10510.5"/>
    <s v="#202602012700037006"/>
    <n v="10.52"/>
    <n v="3.74"/>
    <n v="0"/>
    <n v="0.02"/>
    <n v="58"/>
    <n v="11.12"/>
    <n v="83.4"/>
    <n v="2026"/>
    <n v="2"/>
    <n v="2025"/>
    <n v="11"/>
    <n v="11"/>
    <x v="24"/>
    <x v="24"/>
    <n v="10427.1"/>
  </r>
  <r>
    <d v="2026-02-01T00:00:00"/>
    <s v="OPT-NIFTY-03-Feb-2026-25300-C-E-I"/>
    <s v="NSE"/>
    <x v="1"/>
    <n v="130"/>
    <n v="0"/>
    <n v="67.150000000000006"/>
    <n v="8729.5"/>
    <s v="#202602012700036696"/>
    <n v="0"/>
    <n v="3.1"/>
    <n v="0.23"/>
    <n v="0.01"/>
    <n v="58"/>
    <n v="11"/>
    <n v="72.34"/>
    <n v="2026"/>
    <n v="2"/>
    <n v="2025"/>
    <n v="11"/>
    <n v="11"/>
    <x v="24"/>
    <x v="24"/>
    <n v="-8801.84"/>
  </r>
  <r>
    <d v="2026-02-01T00:00:00"/>
    <s v="OPT-NIFTY-03-Feb-2026-25350-P-E-I"/>
    <s v="NSE"/>
    <x v="0"/>
    <n v="65"/>
    <n v="0"/>
    <n v="202"/>
    <n v="13130"/>
    <s v="#202602012700007743"/>
    <n v="13.13"/>
    <n v="4.67"/>
    <n v="0"/>
    <n v="0.01"/>
    <n v="29"/>
    <n v="6.06"/>
    <n v="52.87"/>
    <n v="2026"/>
    <n v="2"/>
    <n v="2025"/>
    <n v="11"/>
    <n v="11"/>
    <x v="24"/>
    <x v="24"/>
    <n v="13077.13"/>
  </r>
  <r>
    <d v="2026-02-01T00:00:00"/>
    <s v="OPT-NIFTY-03-Feb-2026-25350-P-E-I"/>
    <s v="NSE"/>
    <x v="1"/>
    <n v="65"/>
    <n v="0"/>
    <n v="208.65"/>
    <n v="13562.25"/>
    <s v="#202602012700006537"/>
    <n v="0"/>
    <n v="4.82"/>
    <n v="0.41"/>
    <n v="0.01"/>
    <n v="29"/>
    <n v="6.1"/>
    <n v="40.340000000000003"/>
    <n v="2026"/>
    <n v="2"/>
    <n v="2025"/>
    <n v="11"/>
    <n v="11"/>
    <x v="24"/>
    <x v="24"/>
    <n v="-13602.59"/>
  </r>
  <r>
    <d v="2026-02-01T00:00:00"/>
    <s v="OPT-NIFTY-03-Feb-2026-25300-C-E-I"/>
    <s v="NSE"/>
    <x v="0"/>
    <n v="65"/>
    <n v="0"/>
    <n v="208"/>
    <n v="13520"/>
    <s v="#202602012700003044"/>
    <n v="13.54"/>
    <n v="4.8"/>
    <n v="0"/>
    <n v="0.01"/>
    <n v="29"/>
    <n v="6.08"/>
    <n v="53.43"/>
    <n v="2026"/>
    <n v="2"/>
    <n v="2025"/>
    <n v="11"/>
    <n v="11"/>
    <x v="24"/>
    <x v="24"/>
    <n v="13466.57"/>
  </r>
  <r>
    <d v="2026-02-01T00:00:00"/>
    <s v="OPT-NIFTY-03-Feb-2026-25300-C-E-I"/>
    <s v="NSE"/>
    <x v="1"/>
    <n v="65"/>
    <n v="0"/>
    <n v="203.65"/>
    <n v="13237.25"/>
    <s v="#202602012700001323"/>
    <n v="0"/>
    <n v="4.7"/>
    <n v="0"/>
    <n v="0.01"/>
    <n v="29"/>
    <n v="6.06"/>
    <n v="39.770000000000003"/>
    <n v="2026"/>
    <n v="2"/>
    <n v="2025"/>
    <n v="11"/>
    <n v="11"/>
    <x v="24"/>
    <x v="24"/>
    <n v="-13277.02"/>
  </r>
  <r>
    <d v="2026-02-02T00:00:00"/>
    <s v="OPT-NIFTY-03-Feb-2026-25000-P-E-I"/>
    <s v="NSE"/>
    <x v="0"/>
    <n v="130"/>
    <n v="0"/>
    <n v="147.9"/>
    <n v="19227"/>
    <s v="#202602022700015491"/>
    <n v="19.22"/>
    <n v="6.84"/>
    <n v="0"/>
    <n v="0.02"/>
    <n v="58"/>
    <n v="11.68"/>
    <n v="95.76"/>
    <n v="2026"/>
    <n v="2"/>
    <n v="2025"/>
    <n v="11"/>
    <n v="11"/>
    <x v="24"/>
    <x v="24"/>
    <n v="19131.240000000002"/>
  </r>
  <r>
    <d v="2026-02-02T00:00:00"/>
    <s v="OPT-NIFTY-03-Feb-2026-25000-P-E-I"/>
    <s v="NSE"/>
    <x v="1"/>
    <n v="130"/>
    <n v="0"/>
    <n v="121.75"/>
    <n v="15827.5"/>
    <s v="#202602022700015225"/>
    <n v="0"/>
    <n v="5.62"/>
    <n v="0.47"/>
    <n v="0.02"/>
    <n v="58"/>
    <n v="11.46"/>
    <n v="75.569999999999993"/>
    <n v="2026"/>
    <n v="2"/>
    <n v="2025"/>
    <n v="11"/>
    <n v="11"/>
    <x v="24"/>
    <x v="24"/>
    <n v="-15903.07"/>
  </r>
  <r>
    <d v="2026-02-02T00:00:00"/>
    <s v="OPT-NIFTY-03-Feb-2026-24750-C-E-I"/>
    <s v="NSE"/>
    <x v="0"/>
    <n v="65"/>
    <n v="0"/>
    <n v="209.9"/>
    <n v="13643.5"/>
    <s v="#202602022700010801"/>
    <n v="13.64"/>
    <n v="4.8499999999999996"/>
    <n v="0"/>
    <n v="0.01"/>
    <n v="29"/>
    <n v="6.1"/>
    <n v="53.6"/>
    <n v="2026"/>
    <n v="2"/>
    <n v="2025"/>
    <n v="11"/>
    <n v="11"/>
    <x v="24"/>
    <x v="24"/>
    <n v="13589.9"/>
  </r>
  <r>
    <d v="2026-02-02T00:00:00"/>
    <s v="OPT-NIFTY-03-Feb-2026-24750-C-E-I"/>
    <s v="NSE"/>
    <x v="1"/>
    <n v="65"/>
    <n v="0"/>
    <n v="192.55"/>
    <n v="12515.75"/>
    <s v="#202602022700010309"/>
    <n v="0"/>
    <n v="4.45"/>
    <n v="0"/>
    <n v="0.01"/>
    <n v="29"/>
    <n v="6.02"/>
    <n v="39.479999999999997"/>
    <n v="2026"/>
    <n v="2"/>
    <n v="2025"/>
    <n v="11"/>
    <n v="11"/>
    <x v="24"/>
    <x v="24"/>
    <n v="-12555.23"/>
  </r>
  <r>
    <d v="2026-02-02T00:00:00"/>
    <s v="OPT-NIFTY-03-Feb-2026-24750-C-E-I"/>
    <s v="NSE"/>
    <x v="0"/>
    <n v="65"/>
    <n v="0"/>
    <n v="114.15"/>
    <n v="7419.75"/>
    <s v="#202602022700008155"/>
    <n v="7.42"/>
    <n v="2.64"/>
    <n v="0"/>
    <n v="0.01"/>
    <n v="29"/>
    <n v="5.7"/>
    <n v="44.77"/>
    <n v="2026"/>
    <n v="2"/>
    <n v="2025"/>
    <n v="11"/>
    <n v="11"/>
    <x v="24"/>
    <x v="24"/>
    <n v="7374.98"/>
  </r>
  <r>
    <d v="2026-02-02T00:00:00"/>
    <s v="OPT-NIFTY-03-Feb-2026-24750-C-E-I"/>
    <s v="NSE"/>
    <x v="1"/>
    <n v="65"/>
    <n v="0"/>
    <n v="116.4"/>
    <n v="7566"/>
    <s v="#202602022700007860"/>
    <n v="0"/>
    <n v="2.69"/>
    <n v="0.19"/>
    <n v="0.01"/>
    <n v="29"/>
    <n v="5.7"/>
    <n v="37.590000000000003"/>
    <n v="2026"/>
    <n v="2"/>
    <n v="2025"/>
    <n v="11"/>
    <n v="11"/>
    <x v="24"/>
    <x v="24"/>
    <n v="-7603.59"/>
  </r>
  <r>
    <d v="2026-02-02T00:00:00"/>
    <s v="OPT-NIFTY-03-Feb-2026-24900-P-E-I"/>
    <s v="NSE"/>
    <x v="0"/>
    <n v="65"/>
    <n v="0"/>
    <n v="196.9"/>
    <n v="12798.5"/>
    <s v="#202602022700004481"/>
    <n v="12.71"/>
    <n v="4.55"/>
    <n v="0"/>
    <n v="0.01"/>
    <n v="29"/>
    <n v="6.04"/>
    <n v="52.31"/>
    <n v="2026"/>
    <n v="2"/>
    <n v="2025"/>
    <n v="11"/>
    <n v="11"/>
    <x v="24"/>
    <x v="24"/>
    <n v="12746.19"/>
  </r>
  <r>
    <d v="2026-02-02T00:00:00"/>
    <s v="OPT-NIFTY-03-Feb-2026-24900-P-E-I"/>
    <s v="NSE"/>
    <x v="1"/>
    <n v="65"/>
    <n v="0"/>
    <n v="176.65"/>
    <n v="11482.25"/>
    <s v="#202602022700003161"/>
    <n v="0"/>
    <n v="4.08"/>
    <n v="0.34"/>
    <n v="0.01"/>
    <n v="29"/>
    <n v="5.96"/>
    <n v="39.39"/>
    <n v="2026"/>
    <n v="2"/>
    <n v="2025"/>
    <n v="11"/>
    <n v="11"/>
    <x v="24"/>
    <x v="24"/>
    <n v="-11521.64"/>
  </r>
  <r>
    <d v="2026-02-03T00:00:00"/>
    <s v="OPT-NIFTY-03-Feb-2026-25850-P-E-I"/>
    <s v="NSE"/>
    <x v="0"/>
    <n v="195"/>
    <n v="0"/>
    <n v="109.9"/>
    <n v="21430.5"/>
    <s v="#202602032700041857"/>
    <n v="21"/>
    <n v="7.61"/>
    <n v="0"/>
    <n v="0.02"/>
    <n v="87"/>
    <n v="17.04"/>
    <n v="132.66999999999999"/>
    <n v="2026"/>
    <n v="2"/>
    <n v="2025"/>
    <n v="11"/>
    <n v="11"/>
    <x v="24"/>
    <x v="24"/>
    <n v="21297.83"/>
  </r>
  <r>
    <d v="2026-02-03T00:00:00"/>
    <s v="OPT-NIFTY-03-Feb-2026-25850-P-E-I"/>
    <s v="NSE"/>
    <x v="1"/>
    <n v="65"/>
    <n v="0"/>
    <n v="102.35"/>
    <n v="6652.75"/>
    <s v="#202602032700024018"/>
    <n v="0"/>
    <n v="2.36"/>
    <n v="0"/>
    <n v="0.01"/>
    <n v="29"/>
    <n v="5.64"/>
    <n v="37.01"/>
    <n v="2026"/>
    <n v="2"/>
    <n v="2025"/>
    <n v="11"/>
    <n v="11"/>
    <x v="24"/>
    <x v="24"/>
    <n v="-6689.76"/>
  </r>
  <r>
    <d v="2026-02-03T00:00:00"/>
    <s v="OPT-NIFTY-03-Feb-2026-25850-P-E-I"/>
    <s v="NSE"/>
    <x v="1"/>
    <n v="65"/>
    <n v="0"/>
    <n v="161.1"/>
    <n v="10471.5"/>
    <s v="#202602032700017343"/>
    <n v="0"/>
    <n v="3.72"/>
    <n v="0"/>
    <n v="0.01"/>
    <n v="29"/>
    <n v="5.9"/>
    <n v="38.630000000000003"/>
    <n v="2026"/>
    <n v="2"/>
    <n v="2025"/>
    <n v="11"/>
    <n v="11"/>
    <x v="24"/>
    <x v="24"/>
    <n v="-10510.13"/>
  </r>
  <r>
    <d v="2026-02-03T00:00:00"/>
    <s v="OPT-NIFTY-03-Feb-2026-25850-P-E-I"/>
    <s v="NSE"/>
    <x v="1"/>
    <n v="65"/>
    <n v="0"/>
    <n v="149.30000000000001"/>
    <n v="9704.5"/>
    <s v="#202602032700004937"/>
    <n v="0"/>
    <n v="3.45"/>
    <n v="1"/>
    <n v="0.01"/>
    <n v="29"/>
    <n v="5.84"/>
    <n v="39.299999999999997"/>
    <n v="2026"/>
    <n v="2"/>
    <n v="2025"/>
    <n v="11"/>
    <n v="11"/>
    <x v="24"/>
    <x v="24"/>
    <n v="-9743.7999999999993"/>
  </r>
  <r>
    <d v="2026-02-04T00:00:00"/>
    <s v="OPT-NIFTY-10-Feb-2026-25700-C-E-I"/>
    <s v="NSE"/>
    <x v="0"/>
    <n v="65"/>
    <n v="0"/>
    <n v="174"/>
    <n v="11310"/>
    <s v="#202602042700014241"/>
    <n v="11.31"/>
    <n v="4.0199999999999996"/>
    <n v="0"/>
    <n v="0.01"/>
    <n v="29"/>
    <n v="5.94"/>
    <n v="50.28"/>
    <n v="2026"/>
    <n v="2"/>
    <n v="2025"/>
    <n v="11"/>
    <n v="11"/>
    <x v="24"/>
    <x v="24"/>
    <n v="11259.72"/>
  </r>
  <r>
    <d v="2026-02-04T00:00:00"/>
    <s v="OPT-NIFTY-10-Feb-2026-25700-C-E-I"/>
    <s v="NSE"/>
    <x v="1"/>
    <n v="65"/>
    <n v="0"/>
    <n v="174.5"/>
    <n v="11342.5"/>
    <s v="#202602042700014076"/>
    <n v="0"/>
    <n v="4.03"/>
    <n v="0.34"/>
    <n v="0.01"/>
    <n v="29"/>
    <n v="5.94"/>
    <n v="39.32"/>
    <n v="2026"/>
    <n v="2"/>
    <n v="2025"/>
    <n v="11"/>
    <n v="11"/>
    <x v="24"/>
    <x v="24"/>
    <n v="-11381.82"/>
  </r>
  <r>
    <d v="2026-02-04T00:00:00"/>
    <s v="OPT-NIFTY-10-Feb-2026-25750-C-E-I"/>
    <s v="NSE"/>
    <x v="0"/>
    <n v="65"/>
    <n v="0"/>
    <n v="169.9"/>
    <n v="11043.5"/>
    <s v="#202602042700011441"/>
    <n v="11.04"/>
    <n v="3.92"/>
    <n v="0"/>
    <n v="0.01"/>
    <n v="29"/>
    <n v="5.92"/>
    <n v="49.89"/>
    <n v="2026"/>
    <n v="2"/>
    <n v="2025"/>
    <n v="11"/>
    <n v="11"/>
    <x v="24"/>
    <x v="24"/>
    <n v="10993.61"/>
  </r>
  <r>
    <d v="2026-02-04T00:00:00"/>
    <s v="OPT-NIFTY-10-Feb-2026-25750-C-E-I"/>
    <s v="NSE"/>
    <x v="1"/>
    <n v="65"/>
    <n v="0"/>
    <n v="160.25"/>
    <n v="10416.25"/>
    <s v="#202602042700011393"/>
    <n v="0"/>
    <n v="3.7"/>
    <n v="0.31"/>
    <n v="0.01"/>
    <n v="29"/>
    <n v="5.88"/>
    <n v="38.9"/>
    <n v="2026"/>
    <n v="2"/>
    <n v="2025"/>
    <n v="11"/>
    <n v="11"/>
    <x v="24"/>
    <x v="24"/>
    <n v="-10455.15"/>
  </r>
  <r>
    <d v="2026-02-04T00:00:00"/>
    <s v="OPT-NIFTY-10-Feb-2026-25800-P-E-I"/>
    <s v="NSE"/>
    <x v="0"/>
    <n v="130"/>
    <n v="0"/>
    <n v="199.9"/>
    <n v="25987"/>
    <s v="#202602042700004029"/>
    <n v="25.64"/>
    <n v="9.24"/>
    <n v="0"/>
    <n v="0.02"/>
    <n v="58"/>
    <n v="12.12"/>
    <n v="105.02"/>
    <n v="2026"/>
    <n v="2"/>
    <n v="2025"/>
    <n v="11"/>
    <n v="11"/>
    <x v="24"/>
    <x v="24"/>
    <n v="25881.98"/>
  </r>
  <r>
    <d v="2026-02-04T00:00:00"/>
    <s v="OPT-NIFTY-10-Feb-2026-25800-P-E-I"/>
    <s v="NSE"/>
    <x v="1"/>
    <n v="65"/>
    <n v="0"/>
    <n v="179.95"/>
    <n v="11696.75"/>
    <s v="#202602042700003717"/>
    <n v="0"/>
    <n v="4.16"/>
    <n v="0"/>
    <n v="0.01"/>
    <n v="29"/>
    <n v="5.98"/>
    <n v="39.15"/>
    <n v="2026"/>
    <n v="2"/>
    <n v="2025"/>
    <n v="11"/>
    <n v="11"/>
    <x v="24"/>
    <x v="24"/>
    <n v="-11735.9"/>
  </r>
  <r>
    <d v="2026-02-04T00:00:00"/>
    <s v="OPT-NIFTY-10-Feb-2026-25800-P-E-I"/>
    <s v="NSE"/>
    <x v="1"/>
    <n v="65"/>
    <n v="0"/>
    <n v="190.75"/>
    <n v="12398.75"/>
    <s v="#202602042700003071"/>
    <n v="0"/>
    <n v="4.41"/>
    <n v="0.35"/>
    <n v="0.01"/>
    <n v="29"/>
    <n v="6.02"/>
    <n v="39.79"/>
    <n v="2026"/>
    <n v="2"/>
    <n v="2025"/>
    <n v="11"/>
    <n v="11"/>
    <x v="24"/>
    <x v="24"/>
    <n v="-12438.54"/>
  </r>
  <r>
    <d v="2026-02-05T00:00:00"/>
    <s v="OPT-NIFTY-10-Feb-2026-25750-P-E-I"/>
    <s v="NSE"/>
    <x v="1"/>
    <n v="130"/>
    <n v="0"/>
    <n v="202.35"/>
    <n v="26305.5"/>
    <s v="#202602052700013840"/>
    <n v="0"/>
    <n v="9.35"/>
    <n v="1.35"/>
    <n v="0.03"/>
    <n v="58"/>
    <n v="12.12"/>
    <n v="80.849999999999994"/>
    <n v="2026"/>
    <n v="2"/>
    <n v="2025"/>
    <n v="11"/>
    <n v="11"/>
    <x v="24"/>
    <x v="24"/>
    <n v="-26386.35"/>
  </r>
  <r>
    <d v="2026-02-05T00:00:00"/>
    <s v="OPT-NIFTY-10-Feb-2026-25750-P-E-I"/>
    <s v="NSE"/>
    <x v="0"/>
    <n v="65"/>
    <n v="0"/>
    <n v="201"/>
    <n v="13065"/>
    <s v="#202602052700013503"/>
    <n v="13.07"/>
    <n v="4.6399999999999997"/>
    <n v="0"/>
    <n v="0.01"/>
    <n v="29"/>
    <n v="6.06"/>
    <n v="52.78"/>
    <n v="2026"/>
    <n v="2"/>
    <n v="2025"/>
    <n v="11"/>
    <n v="11"/>
    <x v="24"/>
    <x v="24"/>
    <n v="13012.22"/>
  </r>
  <r>
    <d v="2026-02-05T00:00:00"/>
    <s v="OPT-NIFTY-10-Feb-2026-25750-P-E-I"/>
    <s v="NSE"/>
    <x v="1"/>
    <n v="65"/>
    <n v="0"/>
    <n v="200.1"/>
    <n v="13006.5"/>
    <s v="#202602052700006177"/>
    <n v="0"/>
    <n v="4.62"/>
    <n v="0"/>
    <n v="0.01"/>
    <n v="29"/>
    <n v="6.06"/>
    <n v="39.69"/>
    <n v="2026"/>
    <n v="2"/>
    <n v="2025"/>
    <n v="11"/>
    <n v="11"/>
    <x v="24"/>
    <x v="24"/>
    <n v="-13046.19"/>
  </r>
  <r>
    <d v="2026-02-05T00:00:00"/>
    <s v="OPT-NIFTY-10-Feb-2026-25650-C-E-I"/>
    <s v="NSE"/>
    <x v="0"/>
    <n v="65"/>
    <n v="0"/>
    <n v="153.5"/>
    <n v="9977.5"/>
    <s v="#202602052700004901"/>
    <n v="9.98"/>
    <n v="3.55"/>
    <n v="0"/>
    <n v="0.01"/>
    <n v="29"/>
    <n v="5.86"/>
    <n v="48.4"/>
    <n v="2026"/>
    <n v="2"/>
    <n v="2025"/>
    <n v="11"/>
    <n v="11"/>
    <x v="24"/>
    <x v="24"/>
    <n v="9929.1"/>
  </r>
  <r>
    <d v="2026-02-05T00:00:00"/>
    <s v="OPT-NIFTY-10-Feb-2026-25650-C-E-I"/>
    <s v="NSE"/>
    <x v="1"/>
    <n v="65"/>
    <n v="0"/>
    <n v="167.05"/>
    <n v="10858.25"/>
    <s v="#202602052700004045"/>
    <n v="0"/>
    <n v="3.86"/>
    <n v="0"/>
    <n v="0.01"/>
    <n v="29"/>
    <n v="5.92"/>
    <n v="38.79"/>
    <n v="2026"/>
    <n v="2"/>
    <n v="2025"/>
    <n v="11"/>
    <n v="11"/>
    <x v="24"/>
    <x v="24"/>
    <n v="-10897.04"/>
  </r>
  <r>
    <d v="2026-02-05T00:00:00"/>
    <s v="OPT-NIFTY-10-Feb-2026-25650-C-E-I"/>
    <s v="NSE"/>
    <x v="0"/>
    <n v="65"/>
    <n v="0"/>
    <n v="187.9"/>
    <n v="12213.5"/>
    <s v="#202602052700002983"/>
    <n v="12.37"/>
    <n v="4.34"/>
    <n v="0"/>
    <n v="0.01"/>
    <n v="29"/>
    <n v="6"/>
    <n v="51.72"/>
    <n v="2026"/>
    <n v="2"/>
    <n v="2025"/>
    <n v="11"/>
    <n v="11"/>
    <x v="24"/>
    <x v="24"/>
    <n v="12161.78"/>
  </r>
  <r>
    <d v="2026-02-05T00:00:00"/>
    <s v="OPT-NIFTY-10-Feb-2026-25650-C-E-I"/>
    <s v="NSE"/>
    <x v="1"/>
    <n v="65"/>
    <n v="0"/>
    <n v="167.6"/>
    <n v="10894"/>
    <s v="#202602052700002573"/>
    <n v="0"/>
    <n v="3.87"/>
    <n v="0.65"/>
    <n v="0.01"/>
    <n v="29"/>
    <n v="5.92"/>
    <n v="39.450000000000003"/>
    <n v="2026"/>
    <n v="2"/>
    <n v="2025"/>
    <n v="11"/>
    <n v="11"/>
    <x v="24"/>
    <x v="24"/>
    <n v="-10933.45"/>
  </r>
  <r>
    <d v="2026-02-05T00:00:00"/>
    <s v="OPT-NIFTY-10-Feb-2026-25750-P-E-I"/>
    <s v="NSE"/>
    <x v="0"/>
    <n v="130"/>
    <n v="0"/>
    <n v="219.9"/>
    <n v="28587"/>
    <s v="#202602052600001220"/>
    <n v="28.59"/>
    <n v="10.16"/>
    <n v="0"/>
    <n v="0.03"/>
    <n v="58"/>
    <n v="12.28"/>
    <n v="109.06"/>
    <n v="2026"/>
    <n v="2"/>
    <n v="2025"/>
    <n v="11"/>
    <n v="11"/>
    <x v="24"/>
    <x v="24"/>
    <n v="28477.94"/>
  </r>
  <r>
    <d v="2026-02-11T00:00:00"/>
    <s v="OPT-ICIBAN-24-Feb-2026-1380-P-E-S"/>
    <s v="NSE"/>
    <x v="1"/>
    <n v="700"/>
    <n v="0"/>
    <n v="5.15"/>
    <n v="3605"/>
    <s v="#202602112700002859"/>
    <n v="0"/>
    <n v="1.28"/>
    <n v="0"/>
    <n v="0"/>
    <n v="29"/>
    <n v="5.46"/>
    <n v="35.74"/>
    <n v="2026"/>
    <n v="2"/>
    <n v="2025"/>
    <n v="11"/>
    <n v="11"/>
    <x v="24"/>
    <x v="24"/>
    <n v="-3640.74"/>
  </r>
  <r>
    <d v="2026-02-12T00:00:00"/>
    <s v="OPT-ICIBAN-24-Feb-2026-1380-P-E-S"/>
    <s v="NSE"/>
    <x v="1"/>
    <n v="1400"/>
    <n v="0"/>
    <n v="3.1"/>
    <n v="4340"/>
    <s v="#202602122700002139"/>
    <n v="0"/>
    <n v="1.54"/>
    <n v="0"/>
    <n v="0"/>
    <n v="58"/>
    <n v="10.72"/>
    <n v="70.260000000000005"/>
    <n v="2026"/>
    <n v="2"/>
    <n v="2025"/>
    <n v="11"/>
    <n v="11"/>
    <x v="24"/>
    <x v="24"/>
    <n v="-4410.26"/>
  </r>
  <r>
    <d v="2026-02-16T00:00:00"/>
    <s v="OPT-ICIBAN-24-Feb-2026-1380-P-E-S"/>
    <s v="NSE"/>
    <x v="0"/>
    <n v="2100"/>
    <n v="0"/>
    <n v="3.9"/>
    <n v="8190"/>
    <s v="#202602162700016857"/>
    <n v="8"/>
    <n v="2.91"/>
    <n v="0"/>
    <n v="0"/>
    <n v="87"/>
    <n v="16.2"/>
    <n v="114.11"/>
    <n v="2026"/>
    <n v="2"/>
    <n v="2025"/>
    <n v="11"/>
    <n v="11"/>
    <x v="24"/>
    <x v="24"/>
    <n v="8075.89"/>
  </r>
  <r>
    <d v="2026-02-17T00:00:00"/>
    <s v="OPT-NIFTY-17-Feb-2026-25750-P-E-I"/>
    <s v="NSE"/>
    <x v="0"/>
    <n v="130"/>
    <n v="0"/>
    <n v="13.05"/>
    <n v="1696.5"/>
    <s v="#202602172700023141"/>
    <n v="1.7"/>
    <n v="0.6"/>
    <n v="0"/>
    <n v="0"/>
    <n v="58"/>
    <n v="10.54"/>
    <n v="70.84"/>
    <n v="2026"/>
    <n v="2"/>
    <n v="2025"/>
    <n v="11"/>
    <n v="11"/>
    <x v="24"/>
    <x v="24"/>
    <n v="1625.66"/>
  </r>
  <r>
    <d v="2026-02-17T00:00:00"/>
    <s v="OPT-NIFTY-17-Feb-2026-25750-P-E-I"/>
    <s v="NSE"/>
    <x v="1"/>
    <n v="130"/>
    <n v="0"/>
    <n v="37.5"/>
    <n v="4875"/>
    <s v="#202602172700022984"/>
    <n v="0"/>
    <n v="1.73"/>
    <n v="0.15"/>
    <n v="0"/>
    <n v="58"/>
    <n v="10.76"/>
    <n v="70.64"/>
    <n v="2026"/>
    <n v="2"/>
    <n v="2025"/>
    <n v="11"/>
    <n v="11"/>
    <x v="24"/>
    <x v="24"/>
    <n v="-4945.6400000000003"/>
  </r>
  <r>
    <d v="2026-02-17T00:00:00"/>
    <s v="OPT-NIFTY-17-Feb-2026-25550-C-E-I"/>
    <s v="NSE"/>
    <x v="0"/>
    <n v="65"/>
    <n v="0"/>
    <n v="147.9"/>
    <n v="9613.5"/>
    <s v="#202602172700010664"/>
    <n v="9.61"/>
    <n v="3.42"/>
    <n v="0"/>
    <n v="0.01"/>
    <n v="29"/>
    <n v="5.84"/>
    <n v="47.88"/>
    <n v="2026"/>
    <n v="2"/>
    <n v="2025"/>
    <n v="11"/>
    <n v="11"/>
    <x v="24"/>
    <x v="24"/>
    <n v="9565.6200000000008"/>
  </r>
  <r>
    <d v="2026-02-17T00:00:00"/>
    <s v="OPT-NIFTY-17-Feb-2026-25550-C-E-I"/>
    <s v="NSE"/>
    <x v="1"/>
    <n v="65"/>
    <n v="0"/>
    <n v="116.9"/>
    <n v="7598.5"/>
    <s v="#202602172700009894"/>
    <n v="0"/>
    <n v="2.7"/>
    <n v="0"/>
    <n v="0.01"/>
    <n v="29"/>
    <n v="5.7"/>
    <n v="37.409999999999997"/>
    <n v="2026"/>
    <n v="2"/>
    <n v="2025"/>
    <n v="11"/>
    <n v="11"/>
    <x v="24"/>
    <x v="24"/>
    <n v="-7635.91"/>
  </r>
  <r>
    <d v="2026-02-17T00:00:00"/>
    <s v="OPT-NIFTY-17-Feb-2026-25550-C-E-I"/>
    <s v="NSE"/>
    <x v="0"/>
    <n v="65"/>
    <n v="0"/>
    <n v="76.45"/>
    <n v="4969.25"/>
    <s v="#202602172700002346"/>
    <n v="4.6900000000000004"/>
    <n v="1.77"/>
    <n v="0"/>
    <n v="0.01"/>
    <n v="29"/>
    <n v="5.54"/>
    <n v="41.01"/>
    <n v="2026"/>
    <n v="2"/>
    <n v="2025"/>
    <n v="11"/>
    <n v="11"/>
    <x v="24"/>
    <x v="24"/>
    <n v="4928.24"/>
  </r>
  <r>
    <d v="2026-02-17T00:00:00"/>
    <s v="OPT-NIFTY-17-Feb-2026-25550-C-E-I"/>
    <s v="NSE"/>
    <x v="1"/>
    <n v="65"/>
    <n v="0"/>
    <n v="65.8"/>
    <n v="4277"/>
    <s v="#202602172700002118"/>
    <n v="0"/>
    <n v="1.52"/>
    <n v="0.85"/>
    <n v="0"/>
    <n v="29"/>
    <n v="5.5"/>
    <n v="36.869999999999997"/>
    <n v="2026"/>
    <n v="2"/>
    <n v="2025"/>
    <n v="11"/>
    <n v="11"/>
    <x v="24"/>
    <x v="24"/>
    <n v="-4313.87"/>
  </r>
  <r>
    <d v="2026-02-18T00:00:00"/>
    <s v="OPT-NIFTY-24-Feb-2026-25700-P-E-I"/>
    <s v="NSE"/>
    <x v="0"/>
    <n v="130"/>
    <n v="0"/>
    <n v="106.05"/>
    <n v="13786.5"/>
    <s v="#202602182700010968"/>
    <n v="13.79"/>
    <n v="4.9000000000000004"/>
    <n v="0"/>
    <n v="0.01"/>
    <n v="58"/>
    <n v="11.32"/>
    <n v="88.02"/>
    <n v="2026"/>
    <n v="2"/>
    <n v="2025"/>
    <n v="11"/>
    <n v="11"/>
    <x v="24"/>
    <x v="24"/>
    <n v="13698.48"/>
  </r>
  <r>
    <d v="2026-02-18T00:00:00"/>
    <s v="OPT-NIFTY-24-Feb-2026-25700-P-E-I"/>
    <s v="NSE"/>
    <x v="1"/>
    <n v="130"/>
    <n v="0"/>
    <n v="103.8"/>
    <n v="13494"/>
    <s v="#202602182700010073"/>
    <n v="0"/>
    <n v="4.79"/>
    <n v="1.57"/>
    <n v="0.01"/>
    <n v="58"/>
    <n v="11.3"/>
    <n v="75.67"/>
    <n v="2026"/>
    <n v="2"/>
    <n v="2025"/>
    <n v="11"/>
    <n v="11"/>
    <x v="24"/>
    <x v="24"/>
    <n v="-13569.67"/>
  </r>
  <r>
    <d v="2026-02-18T00:00:00"/>
    <s v="OPT-NIFTY-24-Feb-2026-25750-C-E-I"/>
    <s v="NSE"/>
    <x v="0"/>
    <n v="130"/>
    <n v="0"/>
    <n v="114.9"/>
    <n v="14937"/>
    <s v="#202602182700007909"/>
    <n v="14.94"/>
    <n v="5.31"/>
    <n v="0"/>
    <n v="0.01"/>
    <n v="58"/>
    <n v="11.4"/>
    <n v="89.66"/>
    <n v="2026"/>
    <n v="2"/>
    <n v="2025"/>
    <n v="11"/>
    <n v="11"/>
    <x v="24"/>
    <x v="24"/>
    <n v="14847.34"/>
  </r>
  <r>
    <d v="2026-02-18T00:00:00"/>
    <s v="OPT-NIFTY-24-Feb-2026-25750-C-E-I"/>
    <s v="NSE"/>
    <x v="1"/>
    <n v="65"/>
    <n v="0"/>
    <n v="109.5"/>
    <n v="7117.5"/>
    <s v="#202602182700007719"/>
    <n v="0"/>
    <n v="2.5299999999999998"/>
    <n v="0.43"/>
    <n v="0.01"/>
    <n v="29"/>
    <n v="5.68"/>
    <n v="37.65"/>
    <n v="2026"/>
    <n v="2"/>
    <n v="2025"/>
    <n v="11"/>
    <n v="11"/>
    <x v="24"/>
    <x v="24"/>
    <n v="-7155.15"/>
  </r>
  <r>
    <d v="2026-02-18T00:00:00"/>
    <s v="OPT-NIFTY-24-Feb-2026-25750-C-E-I"/>
    <s v="NSE"/>
    <x v="1"/>
    <n v="65"/>
    <n v="0"/>
    <n v="110.4"/>
    <n v="7176"/>
    <s v="#202602182700007680"/>
    <n v="0"/>
    <n v="2.5499999999999998"/>
    <n v="0"/>
    <n v="0.01"/>
    <n v="29"/>
    <n v="5.68"/>
    <n v="37.24"/>
    <n v="2026"/>
    <n v="2"/>
    <n v="2025"/>
    <n v="11"/>
    <n v="11"/>
    <x v="24"/>
    <x v="24"/>
    <n v="-7213.24"/>
  </r>
  <r>
    <d v="2026-02-18T00:00:00"/>
    <s v="OPT-NIFTY-24-Feb-2026-25700-P-E-I"/>
    <s v="NSE"/>
    <x v="0"/>
    <n v="65"/>
    <n v="0"/>
    <n v="132"/>
    <n v="8580"/>
    <s v="#202602182700007358"/>
    <n v="8.58"/>
    <n v="3.05"/>
    <n v="0"/>
    <n v="0.01"/>
    <n v="29"/>
    <n v="5.78"/>
    <n v="46.42"/>
    <n v="2026"/>
    <n v="2"/>
    <n v="2025"/>
    <n v="11"/>
    <n v="11"/>
    <x v="24"/>
    <x v="24"/>
    <n v="8533.58"/>
  </r>
  <r>
    <d v="2026-02-18T00:00:00"/>
    <s v="OPT-NIFTY-24-Feb-2026-25700-P-E-I"/>
    <s v="NSE"/>
    <x v="1"/>
    <n v="65"/>
    <n v="0"/>
    <n v="125.35"/>
    <n v="8147.75"/>
    <s v="#202602182700007305"/>
    <n v="0"/>
    <n v="2.89"/>
    <n v="0"/>
    <n v="0.01"/>
    <n v="29"/>
    <n v="5.74"/>
    <n v="37.64"/>
    <n v="2026"/>
    <n v="2"/>
    <n v="2025"/>
    <n v="11"/>
    <n v="11"/>
    <x v="24"/>
    <x v="24"/>
    <n v="-8185.39"/>
  </r>
  <r>
    <d v="2026-02-18T00:00:00"/>
    <s v="OPT-NIFTY-24-Feb-2026-25700-P-E-I"/>
    <s v="NSE"/>
    <x v="0"/>
    <n v="65"/>
    <n v="0"/>
    <n v="139.9"/>
    <n v="9093.5"/>
    <s v="#202602182700003253"/>
    <n v="9.09"/>
    <n v="3.23"/>
    <n v="0"/>
    <n v="0.01"/>
    <n v="29"/>
    <n v="5.8"/>
    <n v="47.13"/>
    <n v="2026"/>
    <n v="2"/>
    <n v="2025"/>
    <n v="11"/>
    <n v="11"/>
    <x v="24"/>
    <x v="24"/>
    <n v="9046.3700000000008"/>
  </r>
  <r>
    <d v="2026-02-18T00:00:00"/>
    <s v="OPT-NIFTY-24-Feb-2026-25700-P-E-I"/>
    <s v="NSE"/>
    <x v="0"/>
    <n v="65"/>
    <n v="0"/>
    <n v="127.9"/>
    <n v="8313.5"/>
    <s v="#202602182700003132"/>
    <n v="8.6"/>
    <n v="2.95"/>
    <n v="0"/>
    <n v="0.01"/>
    <n v="29"/>
    <n v="5.76"/>
    <n v="46.32"/>
    <n v="2026"/>
    <n v="2"/>
    <n v="2025"/>
    <n v="11"/>
    <n v="11"/>
    <x v="24"/>
    <x v="24"/>
    <n v="8267.18"/>
  </r>
  <r>
    <d v="2026-02-18T00:00:00"/>
    <s v="OPT-NIFTY-24-Feb-2026-25700-P-E-I"/>
    <s v="NSE"/>
    <x v="1"/>
    <n v="65"/>
    <n v="0"/>
    <n v="118.95"/>
    <n v="7731.75"/>
    <s v="#202602182700001708"/>
    <n v="0"/>
    <n v="2.75"/>
    <n v="0"/>
    <n v="0.01"/>
    <n v="29"/>
    <n v="5.72"/>
    <n v="37.479999999999997"/>
    <n v="2026"/>
    <n v="2"/>
    <n v="2025"/>
    <n v="11"/>
    <n v="11"/>
    <x v="24"/>
    <x v="24"/>
    <n v="-7769.23"/>
  </r>
  <r>
    <d v="2026-02-18T00:00:00"/>
    <s v="OPT-NIFTY-24-Feb-2026-25700-P-E-I"/>
    <s v="NSE"/>
    <x v="1"/>
    <n v="65"/>
    <n v="0"/>
    <n v="116.25"/>
    <n v="7556.25"/>
    <s v="#202602182700001612"/>
    <n v="0"/>
    <n v="2.68"/>
    <n v="0"/>
    <n v="0.01"/>
    <n v="29"/>
    <n v="5.7"/>
    <n v="37.39"/>
    <n v="2026"/>
    <n v="2"/>
    <n v="2025"/>
    <n v="11"/>
    <n v="11"/>
    <x v="24"/>
    <x v="24"/>
    <n v="-7593.64"/>
  </r>
  <r>
    <d v="2026-02-19T00:00:00"/>
    <s v="OPT-NIFTY-24-Feb-2026-25550-C-E-I"/>
    <s v="NSE"/>
    <x v="1"/>
    <n v="130"/>
    <n v="0"/>
    <n v="122.3"/>
    <n v="15899"/>
    <s v="#202602192700014494"/>
    <n v="0"/>
    <n v="5.64"/>
    <n v="0.48"/>
    <n v="0.02"/>
    <n v="58"/>
    <n v="11.44"/>
    <n v="75.58"/>
    <n v="2026"/>
    <n v="2"/>
    <n v="2025"/>
    <n v="11"/>
    <n v="11"/>
    <x v="24"/>
    <x v="24"/>
    <n v="-15974.58"/>
  </r>
  <r>
    <d v="2026-02-19T00:00:00"/>
    <s v="OPT-NIFTY-24-Feb-2026-25650-P-E-I"/>
    <s v="NSE"/>
    <x v="0"/>
    <n v="65"/>
    <n v="0"/>
    <n v="189.9"/>
    <n v="12343.5"/>
    <s v="#202602192700013154"/>
    <n v="12.34"/>
    <n v="4.3899999999999997"/>
    <n v="0"/>
    <n v="0.01"/>
    <n v="29"/>
    <n v="6.02"/>
    <n v="51.76"/>
    <n v="2026"/>
    <n v="2"/>
    <n v="2025"/>
    <n v="11"/>
    <n v="11"/>
    <x v="24"/>
    <x v="24"/>
    <n v="12291.74"/>
  </r>
  <r>
    <d v="2026-02-19T00:00:00"/>
    <s v="OPT-NIFTY-24-Feb-2026-25650-P-E-I"/>
    <s v="NSE"/>
    <x v="1"/>
    <n v="65"/>
    <n v="0"/>
    <n v="162.25"/>
    <n v="10546.25"/>
    <s v="#202602192700013017"/>
    <n v="0"/>
    <n v="3.75"/>
    <n v="0.32"/>
    <n v="0.01"/>
    <n v="29"/>
    <n v="5.9"/>
    <n v="38.979999999999997"/>
    <n v="2026"/>
    <n v="2"/>
    <n v="2025"/>
    <n v="11"/>
    <n v="11"/>
    <x v="24"/>
    <x v="24"/>
    <n v="-10585.23"/>
  </r>
  <r>
    <d v="2026-02-19T00:00:00"/>
    <s v="OPT-NIFTY-24-Feb-2026-25800-C-E-I"/>
    <s v="NSE"/>
    <x v="0"/>
    <n v="130"/>
    <n v="0"/>
    <n v="99.9"/>
    <n v="12987"/>
    <s v="#202602192700005810"/>
    <n v="12.98"/>
    <n v="4.62"/>
    <n v="0"/>
    <n v="0.02"/>
    <n v="58"/>
    <n v="11.28"/>
    <n v="86.9"/>
    <n v="2026"/>
    <n v="2"/>
    <n v="2025"/>
    <n v="11"/>
    <n v="11"/>
    <x v="24"/>
    <x v="24"/>
    <n v="12900.1"/>
  </r>
  <r>
    <d v="2026-02-19T00:00:00"/>
    <s v="OPT-NIFTY-24-Feb-2026-25800-C-E-I"/>
    <s v="NSE"/>
    <x v="1"/>
    <n v="130"/>
    <n v="0"/>
    <n v="97.7"/>
    <n v="12701"/>
    <s v="#202602192700005627"/>
    <n v="0"/>
    <n v="4.5199999999999996"/>
    <n v="0"/>
    <n v="0.02"/>
    <n v="58"/>
    <n v="11.24"/>
    <n v="73.78"/>
    <n v="2026"/>
    <n v="2"/>
    <n v="2025"/>
    <n v="11"/>
    <n v="11"/>
    <x v="24"/>
    <x v="24"/>
    <n v="-12774.78"/>
  </r>
  <r>
    <d v="2026-02-19T00:00:00"/>
    <s v="OPT-NIFTY-24-Feb-2026-25800-C-E-I"/>
    <s v="NSE"/>
    <x v="0"/>
    <n v="65"/>
    <n v="0"/>
    <n v="107.75"/>
    <n v="7003.75"/>
    <s v="#202602192700004036"/>
    <n v="7"/>
    <n v="2.4900000000000002"/>
    <n v="0"/>
    <n v="0.01"/>
    <n v="29"/>
    <n v="5.66"/>
    <n v="44.16"/>
    <n v="2026"/>
    <n v="2"/>
    <n v="2025"/>
    <n v="11"/>
    <n v="11"/>
    <x v="24"/>
    <x v="24"/>
    <n v="6959.59"/>
  </r>
  <r>
    <d v="2026-02-19T00:00:00"/>
    <s v="OPT-NIFTY-24-Feb-2026-25800-C-E-I"/>
    <s v="NSE"/>
    <x v="0"/>
    <n v="65"/>
    <n v="0"/>
    <n v="113.9"/>
    <n v="7403.5"/>
    <s v="#202602192700003666"/>
    <n v="7.4"/>
    <n v="2.63"/>
    <n v="0"/>
    <n v="0.01"/>
    <n v="29"/>
    <n v="5.7"/>
    <n v="44.74"/>
    <n v="2026"/>
    <n v="2"/>
    <n v="2025"/>
    <n v="11"/>
    <n v="11"/>
    <x v="24"/>
    <x v="24"/>
    <n v="7358.76"/>
  </r>
  <r>
    <d v="2026-02-19T00:00:00"/>
    <s v="OPT-NIFTY-24-Feb-2026-25800-C-E-I"/>
    <s v="NSE"/>
    <x v="1"/>
    <n v="130"/>
    <n v="0"/>
    <n v="115.45"/>
    <n v="15008.5"/>
    <s v="#202602192700003595"/>
    <n v="0"/>
    <n v="5.33"/>
    <n v="1.2"/>
    <n v="0.02"/>
    <n v="58"/>
    <n v="11.4"/>
    <n v="75.95"/>
    <n v="2026"/>
    <n v="2"/>
    <n v="2025"/>
    <n v="11"/>
    <n v="11"/>
    <x v="24"/>
    <x v="24"/>
    <n v="-15084.45"/>
  </r>
  <r>
    <d v="2026-02-19T00:00:00"/>
    <s v="OPT-NIFTY-24-Feb-2026-25800-C-E-I"/>
    <s v="NSE"/>
    <x v="0"/>
    <n v="65"/>
    <n v="0"/>
    <n v="115.9"/>
    <n v="7533.5"/>
    <s v="#202602192700003138"/>
    <n v="7.26"/>
    <n v="2.68"/>
    <n v="0"/>
    <n v="0.01"/>
    <n v="29"/>
    <n v="5.7"/>
    <n v="44.65"/>
    <n v="2026"/>
    <n v="2"/>
    <n v="2025"/>
    <n v="11"/>
    <n v="11"/>
    <x v="24"/>
    <x v="24"/>
    <n v="7488.85"/>
  </r>
  <r>
    <d v="2026-02-19T00:00:00"/>
    <s v="OPT-NIFTY-24-Feb-2026-25800-C-E-I"/>
    <s v="NSE"/>
    <x v="1"/>
    <n v="65"/>
    <n v="0"/>
    <n v="118.8"/>
    <n v="7722"/>
    <s v="#202602192700002784"/>
    <n v="0"/>
    <n v="2.74"/>
    <n v="0"/>
    <n v="0.01"/>
    <n v="29"/>
    <n v="5.72"/>
    <n v="37.47"/>
    <n v="2026"/>
    <n v="2"/>
    <n v="2025"/>
    <n v="11"/>
    <n v="11"/>
    <x v="24"/>
    <x v="24"/>
    <n v="-7759.47"/>
  </r>
  <r>
    <d v="2026-02-20T00:00:00"/>
    <s v="OPT-NIFTY-24-Feb-2026-25550-C-E-I"/>
    <s v="NSE"/>
    <x v="0"/>
    <n v="130"/>
    <n v="0"/>
    <n v="169.25"/>
    <n v="22002.5"/>
    <s v="#202602202700016569"/>
    <n v="22"/>
    <n v="7.82"/>
    <n v="0"/>
    <n v="0.02"/>
    <n v="58"/>
    <n v="11.86"/>
    <n v="99.7"/>
    <n v="2026"/>
    <n v="2"/>
    <n v="2025"/>
    <n v="11"/>
    <n v="11"/>
    <x v="24"/>
    <x v="24"/>
    <n v="21902.799999999999"/>
  </r>
  <r>
    <d v="2026-02-20T00:00:00"/>
    <s v="OPT-NIFTY-24-Feb-2026-25550-C-E-I"/>
    <s v="NSE"/>
    <x v="1"/>
    <n v="130"/>
    <n v="0"/>
    <n v="169.75"/>
    <n v="22067.5"/>
    <s v="#202602202700016126"/>
    <n v="0"/>
    <n v="7.84"/>
    <n v="0"/>
    <n v="0.02"/>
    <n v="58"/>
    <n v="11.84"/>
    <n v="77.7"/>
    <n v="2026"/>
    <n v="2"/>
    <n v="2025"/>
    <n v="11"/>
    <n v="11"/>
    <x v="24"/>
    <x v="24"/>
    <n v="-22145.200000000001"/>
  </r>
  <r>
    <d v="2026-02-20T00:00:00"/>
    <s v="OPT-NIFTY-24-Feb-2026-25350-P-E-I"/>
    <s v="NSE"/>
    <x v="1"/>
    <n v="65"/>
    <n v="0"/>
    <n v="55.35"/>
    <n v="3597.75"/>
    <s v="#202602202700013548"/>
    <n v="0"/>
    <n v="1.28"/>
    <n v="0"/>
    <n v="0"/>
    <n v="29"/>
    <n v="5.46"/>
    <n v="35.74"/>
    <n v="2026"/>
    <n v="2"/>
    <n v="2025"/>
    <n v="11"/>
    <n v="11"/>
    <x v="24"/>
    <x v="24"/>
    <n v="-3633.49"/>
  </r>
  <r>
    <d v="2026-02-20T00:00:00"/>
    <s v="OPT-NIFTY-24-Feb-2026-25550-C-E-I"/>
    <s v="NSE"/>
    <x v="0"/>
    <n v="65"/>
    <n v="0"/>
    <n v="172"/>
    <n v="11180"/>
    <s v="#202602202700013058"/>
    <n v="11.18"/>
    <n v="3.97"/>
    <n v="0"/>
    <n v="0.01"/>
    <n v="29"/>
    <n v="5.94"/>
    <n v="50.1"/>
    <n v="2026"/>
    <n v="2"/>
    <n v="2025"/>
    <n v="11"/>
    <n v="11"/>
    <x v="24"/>
    <x v="24"/>
    <n v="11129.9"/>
  </r>
  <r>
    <d v="2026-02-20T00:00:00"/>
    <s v="OPT-NIFTY-24-Feb-2026-25550-C-E-I"/>
    <s v="NSE"/>
    <x v="1"/>
    <n v="65"/>
    <n v="0"/>
    <n v="182.25"/>
    <n v="11846.25"/>
    <s v="#202602202700012918"/>
    <n v="0"/>
    <n v="4.21"/>
    <n v="0"/>
    <n v="0.01"/>
    <n v="29"/>
    <n v="5.98"/>
    <n v="39.200000000000003"/>
    <n v="2026"/>
    <n v="2"/>
    <n v="2025"/>
    <n v="11"/>
    <n v="11"/>
    <x v="24"/>
    <x v="24"/>
    <n v="-11885.45"/>
  </r>
  <r>
    <d v="2026-02-20T00:00:00"/>
    <s v="OPT-NIFTY-24-Feb-2026-25350-P-E-I"/>
    <s v="NSE"/>
    <x v="1"/>
    <n v="65"/>
    <n v="0"/>
    <n v="54.35"/>
    <n v="3532.75"/>
    <s v="#202602202700011860"/>
    <n v="0"/>
    <n v="1.26"/>
    <n v="0"/>
    <n v="0"/>
    <n v="29"/>
    <n v="5.44"/>
    <n v="35.700000000000003"/>
    <n v="2026"/>
    <n v="2"/>
    <n v="2025"/>
    <n v="11"/>
    <n v="11"/>
    <x v="24"/>
    <x v="24"/>
    <n v="-3568.45"/>
  </r>
  <r>
    <d v="2026-02-20T00:00:00"/>
    <s v="OPT-NIFTY-24-Feb-2026-25550-C-E-I"/>
    <s v="NSE"/>
    <x v="0"/>
    <n v="195"/>
    <n v="0"/>
    <n v="199.9"/>
    <n v="38980.5"/>
    <s v="#202602202700011207"/>
    <n v="38.979999999999997"/>
    <n v="13.85"/>
    <n v="0"/>
    <n v="0.04"/>
    <n v="87"/>
    <n v="18.16"/>
    <n v="158.03"/>
    <n v="2026"/>
    <n v="2"/>
    <n v="2025"/>
    <n v="11"/>
    <n v="11"/>
    <x v="24"/>
    <x v="24"/>
    <n v="38822.47"/>
  </r>
  <r>
    <d v="2026-02-20T00:00:00"/>
    <s v="OPT-NIFTY-24-Feb-2026-25350-P-E-I"/>
    <s v="NSE"/>
    <x v="1"/>
    <n v="65"/>
    <n v="0"/>
    <n v="50.4"/>
    <n v="3276"/>
    <s v="#202602202700010965"/>
    <n v="0"/>
    <n v="1.1599999999999999"/>
    <n v="0"/>
    <n v="0"/>
    <n v="29"/>
    <n v="5.42"/>
    <n v="35.58"/>
    <n v="2026"/>
    <n v="2"/>
    <n v="2025"/>
    <n v="11"/>
    <n v="11"/>
    <x v="24"/>
    <x v="24"/>
    <n v="-3311.58"/>
  </r>
  <r>
    <d v="2026-02-20T00:00:00"/>
    <s v="OPT-NIFTY-24-Feb-2026-25550-C-E-I"/>
    <s v="NSE"/>
    <x v="1"/>
    <n v="195"/>
    <n v="0"/>
    <n v="176.45"/>
    <n v="34407.75"/>
    <s v="#202602202700009377"/>
    <n v="0"/>
    <n v="12.23"/>
    <n v="1.61"/>
    <n v="0.03"/>
    <n v="87"/>
    <n v="17.88"/>
    <n v="118.75"/>
    <n v="2026"/>
    <n v="2"/>
    <n v="2025"/>
    <n v="11"/>
    <n v="11"/>
    <x v="24"/>
    <x v="24"/>
    <n v="-34526.5"/>
  </r>
  <r>
    <d v="2026-02-20T00:00:00"/>
    <s v="OPT-NIFTY-24-Feb-2026-25350-P-E-I"/>
    <s v="NSE"/>
    <x v="1"/>
    <n v="65"/>
    <n v="0"/>
    <n v="60.55"/>
    <n v="3935.75"/>
    <s v="#202602202700009082"/>
    <n v="0"/>
    <n v="1.4"/>
    <n v="0"/>
    <n v="0"/>
    <n v="29"/>
    <n v="5.48"/>
    <n v="35.880000000000003"/>
    <n v="2026"/>
    <n v="2"/>
    <n v="2025"/>
    <n v="11"/>
    <n v="11"/>
    <x v="24"/>
    <x v="24"/>
    <n v="-3971.63"/>
  </r>
  <r>
    <d v="2026-02-20T00:00:00"/>
    <s v="OPT-NIFTY-24-Feb-2026-25350-P-E-I"/>
    <s v="NSE"/>
    <x v="1"/>
    <n v="65"/>
    <n v="0"/>
    <n v="55.8"/>
    <n v="3627"/>
    <s v="#202602202700008269"/>
    <n v="0"/>
    <n v="1.29"/>
    <n v="0"/>
    <n v="0"/>
    <n v="29"/>
    <n v="5.46"/>
    <n v="35.75"/>
    <n v="2026"/>
    <n v="2"/>
    <n v="2025"/>
    <n v="11"/>
    <n v="11"/>
    <x v="24"/>
    <x v="24"/>
    <n v="-3662.75"/>
  </r>
  <r>
    <d v="2026-02-20T00:00:00"/>
    <s v="OPT-NIFTY-24-Feb-2026-25350-P-E-I"/>
    <s v="NSE"/>
    <x v="1"/>
    <n v="130"/>
    <n v="0"/>
    <n v="63"/>
    <n v="8190"/>
    <s v="#202602202700006057"/>
    <n v="0"/>
    <n v="2.91"/>
    <n v="1.39"/>
    <n v="0.01"/>
    <n v="58"/>
    <n v="10.96"/>
    <n v="73.27"/>
    <n v="2026"/>
    <n v="2"/>
    <n v="2025"/>
    <n v="11"/>
    <n v="11"/>
    <x v="24"/>
    <x v="24"/>
    <n v="-8263.27"/>
  </r>
  <r>
    <d v="2026-02-20T00:00:00"/>
    <s v="OPT-NIFTY-24-Feb-2026-25550-C-E-I"/>
    <s v="NSE"/>
    <x v="0"/>
    <n v="130"/>
    <n v="0"/>
    <n v="114.8"/>
    <n v="14924"/>
    <s v="#202602202700003969"/>
    <n v="14.84"/>
    <n v="5.3"/>
    <n v="0"/>
    <n v="0.01"/>
    <n v="58"/>
    <n v="11.4"/>
    <n v="89.55"/>
    <n v="2026"/>
    <n v="2"/>
    <n v="2025"/>
    <n v="11"/>
    <n v="11"/>
    <x v="24"/>
    <x v="24"/>
    <n v="14834.45"/>
  </r>
  <r>
    <d v="2026-02-20T00:00:00"/>
    <s v="OPT-NIFTY-24-Feb-2026-25350-P-E-I"/>
    <s v="NSE"/>
    <x v="1"/>
    <n v="195"/>
    <n v="0"/>
    <n v="102.85"/>
    <n v="20055.75"/>
    <s v="#202602202700001862"/>
    <n v="0"/>
    <n v="7.14"/>
    <n v="0"/>
    <n v="0.03"/>
    <n v="87"/>
    <n v="16.920000000000002"/>
    <n v="111.09"/>
    <n v="2026"/>
    <n v="2"/>
    <n v="2025"/>
    <n v="11"/>
    <n v="11"/>
    <x v="24"/>
    <x v="24"/>
    <n v="-20166.84"/>
  </r>
  <r>
    <d v="2026-02-23T00:00:00"/>
    <s v="OPT-NIFTY-24-Feb-2026-25650-P-E-I"/>
    <s v="NSE"/>
    <x v="0"/>
    <n v="715"/>
    <n v="0"/>
    <n v="109.9"/>
    <n v="78578.5"/>
    <s v="#202602232700009465"/>
    <n v="78.56"/>
    <n v="27.92"/>
    <n v="0"/>
    <n v="0.09"/>
    <n v="319"/>
    <n v="62.48"/>
    <n v="488.05"/>
    <n v="2026"/>
    <n v="2"/>
    <n v="2025"/>
    <n v="11"/>
    <n v="11"/>
    <x v="24"/>
    <x v="24"/>
    <n v="78090.45"/>
  </r>
  <r>
    <d v="2026-02-23T00:00:00"/>
    <s v="OPT-NIFTY-24-Feb-2026-25650-P-E-I"/>
    <s v="NSE"/>
    <x v="1"/>
    <n v="130"/>
    <n v="0"/>
    <n v="89.65"/>
    <n v="11654.5"/>
    <s v="#202602232700009126"/>
    <n v="0"/>
    <n v="4.1399999999999997"/>
    <n v="0"/>
    <n v="0.02"/>
    <n v="58"/>
    <n v="11.2"/>
    <n v="73.36"/>
    <n v="2026"/>
    <n v="2"/>
    <n v="2025"/>
    <n v="11"/>
    <n v="11"/>
    <x v="24"/>
    <x v="24"/>
    <n v="-11727.86"/>
  </r>
  <r>
    <d v="2026-02-23T00:00:00"/>
    <s v="OPT-NIFTY-24-Feb-2026-25650-P-E-I"/>
    <s v="NSE"/>
    <x v="1"/>
    <n v="130"/>
    <n v="0"/>
    <n v="89.55"/>
    <n v="11641.5"/>
    <s v="#202602232700009115"/>
    <n v="0"/>
    <n v="4.1399999999999997"/>
    <n v="0"/>
    <n v="0.01"/>
    <n v="58"/>
    <n v="11.18"/>
    <n v="73.33"/>
    <n v="2026"/>
    <n v="2"/>
    <n v="2025"/>
    <n v="11"/>
    <n v="11"/>
    <x v="24"/>
    <x v="24"/>
    <n v="-11714.83"/>
  </r>
  <r>
    <d v="2026-02-23T00:00:00"/>
    <s v="OPT-NIFTY-24-Feb-2026-25650-P-E-I"/>
    <s v="NSE"/>
    <x v="1"/>
    <n v="65"/>
    <n v="0"/>
    <n v="79.3"/>
    <n v="5154.5"/>
    <s v="#202602232700007889"/>
    <n v="0"/>
    <n v="1.83"/>
    <n v="0"/>
    <n v="0.01"/>
    <n v="29"/>
    <n v="5.56"/>
    <n v="36.4"/>
    <n v="2026"/>
    <n v="2"/>
    <n v="2025"/>
    <n v="11"/>
    <n v="11"/>
    <x v="24"/>
    <x v="24"/>
    <n v="-5190.8999999999996"/>
  </r>
  <r>
    <d v="2026-02-23T00:00:00"/>
    <s v="OPT-NIFTY-24-Feb-2026-25650-P-E-I"/>
    <s v="NSE"/>
    <x v="1"/>
    <n v="65"/>
    <n v="0"/>
    <n v="81.650000000000006"/>
    <n v="5307.25"/>
    <s v="#202602232700007866"/>
    <n v="0"/>
    <n v="1.89"/>
    <n v="0"/>
    <n v="0.01"/>
    <n v="29"/>
    <n v="5.56"/>
    <n v="36.46"/>
    <n v="2026"/>
    <n v="2"/>
    <n v="2025"/>
    <n v="11"/>
    <n v="11"/>
    <x v="24"/>
    <x v="24"/>
    <n v="-5343.71"/>
  </r>
  <r>
    <d v="2026-02-23T00:00:00"/>
    <s v="OPT-NIFTY-24-Feb-2026-25650-P-E-I"/>
    <s v="NSE"/>
    <x v="1"/>
    <n v="65"/>
    <n v="0"/>
    <n v="84.2"/>
    <n v="5473"/>
    <s v="#202602232700007831"/>
    <n v="0"/>
    <n v="1.94"/>
    <n v="0"/>
    <n v="0.01"/>
    <n v="29"/>
    <n v="5.58"/>
    <n v="36.53"/>
    <n v="2026"/>
    <n v="2"/>
    <n v="2025"/>
    <n v="11"/>
    <n v="11"/>
    <x v="24"/>
    <x v="24"/>
    <n v="-5509.53"/>
  </r>
  <r>
    <d v="2026-02-23T00:00:00"/>
    <s v="OPT-NIFTY-24-Feb-2026-25650-P-E-I"/>
    <s v="NSE"/>
    <x v="1"/>
    <n v="260"/>
    <n v="0"/>
    <n v="94.7"/>
    <n v="24622"/>
    <s v="#202602232700007682"/>
    <n v="0"/>
    <n v="8.74"/>
    <n v="1.79"/>
    <n v="0.02"/>
    <n v="116"/>
    <n v="22.44"/>
    <n v="148.99"/>
    <n v="2026"/>
    <n v="2"/>
    <n v="2025"/>
    <n v="11"/>
    <n v="11"/>
    <x v="24"/>
    <x v="24"/>
    <n v="-24770.99"/>
  </r>
  <r>
    <d v="2026-02-23T00:00:00"/>
    <s v="OPT-NIFTY-24-Feb-2026-25650-C-E-I"/>
    <s v="NSE"/>
    <x v="0"/>
    <n v="260"/>
    <n v="0"/>
    <n v="114.9"/>
    <n v="29874"/>
    <s v="#202602232700007353"/>
    <n v="29.88"/>
    <n v="10.62"/>
    <n v="0"/>
    <n v="0.02"/>
    <n v="116"/>
    <n v="22.8"/>
    <n v="179.32"/>
    <n v="2026"/>
    <n v="2"/>
    <n v="2025"/>
    <n v="11"/>
    <n v="11"/>
    <x v="24"/>
    <x v="24"/>
    <n v="29694.68"/>
  </r>
  <r>
    <d v="2026-02-23T00:00:00"/>
    <s v="OPT-NIFTY-24-Feb-2026-25650-C-E-I"/>
    <s v="NSE"/>
    <x v="1"/>
    <n v="260"/>
    <n v="0"/>
    <n v="106.9"/>
    <n v="27794"/>
    <s v="#202602232700006977"/>
    <n v="0"/>
    <n v="9.8800000000000008"/>
    <n v="0.83"/>
    <n v="0.03"/>
    <n v="116"/>
    <n v="22.66"/>
    <n v="149.4"/>
    <n v="2026"/>
    <n v="2"/>
    <n v="2025"/>
    <n v="11"/>
    <n v="11"/>
    <x v="24"/>
    <x v="24"/>
    <n v="-27943.4"/>
  </r>
  <r>
    <d v="2026-02-23T00:00:00"/>
    <s v="OPT-NIFTY-24-Feb-2026-25350-P-E-I"/>
    <s v="NSE"/>
    <x v="0"/>
    <n v="650"/>
    <n v="0"/>
    <n v="18.399999999999999"/>
    <n v="11960"/>
    <s v="#202602232700002462"/>
    <n v="11.96"/>
    <n v="4.25"/>
    <n v="0"/>
    <n v="0.01"/>
    <n v="290"/>
    <n v="52.96"/>
    <n v="359.18"/>
    <n v="2026"/>
    <n v="2"/>
    <n v="2025"/>
    <n v="11"/>
    <n v="11"/>
    <x v="24"/>
    <x v="24"/>
    <n v="11600.82"/>
  </r>
  <r>
    <d v="2026-02-23T00:00:00"/>
    <s v="OPT-NIFTY-24-Feb-2026-25350-P-E-I"/>
    <s v="NSE"/>
    <x v="1"/>
    <n v="650"/>
    <n v="0"/>
    <n v="19.7"/>
    <n v="12805"/>
    <s v="#202602232700001679"/>
    <n v="0"/>
    <n v="4.54"/>
    <n v="0.38"/>
    <n v="0.02"/>
    <n v="290"/>
    <n v="53"/>
    <n v="347.94"/>
    <n v="2026"/>
    <n v="2"/>
    <n v="2025"/>
    <n v="11"/>
    <n v="11"/>
    <x v="24"/>
    <x v="24"/>
    <n v="-13152.94"/>
  </r>
  <r>
    <d v="2026-02-23T00:00:00"/>
    <s v="OPT-NIFTY-24-Feb-2026-25350-P-E-I"/>
    <s v="NSE"/>
    <x v="0"/>
    <n v="650"/>
    <n v="0"/>
    <n v="22"/>
    <n v="14300"/>
    <s v="#202602232700001112"/>
    <n v="14.59"/>
    <n v="5.08"/>
    <n v="0"/>
    <n v="0.01"/>
    <n v="290"/>
    <n v="53.12"/>
    <n v="362.8"/>
    <n v="2026"/>
    <n v="2"/>
    <n v="2025"/>
    <n v="11"/>
    <n v="11"/>
    <x v="24"/>
    <x v="24"/>
    <n v="13937.2"/>
  </r>
  <r>
    <d v="2026-02-24T00:00:00"/>
    <s v="OPT-ICIBAN-30-Mar-2026-1360-P-E-S"/>
    <s v="NSE"/>
    <x v="0"/>
    <n v="700"/>
    <n v="0"/>
    <n v="10.8"/>
    <n v="7560"/>
    <s v="#202602242700019972"/>
    <n v="7.56"/>
    <n v="2.69"/>
    <n v="0"/>
    <n v="0.01"/>
    <n v="29"/>
    <n v="5.7"/>
    <n v="44.96"/>
    <n v="2026"/>
    <n v="2"/>
    <n v="2025"/>
    <n v="11"/>
    <n v="11"/>
    <x v="24"/>
    <x v="24"/>
    <n v="7515.04"/>
  </r>
  <r>
    <d v="2026-02-24T00:00:00"/>
    <s v="OPT-ICIBAN-30-Mar-2026-1360-P-E-S"/>
    <s v="NSE"/>
    <x v="1"/>
    <n v="700"/>
    <n v="0"/>
    <n v="10.95"/>
    <n v="7665"/>
    <s v="#202602242700017168"/>
    <n v="0"/>
    <n v="2.72"/>
    <n v="0.23"/>
    <n v="0.01"/>
    <n v="29"/>
    <n v="5.72"/>
    <n v="37.68"/>
    <n v="2026"/>
    <n v="2"/>
    <n v="2025"/>
    <n v="11"/>
    <n v="11"/>
    <x v="24"/>
    <x v="24"/>
    <n v="-7702.68"/>
  </r>
  <r>
    <d v="2026-02-24T00:00:00"/>
    <s v="OPT-NIFTY-24-Feb-2026-25600-P-E-I"/>
    <s v="NSE"/>
    <x v="0"/>
    <n v="845"/>
    <n v="0"/>
    <n v="106.9"/>
    <n v="90330.5"/>
    <s v="#202602242700002463"/>
    <n v="90.45"/>
    <n v="32.1"/>
    <n v="0"/>
    <n v="0.08"/>
    <n v="377"/>
    <n v="73.680000000000007"/>
    <n v="573.30999999999995"/>
    <n v="2026"/>
    <n v="2"/>
    <n v="2025"/>
    <n v="11"/>
    <n v="11"/>
    <x v="24"/>
    <x v="24"/>
    <n v="89757.19"/>
  </r>
  <r>
    <d v="2026-02-24T00:00:00"/>
    <s v="OPT-NIFTY-24-Feb-2026-25600-P-E-I"/>
    <s v="NSE"/>
    <x v="1"/>
    <n v="195"/>
    <n v="0"/>
    <n v="81.38"/>
    <n v="15869.75"/>
    <s v="#202602242700002060"/>
    <n v="0"/>
    <n v="5.64"/>
    <n v="0"/>
    <n v="0.02"/>
    <n v="87"/>
    <n v="16.68"/>
    <n v="109.34"/>
    <n v="2026"/>
    <n v="2"/>
    <n v="2025"/>
    <n v="11"/>
    <n v="11"/>
    <x v="24"/>
    <x v="24"/>
    <n v="-15979.09"/>
  </r>
  <r>
    <d v="2026-02-24T00:00:00"/>
    <s v="OPT-NIFTY-24-Feb-2026-25600-P-E-I"/>
    <s v="NSE"/>
    <x v="1"/>
    <n v="195"/>
    <n v="0"/>
    <n v="85.75"/>
    <n v="16721.25"/>
    <s v="#202602242700001766"/>
    <n v="0"/>
    <n v="5.94"/>
    <n v="0"/>
    <n v="0.03"/>
    <n v="87"/>
    <n v="16.739999999999998"/>
    <n v="109.71"/>
    <n v="2026"/>
    <n v="2"/>
    <n v="2025"/>
    <n v="11"/>
    <n v="11"/>
    <x v="24"/>
    <x v="24"/>
    <n v="-16830.96"/>
  </r>
  <r>
    <d v="2026-02-24T00:00:00"/>
    <s v="OPT-NIFTY-24-Feb-2026-25600-P-E-I"/>
    <s v="NSE"/>
    <x v="1"/>
    <n v="325"/>
    <n v="0"/>
    <n v="86.05"/>
    <n v="27966.25"/>
    <s v="#202602242700001723"/>
    <n v="0"/>
    <n v="9.93"/>
    <n v="1.77"/>
    <n v="0.03"/>
    <n v="145"/>
    <n v="27.9"/>
    <n v="184.63"/>
    <n v="2026"/>
    <n v="2"/>
    <n v="2025"/>
    <n v="11"/>
    <n v="11"/>
    <x v="24"/>
    <x v="24"/>
    <n v="-28150.880000000001"/>
  </r>
  <r>
    <d v="2026-02-24T00:00:00"/>
    <s v="OPT-NIFTY-24-Feb-2026-25600-P-E-I"/>
    <s v="NSE"/>
    <x v="1"/>
    <n v="65"/>
    <n v="0"/>
    <n v="86.3"/>
    <n v="5609.5"/>
    <s v="#202602242700001698"/>
    <n v="0"/>
    <n v="1.99"/>
    <n v="0"/>
    <n v="0.01"/>
    <n v="29"/>
    <n v="5.58"/>
    <n v="36.58"/>
    <n v="2026"/>
    <n v="2"/>
    <n v="2025"/>
    <n v="11"/>
    <n v="11"/>
    <x v="24"/>
    <x v="24"/>
    <n v="-5646.08"/>
  </r>
  <r>
    <d v="2026-02-24T00:00:00"/>
    <s v="OPT-NIFTY-24-Feb-2026-25600-P-E-I"/>
    <s v="NSE"/>
    <x v="1"/>
    <n v="65"/>
    <n v="0"/>
    <n v="87.95"/>
    <n v="5716.75"/>
    <s v="#202602242700001680"/>
    <n v="0"/>
    <n v="2.0299999999999998"/>
    <n v="0"/>
    <n v="0.01"/>
    <n v="29"/>
    <n v="5.58"/>
    <n v="36.619999999999997"/>
    <n v="2026"/>
    <n v="2"/>
    <n v="2025"/>
    <n v="11"/>
    <n v="11"/>
    <x v="24"/>
    <x v="24"/>
    <n v="-5753.37"/>
  </r>
  <r>
    <d v="2026-02-25T00:00:00"/>
    <s v="OPT-NIFTY-02-Mar-2026-25600-C-E-I"/>
    <s v="NSE"/>
    <x v="0"/>
    <n v="455"/>
    <n v="0"/>
    <n v="175.83"/>
    <n v="80002"/>
    <s v="#202602252700004518"/>
    <n v="80"/>
    <n v="28.42"/>
    <n v="0"/>
    <n v="0.08"/>
    <n v="203"/>
    <n v="41.68"/>
    <n v="353.18"/>
    <n v="2026"/>
    <n v="2"/>
    <n v="2025"/>
    <n v="11"/>
    <n v="11"/>
    <x v="24"/>
    <x v="24"/>
    <n v="79648.820000000007"/>
  </r>
  <r>
    <d v="2026-02-25T00:00:00"/>
    <s v="OPT-NIFTY-02-Mar-2026-25600-C-E-I"/>
    <s v="NSE"/>
    <x v="1"/>
    <n v="65"/>
    <n v="0"/>
    <n v="142.25"/>
    <n v="9246.25"/>
    <s v="#202602252700002255"/>
    <n v="0"/>
    <n v="3.29"/>
    <n v="0"/>
    <n v="0.01"/>
    <n v="29"/>
    <n v="5.82"/>
    <n v="38.119999999999997"/>
    <n v="2026"/>
    <n v="2"/>
    <n v="2025"/>
    <n v="11"/>
    <n v="11"/>
    <x v="24"/>
    <x v="24"/>
    <n v="-9284.3700000000008"/>
  </r>
  <r>
    <d v="2026-02-25T00:00:00"/>
    <s v="OPT-NIFTY-02-Mar-2026-25600-C-E-I"/>
    <s v="NSE"/>
    <x v="1"/>
    <n v="65"/>
    <n v="0"/>
    <n v="147.85"/>
    <n v="9610.25"/>
    <s v="#202602252700002066"/>
    <n v="0"/>
    <n v="3.41"/>
    <n v="0"/>
    <n v="0.01"/>
    <n v="29"/>
    <n v="5.84"/>
    <n v="38.26"/>
    <n v="2026"/>
    <n v="2"/>
    <n v="2025"/>
    <n v="11"/>
    <n v="11"/>
    <x v="24"/>
    <x v="24"/>
    <n v="-9648.51"/>
  </r>
  <r>
    <d v="2026-02-25T00:00:00"/>
    <s v="OPT-NIFTY-02-Mar-2026-25600-C-E-I"/>
    <s v="NSE"/>
    <x v="1"/>
    <n v="65"/>
    <n v="0"/>
    <n v="154.44999999999999"/>
    <n v="10039.25"/>
    <s v="#202602252700001928"/>
    <n v="0"/>
    <n v="3.57"/>
    <n v="0"/>
    <n v="0.01"/>
    <n v="29"/>
    <n v="5.86"/>
    <n v="38.44"/>
    <n v="2026"/>
    <n v="2"/>
    <n v="2025"/>
    <n v="11"/>
    <n v="11"/>
    <x v="24"/>
    <x v="24"/>
    <n v="-10077.69"/>
  </r>
  <r>
    <d v="2026-02-25T00:00:00"/>
    <s v="OPT-NIFTY-02-Mar-2026-25600-C-E-I"/>
    <s v="NSE"/>
    <x v="1"/>
    <n v="65"/>
    <n v="0"/>
    <n v="150.55000000000001"/>
    <n v="9785.75"/>
    <s v="#202602252700001896"/>
    <n v="0"/>
    <n v="3.48"/>
    <n v="0"/>
    <n v="0.01"/>
    <n v="29"/>
    <n v="5.84"/>
    <n v="38.33"/>
    <n v="2026"/>
    <n v="2"/>
    <n v="2025"/>
    <n v="11"/>
    <n v="11"/>
    <x v="24"/>
    <x v="24"/>
    <n v="-9824.08"/>
  </r>
  <r>
    <d v="2026-02-25T00:00:00"/>
    <s v="OPT-NIFTY-02-Mar-2026-25600-C-E-I"/>
    <s v="NSE"/>
    <x v="1"/>
    <n v="65"/>
    <n v="0"/>
    <n v="153.25"/>
    <n v="9961.25"/>
    <s v="#202602252700001753"/>
    <n v="0"/>
    <n v="3.54"/>
    <n v="0"/>
    <n v="0.01"/>
    <n v="29"/>
    <n v="5.86"/>
    <n v="38.409999999999997"/>
    <n v="2026"/>
    <n v="2"/>
    <n v="2025"/>
    <n v="11"/>
    <n v="11"/>
    <x v="24"/>
    <x v="24"/>
    <n v="-9999.66"/>
  </r>
  <r>
    <d v="2026-02-25T00:00:00"/>
    <s v="OPT-NIFTY-02-Mar-2026-25600-C-E-I"/>
    <s v="NSE"/>
    <x v="1"/>
    <n v="65"/>
    <n v="0"/>
    <n v="151.25"/>
    <n v="9831.25"/>
    <s v="#202602252700001642"/>
    <n v="0"/>
    <n v="3.49"/>
    <n v="0"/>
    <n v="0.01"/>
    <n v="29"/>
    <n v="5.86"/>
    <n v="38.36"/>
    <n v="2026"/>
    <n v="2"/>
    <n v="2025"/>
    <n v="11"/>
    <n v="11"/>
    <x v="24"/>
    <x v="24"/>
    <n v="-9869.61"/>
  </r>
  <r>
    <d v="2026-02-25T00:00:00"/>
    <s v="OPT-NIFTY-02-Mar-2026-25600-C-E-I"/>
    <s v="NSE"/>
    <x v="1"/>
    <n v="65"/>
    <n v="0"/>
    <n v="153.30000000000001"/>
    <n v="9964.5"/>
    <s v="#202602252700000830"/>
    <n v="0"/>
    <n v="3.54"/>
    <n v="2"/>
    <n v="0.01"/>
    <n v="29"/>
    <n v="5.86"/>
    <n v="40.409999999999997"/>
    <n v="2026"/>
    <n v="2"/>
    <n v="2025"/>
    <n v="11"/>
    <n v="11"/>
    <x v="24"/>
    <x v="24"/>
    <n v="-10004.91"/>
  </r>
  <r>
    <d v="2026-02-26T00:00:00"/>
    <s v="OPT-NIFTY-02-Mar-2026-25550-C-E-I"/>
    <s v="NSE"/>
    <x v="0"/>
    <n v="780"/>
    <n v="0"/>
    <n v="109.9"/>
    <n v="85722"/>
    <s v="#202602262700009308"/>
    <n v="85.72"/>
    <n v="30.46"/>
    <n v="0"/>
    <n v="0.09"/>
    <n v="348"/>
    <n v="68.14"/>
    <n v="532.41"/>
    <n v="2026"/>
    <n v="2"/>
    <n v="2025"/>
    <n v="11"/>
    <n v="11"/>
    <x v="24"/>
    <x v="24"/>
    <n v="85189.59"/>
  </r>
  <r>
    <d v="2026-02-26T00:00:00"/>
    <s v="OPT-NIFTY-02-Mar-2026-25550-C-E-I"/>
    <s v="NSE"/>
    <x v="1"/>
    <n v="780"/>
    <n v="0"/>
    <n v="81.180000000000007"/>
    <n v="63323"/>
    <s v="#202602262700008745"/>
    <n v="0"/>
    <n v="22.5"/>
    <n v="0"/>
    <n v="0.08"/>
    <n v="348"/>
    <n v="66.72"/>
    <n v="437.3"/>
    <n v="2026"/>
    <n v="2"/>
    <n v="2025"/>
    <n v="11"/>
    <n v="11"/>
    <x v="24"/>
    <x v="24"/>
    <n v="-63760.3"/>
  </r>
  <r>
    <d v="2026-02-26T00:00:00"/>
    <s v="OPT-NIFTY-02-Mar-2026-25550-C-E-I"/>
    <s v="NSE"/>
    <x v="0"/>
    <n v="715"/>
    <n v="0"/>
    <n v="80"/>
    <n v="57200"/>
    <s v="#202602262700008284"/>
    <n v="57.2"/>
    <n v="20.32"/>
    <n v="0"/>
    <n v="0.06"/>
    <n v="319"/>
    <n v="61.08"/>
    <n v="457.66"/>
    <n v="2026"/>
    <n v="2"/>
    <n v="2025"/>
    <n v="11"/>
    <n v="11"/>
    <x v="24"/>
    <x v="24"/>
    <n v="56742.34"/>
  </r>
  <r>
    <d v="2026-02-26T00:00:00"/>
    <s v="OPT-NIFTY-02-Mar-2026-25550-C-E-I"/>
    <s v="NSE"/>
    <x v="1"/>
    <n v="715"/>
    <n v="0"/>
    <n v="84.15"/>
    <n v="60167.25"/>
    <s v="#202602262700007074"/>
    <n v="0"/>
    <n v="21.37"/>
    <n v="10"/>
    <n v="7.0000000000000007E-2"/>
    <n v="319"/>
    <n v="61.3"/>
    <n v="411.74"/>
    <n v="2026"/>
    <n v="2"/>
    <n v="2025"/>
    <n v="11"/>
    <n v="11"/>
    <x v="24"/>
    <x v="24"/>
    <n v="-60578.99"/>
  </r>
  <r>
    <d v="2026-02-26T00:00:00"/>
    <s v="OPT-NIFTY-02-Mar-2026-25550-C-E-I"/>
    <s v="NSE"/>
    <x v="0"/>
    <n v="780"/>
    <n v="0"/>
    <n v="115.15"/>
    <n v="89817"/>
    <s v="#202602262700004113"/>
    <n v="89.81"/>
    <n v="31.91"/>
    <n v="0"/>
    <n v="0.09"/>
    <n v="348"/>
    <n v="68.400000000000006"/>
    <n v="538.21"/>
    <n v="2026"/>
    <n v="2"/>
    <n v="2025"/>
    <n v="11"/>
    <n v="11"/>
    <x v="24"/>
    <x v="24"/>
    <n v="89278.79"/>
  </r>
  <r>
    <d v="2026-02-26T00:00:00"/>
    <s v="OPT-NIFTY-02-Mar-2026-25550-C-E-I"/>
    <s v="NSE"/>
    <x v="1"/>
    <n v="130"/>
    <n v="0"/>
    <n v="122.7"/>
    <n v="15951"/>
    <s v="#202602262700004003"/>
    <n v="0"/>
    <n v="5.66"/>
    <n v="0"/>
    <n v="0.02"/>
    <n v="58"/>
    <n v="11.48"/>
    <n v="75.16"/>
    <n v="2026"/>
    <n v="2"/>
    <n v="2025"/>
    <n v="11"/>
    <n v="11"/>
    <x v="24"/>
    <x v="24"/>
    <n v="-16026.16"/>
  </r>
  <r>
    <d v="2026-02-26T00:00:00"/>
    <s v="OPT-NIFTY-02-Mar-2026-25550-C-E-I"/>
    <s v="NSE"/>
    <x v="1"/>
    <n v="195"/>
    <n v="0"/>
    <n v="130.35"/>
    <n v="25418.25"/>
    <s v="#202602262700003964"/>
    <n v="0"/>
    <n v="9.0299999999999994"/>
    <n v="0"/>
    <n v="0.03"/>
    <n v="87"/>
    <n v="17.3"/>
    <n v="113.36"/>
    <n v="2026"/>
    <n v="2"/>
    <n v="2025"/>
    <n v="11"/>
    <n v="11"/>
    <x v="24"/>
    <x v="24"/>
    <n v="-25531.61"/>
  </r>
  <r>
    <d v="2026-02-26T00:00:00"/>
    <s v="OPT-NIFTY-02-Mar-2026-25550-C-E-I"/>
    <s v="NSE"/>
    <x v="1"/>
    <n v="195"/>
    <n v="0"/>
    <n v="129.65"/>
    <n v="25281.75"/>
    <s v="#202602262700003942"/>
    <n v="0"/>
    <n v="8.9700000000000006"/>
    <n v="0"/>
    <n v="0.03"/>
    <n v="87"/>
    <n v="17.28"/>
    <n v="113.28"/>
    <n v="2026"/>
    <n v="2"/>
    <n v="2025"/>
    <n v="11"/>
    <n v="11"/>
    <x v="24"/>
    <x v="24"/>
    <n v="-25395.03"/>
  </r>
  <r>
    <d v="2026-02-26T00:00:00"/>
    <s v="OPT-NIFTY-02-Mar-2026-25550-C-E-I"/>
    <s v="NSE"/>
    <x v="1"/>
    <n v="195"/>
    <n v="0"/>
    <n v="130.30000000000001"/>
    <n v="25408.5"/>
    <s v="#202602262700003931"/>
    <n v="0"/>
    <n v="9.0299999999999994"/>
    <n v="0"/>
    <n v="0.03"/>
    <n v="87"/>
    <n v="17.28"/>
    <n v="113.34"/>
    <n v="2026"/>
    <n v="2"/>
    <n v="2025"/>
    <n v="11"/>
    <n v="11"/>
    <x v="24"/>
    <x v="24"/>
    <n v="-25521.84"/>
  </r>
  <r>
    <d v="2026-02-26T00:00:00"/>
    <s v="OPT-NIFTY-02-Mar-2026-25550-C-E-I"/>
    <s v="NSE"/>
    <x v="1"/>
    <n v="65"/>
    <n v="0"/>
    <n v="132.30000000000001"/>
    <n v="8599.5"/>
    <s v="#202602262700003918"/>
    <n v="0"/>
    <n v="3.06"/>
    <n v="0"/>
    <n v="0.01"/>
    <n v="29"/>
    <n v="5.78"/>
    <n v="37.85"/>
    <n v="2026"/>
    <n v="2"/>
    <n v="2025"/>
    <n v="11"/>
    <n v="11"/>
    <x v="24"/>
    <x v="24"/>
    <n v="-8637.35"/>
  </r>
  <r>
    <d v="2026-02-26T00:00:00"/>
    <s v="OPT-NIFTY-02-Mar-2026-25550-C-E-I"/>
    <s v="NSE"/>
    <x v="0"/>
    <n v="715"/>
    <n v="0"/>
    <n v="124.49"/>
    <n v="89011"/>
    <s v="#202602262700003535"/>
    <n v="89.27"/>
    <n v="31.64"/>
    <n v="0"/>
    <n v="0.1"/>
    <n v="319"/>
    <n v="63.14"/>
    <n v="503.15"/>
    <n v="2026"/>
    <n v="2"/>
    <n v="2025"/>
    <n v="11"/>
    <n v="11"/>
    <x v="24"/>
    <x v="24"/>
    <n v="88507.85"/>
  </r>
  <r>
    <d v="2026-02-26T00:00:00"/>
    <s v="OPT-NIFTY-02-Mar-2026-25550-C-E-I"/>
    <s v="NSE"/>
    <x v="1"/>
    <n v="390"/>
    <n v="0"/>
    <n v="124.76"/>
    <n v="48655.75"/>
    <s v="#202602262700000839"/>
    <n v="0"/>
    <n v="17.28"/>
    <n v="0"/>
    <n v="0.05"/>
    <n v="174"/>
    <n v="34.44"/>
    <n v="225.77"/>
    <n v="2026"/>
    <n v="2"/>
    <n v="2025"/>
    <n v="11"/>
    <n v="11"/>
    <x v="24"/>
    <x v="24"/>
    <n v="-48881.52"/>
  </r>
  <r>
    <d v="2026-02-26T00:00:00"/>
    <s v="OPT-NIFTY-02-Mar-2026-25550-C-E-I"/>
    <s v="NSE"/>
    <x v="1"/>
    <n v="325"/>
    <n v="0"/>
    <n v="136.75"/>
    <n v="44443.75"/>
    <s v="#202602262700000649"/>
    <n v="0"/>
    <n v="15.79"/>
    <n v="0"/>
    <n v="0.04"/>
    <n v="145"/>
    <n v="28.96"/>
    <n v="189.79"/>
    <n v="2026"/>
    <n v="2"/>
    <n v="2025"/>
    <n v="11"/>
    <n v="11"/>
    <x v="24"/>
    <x v="24"/>
    <n v="-44633.54"/>
  </r>
  <r>
    <d v="2026-02-27T00:00:00"/>
    <s v="OPT-NIFTY-02-Mar-2026-25300-C-E-I"/>
    <s v="NSE"/>
    <x v="0"/>
    <n v="195"/>
    <n v="0"/>
    <n v="129.9"/>
    <n v="25330.5"/>
    <s v="#202602272700010803"/>
    <n v="25.33"/>
    <n v="9"/>
    <n v="0"/>
    <n v="0.03"/>
    <n v="87"/>
    <n v="17.28"/>
    <n v="138.63999999999999"/>
    <n v="2026"/>
    <n v="2"/>
    <n v="2025"/>
    <n v="11"/>
    <n v="11"/>
    <x v="24"/>
    <x v="24"/>
    <n v="25191.86"/>
  </r>
  <r>
    <d v="2026-02-27T00:00:00"/>
    <s v="OPT-NIFTY-02-Mar-2026-25300-C-E-I"/>
    <s v="NSE"/>
    <x v="1"/>
    <n v="65"/>
    <n v="0"/>
    <n v="101.75"/>
    <n v="6613.75"/>
    <s v="#202602272700009169"/>
    <n v="0"/>
    <n v="2.35"/>
    <n v="0"/>
    <n v="0.01"/>
    <n v="29"/>
    <n v="5.64"/>
    <n v="37"/>
    <n v="2026"/>
    <n v="2"/>
    <n v="2025"/>
    <n v="11"/>
    <n v="11"/>
    <x v="24"/>
    <x v="24"/>
    <n v="-6650.75"/>
  </r>
  <r>
    <d v="2026-02-27T00:00:00"/>
    <s v="OPT-NIFTY-02-Mar-2026-25300-C-E-I"/>
    <s v="NSE"/>
    <x v="1"/>
    <n v="65"/>
    <n v="0"/>
    <n v="102.6"/>
    <n v="6669"/>
    <s v="#202602272700008665"/>
    <n v="0"/>
    <n v="2.37"/>
    <n v="0"/>
    <n v="0.01"/>
    <n v="29"/>
    <n v="5.64"/>
    <n v="37.020000000000003"/>
    <n v="2026"/>
    <n v="2"/>
    <n v="2025"/>
    <n v="11"/>
    <n v="11"/>
    <x v="24"/>
    <x v="24"/>
    <n v="-6706.02"/>
  </r>
  <r>
    <d v="2026-02-27T00:00:00"/>
    <s v="OPT-NIFTY-02-Mar-2026-25300-C-E-I"/>
    <s v="NSE"/>
    <x v="1"/>
    <n v="65"/>
    <n v="0"/>
    <n v="111.55"/>
    <n v="7250.75"/>
    <s v="#202602272700008439"/>
    <n v="0"/>
    <n v="2.58"/>
    <n v="0.62"/>
    <n v="0.01"/>
    <n v="29"/>
    <n v="5.68"/>
    <n v="37.89"/>
    <n v="2026"/>
    <n v="2"/>
    <n v="2025"/>
    <n v="11"/>
    <n v="11"/>
    <x v="24"/>
    <x v="24"/>
    <n v="-7288.64"/>
  </r>
  <r>
    <d v="2026-02-27T00:00:00"/>
    <s v="OPT-NIFTY-02-Mar-2026-25400-P-E-I"/>
    <s v="NSE"/>
    <x v="0"/>
    <n v="715"/>
    <n v="0"/>
    <n v="164"/>
    <n v="117260"/>
    <s v="#202602272700007738"/>
    <n v="117.26"/>
    <n v="41.65"/>
    <n v="0"/>
    <n v="0.11"/>
    <n v="319"/>
    <n v="64.94"/>
    <n v="542.96"/>
    <n v="2026"/>
    <n v="2"/>
    <n v="2025"/>
    <n v="11"/>
    <n v="11"/>
    <x v="24"/>
    <x v="24"/>
    <n v="116717.04"/>
  </r>
  <r>
    <d v="2026-02-27T00:00:00"/>
    <s v="OPT-NIFTY-02-Mar-2026-25400-P-E-I"/>
    <s v="NSE"/>
    <x v="1"/>
    <n v="130"/>
    <n v="0"/>
    <n v="165.35"/>
    <n v="21495.5"/>
    <s v="#202602272700007592"/>
    <n v="0"/>
    <n v="7.64"/>
    <n v="0"/>
    <n v="0.02"/>
    <n v="58"/>
    <n v="11.8"/>
    <n v="77.459999999999994"/>
    <n v="2026"/>
    <n v="2"/>
    <n v="2025"/>
    <n v="11"/>
    <n v="11"/>
    <x v="24"/>
    <x v="24"/>
    <n v="-21572.959999999999"/>
  </r>
  <r>
    <d v="2026-02-27T00:00:00"/>
    <s v="OPT-NIFTY-02-Mar-2026-25400-P-E-I"/>
    <s v="NSE"/>
    <x v="1"/>
    <n v="130"/>
    <n v="0"/>
    <n v="164.63"/>
    <n v="21401.25"/>
    <s v="#202602272700007564"/>
    <n v="0"/>
    <n v="7.6"/>
    <n v="0"/>
    <n v="0.02"/>
    <n v="58"/>
    <n v="11.8"/>
    <n v="77.42"/>
    <n v="2026"/>
    <n v="2"/>
    <n v="2025"/>
    <n v="11"/>
    <n v="11"/>
    <x v="24"/>
    <x v="24"/>
    <n v="-21478.67"/>
  </r>
  <r>
    <d v="2026-02-27T00:00:00"/>
    <s v="OPT-NIFTY-02-Mar-2026-25400-P-E-I"/>
    <s v="NSE"/>
    <x v="1"/>
    <n v="130"/>
    <n v="0"/>
    <n v="174.9"/>
    <n v="22737"/>
    <s v="#202602272700007494"/>
    <n v="0"/>
    <n v="8.08"/>
    <n v="0"/>
    <n v="0.02"/>
    <n v="58"/>
    <n v="11.88"/>
    <n v="77.98"/>
    <n v="2026"/>
    <n v="2"/>
    <n v="2025"/>
    <n v="11"/>
    <n v="11"/>
    <x v="24"/>
    <x v="24"/>
    <n v="-22814.98"/>
  </r>
  <r>
    <d v="2026-02-27T00:00:00"/>
    <s v="OPT-NIFTY-02-Mar-2026-25400-P-E-I"/>
    <s v="NSE"/>
    <x v="1"/>
    <n v="325"/>
    <n v="0"/>
    <n v="173.43"/>
    <n v="56364.75"/>
    <s v="#202602272700007318"/>
    <n v="0"/>
    <n v="20.03"/>
    <n v="0"/>
    <n v="0.05"/>
    <n v="145"/>
    <n v="29.7"/>
    <n v="194.78"/>
    <n v="2026"/>
    <n v="2"/>
    <n v="2025"/>
    <n v="11"/>
    <n v="11"/>
    <x v="24"/>
    <x v="24"/>
    <n v="-56559.53"/>
  </r>
  <r>
    <d v="2026-02-27T00:00:00"/>
    <s v="OPT-NIFTY-02-Mar-2026-25400-P-E-I"/>
    <s v="NSE"/>
    <x v="0"/>
    <n v="780"/>
    <n v="0"/>
    <n v="144.9"/>
    <n v="113022"/>
    <s v="#202602272700003689"/>
    <n v="113.42"/>
    <n v="40.159999999999997"/>
    <n v="0"/>
    <n v="0.12"/>
    <n v="348"/>
    <n v="69.900000000000006"/>
    <n v="571.6"/>
    <n v="2026"/>
    <n v="2"/>
    <n v="2025"/>
    <n v="11"/>
    <n v="11"/>
    <x v="24"/>
    <x v="24"/>
    <n v="112450.4"/>
  </r>
  <r>
    <d v="2026-02-27T00:00:00"/>
    <s v="OPT-NIFTY-02-Mar-2026-25400-P-E-I"/>
    <s v="NSE"/>
    <x v="1"/>
    <n v="650"/>
    <n v="0"/>
    <n v="123.4"/>
    <n v="80210"/>
    <s v="#202602272700002589"/>
    <n v="0"/>
    <n v="28.5"/>
    <n v="6.38"/>
    <n v="0.08"/>
    <n v="290"/>
    <n v="57.36"/>
    <n v="382.32"/>
    <n v="2026"/>
    <n v="2"/>
    <n v="2025"/>
    <n v="11"/>
    <n v="11"/>
    <x v="24"/>
    <x v="24"/>
    <n v="-80592.320000000007"/>
  </r>
  <r>
    <d v="2026-02-27T00:00:00"/>
    <s v="OPT-NIFTY-02-Mar-2026-25400-P-E-I"/>
    <s v="NSE"/>
    <x v="1"/>
    <n v="130"/>
    <n v="0"/>
    <n v="119.4"/>
    <n v="15522"/>
    <s v="#202602272700002056"/>
    <n v="0"/>
    <n v="5.52"/>
    <n v="0"/>
    <n v="0.02"/>
    <n v="58"/>
    <n v="11.44"/>
    <n v="74.98"/>
    <n v="2026"/>
    <n v="2"/>
    <n v="2025"/>
    <n v="11"/>
    <n v="11"/>
    <x v="24"/>
    <x v="24"/>
    <n v="-15596.98"/>
  </r>
  <r>
    <d v="2026-03-02T00:00:00"/>
    <s v="OPT-NIFTY-02-Mar-2026-24800-P-E-I"/>
    <s v="NSE"/>
    <x v="0"/>
    <n v="910"/>
    <n v="0"/>
    <n v="97"/>
    <n v="88270"/>
    <s v="#202603022700012542"/>
    <n v="88.28"/>
    <n v="31.36"/>
    <n v="0"/>
    <n v="0.08"/>
    <n v="406"/>
    <n v="78.760000000000005"/>
    <n v="604.48"/>
    <n v="2026"/>
    <n v="3"/>
    <n v="2025"/>
    <n v="12"/>
    <n v="12"/>
    <x v="25"/>
    <x v="25"/>
    <n v="87665.52"/>
  </r>
  <r>
    <d v="2026-03-02T00:00:00"/>
    <s v="OPT-NIFTY-02-Mar-2026-24800-P-E-I"/>
    <s v="NSE"/>
    <x v="1"/>
    <n v="910"/>
    <n v="0"/>
    <n v="61.05"/>
    <n v="55555.5"/>
    <s v="#202603022700010487"/>
    <n v="0"/>
    <n v="19.739999999999998"/>
    <n v="1.51"/>
    <n v="0.05"/>
    <n v="406"/>
    <n v="76.66"/>
    <n v="503.96"/>
    <n v="2026"/>
    <n v="3"/>
    <n v="2025"/>
    <n v="12"/>
    <n v="12"/>
    <x v="25"/>
    <x v="25"/>
    <n v="-56059.46"/>
  </r>
  <r>
    <d v="2026-03-02T00:00:00"/>
    <s v="OPT-NIFTY-02-Mar-2026-24850-C-E-I"/>
    <s v="NSE"/>
    <x v="0"/>
    <n v="910"/>
    <n v="0"/>
    <n v="39.9"/>
    <n v="36309"/>
    <s v="#202603022700010260"/>
    <n v="36.72"/>
    <n v="12.9"/>
    <n v="0"/>
    <n v="0.04"/>
    <n v="406"/>
    <n v="75.400000000000006"/>
    <n v="531.05999999999995"/>
    <n v="2026"/>
    <n v="3"/>
    <n v="2025"/>
    <n v="12"/>
    <n v="12"/>
    <x v="25"/>
    <x v="25"/>
    <n v="35777.94"/>
  </r>
  <r>
    <d v="2026-03-02T00:00:00"/>
    <s v="OPT-NIFTY-02-Mar-2026-24850-C-E-I"/>
    <s v="NSE"/>
    <x v="1"/>
    <n v="325"/>
    <n v="0"/>
    <n v="51.25"/>
    <n v="16656.25"/>
    <s v="#202603022700009926"/>
    <n v="0"/>
    <n v="5.92"/>
    <n v="0"/>
    <n v="0.02"/>
    <n v="145"/>
    <n v="27.16"/>
    <n v="178.1"/>
    <n v="2026"/>
    <n v="3"/>
    <n v="2025"/>
    <n v="12"/>
    <n v="12"/>
    <x v="25"/>
    <x v="25"/>
    <n v="-16834.349999999999"/>
  </r>
  <r>
    <d v="2026-03-02T00:00:00"/>
    <s v="OPT-NIFTY-02-Mar-2026-24850-C-E-I"/>
    <s v="NSE"/>
    <x v="1"/>
    <n v="260"/>
    <n v="0"/>
    <n v="54"/>
    <n v="14040"/>
    <s v="#202603022700009878"/>
    <n v="0"/>
    <n v="4.99"/>
    <n v="1.49"/>
    <n v="0.01"/>
    <n v="116"/>
    <n v="21.78"/>
    <n v="144.27000000000001"/>
    <n v="2026"/>
    <n v="3"/>
    <n v="2025"/>
    <n v="12"/>
    <n v="12"/>
    <x v="25"/>
    <x v="25"/>
    <n v="-14184.27"/>
  </r>
  <r>
    <d v="2026-03-02T00:00:00"/>
    <s v="OPT-NIFTY-02-Mar-2026-24850-C-E-I"/>
    <s v="NSE"/>
    <x v="1"/>
    <n v="130"/>
    <n v="0"/>
    <n v="57.25"/>
    <n v="7442.5"/>
    <s v="#202603022700009786"/>
    <n v="0"/>
    <n v="2.64"/>
    <n v="0"/>
    <n v="0.01"/>
    <n v="58"/>
    <n v="10.92"/>
    <n v="71.569999999999993"/>
    <n v="2026"/>
    <n v="3"/>
    <n v="2025"/>
    <n v="12"/>
    <n v="12"/>
    <x v="25"/>
    <x v="25"/>
    <n v="-7514.07"/>
  </r>
  <r>
    <d v="2026-03-02T00:00:00"/>
    <s v="OPT-NIFTY-02-Mar-2026-24850-C-E-I"/>
    <s v="NSE"/>
    <x v="1"/>
    <n v="130"/>
    <n v="0"/>
    <n v="58.75"/>
    <n v="7637.5"/>
    <s v="#202603022700009771"/>
    <n v="0"/>
    <n v="2.71"/>
    <n v="0"/>
    <n v="0.01"/>
    <n v="58"/>
    <n v="10.92"/>
    <n v="71.64"/>
    <n v="2026"/>
    <n v="3"/>
    <n v="2025"/>
    <n v="12"/>
    <n v="12"/>
    <x v="25"/>
    <x v="25"/>
    <n v="-7709.14"/>
  </r>
  <r>
    <d v="2026-03-02T00:00:00"/>
    <s v="OPT-NIFTY-02-Mar-2026-24850-C-E-I"/>
    <s v="NSE"/>
    <x v="1"/>
    <n v="65"/>
    <n v="0"/>
    <n v="60.3"/>
    <n v="3919.5"/>
    <s v="#202603022700009762"/>
    <n v="0"/>
    <n v="1.39"/>
    <n v="0"/>
    <n v="0"/>
    <n v="29"/>
    <n v="5.48"/>
    <n v="35.869999999999997"/>
    <n v="2026"/>
    <n v="3"/>
    <n v="2025"/>
    <n v="12"/>
    <n v="12"/>
    <x v="25"/>
    <x v="25"/>
    <n v="-3955.37"/>
  </r>
  <r>
    <d v="2026-03-06T00:00:00"/>
    <s v="OPT-NIFTY-10-Mar-2026-24500-P-E-I"/>
    <s v="NSE"/>
    <x v="0"/>
    <n v="910"/>
    <n v="0"/>
    <n v="194.9"/>
    <n v="177359"/>
    <s v="#202603062700009844"/>
    <n v="177.36"/>
    <n v="63.01"/>
    <n v="0"/>
    <n v="0.18"/>
    <n v="406"/>
    <n v="84.46"/>
    <n v="731.01"/>
    <n v="2026"/>
    <n v="3"/>
    <n v="2025"/>
    <n v="12"/>
    <n v="12"/>
    <x v="25"/>
    <x v="25"/>
    <n v="176627.99"/>
  </r>
  <r>
    <d v="2026-03-06T00:00:00"/>
    <s v="OPT-NIFTY-10-Mar-2026-24500-P-E-I"/>
    <s v="NSE"/>
    <x v="1"/>
    <n v="910"/>
    <n v="0"/>
    <n v="151.25"/>
    <n v="137637.5"/>
    <s v="#202603062700005788"/>
    <n v="0"/>
    <n v="48.9"/>
    <n v="9.43"/>
    <n v="0.14000000000000001"/>
    <n v="406"/>
    <n v="81.94"/>
    <n v="546.41"/>
    <n v="2026"/>
    <n v="3"/>
    <n v="2025"/>
    <n v="12"/>
    <n v="12"/>
    <x v="25"/>
    <x v="25"/>
    <n v="-138183.91"/>
  </r>
  <r>
    <d v="2026-03-06T00:00:00"/>
    <s v="OPT-NIFTY-10-Mar-2026-24750-C-E-I"/>
    <s v="NSE"/>
    <x v="0"/>
    <n v="1170"/>
    <n v="0"/>
    <n v="138.28"/>
    <n v="161791.5"/>
    <s v="#202603062700005545"/>
    <n v="161.80000000000001"/>
    <n v="57.5"/>
    <n v="0"/>
    <n v="0.18"/>
    <n v="522"/>
    <n v="104.38"/>
    <n v="845.86"/>
    <n v="2026"/>
    <n v="3"/>
    <n v="2025"/>
    <n v="12"/>
    <n v="12"/>
    <x v="25"/>
    <x v="25"/>
    <n v="160945.64000000001"/>
  </r>
  <r>
    <d v="2026-03-06T00:00:00"/>
    <s v="OPT-NIFTY-10-Mar-2026-24750-C-E-I"/>
    <s v="NSE"/>
    <x v="1"/>
    <n v="195"/>
    <n v="0"/>
    <n v="148.05000000000001"/>
    <n v="28869.75"/>
    <s v="#202603062700004704"/>
    <n v="0"/>
    <n v="10.26"/>
    <n v="0"/>
    <n v="0.03"/>
    <n v="87"/>
    <n v="17.52"/>
    <n v="114.81"/>
    <n v="2026"/>
    <n v="3"/>
    <n v="2025"/>
    <n v="12"/>
    <n v="12"/>
    <x v="25"/>
    <x v="25"/>
    <n v="-28984.560000000001"/>
  </r>
  <r>
    <d v="2026-03-06T00:00:00"/>
    <s v="OPT-NIFTY-10-Mar-2026-24750-C-E-I"/>
    <s v="NSE"/>
    <x v="1"/>
    <n v="520"/>
    <n v="0"/>
    <n v="161.25"/>
    <n v="83850"/>
    <s v="#202603062700004255"/>
    <n v="0"/>
    <n v="29.79"/>
    <n v="0"/>
    <n v="0.08"/>
    <n v="232"/>
    <n v="47.14"/>
    <n v="309.01"/>
    <n v="2026"/>
    <n v="3"/>
    <n v="2025"/>
    <n v="12"/>
    <n v="12"/>
    <x v="25"/>
    <x v="25"/>
    <n v="-84159.01"/>
  </r>
  <r>
    <d v="2026-03-06T00:00:00"/>
    <s v="OPT-NIFTY-10-Mar-2026-24750-C-E-I"/>
    <s v="NSE"/>
    <x v="1"/>
    <n v="130"/>
    <n v="0"/>
    <n v="155.75"/>
    <n v="20247.5"/>
    <s v="#202603062700003286"/>
    <n v="0"/>
    <n v="7.2"/>
    <n v="0"/>
    <n v="0.02"/>
    <n v="58"/>
    <n v="11.72"/>
    <n v="76.94"/>
    <n v="2026"/>
    <n v="3"/>
    <n v="2025"/>
    <n v="12"/>
    <n v="12"/>
    <x v="25"/>
    <x v="25"/>
    <n v="-20324.439999999999"/>
  </r>
  <r>
    <d v="2026-03-06T00:00:00"/>
    <s v="OPT-NIFTY-10-Mar-2026-24750-C-E-I"/>
    <s v="NSE"/>
    <x v="1"/>
    <n v="130"/>
    <n v="0"/>
    <n v="160.1"/>
    <n v="20813"/>
    <s v="#202603062700003157"/>
    <n v="0"/>
    <n v="7.39"/>
    <n v="5.57"/>
    <n v="0.02"/>
    <n v="58"/>
    <n v="11.78"/>
    <n v="82.76"/>
    <n v="2026"/>
    <n v="3"/>
    <n v="2025"/>
    <n v="12"/>
    <n v="12"/>
    <x v="25"/>
    <x v="25"/>
    <n v="-20895.759999999998"/>
  </r>
  <r>
    <d v="2026-03-06T00:00:00"/>
    <s v="OPT-NIFTY-10-Mar-2026-24750-C-E-I"/>
    <s v="NSE"/>
    <x v="1"/>
    <n v="195"/>
    <n v="0"/>
    <n v="164.35"/>
    <n v="32048.25"/>
    <s v="#202603062700003071"/>
    <n v="0"/>
    <n v="11.39"/>
    <n v="0"/>
    <n v="0.03"/>
    <n v="87"/>
    <n v="17.72"/>
    <n v="116.14"/>
    <n v="2026"/>
    <n v="3"/>
    <n v="2025"/>
    <n v="12"/>
    <n v="12"/>
    <x v="25"/>
    <x v="25"/>
    <n v="-32164.39"/>
  </r>
  <r>
    <d v="2026-03-06T00:00:00"/>
    <s v="OPT-NIFTY-10-Mar-2026-24500-P-E-I"/>
    <s v="NSE"/>
    <x v="0"/>
    <n v="1105"/>
    <n v="0"/>
    <n v="146.55000000000001"/>
    <n v="161937.75"/>
    <s v="#202603062700002766"/>
    <n v="161.86000000000001"/>
    <n v="57.53"/>
    <n v="0"/>
    <n v="0.17"/>
    <n v="493"/>
    <n v="99.16"/>
    <n v="811.72"/>
    <n v="2026"/>
    <n v="3"/>
    <n v="2025"/>
    <n v="12"/>
    <n v="12"/>
    <x v="25"/>
    <x v="25"/>
    <n v="161126.03"/>
  </r>
  <r>
    <d v="2026-03-06T00:00:00"/>
    <s v="OPT-NIFTY-10-Mar-2026-24500-P-E-I"/>
    <s v="NSE"/>
    <x v="1"/>
    <n v="260"/>
    <n v="0"/>
    <n v="157.55000000000001"/>
    <n v="40963"/>
    <s v="#202603062700002462"/>
    <n v="0"/>
    <n v="14.56"/>
    <n v="0"/>
    <n v="0.04"/>
    <n v="116"/>
    <n v="23.52"/>
    <n v="154.12"/>
    <n v="2026"/>
    <n v="3"/>
    <n v="2025"/>
    <n v="12"/>
    <n v="12"/>
    <x v="25"/>
    <x v="25"/>
    <n v="-41117.120000000003"/>
  </r>
  <r>
    <d v="2026-03-06T00:00:00"/>
    <s v="OPT-NIFTY-10-Mar-2026-24500-P-E-I"/>
    <s v="NSE"/>
    <x v="1"/>
    <n v="130"/>
    <n v="0"/>
    <n v="156.75"/>
    <n v="20377.5"/>
    <s v="#202603062700002085"/>
    <n v="0"/>
    <n v="7.24"/>
    <n v="0"/>
    <n v="0.02"/>
    <n v="58"/>
    <n v="11.74"/>
    <n v="77"/>
    <n v="2026"/>
    <n v="3"/>
    <n v="2025"/>
    <n v="12"/>
    <n v="12"/>
    <x v="25"/>
    <x v="25"/>
    <n v="-20454.5"/>
  </r>
  <r>
    <d v="2026-03-06T00:00:00"/>
    <s v="OPT-NIFTY-10-Mar-2026-24500-P-E-I"/>
    <s v="NSE"/>
    <x v="1"/>
    <n v="390"/>
    <n v="0"/>
    <n v="150.55000000000001"/>
    <n v="58714.5"/>
    <s v="#202603062700001936"/>
    <n v="0"/>
    <n v="20.86"/>
    <n v="0"/>
    <n v="0.06"/>
    <n v="174"/>
    <n v="35.08"/>
    <n v="230"/>
    <n v="2026"/>
    <n v="3"/>
    <n v="2025"/>
    <n v="12"/>
    <n v="12"/>
    <x v="25"/>
    <x v="25"/>
    <n v="-58944.5"/>
  </r>
  <r>
    <d v="2026-03-06T00:00:00"/>
    <s v="OPT-NIFTY-10-Mar-2026-24500-P-E-I"/>
    <s v="NSE"/>
    <x v="1"/>
    <n v="130"/>
    <n v="0"/>
    <n v="151.25"/>
    <n v="19662.5"/>
    <s v="#202603062700001414"/>
    <n v="0"/>
    <n v="6.99"/>
    <n v="0"/>
    <n v="0.02"/>
    <n v="58"/>
    <n v="11.7"/>
    <n v="76.709999999999994"/>
    <n v="2026"/>
    <n v="3"/>
    <n v="2025"/>
    <n v="12"/>
    <n v="12"/>
    <x v="25"/>
    <x v="25"/>
    <n v="-19739.21"/>
  </r>
  <r>
    <d v="2026-03-06T00:00:00"/>
    <s v="OPT-NIFTY-10-Mar-2026-24500-P-E-I"/>
    <s v="NSE"/>
    <x v="1"/>
    <n v="130"/>
    <n v="0"/>
    <n v="152.44999999999999"/>
    <n v="19818.5"/>
    <s v="#202603062700001365"/>
    <n v="0"/>
    <n v="7.04"/>
    <n v="0"/>
    <n v="0.02"/>
    <n v="58"/>
    <n v="11.72"/>
    <n v="76.78"/>
    <n v="2026"/>
    <n v="3"/>
    <n v="2025"/>
    <n v="12"/>
    <n v="12"/>
    <x v="25"/>
    <x v="25"/>
    <n v="-19895.28"/>
  </r>
  <r>
    <d v="2026-03-06T00:00:00"/>
    <s v="OPT-NIFTY-10-Mar-2026-24500-P-E-I"/>
    <s v="NSE"/>
    <x v="1"/>
    <n v="65"/>
    <n v="0"/>
    <n v="157.15"/>
    <n v="10214.75"/>
    <s v="#202603062700001296"/>
    <n v="0"/>
    <n v="3.63"/>
    <n v="0"/>
    <n v="0.01"/>
    <n v="29"/>
    <n v="5.88"/>
    <n v="38.520000000000003"/>
    <n v="2026"/>
    <n v="3"/>
    <n v="2025"/>
    <n v="12"/>
    <n v="12"/>
    <x v="25"/>
    <x v="25"/>
    <n v="-10253.27"/>
  </r>
  <r>
    <d v="2026-03-09T00:00:00"/>
    <s v="OPT-NIFTY-10-Mar-2026-23750-C-E-I"/>
    <s v="NSE"/>
    <x v="0"/>
    <n v="390"/>
    <n v="0"/>
    <n v="309.89999999999998"/>
    <n v="120861"/>
    <s v="#202603092700012734"/>
    <n v="120.99"/>
    <n v="42.95"/>
    <n v="0"/>
    <n v="0.12"/>
    <n v="174"/>
    <n v="39.1"/>
    <n v="377.16"/>
    <n v="2026"/>
    <n v="3"/>
    <n v="2025"/>
    <n v="12"/>
    <n v="12"/>
    <x v="25"/>
    <x v="25"/>
    <n v="120483.84"/>
  </r>
  <r>
    <d v="2026-03-09T00:00:00"/>
    <s v="OPT-NIFTY-10-Mar-2026-23750-C-E-I"/>
    <s v="NSE"/>
    <x v="1"/>
    <n v="65"/>
    <n v="0"/>
    <n v="241.6"/>
    <n v="15704"/>
    <s v="#202603092700007700"/>
    <n v="0"/>
    <n v="5.58"/>
    <n v="3"/>
    <n v="0.02"/>
    <n v="29"/>
    <n v="6.22"/>
    <n v="43.82"/>
    <n v="2026"/>
    <n v="3"/>
    <n v="2025"/>
    <n v="12"/>
    <n v="12"/>
    <x v="25"/>
    <x v="25"/>
    <n v="-15747.82"/>
  </r>
  <r>
    <d v="2026-03-09T00:00:00"/>
    <s v="OPT-NIFTY-10-Mar-2026-23750-C-E-I"/>
    <s v="NSE"/>
    <x v="1"/>
    <n v="65"/>
    <n v="0"/>
    <n v="258.7"/>
    <n v="16815.5"/>
    <s v="#202603092700007658"/>
    <n v="0"/>
    <n v="5.97"/>
    <n v="0"/>
    <n v="0.02"/>
    <n v="29"/>
    <n v="6.3"/>
    <n v="41.29"/>
    <n v="2026"/>
    <n v="3"/>
    <n v="2025"/>
    <n v="12"/>
    <n v="12"/>
    <x v="25"/>
    <x v="25"/>
    <n v="-16856.79"/>
  </r>
  <r>
    <d v="2026-03-09T00:00:00"/>
    <s v="OPT-NIFTY-10-Mar-2026-23750-C-E-I"/>
    <s v="NSE"/>
    <x v="1"/>
    <n v="65"/>
    <n v="0"/>
    <n v="221.05"/>
    <n v="14368.25"/>
    <s v="#202603092700006559"/>
    <n v="0"/>
    <n v="5.1100000000000003"/>
    <n v="0"/>
    <n v="0.01"/>
    <n v="29"/>
    <n v="6.14"/>
    <n v="40.26"/>
    <n v="2026"/>
    <n v="3"/>
    <n v="2025"/>
    <n v="12"/>
    <n v="12"/>
    <x v="25"/>
    <x v="25"/>
    <n v="-14408.51"/>
  </r>
  <r>
    <d v="2026-03-09T00:00:00"/>
    <s v="OPT-NIFTY-10-Mar-2026-23750-C-E-I"/>
    <s v="NSE"/>
    <x v="1"/>
    <n v="65"/>
    <n v="0"/>
    <n v="230.25"/>
    <n v="14966.25"/>
    <s v="#202603092700006420"/>
    <n v="0"/>
    <n v="5.32"/>
    <n v="0"/>
    <n v="0.02"/>
    <n v="29"/>
    <n v="6.18"/>
    <n v="40.520000000000003"/>
    <n v="2026"/>
    <n v="3"/>
    <n v="2025"/>
    <n v="12"/>
    <n v="12"/>
    <x v="25"/>
    <x v="25"/>
    <n v="-15006.77"/>
  </r>
  <r>
    <d v="2026-03-09T00:00:00"/>
    <s v="OPT-NIFTY-10-Mar-2026-23750-C-E-I"/>
    <s v="NSE"/>
    <x v="1"/>
    <n v="65"/>
    <n v="0"/>
    <n v="241.55"/>
    <n v="15700.75"/>
    <s v="#202603092700005636"/>
    <n v="0"/>
    <n v="5.58"/>
    <n v="0"/>
    <n v="0.02"/>
    <n v="29"/>
    <n v="6.22"/>
    <n v="40.82"/>
    <n v="2026"/>
    <n v="3"/>
    <n v="2025"/>
    <n v="12"/>
    <n v="12"/>
    <x v="25"/>
    <x v="25"/>
    <n v="-15741.57"/>
  </r>
  <r>
    <d v="2026-03-09T00:00:00"/>
    <s v="OPT-NIFTY-10-Mar-2026-23750-C-E-I"/>
    <s v="NSE"/>
    <x v="1"/>
    <n v="65"/>
    <n v="0"/>
    <n v="266.3"/>
    <n v="17309.5"/>
    <s v="#202603092700005282"/>
    <n v="0"/>
    <n v="6.15"/>
    <n v="0"/>
    <n v="0.02"/>
    <n v="29"/>
    <n v="6.34"/>
    <n v="41.51"/>
    <n v="2026"/>
    <n v="3"/>
    <n v="2025"/>
    <n v="12"/>
    <n v="12"/>
    <x v="25"/>
    <x v="25"/>
    <n v="-17351.009999999998"/>
  </r>
  <r>
    <d v="2026-04-10T00:00:00"/>
    <s v="OPT-NIFTY-13-Apr-2026-23900-C-E-I"/>
    <s v="NSE"/>
    <x v="0"/>
    <n v="780"/>
    <n v="0"/>
    <n v="202.9"/>
    <n v="158262"/>
    <s v="#202604102700014925"/>
    <n v="237.41"/>
    <n v="56.22"/>
    <n v="0"/>
    <n v="0.16"/>
    <n v="348"/>
    <n v="72.8"/>
    <n v="714.59"/>
    <n v="2026"/>
    <n v="4"/>
    <n v="2026"/>
    <n v="1"/>
    <s v="01"/>
    <x v="26"/>
    <x v="26"/>
    <n v="157547.41"/>
  </r>
  <r>
    <d v="2026-04-10T00:00:00"/>
    <s v="OPT-NIFTY-13-Apr-2026-23900-C-E-I"/>
    <s v="NSE"/>
    <x v="1"/>
    <n v="130"/>
    <n v="0"/>
    <n v="213.4"/>
    <n v="27742"/>
    <s v="#202604102700013120"/>
    <n v="0"/>
    <n v="9.86"/>
    <n v="0"/>
    <n v="0.03"/>
    <n v="58"/>
    <n v="12.22"/>
    <n v="80.11"/>
    <n v="2026"/>
    <n v="4"/>
    <n v="2026"/>
    <n v="1"/>
    <s v="01"/>
    <x v="26"/>
    <x v="26"/>
    <n v="-27822.11"/>
  </r>
  <r>
    <d v="2026-04-10T00:00:00"/>
    <s v="OPT-NIFTY-13-Apr-2026-23900-C-E-I"/>
    <s v="NSE"/>
    <x v="1"/>
    <n v="130"/>
    <n v="0"/>
    <n v="216"/>
    <n v="28080"/>
    <s v="#202604102700013089"/>
    <n v="0"/>
    <n v="9.98"/>
    <n v="0"/>
    <n v="0.02"/>
    <n v="58"/>
    <n v="12.24"/>
    <n v="80.239999999999995"/>
    <n v="2026"/>
    <n v="4"/>
    <n v="2026"/>
    <n v="1"/>
    <s v="01"/>
    <x v="26"/>
    <x v="26"/>
    <n v="-28160.240000000002"/>
  </r>
  <r>
    <d v="2026-04-10T00:00:00"/>
    <s v="OPT-NIFTY-13-Apr-2026-23900-C-E-I"/>
    <s v="NSE"/>
    <x v="1"/>
    <n v="520"/>
    <n v="0"/>
    <n v="230.94"/>
    <n v="120087.5"/>
    <s v="#202604102700012960"/>
    <n v="0"/>
    <n v="42.66"/>
    <n v="0"/>
    <n v="0.13"/>
    <n v="232"/>
    <n v="49.46"/>
    <n v="324.25"/>
    <n v="2026"/>
    <n v="4"/>
    <n v="2026"/>
    <n v="1"/>
    <s v="01"/>
    <x v="26"/>
    <x v="26"/>
    <n v="-120411.75"/>
  </r>
  <r>
    <d v="2026-04-10T00:00:00"/>
    <s v="OPT-NIFTY-13-Apr-2026-23900-C-E-I"/>
    <s v="NSE"/>
    <x v="0"/>
    <n v="650"/>
    <n v="0"/>
    <n v="214.9"/>
    <n v="139685"/>
    <s v="#202604102700011756"/>
    <n v="209.53"/>
    <n v="49.63"/>
    <n v="0"/>
    <n v="0.14000000000000001"/>
    <n v="290"/>
    <n v="61.16"/>
    <n v="610.46"/>
    <n v="2026"/>
    <n v="4"/>
    <n v="2026"/>
    <n v="1"/>
    <s v="01"/>
    <x v="26"/>
    <x v="26"/>
    <n v="139074.54"/>
  </r>
  <r>
    <d v="2026-04-10T00:00:00"/>
    <s v="OPT-NIFTY-13-Apr-2026-23900-C-E-I"/>
    <s v="NSE"/>
    <x v="1"/>
    <n v="130"/>
    <n v="0"/>
    <n v="201.25"/>
    <n v="26162.5"/>
    <s v="#202604102700007247"/>
    <n v="0"/>
    <n v="9.3000000000000007"/>
    <n v="0"/>
    <n v="0.03"/>
    <n v="58"/>
    <n v="12.12"/>
    <n v="79.45"/>
    <n v="2026"/>
    <n v="4"/>
    <n v="2026"/>
    <n v="1"/>
    <s v="01"/>
    <x v="26"/>
    <x v="26"/>
    <n v="-26241.95"/>
  </r>
  <r>
    <d v="2026-04-10T00:00:00"/>
    <s v="OPT-NIFTY-13-Apr-2026-23900-C-E-I"/>
    <s v="NSE"/>
    <x v="1"/>
    <n v="455"/>
    <n v="0"/>
    <n v="212.58"/>
    <n v="96723.25"/>
    <s v="#202604102700007085"/>
    <n v="0"/>
    <n v="34.369999999999997"/>
    <n v="0"/>
    <n v="0.09"/>
    <n v="203"/>
    <n v="42.74"/>
    <n v="280.2"/>
    <n v="2026"/>
    <n v="4"/>
    <n v="2026"/>
    <n v="1"/>
    <s v="01"/>
    <x v="26"/>
    <x v="26"/>
    <n v="-97003.45"/>
  </r>
  <r>
    <d v="2026-04-10T00:00:00"/>
    <s v="OPT-NIFTY-13-Apr-2026-23900-C-E-I"/>
    <s v="NSE"/>
    <x v="1"/>
    <n v="65"/>
    <n v="0"/>
    <n v="210.6"/>
    <n v="13689"/>
    <s v="#202604102700007045"/>
    <n v="0"/>
    <n v="4.8600000000000003"/>
    <n v="0"/>
    <n v="0.01"/>
    <n v="29"/>
    <n v="6.1"/>
    <n v="39.97"/>
    <n v="2026"/>
    <n v="4"/>
    <n v="2026"/>
    <n v="1"/>
    <s v="01"/>
    <x v="26"/>
    <x v="26"/>
    <n v="-13728.97"/>
  </r>
  <r>
    <d v="2026-04-10T00:00:00"/>
    <s v="OPT-NIFTY-13-Apr-2026-23900-C-E-I"/>
    <s v="NSE"/>
    <x v="0"/>
    <n v="650"/>
    <n v="0"/>
    <n v="199.9"/>
    <n v="129935"/>
    <s v="#202604102700004011"/>
    <n v="195.08"/>
    <n v="46.17"/>
    <n v="0"/>
    <n v="0.13"/>
    <n v="290"/>
    <n v="60.54"/>
    <n v="591.91999999999996"/>
    <n v="2026"/>
    <n v="4"/>
    <n v="2026"/>
    <n v="1"/>
    <s v="01"/>
    <x v="26"/>
    <x v="26"/>
    <n v="129343.08"/>
  </r>
  <r>
    <d v="2026-04-10T00:00:00"/>
    <s v="OPT-NIFTY-13-Apr-2026-23900-C-E-I"/>
    <s v="NSE"/>
    <x v="1"/>
    <n v="325"/>
    <n v="0"/>
    <n v="181.25"/>
    <n v="58906.25"/>
    <s v="#202604102700002470"/>
    <n v="0"/>
    <n v="20.93"/>
    <n v="0"/>
    <n v="0.06"/>
    <n v="145"/>
    <n v="29.88"/>
    <n v="195.87"/>
    <n v="2026"/>
    <n v="4"/>
    <n v="2026"/>
    <n v="1"/>
    <s v="01"/>
    <x v="26"/>
    <x v="26"/>
    <n v="-59102.12"/>
  </r>
  <r>
    <d v="2026-04-10T00:00:00"/>
    <s v="OPT-NIFTY-13-Apr-2026-23900-C-E-I"/>
    <s v="NSE"/>
    <x v="1"/>
    <n v="325"/>
    <n v="0"/>
    <n v="185.35"/>
    <n v="60238.75"/>
    <s v="#202604102700002418"/>
    <n v="0"/>
    <n v="21.4"/>
    <n v="13"/>
    <n v="0.06"/>
    <n v="145"/>
    <n v="29.96"/>
    <n v="209.42"/>
    <n v="2026"/>
    <n v="4"/>
    <n v="2026"/>
    <n v="1"/>
    <s v="01"/>
    <x v="26"/>
    <x v="26"/>
    <n v="-60448.17"/>
  </r>
  <r>
    <d v="2026-04-13T00:00:00"/>
    <s v="OPT-NIFTY-13-Apr-2026-23800-C-E-I"/>
    <s v="NSE"/>
    <x v="0"/>
    <n v="1300"/>
    <n v="0"/>
    <n v="79.900000000000006"/>
    <n v="103870"/>
    <s v="#202604132700020594"/>
    <n v="156"/>
    <n v="36.909999999999997"/>
    <n v="0"/>
    <n v="0.11"/>
    <n v="580"/>
    <n v="111.06"/>
    <n v="884.08"/>
    <n v="2026"/>
    <n v="4"/>
    <n v="2026"/>
    <n v="1"/>
    <s v="01"/>
    <x v="26"/>
    <x v="26"/>
    <n v="102985.92"/>
  </r>
  <r>
    <d v="2026-04-13T00:00:00"/>
    <s v="OPT-NIFTY-13-Apr-2026-23800-C-E-I"/>
    <s v="NSE"/>
    <x v="1"/>
    <n v="650"/>
    <n v="0"/>
    <n v="60.51"/>
    <n v="39328.25"/>
    <s v="#202604132700020081"/>
    <n v="0"/>
    <n v="13.98"/>
    <n v="0"/>
    <n v="0.03"/>
    <n v="290"/>
    <n v="54.74"/>
    <n v="358.75"/>
    <n v="2026"/>
    <n v="4"/>
    <n v="2026"/>
    <n v="1"/>
    <s v="01"/>
    <x v="26"/>
    <x v="26"/>
    <n v="-39687"/>
  </r>
  <r>
    <d v="2026-04-13T00:00:00"/>
    <s v="OPT-NIFTY-13-Apr-2026-23800-C-E-I"/>
    <s v="NSE"/>
    <x v="1"/>
    <n v="650"/>
    <n v="0"/>
    <n v="66.75"/>
    <n v="43387.5"/>
    <s v="#202604132700019957"/>
    <n v="0"/>
    <n v="15.41"/>
    <n v="2"/>
    <n v="0.04"/>
    <n v="290"/>
    <n v="54.98"/>
    <n v="362.43"/>
    <n v="2026"/>
    <n v="4"/>
    <n v="2026"/>
    <n v="1"/>
    <s v="01"/>
    <x v="26"/>
    <x v="26"/>
    <n v="-43749.93"/>
  </r>
  <r>
    <d v="2026-04-15T00:00:00"/>
    <s v="OPT-NIFTY-21-Apr-2026-24200-P-E-I"/>
    <s v="NSE"/>
    <x v="0"/>
    <n v="650"/>
    <n v="0"/>
    <n v="215"/>
    <n v="139750"/>
    <s v="#202604152700012552"/>
    <n v="209.6"/>
    <n v="49.7"/>
    <n v="0"/>
    <n v="0.1"/>
    <n v="290"/>
    <n v="61.2"/>
    <n v="610.6"/>
    <n v="2026"/>
    <n v="4"/>
    <n v="2026"/>
    <n v="1"/>
    <s v="01"/>
    <x v="26"/>
    <x v="26"/>
    <n v="139139.4"/>
  </r>
  <r>
    <d v="2026-04-15T00:00:00"/>
    <s v="OPT-NIFTY-21-Apr-2026-24200-P-E-I"/>
    <s v="NSE"/>
    <x v="1"/>
    <n v="650"/>
    <n v="0"/>
    <n v="227.72"/>
    <n v="148018"/>
    <s v="#202604152700007010"/>
    <n v="0"/>
    <n v="52.59"/>
    <n v="0"/>
    <n v="0.14000000000000001"/>
    <n v="290"/>
    <n v="61.68"/>
    <n v="404.41"/>
    <n v="2026"/>
    <n v="4"/>
    <n v="2026"/>
    <n v="1"/>
    <s v="01"/>
    <x v="26"/>
    <x v="26"/>
    <n v="-148422.41"/>
  </r>
  <r>
    <d v="2026-04-15T00:00:00"/>
    <s v="OPT-NIFTY-21-Apr-2026-24200-P-E-I"/>
    <s v="NSE"/>
    <x v="0"/>
    <n v="650"/>
    <n v="0"/>
    <n v="195.9"/>
    <n v="127335"/>
    <s v="#202604152700005712"/>
    <n v="191"/>
    <n v="45.24"/>
    <n v="0"/>
    <n v="0.13"/>
    <n v="290"/>
    <n v="60.36"/>
    <n v="586.73"/>
    <n v="2026"/>
    <n v="4"/>
    <n v="2026"/>
    <n v="1"/>
    <s v="01"/>
    <x v="26"/>
    <x v="26"/>
    <n v="126748.27"/>
  </r>
  <r>
    <d v="2026-04-15T00:00:00"/>
    <s v="OPT-NIFTY-21-Apr-2026-24200-P-E-I"/>
    <s v="NSE"/>
    <x v="1"/>
    <n v="325"/>
    <n v="0"/>
    <n v="191.25"/>
    <n v="62156.25"/>
    <s v="#202604152700004562"/>
    <n v="0"/>
    <n v="22.08"/>
    <n v="10"/>
    <n v="0.06"/>
    <n v="145"/>
    <n v="30.08"/>
    <n v="207.22"/>
    <n v="2026"/>
    <n v="4"/>
    <n v="2026"/>
    <n v="1"/>
    <s v="01"/>
    <x v="26"/>
    <x v="26"/>
    <n v="-62363.47"/>
  </r>
  <r>
    <d v="2026-04-15T00:00:00"/>
    <s v="OPT-NIFTY-21-Apr-2026-24200-P-E-I"/>
    <s v="NSE"/>
    <x v="1"/>
    <n v="325"/>
    <n v="0"/>
    <n v="201.25"/>
    <n v="65406.25"/>
    <s v="#202604152700004139"/>
    <n v="0"/>
    <n v="23.25"/>
    <n v="0"/>
    <n v="0.06"/>
    <n v="145"/>
    <n v="30.3"/>
    <n v="198.61"/>
    <n v="2026"/>
    <n v="4"/>
    <n v="2026"/>
    <n v="1"/>
    <s v="01"/>
    <x v="26"/>
    <x v="26"/>
    <n v="-65604.86"/>
  </r>
  <r>
    <d v="2026-04-15T00:00:00"/>
    <s v="OPT-NIFTY-21-Apr-2026-24200-P-E-I"/>
    <s v="NSE"/>
    <x v="0"/>
    <n v="325"/>
    <n v="0"/>
    <n v="239.9"/>
    <n v="77967.5"/>
    <s v="#202604152700002409"/>
    <n v="117.37"/>
    <n v="27.7"/>
    <n v="0"/>
    <n v="0.08"/>
    <n v="145"/>
    <n v="31.1"/>
    <n v="321.25"/>
    <n v="2026"/>
    <n v="4"/>
    <n v="2026"/>
    <n v="1"/>
    <s v="01"/>
    <x v="26"/>
    <x v="26"/>
    <n v="77646.25"/>
  </r>
  <r>
    <d v="2026-04-15T00:00:00"/>
    <s v="OPT-NIFTY-21-Apr-2026-24200-P-E-I"/>
    <s v="NSE"/>
    <x v="1"/>
    <n v="325"/>
    <n v="0"/>
    <n v="222.26"/>
    <n v="72234.5"/>
    <s v="#202604152700002161"/>
    <n v="0"/>
    <n v="25.65"/>
    <n v="0"/>
    <n v="0.05"/>
    <n v="145"/>
    <n v="30.7"/>
    <n v="201.4"/>
    <n v="2026"/>
    <n v="4"/>
    <n v="2026"/>
    <n v="1"/>
    <s v="01"/>
    <x v="26"/>
    <x v="26"/>
    <n v="-72435.899999999994"/>
  </r>
  <r>
    <d v="2026-04-16T00:00:00"/>
    <s v="OPT-NIFTY-21-Apr-2026-24250-P-E-I"/>
    <s v="NSE"/>
    <x v="0"/>
    <n v="585"/>
    <n v="0"/>
    <n v="269.89999999999998"/>
    <n v="157891.5"/>
    <s v="#202604162700009328"/>
    <n v="236.85"/>
    <n v="56.09"/>
    <n v="0"/>
    <n v="0.17"/>
    <n v="261"/>
    <n v="57.1"/>
    <n v="611.21"/>
    <n v="2026"/>
    <n v="4"/>
    <n v="2026"/>
    <n v="1"/>
    <s v="01"/>
    <x v="26"/>
    <x v="26"/>
    <n v="157280.29"/>
  </r>
  <r>
    <d v="2026-04-16T00:00:00"/>
    <s v="OPT-NIFTY-21-Apr-2026-24250-P-E-I"/>
    <s v="NSE"/>
    <x v="1"/>
    <n v="325"/>
    <n v="0"/>
    <n v="261.49"/>
    <n v="84984.25"/>
    <s v="#202604162700009055"/>
    <n v="0"/>
    <n v="30.2"/>
    <n v="0"/>
    <n v="0.1"/>
    <n v="145"/>
    <n v="31.6"/>
    <n v="206.9"/>
    <n v="2026"/>
    <n v="4"/>
    <n v="2026"/>
    <n v="1"/>
    <s v="01"/>
    <x v="26"/>
    <x v="26"/>
    <n v="-85191.15"/>
  </r>
  <r>
    <d v="2026-04-16T00:00:00"/>
    <s v="OPT-NIFTY-21-Apr-2026-24250-P-E-I"/>
    <s v="NSE"/>
    <x v="1"/>
    <n v="260"/>
    <n v="0"/>
    <n v="263.52999999999997"/>
    <n v="68516.5"/>
    <s v="#202604162700008705"/>
    <n v="0"/>
    <n v="24.36"/>
    <n v="0"/>
    <n v="0.08"/>
    <n v="116"/>
    <n v="25.28"/>
    <n v="165.72"/>
    <n v="2026"/>
    <n v="4"/>
    <n v="2026"/>
    <n v="1"/>
    <s v="01"/>
    <x v="26"/>
    <x v="26"/>
    <n v="-68682.22"/>
  </r>
  <r>
    <d v="2026-04-16T00:00:00"/>
    <s v="OPT-NIFTY-21-Apr-2026-24250-P-E-I"/>
    <s v="NSE"/>
    <x v="0"/>
    <n v="195"/>
    <n v="0"/>
    <n v="228.85"/>
    <n v="44625.75"/>
    <s v="#202604162700007455"/>
    <n v="66.94"/>
    <n v="15.86"/>
    <n v="0"/>
    <n v="0.04"/>
    <n v="87"/>
    <n v="18.52"/>
    <n v="188.36"/>
    <n v="2026"/>
    <n v="4"/>
    <n v="2026"/>
    <n v="1"/>
    <s v="01"/>
    <x v="26"/>
    <x v="26"/>
    <n v="44437.39"/>
  </r>
  <r>
    <d v="2026-04-16T00:00:00"/>
    <s v="OPT-NIFTY-21-Apr-2026-24250-P-E-I"/>
    <s v="NSE"/>
    <x v="0"/>
    <n v="650"/>
    <n v="0"/>
    <n v="209.9"/>
    <n v="136435"/>
    <s v="#202604162700006844"/>
    <n v="204.67"/>
    <n v="48.49"/>
    <n v="0"/>
    <n v="0.13"/>
    <n v="290"/>
    <n v="60.98"/>
    <n v="604.27"/>
    <n v="2026"/>
    <n v="4"/>
    <n v="2026"/>
    <n v="1"/>
    <s v="01"/>
    <x v="26"/>
    <x v="26"/>
    <n v="135830.73000000001"/>
  </r>
  <r>
    <d v="2026-04-16T00:00:00"/>
    <s v="OPT-NIFTY-21-Apr-2026-24250-P-E-I"/>
    <s v="NSE"/>
    <x v="1"/>
    <n v="195"/>
    <n v="0"/>
    <n v="186.35"/>
    <n v="36338.25"/>
    <s v="#202604162700003986"/>
    <n v="0"/>
    <n v="12.91"/>
    <n v="9.84"/>
    <n v="0.04"/>
    <n v="87"/>
    <n v="18"/>
    <n v="127.79"/>
    <n v="2026"/>
    <n v="4"/>
    <n v="2026"/>
    <n v="1"/>
    <s v="01"/>
    <x v="26"/>
    <x v="26"/>
    <n v="-36466.04"/>
  </r>
  <r>
    <d v="2026-04-16T00:00:00"/>
    <s v="OPT-NIFTY-21-Apr-2026-24250-P-E-I"/>
    <s v="NSE"/>
    <x v="1"/>
    <n v="650"/>
    <n v="0"/>
    <n v="193.17"/>
    <n v="125557.25"/>
    <s v="#202604162700003733"/>
    <n v="0"/>
    <n v="44.6"/>
    <n v="0"/>
    <n v="0.11"/>
    <n v="290"/>
    <n v="60.22"/>
    <n v="394.93"/>
    <n v="2026"/>
    <n v="4"/>
    <n v="2026"/>
    <n v="1"/>
    <s v="01"/>
    <x v="26"/>
    <x v="26"/>
    <n v="-125952.18"/>
  </r>
  <r>
    <d v="2026-04-16T00:00:00"/>
    <s v="OPT-NIFTY-21-Apr-2026-24350-C-E-I"/>
    <s v="NSE"/>
    <x v="0"/>
    <n v="975"/>
    <n v="0"/>
    <n v="170.15"/>
    <n v="165899.5"/>
    <s v="#202604162700003333"/>
    <n v="248.57"/>
    <n v="58.94"/>
    <n v="0"/>
    <n v="0.16"/>
    <n v="435"/>
    <n v="88.92"/>
    <n v="831.59"/>
    <n v="2026"/>
    <n v="4"/>
    <n v="2026"/>
    <n v="1"/>
    <s v="01"/>
    <x v="26"/>
    <x v="26"/>
    <n v="165067.91"/>
  </r>
  <r>
    <d v="2026-04-16T00:00:00"/>
    <s v="OPT-NIFTY-21-Apr-2026-24350-C-E-I"/>
    <s v="NSE"/>
    <x v="1"/>
    <n v="325"/>
    <n v="0"/>
    <n v="169.75"/>
    <n v="55168.75"/>
    <s v="#202604162700002579"/>
    <n v="0"/>
    <n v="19.600000000000001"/>
    <n v="5.16"/>
    <n v="0.06"/>
    <n v="145"/>
    <n v="29.64"/>
    <n v="199.46"/>
    <n v="2026"/>
    <n v="4"/>
    <n v="2026"/>
    <n v="1"/>
    <s v="01"/>
    <x v="26"/>
    <x v="26"/>
    <n v="-55368.21"/>
  </r>
  <r>
    <d v="2026-04-16T00:00:00"/>
    <s v="OPT-NIFTY-21-Apr-2026-24350-C-E-I"/>
    <s v="NSE"/>
    <x v="1"/>
    <n v="650"/>
    <n v="0"/>
    <n v="180"/>
    <n v="117000"/>
    <s v="#202604162700002476"/>
    <n v="0"/>
    <n v="41.58"/>
    <n v="0"/>
    <n v="0.12"/>
    <n v="290"/>
    <n v="59.74"/>
    <n v="391.44"/>
    <n v="2026"/>
    <n v="4"/>
    <n v="2026"/>
    <n v="1"/>
    <s v="01"/>
    <x v="26"/>
    <x v="26"/>
    <n v="-117391.44"/>
  </r>
  <r>
    <d v="2026-04-17T00:00:00"/>
    <s v="OPT-NIFTY-21-Apr-2026-24200-C-E-I"/>
    <s v="NSE"/>
    <x v="0"/>
    <n v="585"/>
    <n v="0"/>
    <n v="221.4"/>
    <n v="129519"/>
    <s v="#202604172700011727"/>
    <n v="194.28"/>
    <n v="46.02"/>
    <n v="0"/>
    <n v="0.13"/>
    <n v="261"/>
    <n v="55.28"/>
    <n v="556.71"/>
    <n v="2026"/>
    <n v="4"/>
    <n v="2026"/>
    <n v="1"/>
    <s v="01"/>
    <x v="26"/>
    <x v="26"/>
    <n v="128962.29"/>
  </r>
  <r>
    <d v="2026-04-17T00:00:00"/>
    <s v="OPT-NIFTY-21-Apr-2026-24200-C-E-I"/>
    <s v="NSE"/>
    <x v="0"/>
    <n v="130"/>
    <n v="0"/>
    <n v="229.9"/>
    <n v="29887"/>
    <s v="#202604172700011676"/>
    <n v="44.83"/>
    <n v="10.62"/>
    <n v="0"/>
    <n v="0.03"/>
    <n v="58"/>
    <n v="12.36"/>
    <n v="125.84"/>
    <n v="2026"/>
    <n v="4"/>
    <n v="2026"/>
    <n v="1"/>
    <s v="01"/>
    <x v="26"/>
    <x v="26"/>
    <n v="29761.16"/>
  </r>
  <r>
    <d v="2026-04-17T00:00:00"/>
    <s v="OPT-NIFTY-21-Apr-2026-24200-C-E-I"/>
    <s v="NSE"/>
    <x v="0"/>
    <n v="65"/>
    <n v="0"/>
    <n v="229.9"/>
    <n v="14943.5"/>
    <s v="#202604172700010790"/>
    <n v="22.89"/>
    <n v="5.31"/>
    <n v="0"/>
    <n v="0.01"/>
    <n v="29"/>
    <n v="6.18"/>
    <n v="63.39"/>
    <n v="2026"/>
    <n v="4"/>
    <n v="2026"/>
    <n v="1"/>
    <s v="01"/>
    <x v="26"/>
    <x v="26"/>
    <n v="14880.11"/>
  </r>
  <r>
    <d v="2026-04-17T00:00:00"/>
    <s v="OPT-NIFTY-21-Apr-2026-24200-C-E-I"/>
    <s v="NSE"/>
    <x v="1"/>
    <n v="130"/>
    <n v="0"/>
    <n v="202.5"/>
    <n v="26325"/>
    <s v="#202604172700006017"/>
    <n v="0"/>
    <n v="9.35"/>
    <n v="0"/>
    <n v="0.03"/>
    <n v="58"/>
    <n v="12.12"/>
    <n v="79.5"/>
    <n v="2026"/>
    <n v="4"/>
    <n v="2026"/>
    <n v="1"/>
    <s v="01"/>
    <x v="26"/>
    <x v="26"/>
    <n v="-26404.5"/>
  </r>
  <r>
    <d v="2026-04-17T00:00:00"/>
    <s v="OPT-NIFTY-21-Apr-2026-24200-C-E-I"/>
    <s v="NSE"/>
    <x v="1"/>
    <n v="650"/>
    <n v="0"/>
    <n v="220.75"/>
    <n v="143487.5"/>
    <s v="#202604172700005172"/>
    <n v="0"/>
    <n v="50.98"/>
    <n v="5"/>
    <n v="0.13"/>
    <n v="290"/>
    <n v="61.4"/>
    <n v="407.51"/>
    <n v="2026"/>
    <n v="4"/>
    <n v="2026"/>
    <n v="1"/>
    <s v="01"/>
    <x v="26"/>
    <x v="26"/>
    <n v="-143895.01"/>
  </r>
  <r>
    <d v="2026-04-20T00:00:00"/>
    <s v="OPT-NIFTY-21-Apr-2026-24450-C-E-I"/>
    <s v="NSE"/>
    <x v="0"/>
    <n v="1040"/>
    <n v="0"/>
    <n v="81.2"/>
    <n v="84448"/>
    <s v="#202604202700016718"/>
    <n v="126.67"/>
    <n v="30.01"/>
    <n v="0"/>
    <n v="0.09"/>
    <n v="464"/>
    <n v="88.94"/>
    <n v="709.71"/>
    <n v="2026"/>
    <n v="4"/>
    <n v="2026"/>
    <n v="1"/>
    <s v="01"/>
    <x v="26"/>
    <x v="26"/>
    <n v="83738.289999999994"/>
  </r>
  <r>
    <d v="2026-04-20T00:00:00"/>
    <s v="OPT-NIFTY-21-Apr-2026-24450-C-E-I"/>
    <s v="NSE"/>
    <x v="1"/>
    <n v="260"/>
    <n v="0"/>
    <n v="121.25"/>
    <n v="31525"/>
    <s v="#202604202700010273"/>
    <n v="0"/>
    <n v="11.2"/>
    <n v="0"/>
    <n v="0.03"/>
    <n v="116"/>
    <n v="22.9"/>
    <n v="150.13"/>
    <n v="2026"/>
    <n v="4"/>
    <n v="2026"/>
    <n v="1"/>
    <s v="01"/>
    <x v="26"/>
    <x v="26"/>
    <n v="-31675.13"/>
  </r>
  <r>
    <d v="2026-04-20T00:00:00"/>
    <s v="OPT-NIFTY-21-Apr-2026-24450-C-E-I"/>
    <s v="NSE"/>
    <x v="1"/>
    <n v="780"/>
    <n v="0"/>
    <n v="121.25"/>
    <n v="94575"/>
    <s v="#202604202700007699"/>
    <n v="0"/>
    <n v="33.6"/>
    <n v="3.78"/>
    <n v="0.1"/>
    <n v="348"/>
    <n v="68.7"/>
    <n v="454.18"/>
    <n v="2026"/>
    <n v="4"/>
    <n v="2026"/>
    <n v="1"/>
    <s v="01"/>
    <x v="26"/>
    <x v="26"/>
    <n v="-95029.18"/>
  </r>
  <r>
    <d v="2026-04-20T00:00:00"/>
    <s v="OPT-NIFTY-21-Apr-2026-24350-P-E-I"/>
    <s v="NSE"/>
    <x v="0"/>
    <n v="1040"/>
    <n v="0"/>
    <n v="100.9"/>
    <n v="104936"/>
    <s v="#202604202700007249"/>
    <n v="157.33000000000001"/>
    <n v="37.28"/>
    <n v="0"/>
    <n v="0.1"/>
    <n v="464"/>
    <n v="90.24"/>
    <n v="748.95"/>
    <n v="2026"/>
    <n v="4"/>
    <n v="2026"/>
    <n v="1"/>
    <s v="01"/>
    <x v="26"/>
    <x v="26"/>
    <n v="104187.05"/>
  </r>
  <r>
    <d v="2026-04-20T00:00:00"/>
    <s v="OPT-NIFTY-21-Apr-2026-24350-P-E-I"/>
    <s v="NSE"/>
    <x v="1"/>
    <n v="195"/>
    <n v="0"/>
    <n v="152.27000000000001"/>
    <n v="29692"/>
    <s v="#202604202700004899"/>
    <n v="0"/>
    <n v="10.56"/>
    <n v="0"/>
    <n v="0.03"/>
    <n v="87"/>
    <n v="17.579999999999998"/>
    <n v="115.17"/>
    <n v="2026"/>
    <n v="4"/>
    <n v="2026"/>
    <n v="1"/>
    <s v="01"/>
    <x v="26"/>
    <x v="26"/>
    <n v="-29807.17"/>
  </r>
  <r>
    <d v="2026-04-20T00:00:00"/>
    <s v="OPT-NIFTY-21-Apr-2026-24350-P-E-I"/>
    <s v="NSE"/>
    <x v="1"/>
    <n v="585"/>
    <n v="0"/>
    <n v="157.47999999999999"/>
    <n v="92124.5"/>
    <s v="#202604202700004807"/>
    <n v="0"/>
    <n v="32.729999999999997"/>
    <n v="5.22"/>
    <n v="0.09"/>
    <n v="261"/>
    <n v="52.92"/>
    <n v="351.96"/>
    <n v="2026"/>
    <n v="4"/>
    <n v="2026"/>
    <n v="1"/>
    <s v="01"/>
    <x v="26"/>
    <x v="26"/>
    <n v="-92476.46"/>
  </r>
  <r>
    <d v="2026-04-20T00:00:00"/>
    <s v="OPT-NIFTY-21-Apr-2026-24350-P-E-I"/>
    <s v="NSE"/>
    <x v="1"/>
    <n v="260"/>
    <n v="0"/>
    <n v="150.55000000000001"/>
    <n v="39143"/>
    <s v="#202604202700004618"/>
    <n v="0"/>
    <n v="13.92"/>
    <n v="0"/>
    <n v="0.04"/>
    <n v="116"/>
    <n v="23.36"/>
    <n v="153.32"/>
    <n v="2026"/>
    <n v="4"/>
    <n v="2026"/>
    <n v="1"/>
    <s v="01"/>
    <x v="26"/>
    <x v="26"/>
    <n v="-39296.32"/>
  </r>
  <r>
    <d v="2026-04-21T00:00:00"/>
    <s v="OPT-NIFTY-21-Apr-2026-24450-P-E-I"/>
    <s v="NSE"/>
    <x v="0"/>
    <n v="1040"/>
    <n v="0"/>
    <n v="3.5"/>
    <n v="3640"/>
    <s v="#202604212700015041"/>
    <n v="5.46"/>
    <n v="1.29"/>
    <n v="0"/>
    <n v="0"/>
    <n v="464"/>
    <n v="83.76"/>
    <n v="554.51"/>
    <n v="2026"/>
    <n v="4"/>
    <n v="2026"/>
    <n v="1"/>
    <s v="01"/>
    <x v="26"/>
    <x v="26"/>
    <n v="3085.49"/>
  </r>
  <r>
    <d v="2026-04-21T00:00:00"/>
    <s v="OPT-NIFTY-21-Apr-2026-24450-P-E-I"/>
    <s v="NSE"/>
    <x v="0"/>
    <n v="1040"/>
    <n v="0"/>
    <n v="4"/>
    <n v="4160"/>
    <s v="#202604212700015021"/>
    <n v="6.24"/>
    <n v="1.48"/>
    <n v="0"/>
    <n v="0"/>
    <n v="464"/>
    <n v="83.78"/>
    <n v="555.5"/>
    <n v="2026"/>
    <n v="4"/>
    <n v="2026"/>
    <n v="1"/>
    <s v="01"/>
    <x v="26"/>
    <x v="26"/>
    <n v="3604.5"/>
  </r>
  <r>
    <d v="2026-04-21T00:00:00"/>
    <s v="OPT-NIFTY-21-Apr-2026-24450-P-E-I"/>
    <s v="NSE"/>
    <x v="0"/>
    <n v="1040"/>
    <n v="0"/>
    <n v="4"/>
    <n v="4160"/>
    <s v="#202604212700015009"/>
    <n v="6.24"/>
    <n v="1.47"/>
    <n v="0"/>
    <n v="0"/>
    <n v="464"/>
    <n v="83.78"/>
    <n v="555.49"/>
    <n v="2026"/>
    <n v="4"/>
    <n v="2026"/>
    <n v="1"/>
    <s v="01"/>
    <x v="26"/>
    <x v="26"/>
    <n v="3604.51"/>
  </r>
  <r>
    <d v="2026-04-21T00:00:00"/>
    <s v="OPT-NIFTY-21-Apr-2026-24450-P-E-I"/>
    <s v="NSE"/>
    <x v="0"/>
    <n v="1040"/>
    <n v="0"/>
    <n v="4"/>
    <n v="4160"/>
    <s v="#202604212700014996"/>
    <n v="6.06"/>
    <n v="1.48"/>
    <n v="0"/>
    <n v="0"/>
    <n v="464"/>
    <n v="83.78"/>
    <n v="555.32000000000005"/>
    <n v="2026"/>
    <n v="4"/>
    <n v="2026"/>
    <n v="1"/>
    <s v="01"/>
    <x v="26"/>
    <x v="26"/>
    <n v="3604.68"/>
  </r>
  <r>
    <d v="2026-04-21T00:00:00"/>
    <s v="OPT-NIFTY-21-Apr-2026-24450-P-E-I"/>
    <s v="NSE"/>
    <x v="1"/>
    <n v="1040"/>
    <n v="0"/>
    <n v="9"/>
    <n v="9360"/>
    <s v="#202604212700011092"/>
    <n v="0"/>
    <n v="3.33"/>
    <n v="0"/>
    <n v="0"/>
    <n v="464"/>
    <n v="84.12"/>
    <n v="551.45000000000005"/>
    <n v="2026"/>
    <n v="4"/>
    <n v="2026"/>
    <n v="1"/>
    <s v="01"/>
    <x v="26"/>
    <x v="26"/>
    <n v="-9911.4500000000007"/>
  </r>
  <r>
    <d v="2026-04-21T00:00:00"/>
    <s v="OPT-NIFTY-21-Apr-2026-24450-P-E-I"/>
    <s v="NSE"/>
    <x v="1"/>
    <n v="1040"/>
    <n v="0"/>
    <n v="20.05"/>
    <n v="20852"/>
    <s v="#202604212700007060"/>
    <n v="0"/>
    <n v="7.41"/>
    <n v="4"/>
    <n v="0.02"/>
    <n v="464"/>
    <n v="84.86"/>
    <n v="560.29"/>
    <n v="2026"/>
    <n v="4"/>
    <n v="2026"/>
    <n v="1"/>
    <s v="01"/>
    <x v="26"/>
    <x v="26"/>
    <n v="-21412.29"/>
  </r>
  <r>
    <d v="2026-04-21T00:00:00"/>
    <s v="OPT-NIFTY-21-Apr-2026-24450-P-E-I"/>
    <s v="NSE"/>
    <x v="1"/>
    <n v="1040"/>
    <n v="0"/>
    <n v="39.549999999999997"/>
    <n v="41132"/>
    <s v="#202604212700003835"/>
    <n v="0"/>
    <n v="14.62"/>
    <n v="0"/>
    <n v="0.05"/>
    <n v="464"/>
    <n v="86.18"/>
    <n v="564.85"/>
    <n v="2026"/>
    <n v="4"/>
    <n v="2026"/>
    <n v="1"/>
    <s v="01"/>
    <x v="26"/>
    <x v="26"/>
    <n v="-41696.85"/>
  </r>
  <r>
    <d v="2026-04-21T00:00:00"/>
    <s v="OPT-NIFTY-21-Apr-2026-24450-P-E-I"/>
    <s v="NSE"/>
    <x v="1"/>
    <n v="1040"/>
    <n v="0"/>
    <n v="67.430000000000007"/>
    <n v="70131.75"/>
    <s v="#202604212700002391"/>
    <n v="0"/>
    <n v="24.93"/>
    <n v="0"/>
    <n v="0.06"/>
    <n v="464"/>
    <n v="88"/>
    <n v="576.99"/>
    <n v="2026"/>
    <n v="4"/>
    <n v="2026"/>
    <n v="1"/>
    <s v="01"/>
    <x v="26"/>
    <x v="26"/>
    <n v="-70708.740000000005"/>
  </r>
  <r>
    <m/>
    <m/>
    <m/>
    <x v="3"/>
    <m/>
    <m/>
    <m/>
    <m/>
    <m/>
    <m/>
    <m/>
    <m/>
    <m/>
    <m/>
    <m/>
    <m/>
    <m/>
    <m/>
    <m/>
    <m/>
    <m/>
    <x v="27"/>
    <x v="2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8">
  <r>
    <d v="2024-01-09T00:00:00"/>
    <s v="OPT-NIFFIN-09-Jan-2024-21450-P-E-I"/>
    <s v="NSE"/>
    <s v="Sell"/>
    <n v="600"/>
    <n v="0"/>
    <n v="51.9"/>
    <n v="31140"/>
    <s v="#202401093700019945"/>
    <n v="19"/>
    <n v="15.73"/>
    <n v="0"/>
    <n v="0.03"/>
    <n v="300"/>
    <n v="56.84"/>
    <n v="391.6"/>
    <n v="2024"/>
    <n v="1"/>
    <x v="0"/>
    <n v="10"/>
    <n v="10"/>
    <s v="202310"/>
    <s v="Jan-24"/>
    <n v="30748.400000000001"/>
    <n v="30.7484"/>
  </r>
  <r>
    <d v="2024-01-09T00:00:00"/>
    <s v="OPT-NIFFIN-09-Jan-2024-21450-P-E-I"/>
    <s v="NSE"/>
    <s v="Buy"/>
    <n v="40"/>
    <n v="0"/>
    <n v="17.7"/>
    <n v="708"/>
    <s v="#202401093700017300"/>
    <n v="0"/>
    <n v="0.36"/>
    <n v="0"/>
    <n v="0"/>
    <n v="20"/>
    <n v="3.66"/>
    <n v="24.02"/>
    <n v="2024"/>
    <n v="1"/>
    <x v="0"/>
    <n v="10"/>
    <n v="10"/>
    <s v="202310"/>
    <s v="Jan-24"/>
    <n v="-732.02"/>
    <n v="-0.73202"/>
  </r>
  <r>
    <d v="2024-01-09T00:00:00"/>
    <s v="OPT-NIFFIN-09-Jan-2024-21450-P-E-I"/>
    <s v="NSE"/>
    <s v="Buy"/>
    <n v="40"/>
    <n v="0"/>
    <n v="21.1"/>
    <n v="844"/>
    <s v="#202401093700015973"/>
    <n v="0"/>
    <n v="0.43"/>
    <n v="0"/>
    <n v="0"/>
    <n v="20"/>
    <n v="3.68"/>
    <n v="24.11"/>
    <n v="2024"/>
    <n v="1"/>
    <x v="0"/>
    <n v="10"/>
    <n v="10"/>
    <s v="202310"/>
    <s v="Jan-24"/>
    <n v="-868.11"/>
    <n v="-0.86811000000000005"/>
  </r>
  <r>
    <d v="2024-01-09T00:00:00"/>
    <s v="OPT-NIFFIN-09-Jan-2024-21450-P-E-I"/>
    <s v="NSE"/>
    <s v="Buy"/>
    <n v="40"/>
    <n v="0"/>
    <n v="23.3"/>
    <n v="932"/>
    <s v="#202401093700015743"/>
    <n v="0"/>
    <n v="0.47"/>
    <n v="0"/>
    <n v="0"/>
    <n v="20"/>
    <n v="3.68"/>
    <n v="24.15"/>
    <n v="2024"/>
    <n v="1"/>
    <x v="0"/>
    <n v="10"/>
    <n v="10"/>
    <s v="202310"/>
    <s v="Jan-24"/>
    <n v="-956.15"/>
    <n v="-0.95614999999999994"/>
  </r>
  <r>
    <d v="2024-01-09T00:00:00"/>
    <s v="OPT-NIFFIN-09-Jan-2024-21450-P-E-I"/>
    <s v="NSE"/>
    <s v="Buy"/>
    <n v="40"/>
    <n v="0"/>
    <n v="22.1"/>
    <n v="884"/>
    <s v="#202401093700015658"/>
    <n v="0"/>
    <n v="0.45"/>
    <n v="0"/>
    <n v="0"/>
    <n v="20"/>
    <n v="3.68"/>
    <n v="24.13"/>
    <n v="2024"/>
    <n v="1"/>
    <x v="0"/>
    <n v="10"/>
    <n v="10"/>
    <s v="202310"/>
    <s v="Jan-24"/>
    <n v="-908.13"/>
    <n v="-0.90812999999999999"/>
  </r>
  <r>
    <d v="2024-01-09T00:00:00"/>
    <s v="OPT-NIFFIN-09-Jan-2024-21450-P-E-I"/>
    <s v="NSE"/>
    <s v="Buy"/>
    <n v="40"/>
    <n v="0"/>
    <n v="23.05"/>
    <n v="922"/>
    <s v="#202401093700015607"/>
    <n v="0"/>
    <n v="0.47"/>
    <n v="0"/>
    <n v="0"/>
    <n v="20"/>
    <n v="3.68"/>
    <n v="24.15"/>
    <n v="2024"/>
    <n v="1"/>
    <x v="0"/>
    <n v="10"/>
    <n v="10"/>
    <s v="202310"/>
    <s v="Jan-24"/>
    <n v="-946.15"/>
    <n v="-0.94614999999999994"/>
  </r>
  <r>
    <d v="2024-01-09T00:00:00"/>
    <s v="OPT-NIFFIN-09-Jan-2024-21450-P-E-I"/>
    <s v="NSE"/>
    <s v="Buy"/>
    <n v="40"/>
    <n v="0"/>
    <n v="28.7"/>
    <n v="1148"/>
    <s v="#202401093700014789"/>
    <n v="0"/>
    <n v="0.57999999999999996"/>
    <n v="0"/>
    <n v="0"/>
    <n v="20"/>
    <n v="3.7"/>
    <n v="24.28"/>
    <n v="2024"/>
    <n v="1"/>
    <x v="0"/>
    <n v="10"/>
    <n v="10"/>
    <s v="202310"/>
    <s v="Jan-24"/>
    <n v="-1172.28"/>
    <n v="-1.17228"/>
  </r>
  <r>
    <d v="2024-01-09T00:00:00"/>
    <s v="OPT-NIFFIN-09-Jan-2024-21450-P-E-I"/>
    <s v="NSE"/>
    <s v="Buy"/>
    <n v="40"/>
    <n v="0"/>
    <n v="26.65"/>
    <n v="1066"/>
    <s v="#202401093700014597"/>
    <n v="0"/>
    <n v="0.54"/>
    <n v="0"/>
    <n v="0"/>
    <n v="20"/>
    <n v="3.7"/>
    <n v="24.24"/>
    <n v="2024"/>
    <n v="1"/>
    <x v="0"/>
    <n v="10"/>
    <n v="10"/>
    <s v="202310"/>
    <s v="Jan-24"/>
    <n v="-1090.24"/>
    <n v="-1.0902400000000001"/>
  </r>
  <r>
    <d v="2024-01-09T00:00:00"/>
    <s v="OPT-NIFFIN-09-Jan-2024-21450-P-E-I"/>
    <s v="NSE"/>
    <s v="Buy"/>
    <n v="40"/>
    <n v="0"/>
    <n v="29"/>
    <n v="1160"/>
    <s v="#202401093700014487"/>
    <n v="0"/>
    <n v="0.59"/>
    <n v="0"/>
    <n v="0"/>
    <n v="20"/>
    <n v="3.7"/>
    <n v="24.29"/>
    <n v="2024"/>
    <n v="1"/>
    <x v="0"/>
    <n v="10"/>
    <n v="10"/>
    <s v="202310"/>
    <s v="Jan-24"/>
    <n v="-1184.29"/>
    <n v="-1.1842900000000001"/>
  </r>
  <r>
    <d v="2024-01-09T00:00:00"/>
    <s v="OPT-NIFFIN-09-Jan-2024-21450-P-E-I"/>
    <s v="NSE"/>
    <s v="Buy"/>
    <n v="40"/>
    <n v="0"/>
    <n v="32.6"/>
    <n v="1304"/>
    <s v="#202401093700014363"/>
    <n v="0"/>
    <n v="0.66"/>
    <n v="0"/>
    <n v="0"/>
    <n v="20"/>
    <n v="3.72"/>
    <n v="24.38"/>
    <n v="2024"/>
    <n v="1"/>
    <x v="0"/>
    <n v="10"/>
    <n v="10"/>
    <s v="202310"/>
    <s v="Jan-24"/>
    <n v="-1328.38"/>
    <n v="-1.3283800000000001"/>
  </r>
  <r>
    <d v="2024-01-09T00:00:00"/>
    <s v="OPT-NIFFIN-09-Jan-2024-21450-P-E-I"/>
    <s v="NSE"/>
    <s v="Buy"/>
    <n v="40"/>
    <n v="0"/>
    <n v="33.85"/>
    <n v="1354"/>
    <s v="#202401093700014217"/>
    <n v="0"/>
    <n v="0.68"/>
    <n v="0"/>
    <n v="0"/>
    <n v="20"/>
    <n v="3.72"/>
    <n v="24.4"/>
    <n v="2024"/>
    <n v="1"/>
    <x v="0"/>
    <n v="10"/>
    <n v="10"/>
    <s v="202310"/>
    <s v="Jan-24"/>
    <n v="-1378.4"/>
    <n v="-1.3784000000000001"/>
  </r>
  <r>
    <d v="2024-01-09T00:00:00"/>
    <s v="OPT-NIFFIN-09-Jan-2024-21450-P-E-I"/>
    <s v="NSE"/>
    <s v="Buy"/>
    <n v="160"/>
    <n v="0"/>
    <n v="37.15"/>
    <n v="5944"/>
    <s v="#202401093700013489"/>
    <n v="0"/>
    <n v="3"/>
    <n v="1"/>
    <n v="0"/>
    <n v="80"/>
    <n v="14.94"/>
    <n v="98.94"/>
    <n v="2024"/>
    <n v="1"/>
    <x v="0"/>
    <n v="10"/>
    <n v="10"/>
    <s v="202310"/>
    <s v="Jan-24"/>
    <n v="-6042.94"/>
    <n v="-6.0429399999999998"/>
  </r>
  <r>
    <d v="2024-01-09T00:00:00"/>
    <s v="OPT-NIFFIN-09-Jan-2024-21450-P-E-I"/>
    <s v="NSE"/>
    <s v="Buy"/>
    <n v="40"/>
    <n v="0"/>
    <n v="35.5"/>
    <n v="1420"/>
    <s v="#202401093700013380"/>
    <n v="0"/>
    <n v="0.72"/>
    <n v="0"/>
    <n v="0"/>
    <n v="20"/>
    <n v="3.72"/>
    <n v="24.44"/>
    <n v="2024"/>
    <n v="1"/>
    <x v="0"/>
    <n v="10"/>
    <n v="10"/>
    <s v="202310"/>
    <s v="Jan-24"/>
    <n v="-1444.44"/>
    <n v="-1.4444399999999999"/>
  </r>
  <r>
    <d v="2024-01-10T00:00:00"/>
    <s v="OPT-CNXBAN-10-Jan-2024-47200-P-E-I"/>
    <s v="NSE"/>
    <s v="Buy"/>
    <n v="300"/>
    <n v="0"/>
    <n v="0.5"/>
    <n v="150"/>
    <s v="#202401103700027464"/>
    <n v="0"/>
    <n v="0.08"/>
    <n v="0"/>
    <n v="0"/>
    <n v="400"/>
    <n v="72.02"/>
    <n v="472.1"/>
    <n v="2024"/>
    <n v="1"/>
    <x v="0"/>
    <n v="10"/>
    <n v="10"/>
    <s v="202310"/>
    <s v="Jan-24"/>
    <n v="-622.1"/>
    <n v="-0.62209999999999999"/>
  </r>
  <r>
    <d v="2024-01-10T00:00:00"/>
    <s v="OPT-CNXBAN-10-Jan-2024-47200-P-E-I"/>
    <s v="NSE"/>
    <s v="Buy"/>
    <n v="900"/>
    <n v="0"/>
    <n v="0.5"/>
    <n v="450"/>
    <s v="#202401103700026722"/>
    <n v="0"/>
    <n v="0.23"/>
    <n v="0.41"/>
    <n v="0"/>
    <n v="1200"/>
    <n v="216.04"/>
    <n v="1416.68"/>
    <n v="2024"/>
    <n v="1"/>
    <x v="0"/>
    <n v="10"/>
    <n v="10"/>
    <s v="202310"/>
    <s v="Jan-24"/>
    <n v="-1866.68"/>
    <n v="-1.8666800000000001"/>
  </r>
  <r>
    <d v="2024-01-10T00:00:00"/>
    <s v="OPT-CNXBAN-10-Jan-2024-47200-P-E-I"/>
    <s v="NSE"/>
    <s v="Buy"/>
    <n v="900"/>
    <n v="0"/>
    <n v="0.7"/>
    <n v="630"/>
    <s v="#202401103700026628"/>
    <n v="0"/>
    <n v="0.33"/>
    <n v="0"/>
    <n v="0"/>
    <n v="1200"/>
    <n v="216.08"/>
    <n v="1416.41"/>
    <n v="2024"/>
    <n v="1"/>
    <x v="0"/>
    <n v="10"/>
    <n v="10"/>
    <s v="202310"/>
    <s v="Jan-24"/>
    <n v="-2046.41"/>
    <n v="-2.0464100000000003"/>
  </r>
  <r>
    <d v="2024-01-10T00:00:00"/>
    <s v="OPT-CNXBAN-10-Jan-2024-47200-P-E-I"/>
    <s v="NSE"/>
    <s v="Buy"/>
    <n v="900"/>
    <n v="0"/>
    <n v="1.3"/>
    <n v="1170"/>
    <s v="#202401103700026486"/>
    <n v="0"/>
    <n v="0.6"/>
    <n v="0"/>
    <n v="0"/>
    <n v="1200"/>
    <n v="216.1"/>
    <n v="1416.7"/>
    <n v="2024"/>
    <n v="1"/>
    <x v="0"/>
    <n v="10"/>
    <n v="10"/>
    <s v="202310"/>
    <s v="Jan-24"/>
    <n v="-2586.6999999999998"/>
    <n v="-2.5867"/>
  </r>
  <r>
    <d v="2024-01-10T00:00:00"/>
    <s v="OPT-CNXBAN-10-Jan-2024-47200-P-E-I"/>
    <s v="NSE"/>
    <s v="Buy"/>
    <n v="150"/>
    <n v="0"/>
    <n v="4"/>
    <n v="600"/>
    <s v="#202401103700025116"/>
    <n v="0"/>
    <n v="0.3"/>
    <n v="0"/>
    <n v="0"/>
    <n v="200"/>
    <n v="36.06"/>
    <n v="236.36"/>
    <n v="2024"/>
    <n v="1"/>
    <x v="0"/>
    <n v="10"/>
    <n v="10"/>
    <s v="202310"/>
    <s v="Jan-24"/>
    <n v="-836.36"/>
    <n v="-0.83635999999999999"/>
  </r>
  <r>
    <d v="2024-01-10T00:00:00"/>
    <s v="OPT-CNXBAN-10-Jan-2024-47200-P-E-I"/>
    <s v="NSE"/>
    <s v="Buy"/>
    <n v="510"/>
    <n v="0"/>
    <n v="4"/>
    <n v="2040"/>
    <s v="#202401103700024931"/>
    <n v="0"/>
    <n v="1.03"/>
    <n v="0"/>
    <n v="0"/>
    <n v="680"/>
    <n v="122.58"/>
    <n v="803.61"/>
    <n v="2024"/>
    <n v="1"/>
    <x v="0"/>
    <n v="10"/>
    <n v="10"/>
    <s v="202310"/>
    <s v="Jan-24"/>
    <n v="-2843.61"/>
    <n v="-2.84361"/>
  </r>
  <r>
    <d v="2024-01-10T00:00:00"/>
    <s v="OPT-CNXBAN-10-Jan-2024-47200-P-E-I"/>
    <s v="NSE"/>
    <s v="Buy"/>
    <n v="510"/>
    <n v="0"/>
    <n v="7"/>
    <n v="3570"/>
    <s v="#202401103700024096"/>
    <n v="0"/>
    <n v="1.8"/>
    <n v="0"/>
    <n v="0"/>
    <n v="680"/>
    <n v="122.72"/>
    <n v="804.52"/>
    <n v="2024"/>
    <n v="1"/>
    <x v="0"/>
    <n v="10"/>
    <n v="10"/>
    <s v="202310"/>
    <s v="Jan-24"/>
    <n v="-4374.5200000000004"/>
    <n v="-4.3745200000000004"/>
  </r>
  <r>
    <d v="2024-01-10T00:00:00"/>
    <s v="OPT-CIPLA-25-Jan-2024-1320-C-E-S"/>
    <s v="NSE"/>
    <s v="Sell"/>
    <n v="650"/>
    <n v="0"/>
    <n v="31.5"/>
    <n v="20475"/>
    <s v="#202401103700023218"/>
    <n v="13"/>
    <n v="10.34"/>
    <n v="0"/>
    <n v="0.02"/>
    <n v="20"/>
    <n v="5.46"/>
    <n v="48.82"/>
    <n v="2024"/>
    <n v="1"/>
    <x v="0"/>
    <n v="10"/>
    <n v="10"/>
    <s v="202310"/>
    <s v="Jan-24"/>
    <n v="20426.18"/>
    <n v="20.426179999999999"/>
  </r>
  <r>
    <d v="2024-01-10T00:00:00"/>
    <s v="OPT-CNXBAN-10-Jan-2024-47200-P-E-I"/>
    <s v="NSE"/>
    <s v="Buy"/>
    <n v="210"/>
    <n v="0"/>
    <n v="11"/>
    <n v="2310"/>
    <s v="#202401103700022327"/>
    <n v="0"/>
    <n v="1.17"/>
    <n v="0"/>
    <n v="0"/>
    <n v="280"/>
    <n v="50.62"/>
    <n v="331.79"/>
    <n v="2024"/>
    <n v="1"/>
    <x v="0"/>
    <n v="10"/>
    <n v="10"/>
    <s v="202310"/>
    <s v="Jan-24"/>
    <n v="-2641.79"/>
    <n v="-2.6417899999999999"/>
  </r>
  <r>
    <d v="2024-01-10T00:00:00"/>
    <s v="OPT-CNXBAN-10-Jan-2024-47200-P-E-I"/>
    <s v="NSE"/>
    <s v="Buy"/>
    <n v="210"/>
    <n v="0"/>
    <n v="16"/>
    <n v="3360"/>
    <s v="#202401103700021865"/>
    <n v="0"/>
    <n v="1.69"/>
    <n v="0"/>
    <n v="0"/>
    <n v="280"/>
    <n v="50.7"/>
    <n v="332.39"/>
    <n v="2024"/>
    <n v="1"/>
    <x v="0"/>
    <n v="10"/>
    <n v="10"/>
    <s v="202310"/>
    <s v="Jan-24"/>
    <n v="-3692.39"/>
    <n v="-3.6923900000000001"/>
  </r>
  <r>
    <d v="2024-01-10T00:00:00"/>
    <s v="OPT-CNXBAN-10-Jan-2024-47200-P-E-I"/>
    <s v="NSE"/>
    <s v="Buy"/>
    <n v="210"/>
    <n v="0"/>
    <n v="19"/>
    <n v="3990"/>
    <s v="#202401103700021744"/>
    <n v="0"/>
    <n v="2.0099999999999998"/>
    <n v="0"/>
    <n v="0"/>
    <n v="280"/>
    <n v="50.76"/>
    <n v="332.77"/>
    <n v="2024"/>
    <n v="1"/>
    <x v="0"/>
    <n v="10"/>
    <n v="10"/>
    <s v="202310"/>
    <s v="Jan-24"/>
    <n v="-4322.7700000000004"/>
    <n v="-4.3227700000000002"/>
  </r>
  <r>
    <d v="2024-01-10T00:00:00"/>
    <s v="OPT-CNXBAN-10-Jan-2024-47200-P-E-I"/>
    <s v="NSE"/>
    <s v="Buy"/>
    <n v="105"/>
    <n v="0"/>
    <n v="33"/>
    <n v="3465"/>
    <s v="#202401103700015608"/>
    <n v="0"/>
    <n v="1.75"/>
    <n v="0"/>
    <n v="0"/>
    <n v="140"/>
    <n v="25.52"/>
    <n v="167.27"/>
    <n v="2024"/>
    <n v="1"/>
    <x v="0"/>
    <n v="10"/>
    <n v="10"/>
    <s v="202310"/>
    <s v="Jan-24"/>
    <n v="-3632.27"/>
    <n v="-3.6322700000000001"/>
  </r>
  <r>
    <d v="2024-01-10T00:00:00"/>
    <s v="OPT-CNXBAN-10-Jan-2024-47200-P-E-I"/>
    <s v="NSE"/>
    <s v="Buy"/>
    <n v="105"/>
    <n v="0"/>
    <n v="46.95"/>
    <n v="4929.75"/>
    <s v="#202401103700014851"/>
    <n v="0"/>
    <n v="2.5"/>
    <n v="0"/>
    <n v="0"/>
    <n v="140"/>
    <n v="25.64"/>
    <n v="168.14"/>
    <n v="2024"/>
    <n v="1"/>
    <x v="0"/>
    <n v="10"/>
    <n v="10"/>
    <s v="202310"/>
    <s v="Jan-24"/>
    <n v="-5097.8900000000003"/>
    <n v="-5.0978900000000005"/>
  </r>
  <r>
    <d v="2024-01-10T00:00:00"/>
    <s v="OPT-CIPLA-25-Jan-2024-1320-C-E-S"/>
    <s v="NSE"/>
    <s v="Buy"/>
    <n v="650"/>
    <n v="0"/>
    <n v="30.45"/>
    <n v="19792.5"/>
    <s v="#202401103700008838"/>
    <n v="0"/>
    <n v="10"/>
    <n v="0.59"/>
    <n v="0.02"/>
    <n v="20"/>
    <n v="5.4"/>
    <n v="36.01"/>
    <n v="2024"/>
    <n v="1"/>
    <x v="0"/>
    <n v="10"/>
    <n v="10"/>
    <s v="202310"/>
    <s v="Jan-24"/>
    <n v="-19828.509999999998"/>
    <n v="-19.828509999999998"/>
  </r>
  <r>
    <d v="2024-01-10T00:00:00"/>
    <s v="OPT-CNXBAN-10-Jan-2024-47200-P-E-I"/>
    <s v="NSE"/>
    <s v="Buy Closeout"/>
    <n v="5010"/>
    <n v="0"/>
    <n v="0"/>
    <s v="#Exchange Initiated"/>
    <n v="0"/>
    <n v="0"/>
    <n v="0"/>
    <n v="0"/>
    <n v="0"/>
    <n v="0"/>
    <n v="0"/>
    <m/>
    <n v="2024"/>
    <n v="1"/>
    <x v="0"/>
    <n v="10"/>
    <n v="10"/>
    <s v="202310"/>
    <s v="Jan-24"/>
    <n v="0"/>
    <n v="0"/>
  </r>
  <r>
    <d v="2024-01-11T00:00:00"/>
    <s v="OPT-NIFFIN-16-Jan-2024-21200-P-E-I"/>
    <s v="NSE"/>
    <s v="Sell"/>
    <n v="40"/>
    <n v="0"/>
    <n v="105"/>
    <n v="4200"/>
    <s v="#202401113700017478"/>
    <n v="3"/>
    <n v="2.12"/>
    <n v="0"/>
    <n v="0"/>
    <n v="20"/>
    <n v="3.98"/>
    <n v="29.1"/>
    <n v="2024"/>
    <n v="1"/>
    <x v="0"/>
    <n v="10"/>
    <n v="10"/>
    <s v="202310"/>
    <s v="Jan-24"/>
    <n v="4170.8999999999996"/>
    <n v="4.1708999999999996"/>
  </r>
  <r>
    <d v="2024-01-11T00:00:00"/>
    <s v="OPT-NIFFIN-16-Jan-2024-21200-P-E-I"/>
    <s v="NSE"/>
    <s v="Buy"/>
    <n v="40"/>
    <n v="0"/>
    <n v="75.75"/>
    <n v="3030"/>
    <s v="#202401113700017099"/>
    <n v="0"/>
    <n v="1.53"/>
    <n v="0"/>
    <n v="0"/>
    <n v="20"/>
    <n v="3.88"/>
    <n v="25.41"/>
    <n v="2024"/>
    <n v="1"/>
    <x v="0"/>
    <n v="10"/>
    <n v="10"/>
    <s v="202310"/>
    <s v="Jan-24"/>
    <n v="-3055.41"/>
    <n v="-3.0554099999999997"/>
  </r>
  <r>
    <d v="2024-01-17T00:00:00"/>
    <s v="OPT-CNXBAN-17-Jan-2024-46700-C-E-I"/>
    <s v="NSE"/>
    <s v="Sell"/>
    <n v="600"/>
    <n v="0"/>
    <n v="16.149999999999999"/>
    <n v="9690"/>
    <s v="#202401173700021397"/>
    <n v="6.06"/>
    <n v="4.9000000000000004"/>
    <n v="0"/>
    <n v="0.01"/>
    <n v="800"/>
    <n v="144.88"/>
    <n v="955.85"/>
    <n v="2024"/>
    <n v="1"/>
    <x v="0"/>
    <n v="10"/>
    <n v="10"/>
    <s v="202310"/>
    <s v="Jan-24"/>
    <n v="8734.15"/>
    <n v="8.7341499999999996"/>
  </r>
  <r>
    <d v="2024-01-17T00:00:00"/>
    <s v="OPT-CNXBAN-17-Jan-2024-46700-C-E-I"/>
    <s v="NSE"/>
    <s v="Sell"/>
    <n v="900"/>
    <n v="0"/>
    <n v="16.149999999999999"/>
    <n v="14535"/>
    <s v="#202401173700021119"/>
    <n v="8.9499999999999993"/>
    <n v="7.34"/>
    <n v="0"/>
    <n v="0.01"/>
    <n v="1200"/>
    <n v="217.32"/>
    <n v="1433.62"/>
    <n v="2024"/>
    <n v="1"/>
    <x v="0"/>
    <n v="10"/>
    <n v="10"/>
    <s v="202310"/>
    <s v="Jan-24"/>
    <n v="13101.380000000001"/>
    <n v="13.101380000000001"/>
  </r>
  <r>
    <d v="2024-01-17T00:00:00"/>
    <s v="OPT-CNXBAN-17-Jan-2024-46700-C-E-I"/>
    <s v="NSE"/>
    <s v="Buy"/>
    <n v="300"/>
    <n v="0"/>
    <n v="31.75"/>
    <n v="9525"/>
    <s v="#202401173700018837"/>
    <n v="0"/>
    <n v="4.8"/>
    <n v="0"/>
    <n v="0"/>
    <n v="400"/>
    <n v="72.86"/>
    <n v="477.66"/>
    <n v="2024"/>
    <n v="1"/>
    <x v="0"/>
    <n v="10"/>
    <n v="10"/>
    <s v="202310"/>
    <s v="Jan-24"/>
    <n v="-10002.66"/>
    <n v="-10.002660000000001"/>
  </r>
  <r>
    <d v="2024-01-17T00:00:00"/>
    <s v="OPT-CNXBAN-17-Jan-2024-46700-C-E-I"/>
    <s v="NSE"/>
    <s v="Buy"/>
    <n v="300"/>
    <n v="0"/>
    <n v="40.25"/>
    <n v="12075"/>
    <s v="#202401173700017802"/>
    <n v="0"/>
    <n v="6.08"/>
    <n v="0"/>
    <n v="0"/>
    <n v="400"/>
    <n v="73.099999999999994"/>
    <n v="479.18"/>
    <n v="2024"/>
    <n v="1"/>
    <x v="0"/>
    <n v="10"/>
    <n v="10"/>
    <s v="202310"/>
    <s v="Jan-24"/>
    <n v="-12554.18"/>
    <n v="-12.554180000000001"/>
  </r>
  <r>
    <d v="2024-01-17T00:00:00"/>
    <s v="OPT-CNXBAN-17-Jan-2024-46700-C-E-I"/>
    <s v="NSE"/>
    <s v="Buy"/>
    <n v="300"/>
    <n v="0"/>
    <n v="49.15"/>
    <n v="14745"/>
    <s v="#202401173700016080"/>
    <n v="0"/>
    <n v="7.45"/>
    <n v="2"/>
    <n v="0.01"/>
    <n v="400"/>
    <n v="73.34"/>
    <n v="482.8"/>
    <n v="2024"/>
    <n v="1"/>
    <x v="0"/>
    <n v="10"/>
    <n v="10"/>
    <s v="202310"/>
    <s v="Jan-24"/>
    <n v="-15227.8"/>
    <n v="-15.227799999999998"/>
  </r>
  <r>
    <d v="2024-01-17T00:00:00"/>
    <s v="OPT-CNXBAN-17-Jan-2024-46700-C-E-I"/>
    <s v="NSE"/>
    <s v="Buy"/>
    <n v="150"/>
    <n v="0"/>
    <n v="43.45"/>
    <n v="6517.5"/>
    <s v="#202401173700015246"/>
    <n v="0"/>
    <n v="3.29"/>
    <n v="0"/>
    <n v="0.01"/>
    <n v="200"/>
    <n v="36.6"/>
    <n v="239.9"/>
    <n v="2024"/>
    <n v="1"/>
    <x v="0"/>
    <n v="10"/>
    <n v="10"/>
    <s v="202310"/>
    <s v="Jan-24"/>
    <n v="-6757.4"/>
    <n v="-6.7573999999999996"/>
  </r>
  <r>
    <d v="2024-01-17T00:00:00"/>
    <s v="OPT-CNXBAN-17-Jan-2024-46700-C-E-I"/>
    <s v="NSE"/>
    <s v="Buy"/>
    <n v="150"/>
    <n v="0"/>
    <n v="52.55"/>
    <n v="7882.5"/>
    <s v="#202401173700014614"/>
    <n v="0"/>
    <n v="3.98"/>
    <n v="0"/>
    <n v="0.01"/>
    <n v="200"/>
    <n v="36.72"/>
    <n v="240.71"/>
    <n v="2024"/>
    <n v="1"/>
    <x v="0"/>
    <n v="10"/>
    <n v="10"/>
    <s v="202310"/>
    <s v="Jan-24"/>
    <n v="-8123.21"/>
    <n v="-8.1232100000000003"/>
  </r>
  <r>
    <d v="2024-01-17T00:00:00"/>
    <s v="OPT-CNXBAN-17-Jan-2024-46700-C-E-I"/>
    <s v="NSE"/>
    <s v="Buy"/>
    <n v="150"/>
    <n v="0"/>
    <n v="54"/>
    <n v="8100"/>
    <s v="#202401173700013513"/>
    <n v="0"/>
    <n v="4.09"/>
    <n v="0"/>
    <n v="0.01"/>
    <n v="200"/>
    <n v="36.74"/>
    <n v="240.84"/>
    <n v="2024"/>
    <n v="1"/>
    <x v="0"/>
    <n v="10"/>
    <n v="10"/>
    <s v="202310"/>
    <s v="Jan-24"/>
    <n v="-8340.84"/>
    <n v="-8.34084"/>
  </r>
  <r>
    <d v="2024-01-17T00:00:00"/>
    <s v="OPT-CNXBAN-17-Jan-2024-46700-C-E-I"/>
    <s v="NSE"/>
    <s v="Buy"/>
    <n v="90"/>
    <n v="0"/>
    <n v="74"/>
    <n v="6660"/>
    <s v="#202401173700012803"/>
    <n v="0"/>
    <n v="3.36"/>
    <n v="0"/>
    <n v="0.01"/>
    <n v="120"/>
    <n v="22.2"/>
    <n v="145.57"/>
    <n v="2024"/>
    <n v="1"/>
    <x v="0"/>
    <n v="10"/>
    <n v="10"/>
    <s v="202310"/>
    <s v="Jan-24"/>
    <n v="-6805.57"/>
    <n v="-6.8055699999999995"/>
  </r>
  <r>
    <d v="2024-01-17T00:00:00"/>
    <s v="OPT-CNXBAN-17-Jan-2024-46700-C-E-I"/>
    <s v="NSE"/>
    <s v="Buy"/>
    <n v="15"/>
    <n v="0"/>
    <n v="77.75"/>
    <n v="1166.25"/>
    <s v="#202401173700012740"/>
    <n v="0"/>
    <n v="0.59"/>
    <n v="0"/>
    <n v="0"/>
    <n v="20"/>
    <n v="3.7"/>
    <n v="24.29"/>
    <n v="2024"/>
    <n v="1"/>
    <x v="0"/>
    <n v="10"/>
    <n v="10"/>
    <s v="202310"/>
    <s v="Jan-24"/>
    <n v="-1190.54"/>
    <n v="-1.1905399999999999"/>
  </r>
  <r>
    <d v="2024-01-17T00:00:00"/>
    <s v="OPT-CNXBAN-17-Jan-2024-46700-C-E-I"/>
    <s v="NSE"/>
    <s v="Buy"/>
    <n v="15"/>
    <n v="0"/>
    <n v="79"/>
    <n v="1185"/>
    <s v="#202401173700012675"/>
    <n v="0"/>
    <n v="0.6"/>
    <n v="0"/>
    <n v="0"/>
    <n v="20"/>
    <n v="3.7"/>
    <n v="24.3"/>
    <n v="2024"/>
    <n v="1"/>
    <x v="0"/>
    <n v="10"/>
    <n v="10"/>
    <s v="202310"/>
    <s v="Jan-24"/>
    <n v="-1209.3"/>
    <n v="-1.2093"/>
  </r>
  <r>
    <d v="2024-01-17T00:00:00"/>
    <s v="OPT-CNXBAN-17-Jan-2024-46700-C-E-I"/>
    <s v="NSE"/>
    <s v="Buy"/>
    <n v="15"/>
    <n v="0"/>
    <n v="80.650000000000006"/>
    <n v="1209.75"/>
    <s v="#202401173700012615"/>
    <n v="0"/>
    <n v="0.61"/>
    <n v="0"/>
    <n v="0"/>
    <n v="20"/>
    <n v="3.7"/>
    <n v="24.31"/>
    <n v="2024"/>
    <n v="1"/>
    <x v="0"/>
    <n v="10"/>
    <n v="10"/>
    <s v="202310"/>
    <s v="Jan-24"/>
    <n v="-1234.06"/>
    <n v="-1.2340599999999999"/>
  </r>
  <r>
    <d v="2024-01-17T00:00:00"/>
    <s v="OPT-CNXBAN-17-Jan-2024-46700-C-E-I"/>
    <s v="NSE"/>
    <s v="Buy"/>
    <n v="15"/>
    <n v="0"/>
    <n v="87.6"/>
    <n v="1314"/>
    <s v="#202401173700012540"/>
    <n v="0"/>
    <n v="0.66"/>
    <n v="0"/>
    <n v="0"/>
    <n v="20"/>
    <n v="3.72"/>
    <n v="24.38"/>
    <n v="2024"/>
    <n v="1"/>
    <x v="0"/>
    <n v="10"/>
    <n v="10"/>
    <s v="202310"/>
    <s v="Jan-24"/>
    <n v="-1338.38"/>
    <n v="-1.3383800000000001"/>
  </r>
  <r>
    <d v="2024-01-18T00:00:00"/>
    <s v="OPT-NIFTY-18-Jan-2024-21450-P-E-I"/>
    <s v="NSE"/>
    <s v="Sell"/>
    <n v="50"/>
    <n v="0"/>
    <n v="28.55"/>
    <n v="1427.5"/>
    <s v="#202401183700024967"/>
    <n v="0.89"/>
    <n v="0.72"/>
    <n v="0"/>
    <n v="0"/>
    <n v="20"/>
    <n v="3.72"/>
    <n v="25.33"/>
    <n v="2024"/>
    <n v="1"/>
    <x v="0"/>
    <n v="10"/>
    <n v="10"/>
    <s v="202310"/>
    <s v="Jan-24"/>
    <n v="1402.17"/>
    <n v="1.4021700000000001"/>
  </r>
  <r>
    <d v="2024-01-18T00:00:00"/>
    <s v="OPT-NIFTY-18-Jan-2024-21450-P-E-I"/>
    <s v="NSE"/>
    <s v="Buy"/>
    <n v="50"/>
    <n v="0"/>
    <n v="16.649999999999999"/>
    <n v="832.5"/>
    <s v="#202401183700023948"/>
    <n v="0"/>
    <n v="0.42"/>
    <n v="0"/>
    <n v="0"/>
    <n v="20"/>
    <n v="3.68"/>
    <n v="24.1"/>
    <n v="2024"/>
    <n v="1"/>
    <x v="0"/>
    <n v="10"/>
    <n v="10"/>
    <s v="202310"/>
    <s v="Jan-24"/>
    <n v="-856.6"/>
    <n v="-0.85660000000000003"/>
  </r>
  <r>
    <d v="2024-01-18T00:00:00"/>
    <s v="OPT-NIFTY-18-Jan-2024-21450-P-E-I"/>
    <s v="NSE"/>
    <s v="Sell"/>
    <n v="100"/>
    <n v="0"/>
    <n v="21.6"/>
    <n v="2160"/>
    <s v="#202401183700019735"/>
    <n v="1.35"/>
    <n v="1.0900000000000001"/>
    <n v="0"/>
    <n v="0"/>
    <n v="40"/>
    <n v="7.4"/>
    <n v="49.84"/>
    <n v="2024"/>
    <n v="1"/>
    <x v="0"/>
    <n v="10"/>
    <n v="10"/>
    <s v="202310"/>
    <s v="Jan-24"/>
    <n v="2110.16"/>
    <n v="2.11016"/>
  </r>
  <r>
    <d v="2024-01-18T00:00:00"/>
    <s v="OPT-NIFTY-18-Jan-2024-21450-P-E-I"/>
    <s v="NSE"/>
    <s v="Buy"/>
    <n v="100"/>
    <n v="0"/>
    <n v="10.8"/>
    <n v="1080"/>
    <s v="#202401183700016202"/>
    <n v="0"/>
    <n v="0.54"/>
    <n v="0"/>
    <n v="0"/>
    <n v="40"/>
    <n v="7.28"/>
    <n v="47.82"/>
    <n v="2024"/>
    <n v="1"/>
    <x v="0"/>
    <n v="10"/>
    <n v="10"/>
    <s v="202310"/>
    <s v="Jan-24"/>
    <n v="-1127.82"/>
    <n v="-1.12782"/>
  </r>
  <r>
    <d v="2024-01-18T00:00:00"/>
    <s v="OPT-NIFTY-18-Jan-2024-21300-P-E-I"/>
    <s v="NSE"/>
    <s v="Sell"/>
    <n v="50"/>
    <n v="0"/>
    <n v="2.5"/>
    <n v="125"/>
    <s v="#202401183700015997"/>
    <n v="0.08"/>
    <n v="0.06"/>
    <n v="0"/>
    <n v="0"/>
    <n v="20"/>
    <n v="3.62"/>
    <n v="23.76"/>
    <n v="2024"/>
    <n v="1"/>
    <x v="0"/>
    <n v="10"/>
    <n v="10"/>
    <s v="202310"/>
    <s v="Jan-24"/>
    <n v="101.24"/>
    <n v="0.10124"/>
  </r>
  <r>
    <d v="2024-01-18T00:00:00"/>
    <s v="OPT-NIFTY-18-Jan-2024-21300-P-E-I"/>
    <s v="NSE"/>
    <s v="Sell"/>
    <n v="50"/>
    <n v="0"/>
    <n v="2.5"/>
    <n v="125"/>
    <s v="#202401183700015996"/>
    <n v="0.08"/>
    <n v="0.06"/>
    <n v="0"/>
    <n v="0"/>
    <n v="20"/>
    <n v="3.62"/>
    <n v="23.76"/>
    <n v="2024"/>
    <n v="1"/>
    <x v="0"/>
    <n v="10"/>
    <n v="10"/>
    <s v="202310"/>
    <s v="Jan-24"/>
    <n v="101.24"/>
    <n v="0.10124"/>
  </r>
  <r>
    <d v="2024-01-18T00:00:00"/>
    <s v="OPT-NIFTY-18-Jan-2024-21300-P-E-I"/>
    <s v="NSE"/>
    <s v="Sell"/>
    <n v="50"/>
    <n v="0"/>
    <n v="2.7"/>
    <n v="135"/>
    <s v="#202401183700015950"/>
    <n v="0.08"/>
    <n v="7.0000000000000007E-2"/>
    <n v="0"/>
    <n v="0"/>
    <n v="20"/>
    <n v="3.62"/>
    <n v="23.77"/>
    <n v="2024"/>
    <n v="1"/>
    <x v="0"/>
    <n v="10"/>
    <n v="10"/>
    <s v="202310"/>
    <s v="Jan-24"/>
    <n v="111.23"/>
    <n v="0.11123000000000001"/>
  </r>
  <r>
    <d v="2024-01-18T00:00:00"/>
    <s v="OPT-NIFTY-18-Jan-2024-21300-P-E-I"/>
    <s v="NSE"/>
    <s v="Sell"/>
    <n v="50"/>
    <n v="0"/>
    <n v="2.95"/>
    <n v="147.5"/>
    <s v="#202401183700015851"/>
    <n v="0.18"/>
    <n v="7.0000000000000007E-2"/>
    <n v="0"/>
    <n v="0"/>
    <n v="20"/>
    <n v="3.62"/>
    <n v="23.87"/>
    <n v="2024"/>
    <n v="1"/>
    <x v="0"/>
    <n v="10"/>
    <n v="10"/>
    <s v="202310"/>
    <s v="Jan-24"/>
    <n v="123.63"/>
    <n v="0.12362999999999999"/>
  </r>
  <r>
    <d v="2024-01-18T00:00:00"/>
    <s v="OPT-NIFTY-18-Jan-2024-21300-P-E-I"/>
    <s v="NSE"/>
    <s v="Buy"/>
    <n v="50"/>
    <n v="0"/>
    <n v="3.2"/>
    <n v="160"/>
    <s v="#202401183700015105"/>
    <n v="0"/>
    <n v="0.08"/>
    <n v="0"/>
    <n v="0"/>
    <n v="20"/>
    <n v="3.62"/>
    <n v="23.7"/>
    <n v="2024"/>
    <n v="1"/>
    <x v="0"/>
    <n v="10"/>
    <n v="10"/>
    <s v="202310"/>
    <s v="Jan-24"/>
    <n v="-183.7"/>
    <n v="-0.1837"/>
  </r>
  <r>
    <d v="2024-01-18T00:00:00"/>
    <s v="OPT-NIFTY-18-Jan-2024-21300-P-E-I"/>
    <s v="NSE"/>
    <s v="Buy"/>
    <n v="50"/>
    <n v="0"/>
    <n v="3.7"/>
    <n v="185"/>
    <s v="#202401183700014798"/>
    <n v="0"/>
    <n v="0.09"/>
    <n v="0"/>
    <n v="0"/>
    <n v="20"/>
    <n v="3.62"/>
    <n v="23.71"/>
    <n v="2024"/>
    <n v="1"/>
    <x v="0"/>
    <n v="10"/>
    <n v="10"/>
    <s v="202310"/>
    <s v="Jan-24"/>
    <n v="-208.71"/>
    <n v="-0.20871000000000001"/>
  </r>
  <r>
    <d v="2024-01-18T00:00:00"/>
    <s v="OPT-NIFTY-18-Jan-2024-21300-P-E-I"/>
    <s v="NSE"/>
    <s v="Buy"/>
    <n v="50"/>
    <n v="0"/>
    <n v="5.75"/>
    <n v="287.5"/>
    <s v="#202401183700011974"/>
    <n v="0"/>
    <n v="0.15"/>
    <n v="0"/>
    <n v="0"/>
    <n v="20"/>
    <n v="3.62"/>
    <n v="23.77"/>
    <n v="2024"/>
    <n v="1"/>
    <x v="0"/>
    <n v="10"/>
    <n v="10"/>
    <s v="202310"/>
    <s v="Jan-24"/>
    <n v="-311.27"/>
    <n v="-0.31126999999999999"/>
  </r>
  <r>
    <d v="2024-01-18T00:00:00"/>
    <s v="OPT-NIFTY-18-Jan-2024-21300-P-E-I"/>
    <s v="NSE"/>
    <s v="Buy"/>
    <n v="50"/>
    <n v="0"/>
    <n v="6.35"/>
    <n v="317.5"/>
    <s v="#202401183700011826"/>
    <n v="0"/>
    <n v="0.16"/>
    <n v="0"/>
    <n v="0"/>
    <n v="20"/>
    <n v="3.62"/>
    <n v="23.78"/>
    <n v="2024"/>
    <n v="1"/>
    <x v="0"/>
    <n v="10"/>
    <n v="10"/>
    <s v="202310"/>
    <s v="Jan-24"/>
    <n v="-341.28"/>
    <n v="-0.34127999999999997"/>
  </r>
  <r>
    <d v="2024-01-18T00:00:00"/>
    <s v="OPT-NIFTY-18-Jan-2024-21500-C-E-I"/>
    <s v="NSE"/>
    <s v="Sell"/>
    <n v="50"/>
    <n v="0"/>
    <n v="35.65"/>
    <n v="1782.5"/>
    <s v="#202401183700010258"/>
    <n v="1.1100000000000001"/>
    <n v="0.9"/>
    <n v="0"/>
    <n v="0"/>
    <n v="20"/>
    <n v="3.76"/>
    <n v="25.77"/>
    <n v="2024"/>
    <n v="1"/>
    <x v="0"/>
    <n v="10"/>
    <n v="10"/>
    <s v="202310"/>
    <s v="Jan-24"/>
    <n v="1756.73"/>
    <n v="1.7567300000000001"/>
  </r>
  <r>
    <d v="2024-01-18T00:00:00"/>
    <s v="OPT-NIFTY-18-Jan-2024-21500-C-E-I"/>
    <s v="NSE"/>
    <s v="Sell"/>
    <n v="50"/>
    <n v="0"/>
    <n v="35.65"/>
    <n v="1782.5"/>
    <s v="#202401183700010257"/>
    <n v="1.1100000000000001"/>
    <n v="0.9"/>
    <n v="0"/>
    <n v="0"/>
    <n v="20"/>
    <n v="3.76"/>
    <n v="25.77"/>
    <n v="2024"/>
    <n v="1"/>
    <x v="0"/>
    <n v="10"/>
    <n v="10"/>
    <s v="202310"/>
    <s v="Jan-24"/>
    <n v="1756.73"/>
    <n v="1.7567300000000001"/>
  </r>
  <r>
    <d v="2024-01-18T00:00:00"/>
    <s v="OPT-NIFTY-18-Jan-2024-21500-C-E-I"/>
    <s v="NSE"/>
    <s v="Buy"/>
    <n v="50"/>
    <n v="0"/>
    <n v="10.75"/>
    <n v="537.5"/>
    <s v="#202401183700007449"/>
    <n v="0"/>
    <n v="0.27"/>
    <n v="0"/>
    <n v="0"/>
    <n v="20"/>
    <n v="3.64"/>
    <n v="23.91"/>
    <n v="2024"/>
    <n v="1"/>
    <x v="0"/>
    <n v="10"/>
    <n v="10"/>
    <s v="202310"/>
    <s v="Jan-24"/>
    <n v="-561.41"/>
    <n v="-0.56140999999999996"/>
  </r>
  <r>
    <d v="2024-01-18T00:00:00"/>
    <s v="OPT-NIFTY-18-Jan-2024-21500-C-E-I"/>
    <s v="NSE"/>
    <s v="Buy"/>
    <n v="50"/>
    <n v="0"/>
    <n v="10.6"/>
    <n v="530"/>
    <s v="#202401183700007239"/>
    <n v="0"/>
    <n v="0.27"/>
    <n v="0"/>
    <n v="0"/>
    <n v="20"/>
    <n v="3.64"/>
    <n v="23.91"/>
    <n v="2024"/>
    <n v="1"/>
    <x v="0"/>
    <n v="10"/>
    <n v="10"/>
    <s v="202310"/>
    <s v="Jan-24"/>
    <n v="-553.91"/>
    <n v="-0.55391000000000001"/>
  </r>
  <r>
    <d v="2024-01-18T00:00:00"/>
    <s v="OPT-NIFTY-18-Jan-2024-21600-C-E-I"/>
    <s v="NSE"/>
    <s v="Sell"/>
    <n v="50"/>
    <n v="0"/>
    <n v="3.35"/>
    <n v="167.5"/>
    <s v="#202401183700004493"/>
    <n v="0.1"/>
    <n v="0.08"/>
    <n v="0"/>
    <n v="0"/>
    <n v="20"/>
    <n v="3.62"/>
    <n v="23.8"/>
    <n v="2024"/>
    <n v="1"/>
    <x v="0"/>
    <n v="10"/>
    <n v="10"/>
    <s v="202310"/>
    <s v="Jan-24"/>
    <n v="143.69999999999999"/>
    <n v="0.14369999999999999"/>
  </r>
  <r>
    <d v="2024-01-18T00:00:00"/>
    <s v="OPT-NIFTY-18-Jan-2024-21600-C-E-I"/>
    <s v="NSE"/>
    <s v="Buy"/>
    <n v="50"/>
    <n v="0"/>
    <n v="9.5"/>
    <n v="475"/>
    <s v="#202401183700001475"/>
    <n v="0"/>
    <n v="0.24"/>
    <n v="0"/>
    <n v="0"/>
    <n v="20"/>
    <n v="3.64"/>
    <n v="23.88"/>
    <n v="2024"/>
    <n v="1"/>
    <x v="0"/>
    <n v="10"/>
    <n v="10"/>
    <s v="202310"/>
    <s v="Jan-24"/>
    <n v="-498.88"/>
    <n v="-0.49887999999999999"/>
  </r>
  <r>
    <d v="2024-01-19T00:00:00"/>
    <s v="OPT-CNXBAN-25-Jan-2024-46000-P-E-I"/>
    <s v="NSE"/>
    <s v="Sell"/>
    <n v="30"/>
    <n v="0"/>
    <n v="437.4"/>
    <n v="13122"/>
    <s v="#202401193700009376"/>
    <n v="8"/>
    <n v="6.63"/>
    <n v="0"/>
    <n v="0.01"/>
    <n v="40"/>
    <n v="8.4"/>
    <n v="63.04"/>
    <n v="2024"/>
    <n v="1"/>
    <x v="0"/>
    <n v="10"/>
    <n v="10"/>
    <s v="202310"/>
    <s v="Jan-24"/>
    <n v="13058.96"/>
    <n v="13.058959999999999"/>
  </r>
  <r>
    <d v="2024-01-19T00:00:00"/>
    <s v="OPT-CNXBAN-25-Jan-2024-46000-P-E-I"/>
    <s v="NSE"/>
    <s v="Buy"/>
    <n v="15"/>
    <n v="0"/>
    <n v="324"/>
    <n v="4860"/>
    <s v="#202401193700008227"/>
    <n v="0"/>
    <n v="2.4500000000000002"/>
    <n v="0"/>
    <n v="0"/>
    <n v="20"/>
    <n v="4.04"/>
    <n v="26.49"/>
    <n v="2024"/>
    <n v="1"/>
    <x v="0"/>
    <n v="10"/>
    <n v="10"/>
    <s v="202310"/>
    <s v="Jan-24"/>
    <n v="-4886.49"/>
    <n v="-4.8864900000000002"/>
  </r>
  <r>
    <d v="2024-01-19T00:00:00"/>
    <s v="OPT-CNXBAN-25-Jan-2024-46000-P-E-I"/>
    <s v="NSE"/>
    <s v="Buy"/>
    <n v="15"/>
    <n v="0"/>
    <n v="323.45"/>
    <n v="4851.75"/>
    <s v="#202401193700007925"/>
    <n v="0"/>
    <n v="2.4500000000000002"/>
    <n v="0"/>
    <n v="0"/>
    <n v="20"/>
    <n v="4.04"/>
    <n v="26.49"/>
    <n v="2024"/>
    <n v="1"/>
    <x v="0"/>
    <n v="10"/>
    <n v="10"/>
    <s v="202310"/>
    <s v="Jan-24"/>
    <n v="-4878.24"/>
    <n v="-4.8782399999999999"/>
  </r>
  <r>
    <d v="2024-01-23T00:00:00"/>
    <s v="OPT-GUJGA-25-Jan-2024-560-C-E-S"/>
    <s v="NSE"/>
    <s v="Sell"/>
    <n v="1250"/>
    <n v="0"/>
    <n v="4.5999999999999996"/>
    <n v="5750"/>
    <s v="#202401233700026904"/>
    <n v="3.59"/>
    <n v="2.9"/>
    <n v="0"/>
    <n v="0.01"/>
    <n v="20"/>
    <n v="4.12"/>
    <n v="30.62"/>
    <n v="2024"/>
    <n v="1"/>
    <x v="0"/>
    <n v="10"/>
    <n v="10"/>
    <s v="202310"/>
    <s v="Jan-24"/>
    <n v="5719.38"/>
    <n v="5.7193800000000001"/>
  </r>
  <r>
    <d v="2024-01-23T00:00:00"/>
    <s v="OPT-GUJGA-25-Jan-2024-560-C-E-S"/>
    <s v="NSE"/>
    <s v="Buy"/>
    <n v="1250"/>
    <n v="0"/>
    <n v="7.5"/>
    <n v="9375"/>
    <s v="#202401233700016186"/>
    <n v="0"/>
    <n v="4.7300000000000004"/>
    <n v="0.71"/>
    <n v="0.01"/>
    <n v="20"/>
    <n v="4.46"/>
    <n v="29.91"/>
    <n v="2024"/>
    <n v="1"/>
    <x v="0"/>
    <n v="10"/>
    <n v="10"/>
    <s v="202310"/>
    <s v="Jan-24"/>
    <n v="-9404.91"/>
    <n v="-9.4049099999999992"/>
  </r>
  <r>
    <d v="2024-01-23T00:00:00"/>
    <s v="OPT-NIFFIN-23-Jan-2024-20700-C-E-I"/>
    <s v="NSE"/>
    <s v="Sell"/>
    <n v="40"/>
    <n v="0"/>
    <n v="4.3499999999999996"/>
    <n v="174"/>
    <s v="#202401233700008238"/>
    <n v="0.28000000000000003"/>
    <n v="0.09"/>
    <n v="0"/>
    <n v="0"/>
    <n v="20"/>
    <n v="3.62"/>
    <n v="23.99"/>
    <n v="2024"/>
    <n v="1"/>
    <x v="0"/>
    <n v="10"/>
    <n v="10"/>
    <s v="202310"/>
    <s v="Jan-24"/>
    <n v="150.01"/>
    <n v="0.15001"/>
  </r>
  <r>
    <d v="2024-01-23T00:00:00"/>
    <s v="OPT-NIFFIN-23-Jan-2024-20700-C-E-I"/>
    <s v="NSE"/>
    <s v="Sell"/>
    <n v="160"/>
    <n v="0"/>
    <n v="5.75"/>
    <n v="920"/>
    <s v="#202401233700007908"/>
    <n v="0.57999999999999996"/>
    <n v="0.46"/>
    <n v="0"/>
    <n v="0"/>
    <n v="80"/>
    <n v="14.48"/>
    <n v="95.52"/>
    <n v="2024"/>
    <n v="1"/>
    <x v="0"/>
    <n v="10"/>
    <n v="10"/>
    <s v="202310"/>
    <s v="Jan-24"/>
    <n v="824.48"/>
    <n v="0.82447999999999999"/>
  </r>
  <r>
    <d v="2024-01-23T00:00:00"/>
    <s v="OPT-NIFFIN-23-Jan-2024-20700-C-E-I"/>
    <s v="NSE"/>
    <s v="Sell"/>
    <n v="40"/>
    <n v="0"/>
    <n v="5.8"/>
    <n v="232"/>
    <s v="#202401233700007202"/>
    <n v="0.15"/>
    <n v="0.12"/>
    <n v="0"/>
    <n v="0"/>
    <n v="20"/>
    <n v="3.62"/>
    <n v="23.89"/>
    <n v="2024"/>
    <n v="1"/>
    <x v="0"/>
    <n v="10"/>
    <n v="10"/>
    <s v="202310"/>
    <s v="Jan-24"/>
    <n v="208.11"/>
    <n v="0.20811000000000002"/>
  </r>
  <r>
    <d v="2024-01-23T00:00:00"/>
    <s v="OPT-NIFTY-25-Jan-2024-21700-P-E-I"/>
    <s v="NSE"/>
    <s v="Sell"/>
    <n v="50"/>
    <n v="0"/>
    <n v="108.9"/>
    <n v="5445"/>
    <s v="#202401233700004840"/>
    <n v="3.4"/>
    <n v="2.75"/>
    <n v="0"/>
    <n v="0.01"/>
    <n v="20"/>
    <n v="4.0999999999999996"/>
    <n v="30.26"/>
    <n v="2024"/>
    <n v="1"/>
    <x v="0"/>
    <n v="10"/>
    <n v="10"/>
    <s v="202310"/>
    <s v="Jan-24"/>
    <n v="5414.74"/>
    <n v="5.4147400000000001"/>
  </r>
  <r>
    <d v="2024-01-23T00:00:00"/>
    <s v="OPT-NIFFIN-23-Jan-2024-20700-C-E-I"/>
    <s v="NSE"/>
    <s v="Buy"/>
    <n v="40"/>
    <n v="0"/>
    <n v="11.25"/>
    <n v="450"/>
    <s v="#202401233700004524"/>
    <n v="0"/>
    <n v="0.23"/>
    <n v="0"/>
    <n v="0"/>
    <n v="20"/>
    <n v="3.64"/>
    <n v="23.87"/>
    <n v="2024"/>
    <n v="1"/>
    <x v="0"/>
    <n v="10"/>
    <n v="10"/>
    <s v="202310"/>
    <s v="Jan-24"/>
    <n v="-473.87"/>
    <n v="-0.47387000000000001"/>
  </r>
  <r>
    <d v="2024-01-23T00:00:00"/>
    <s v="OPT-NIFFIN-23-Jan-2024-20700-C-E-I"/>
    <s v="NSE"/>
    <s v="Buy"/>
    <n v="40"/>
    <n v="0"/>
    <n v="16.55"/>
    <n v="662"/>
    <s v="#202401233700004149"/>
    <n v="0"/>
    <n v="0.33"/>
    <n v="0"/>
    <n v="0"/>
    <n v="20"/>
    <n v="3.66"/>
    <n v="23.99"/>
    <n v="2024"/>
    <n v="1"/>
    <x v="0"/>
    <n v="10"/>
    <n v="10"/>
    <s v="202310"/>
    <s v="Jan-24"/>
    <n v="-685.99"/>
    <n v="-0.68598999999999999"/>
  </r>
  <r>
    <d v="2024-01-23T00:00:00"/>
    <s v="OPT-NIFFIN-23-Jan-2024-20700-C-E-I"/>
    <s v="NSE"/>
    <s v="Buy"/>
    <n v="40"/>
    <n v="0"/>
    <n v="22.05"/>
    <n v="882"/>
    <s v="#202401233700003692"/>
    <n v="0"/>
    <n v="0.45"/>
    <n v="0"/>
    <n v="0"/>
    <n v="20"/>
    <n v="3.68"/>
    <n v="24.13"/>
    <n v="2024"/>
    <n v="1"/>
    <x v="0"/>
    <n v="10"/>
    <n v="10"/>
    <s v="202310"/>
    <s v="Jan-24"/>
    <n v="-906.13"/>
    <n v="-0.90612999999999999"/>
  </r>
  <r>
    <d v="2024-01-23T00:00:00"/>
    <s v="OPT-NIFTY-25-Jan-2024-21700-P-E-I"/>
    <s v="NSE"/>
    <s v="Buy"/>
    <n v="50"/>
    <n v="0"/>
    <n v="75.7"/>
    <n v="3785"/>
    <s v="#202401233700002870"/>
    <n v="0"/>
    <n v="1.91"/>
    <n v="0.11"/>
    <n v="0"/>
    <n v="20"/>
    <n v="3.94"/>
    <n v="25.96"/>
    <n v="2024"/>
    <n v="1"/>
    <x v="0"/>
    <n v="10"/>
    <n v="10"/>
    <s v="202310"/>
    <s v="Jan-24"/>
    <n v="-3810.96"/>
    <n v="-3.8109600000000001"/>
  </r>
  <r>
    <d v="2024-01-23T00:00:00"/>
    <s v="OPT-NIFFIN-23-Jan-2024-20700-C-E-I"/>
    <s v="NSE"/>
    <s v="Buy"/>
    <n v="40"/>
    <n v="0"/>
    <n v="24.3"/>
    <n v="972"/>
    <s v="#202401233700002650"/>
    <n v="0"/>
    <n v="0.49"/>
    <n v="0"/>
    <n v="0"/>
    <n v="20"/>
    <n v="3.68"/>
    <n v="24.17"/>
    <n v="2024"/>
    <n v="1"/>
    <x v="0"/>
    <n v="10"/>
    <n v="10"/>
    <s v="202310"/>
    <s v="Jan-24"/>
    <n v="-996.17"/>
    <n v="-0.99617"/>
  </r>
  <r>
    <d v="2024-01-23T00:00:00"/>
    <s v="OPT-NIFFIN-23-Jan-2024-20700-C-E-I"/>
    <s v="NSE"/>
    <s v="Buy"/>
    <n v="40"/>
    <n v="0"/>
    <n v="30.1"/>
    <n v="1204"/>
    <s v="#202401233700002287"/>
    <n v="0"/>
    <n v="0.61"/>
    <n v="0"/>
    <n v="0"/>
    <n v="20"/>
    <n v="3.7"/>
    <n v="24.31"/>
    <n v="2024"/>
    <n v="1"/>
    <x v="0"/>
    <n v="10"/>
    <n v="10"/>
    <s v="202310"/>
    <s v="Jan-24"/>
    <n v="-1228.31"/>
    <n v="-1.22831"/>
  </r>
  <r>
    <d v="2024-01-23T00:00:00"/>
    <s v="OPT-NIFFIN-23-Jan-2024-20700-C-E-I"/>
    <s v="NSE"/>
    <s v="Buy"/>
    <n v="40"/>
    <n v="0"/>
    <n v="41.9"/>
    <n v="1676"/>
    <s v="#202401233700001458"/>
    <n v="0"/>
    <n v="0.85"/>
    <n v="0.18"/>
    <n v="0"/>
    <n v="20"/>
    <n v="3.76"/>
    <n v="24.79"/>
    <n v="2024"/>
    <n v="1"/>
    <x v="0"/>
    <n v="10"/>
    <n v="10"/>
    <s v="202310"/>
    <s v="Jan-24"/>
    <n v="-1700.79"/>
    <n v="-1.70079"/>
  </r>
  <r>
    <d v="2024-01-24T00:00:00"/>
    <s v="OPT-CNXBAN-25-Jan-2024-44800-C-E-I"/>
    <s v="NSE"/>
    <s v="Sell"/>
    <n v="15"/>
    <n v="0"/>
    <n v="402.3"/>
    <n v="6034.5"/>
    <s v="#202401243700025304"/>
    <n v="3.45"/>
    <n v="3.05"/>
    <n v="0"/>
    <n v="0.01"/>
    <n v="20"/>
    <n v="4.16"/>
    <n v="30.67"/>
    <n v="2024"/>
    <n v="1"/>
    <x v="0"/>
    <n v="10"/>
    <n v="10"/>
    <s v="202310"/>
    <s v="Jan-24"/>
    <n v="6003.83"/>
    <n v="6.0038299999999998"/>
  </r>
  <r>
    <d v="2024-01-24T00:00:00"/>
    <s v="OPT-CNXBAN-25-Jan-2024-44800-C-E-I"/>
    <s v="NSE"/>
    <s v="Buy"/>
    <n v="15"/>
    <n v="0"/>
    <n v="248.5"/>
    <n v="3727.5"/>
    <s v="#202401243700023874"/>
    <n v="0"/>
    <n v="1.88"/>
    <n v="0"/>
    <n v="0"/>
    <n v="20"/>
    <n v="3.94"/>
    <n v="25.82"/>
    <n v="2024"/>
    <n v="1"/>
    <x v="0"/>
    <n v="10"/>
    <n v="10"/>
    <s v="202310"/>
    <s v="Jan-24"/>
    <n v="-3753.32"/>
    <n v="-3.75332"/>
  </r>
  <r>
    <d v="2024-01-24T00:00:00"/>
    <s v="OPT-CNXBAN-25-Jan-2024-45500-C-E-I"/>
    <s v="NSE"/>
    <s v="Sell"/>
    <n v="15"/>
    <n v="0"/>
    <n v="116.25"/>
    <n v="1743.75"/>
    <s v="#202401243700013686"/>
    <n v="1.0900000000000001"/>
    <n v="0.88"/>
    <n v="0"/>
    <n v="0"/>
    <n v="20"/>
    <n v="3.76"/>
    <n v="25.73"/>
    <n v="2024"/>
    <n v="1"/>
    <x v="0"/>
    <n v="10"/>
    <n v="10"/>
    <s v="202310"/>
    <s v="Jan-24"/>
    <n v="1718.02"/>
    <n v="1.7180199999999999"/>
  </r>
  <r>
    <d v="2024-01-24T00:00:00"/>
    <s v="OPT-CNXBAN-25-Jan-2024-45500-C-E-I"/>
    <s v="NSE"/>
    <s v="Sell"/>
    <n v="15"/>
    <n v="0"/>
    <n v="116.25"/>
    <n v="1743.75"/>
    <s v="#202401243700013685"/>
    <n v="1.0900000000000001"/>
    <n v="0.88"/>
    <n v="0"/>
    <n v="0"/>
    <n v="20"/>
    <n v="3.76"/>
    <n v="25.73"/>
    <n v="2024"/>
    <n v="1"/>
    <x v="0"/>
    <n v="10"/>
    <n v="10"/>
    <s v="202310"/>
    <s v="Jan-24"/>
    <n v="1718.02"/>
    <n v="1.7180199999999999"/>
  </r>
  <r>
    <d v="2024-01-24T00:00:00"/>
    <s v="OPT-CNXBAN-25-Jan-2024-45500-C-E-I"/>
    <s v="NSE"/>
    <s v="Buy"/>
    <n v="15"/>
    <n v="0"/>
    <n v="95.8"/>
    <n v="1437"/>
    <s v="#202401243700012661"/>
    <n v="0"/>
    <n v="0.73"/>
    <n v="0"/>
    <n v="0"/>
    <n v="20"/>
    <n v="3.74"/>
    <n v="24.47"/>
    <n v="2024"/>
    <n v="1"/>
    <x v="0"/>
    <n v="10"/>
    <n v="10"/>
    <s v="202310"/>
    <s v="Jan-24"/>
    <n v="-1461.47"/>
    <n v="-1.46147"/>
  </r>
  <r>
    <d v="2024-01-24T00:00:00"/>
    <s v="OPT-CNXBAN-25-Jan-2024-45500-C-E-I"/>
    <s v="NSE"/>
    <s v="Buy"/>
    <n v="15"/>
    <n v="0"/>
    <n v="104.5"/>
    <n v="1567.5"/>
    <s v="#202401243700012385"/>
    <n v="0"/>
    <n v="0.79"/>
    <n v="0"/>
    <n v="0"/>
    <n v="20"/>
    <n v="3.74"/>
    <n v="24.53"/>
    <n v="2024"/>
    <n v="1"/>
    <x v="0"/>
    <n v="10"/>
    <n v="10"/>
    <s v="202310"/>
    <s v="Jan-24"/>
    <n v="-1592.03"/>
    <n v="-1.5920300000000001"/>
  </r>
  <r>
    <d v="2024-01-24T00:00:00"/>
    <s v="OPT-CNXBAN-25-Jan-2024-45000-P-E-I"/>
    <s v="NSE"/>
    <s v="Sell"/>
    <n v="15"/>
    <n v="0"/>
    <n v="286.60000000000002"/>
    <n v="4299"/>
    <s v="#202401243700012190"/>
    <n v="2.69"/>
    <n v="2.17"/>
    <n v="0"/>
    <n v="0"/>
    <n v="20"/>
    <n v="4"/>
    <n v="28.86"/>
    <n v="2024"/>
    <n v="1"/>
    <x v="0"/>
    <n v="10"/>
    <n v="10"/>
    <s v="202310"/>
    <s v="Jan-24"/>
    <n v="4270.1400000000003"/>
    <n v="4.2701400000000005"/>
  </r>
  <r>
    <d v="2024-01-24T00:00:00"/>
    <s v="OPT-CNXBAN-25-Jan-2024-45000-P-E-I"/>
    <s v="NSE"/>
    <s v="Sell"/>
    <n v="15"/>
    <n v="0"/>
    <n v="286.60000000000002"/>
    <n v="4299"/>
    <s v="#202401243700012189"/>
    <n v="2.69"/>
    <n v="2.17"/>
    <n v="0"/>
    <n v="0"/>
    <n v="20"/>
    <n v="4"/>
    <n v="28.86"/>
    <n v="2024"/>
    <n v="1"/>
    <x v="0"/>
    <n v="10"/>
    <n v="10"/>
    <s v="202310"/>
    <s v="Jan-24"/>
    <n v="4270.1400000000003"/>
    <n v="4.2701400000000005"/>
  </r>
  <r>
    <d v="2024-01-24T00:00:00"/>
    <s v="OPT-CNXBAN-25-Jan-2024-45000-P-E-I"/>
    <s v="NSE"/>
    <s v="Buy"/>
    <n v="15"/>
    <n v="0"/>
    <n v="157.19999999999999"/>
    <n v="2358"/>
    <s v="#202401243700010306"/>
    <n v="0"/>
    <n v="1.19"/>
    <n v="0"/>
    <n v="0"/>
    <n v="20"/>
    <n v="3.82"/>
    <n v="25.01"/>
    <n v="2024"/>
    <n v="1"/>
    <x v="0"/>
    <n v="10"/>
    <n v="10"/>
    <s v="202310"/>
    <s v="Jan-24"/>
    <n v="-2383.0100000000002"/>
    <n v="-2.3830100000000001"/>
  </r>
  <r>
    <d v="2024-01-24T00:00:00"/>
    <s v="OPT-CNXBAN-25-Jan-2024-45000-P-E-I"/>
    <s v="NSE"/>
    <s v="Buy"/>
    <n v="15"/>
    <n v="0"/>
    <n v="216.95"/>
    <n v="3254.25"/>
    <s v="#202401243700009876"/>
    <n v="0"/>
    <n v="1.64"/>
    <n v="0"/>
    <n v="0"/>
    <n v="20"/>
    <n v="3.9"/>
    <n v="25.54"/>
    <n v="2024"/>
    <n v="1"/>
    <x v="0"/>
    <n v="10"/>
    <n v="10"/>
    <s v="202310"/>
    <s v="Jan-24"/>
    <n v="-3279.79"/>
    <n v="-3.2797899999999998"/>
  </r>
  <r>
    <d v="2024-01-25T00:00:00"/>
    <s v="OPT-NIFTY-25-Jan-2024-21300-P-E-I"/>
    <s v="NSE"/>
    <s v="Sell"/>
    <n v="100"/>
    <n v="0"/>
    <n v="57"/>
    <n v="5700"/>
    <s v="#202401253700020304"/>
    <n v="3.56"/>
    <n v="2.88"/>
    <n v="0"/>
    <n v="0.01"/>
    <n v="40"/>
    <n v="7.72"/>
    <n v="54.17"/>
    <n v="2024"/>
    <n v="1"/>
    <x v="0"/>
    <n v="10"/>
    <n v="10"/>
    <s v="202310"/>
    <s v="Jan-24"/>
    <n v="5645.83"/>
    <n v="5.6458300000000001"/>
  </r>
  <r>
    <d v="2024-01-25T00:00:00"/>
    <s v="OPT-NIFTY-25-Jan-2024-21300-P-E-I"/>
    <s v="NSE"/>
    <s v="Buy"/>
    <n v="100"/>
    <n v="0"/>
    <n v="44.85"/>
    <n v="4485"/>
    <s v="#202401253700020156"/>
    <n v="0"/>
    <n v="2.2599999999999998"/>
    <n v="0.37"/>
    <n v="0"/>
    <n v="40"/>
    <n v="7.6"/>
    <n v="50.23"/>
    <n v="2024"/>
    <n v="1"/>
    <x v="0"/>
    <n v="10"/>
    <n v="10"/>
    <s v="202310"/>
    <s v="Jan-24"/>
    <n v="-4535.2299999999996"/>
    <n v="-4.5352299999999994"/>
  </r>
  <r>
    <d v="2024-01-25T00:00:00"/>
    <s v="OPT-NIFTY-25-Jan-2024-21300-P-E-I"/>
    <s v="NSE"/>
    <s v="Sell"/>
    <n v="200"/>
    <n v="0"/>
    <n v="55"/>
    <n v="11000"/>
    <s v="#202401253700017592"/>
    <n v="6.88"/>
    <n v="5.56"/>
    <n v="0"/>
    <n v="0.01"/>
    <n v="80"/>
    <n v="15.42"/>
    <n v="107.87"/>
    <n v="2024"/>
    <n v="1"/>
    <x v="0"/>
    <n v="10"/>
    <n v="10"/>
    <s v="202310"/>
    <s v="Jan-24"/>
    <n v="10892.13"/>
    <n v="10.89213"/>
  </r>
  <r>
    <d v="2024-01-25T00:00:00"/>
    <s v="OPT-NIFTY-25-Jan-2024-21300-P-E-I"/>
    <s v="NSE"/>
    <s v="Buy"/>
    <n v="200"/>
    <n v="0"/>
    <n v="45.4"/>
    <n v="9080"/>
    <s v="#202401253700016766"/>
    <n v="0"/>
    <n v="4.59"/>
    <n v="0"/>
    <n v="0"/>
    <n v="80"/>
    <n v="15.22"/>
    <n v="99.81"/>
    <n v="2024"/>
    <n v="1"/>
    <x v="0"/>
    <n v="10"/>
    <n v="10"/>
    <s v="202310"/>
    <s v="Jan-24"/>
    <n v="-9179.81"/>
    <n v="-9.1798099999999998"/>
  </r>
  <r>
    <d v="2024-01-25T00:00:00"/>
    <s v="OPT-NIFTY-25-Jan-2024-21400-C-E-I"/>
    <s v="NSE"/>
    <s v="Sell"/>
    <n v="300"/>
    <n v="0"/>
    <n v="14.15"/>
    <n v="4245"/>
    <s v="#202401253700016679"/>
    <n v="2.65"/>
    <n v="2.15"/>
    <n v="0"/>
    <n v="0"/>
    <n v="120"/>
    <n v="21.98"/>
    <n v="146.78"/>
    <n v="2024"/>
    <n v="1"/>
    <x v="0"/>
    <n v="10"/>
    <n v="10"/>
    <s v="202310"/>
    <s v="Jan-24"/>
    <n v="4098.22"/>
    <n v="4.0982200000000004"/>
  </r>
  <r>
    <d v="2024-01-25T00:00:00"/>
    <s v="OPT-NIFTY-25-Jan-2024-21400-C-E-I"/>
    <s v="NSE"/>
    <s v="Buy"/>
    <n v="100"/>
    <n v="0"/>
    <n v="19.75"/>
    <n v="1975"/>
    <s v="#202401253700015563"/>
    <n v="0"/>
    <n v="1"/>
    <n v="0"/>
    <n v="0"/>
    <n v="40"/>
    <n v="7.38"/>
    <n v="48.38"/>
    <n v="2024"/>
    <n v="1"/>
    <x v="0"/>
    <n v="10"/>
    <n v="10"/>
    <s v="202310"/>
    <s v="Jan-24"/>
    <n v="-2023.38"/>
    <n v="-2.02338"/>
  </r>
  <r>
    <d v="2024-01-25T00:00:00"/>
    <s v="OPT-NIFTY-25-Jan-2024-21400-C-E-I"/>
    <s v="NSE"/>
    <s v="Buy"/>
    <n v="100"/>
    <n v="0"/>
    <n v="19.8"/>
    <n v="1980"/>
    <s v="#202401253700015418"/>
    <n v="0"/>
    <n v="1"/>
    <n v="0.4"/>
    <n v="0"/>
    <n v="40"/>
    <n v="7.38"/>
    <n v="48.78"/>
    <n v="2024"/>
    <n v="1"/>
    <x v="0"/>
    <n v="10"/>
    <n v="10"/>
    <s v="202310"/>
    <s v="Jan-24"/>
    <n v="-2028.78"/>
    <n v="-2.0287799999999998"/>
  </r>
  <r>
    <d v="2024-01-25T00:00:00"/>
    <s v="OPT-NIFTY-25-Jan-2024-21400-C-E-I"/>
    <s v="NSE"/>
    <s v="Buy"/>
    <n v="100"/>
    <n v="0"/>
    <n v="21.55"/>
    <n v="2155"/>
    <s v="#202401253700013772"/>
    <n v="0"/>
    <n v="1.0900000000000001"/>
    <n v="0"/>
    <n v="0"/>
    <n v="40"/>
    <n v="7.4"/>
    <n v="48.49"/>
    <n v="2024"/>
    <n v="1"/>
    <x v="0"/>
    <n v="10"/>
    <n v="10"/>
    <s v="202310"/>
    <s v="Jan-24"/>
    <n v="-2203.4899999999998"/>
    <n v="-2.2034899999999999"/>
  </r>
  <r>
    <d v="2024-01-25T00:00:00"/>
    <s v="OPT-NIFTY-25-Jan-2024-21400-C-E-I"/>
    <s v="NSE"/>
    <s v="Sell"/>
    <n v="100"/>
    <n v="0"/>
    <n v="15.95"/>
    <n v="1595"/>
    <s v="#202401253700010839"/>
    <n v="1"/>
    <n v="0.81"/>
    <n v="0"/>
    <n v="0"/>
    <n v="40"/>
    <n v="7.34"/>
    <n v="49.15"/>
    <n v="2024"/>
    <n v="1"/>
    <x v="0"/>
    <n v="10"/>
    <n v="10"/>
    <s v="202310"/>
    <s v="Jan-24"/>
    <n v="1545.85"/>
    <n v="1.5458499999999999"/>
  </r>
  <r>
    <d v="2024-01-25T00:00:00"/>
    <s v="OPT-NIFTY-25-Jan-2024-21400-C-E-I"/>
    <s v="NSE"/>
    <s v="Buy"/>
    <n v="100"/>
    <n v="0"/>
    <n v="26.65"/>
    <n v="2665"/>
    <s v="#202401253700009131"/>
    <n v="0"/>
    <n v="1.35"/>
    <n v="0"/>
    <n v="0"/>
    <n v="40"/>
    <n v="7.44"/>
    <n v="48.79"/>
    <n v="2024"/>
    <n v="1"/>
    <x v="0"/>
    <n v="10"/>
    <n v="10"/>
    <s v="202310"/>
    <s v="Jan-24"/>
    <n v="-2713.79"/>
    <n v="-2.7137899999999999"/>
  </r>
  <r>
    <d v="2024-01-25T00:00:00"/>
    <s v="OPT-NIFTY-25-Jan-2024-21400-P-E-I"/>
    <s v="NSE"/>
    <s v="Sell"/>
    <n v="50"/>
    <n v="0"/>
    <n v="116.1"/>
    <n v="5805"/>
    <s v="#202401253700008328"/>
    <n v="3.63"/>
    <n v="2.93"/>
    <n v="0"/>
    <n v="0.01"/>
    <n v="20"/>
    <n v="4.12"/>
    <n v="30.69"/>
    <n v="2024"/>
    <n v="1"/>
    <x v="0"/>
    <n v="10"/>
    <n v="10"/>
    <s v="202310"/>
    <s v="Jan-24"/>
    <n v="5774.31"/>
    <n v="5.7743100000000007"/>
  </r>
  <r>
    <d v="2024-01-25T00:00:00"/>
    <s v="OPT-NIFTY-25-Jan-2024-21400-C-E-I"/>
    <s v="NSE"/>
    <s v="Sell"/>
    <n v="50"/>
    <n v="0"/>
    <n v="32.75"/>
    <n v="1637.5"/>
    <s v="#202401253700006833"/>
    <n v="1.02"/>
    <n v="0.83"/>
    <n v="0"/>
    <n v="0"/>
    <n v="20"/>
    <n v="3.74"/>
    <n v="25.59"/>
    <n v="2024"/>
    <n v="1"/>
    <x v="0"/>
    <n v="10"/>
    <n v="10"/>
    <s v="202310"/>
    <s v="Jan-24"/>
    <n v="1611.91"/>
    <n v="1.6119100000000002"/>
  </r>
  <r>
    <d v="2024-01-25T00:00:00"/>
    <s v="OPT-NIFTY-25-Jan-2024-21400-P-E-I"/>
    <s v="NSE"/>
    <s v="Buy"/>
    <n v="50"/>
    <n v="0"/>
    <n v="83.7"/>
    <n v="4185"/>
    <s v="#202401253700006307"/>
    <n v="0"/>
    <n v="2.11"/>
    <n v="0"/>
    <n v="0"/>
    <n v="20"/>
    <n v="3.98"/>
    <n v="26.09"/>
    <n v="2024"/>
    <n v="1"/>
    <x v="0"/>
    <n v="10"/>
    <n v="10"/>
    <s v="202310"/>
    <s v="Jan-24"/>
    <n v="-4211.09"/>
    <n v="-4.2110900000000004"/>
  </r>
  <r>
    <d v="2024-01-25T00:00:00"/>
    <s v="OPT-NIFTY-25-Jan-2024-21400-P-E-I"/>
    <s v="NSE"/>
    <s v="Sell"/>
    <n v="50"/>
    <n v="0"/>
    <n v="72.400000000000006"/>
    <n v="3620"/>
    <s v="#202401253700005092"/>
    <n v="2.2599999999999998"/>
    <n v="1.83"/>
    <n v="0"/>
    <n v="0"/>
    <n v="20"/>
    <n v="3.92"/>
    <n v="28.01"/>
    <n v="2024"/>
    <n v="1"/>
    <x v="0"/>
    <n v="10"/>
    <n v="10"/>
    <s v="202310"/>
    <s v="Jan-24"/>
    <n v="3591.99"/>
    <n v="3.5919899999999996"/>
  </r>
  <r>
    <d v="2024-01-25T00:00:00"/>
    <s v="OPT-NIFTY-25-Jan-2024-21400-P-E-I"/>
    <s v="NSE"/>
    <s v="Buy"/>
    <n v="50"/>
    <n v="0"/>
    <n v="67.95"/>
    <n v="3397.5"/>
    <s v="#202401253700004529"/>
    <n v="0"/>
    <n v="1.72"/>
    <n v="0.23"/>
    <n v="0"/>
    <n v="20"/>
    <n v="3.9"/>
    <n v="25.85"/>
    <n v="2024"/>
    <n v="1"/>
    <x v="0"/>
    <n v="10"/>
    <n v="10"/>
    <s v="202310"/>
    <s v="Jan-24"/>
    <n v="-3423.35"/>
    <n v="-3.4233500000000001"/>
  </r>
  <r>
    <d v="2024-01-25T00:00:00"/>
    <s v="OPT-NIFTY-25-Jan-2024-21400-C-E-I"/>
    <s v="NSE"/>
    <s v="Buy"/>
    <n v="50"/>
    <n v="0"/>
    <n v="89.05"/>
    <n v="4452.5"/>
    <s v="#202401252500000521"/>
    <n v="0"/>
    <n v="2.25"/>
    <n v="0"/>
    <n v="0"/>
    <n v="20"/>
    <n v="4"/>
    <n v="26.25"/>
    <n v="2024"/>
    <n v="1"/>
    <x v="0"/>
    <n v="10"/>
    <n v="10"/>
    <s v="202310"/>
    <s v="Jan-24"/>
    <n v="-4478.75"/>
    <n v="-4.4787499999999998"/>
  </r>
  <r>
    <d v="2024-01-29T00:00:00"/>
    <s v="OPT-NIFTY-01-Feb-2024-21500-P-E-I"/>
    <s v="NSE"/>
    <s v="Sell"/>
    <n v="50"/>
    <n v="0"/>
    <n v="88.4"/>
    <n v="4420"/>
    <s v="#202401293700018860"/>
    <n v="2.76"/>
    <n v="2.23"/>
    <n v="0"/>
    <n v="0"/>
    <n v="20"/>
    <n v="4"/>
    <n v="28.99"/>
    <n v="2024"/>
    <n v="1"/>
    <x v="0"/>
    <n v="10"/>
    <n v="10"/>
    <s v="202310"/>
    <s v="Jan-24"/>
    <n v="4391.01"/>
    <n v="4.3910100000000005"/>
  </r>
  <r>
    <d v="2024-01-29T00:00:00"/>
    <s v="OPT-NIFTY-01-Feb-2024-21500-P-E-I"/>
    <s v="NSE"/>
    <s v="Buy"/>
    <n v="50"/>
    <n v="0"/>
    <n v="95"/>
    <n v="4750"/>
    <s v="#202401293700015173"/>
    <n v="0"/>
    <n v="2.4"/>
    <n v="0"/>
    <n v="0"/>
    <n v="20"/>
    <n v="4.04"/>
    <n v="26.44"/>
    <n v="2024"/>
    <n v="1"/>
    <x v="0"/>
    <n v="10"/>
    <n v="10"/>
    <s v="202310"/>
    <s v="Jan-24"/>
    <n v="-4776.4399999999996"/>
    <n v="-4.77644"/>
  </r>
  <r>
    <d v="2024-01-29T00:00:00"/>
    <s v="OPT-NIFTY-01-Feb-2024-21500-P-E-I"/>
    <s v="NSE"/>
    <s v="Sell"/>
    <n v="100"/>
    <n v="0"/>
    <n v="89"/>
    <n v="8900"/>
    <s v="#202401293700014382"/>
    <n v="5.56"/>
    <n v="4.49"/>
    <n v="0"/>
    <n v="0.01"/>
    <n v="40"/>
    <n v="8.02"/>
    <n v="58.08"/>
    <n v="2024"/>
    <n v="1"/>
    <x v="0"/>
    <n v="10"/>
    <n v="10"/>
    <s v="202310"/>
    <s v="Jan-24"/>
    <n v="8841.92"/>
    <n v="8.84192"/>
  </r>
  <r>
    <d v="2024-01-29T00:00:00"/>
    <s v="OPT-NIFSEL-29-Jan-2024-10450-P-E-I"/>
    <s v="NSE"/>
    <s v="Sell"/>
    <n v="225"/>
    <n v="0"/>
    <n v="0.4"/>
    <n v="90"/>
    <s v="#202401293700014362"/>
    <n v="0.26"/>
    <n v="0.05"/>
    <n v="0"/>
    <n v="0"/>
    <n v="60"/>
    <n v="10.8"/>
    <n v="71.11"/>
    <n v="2024"/>
    <n v="1"/>
    <x v="0"/>
    <n v="10"/>
    <n v="10"/>
    <s v="202310"/>
    <s v="Jan-24"/>
    <n v="18.89"/>
    <n v="1.8890000000000001E-2"/>
  </r>
  <r>
    <d v="2024-01-29T00:00:00"/>
    <s v="OPT-NIFSEL-29-Jan-2024-10450-P-E-I"/>
    <s v="NSE"/>
    <s v="Buy"/>
    <n v="150"/>
    <n v="0"/>
    <n v="2.2000000000000002"/>
    <n v="330"/>
    <s v="#202401293700012467"/>
    <n v="0"/>
    <n v="0.17"/>
    <n v="0.02"/>
    <n v="0"/>
    <n v="40"/>
    <n v="7.24"/>
    <n v="47.43"/>
    <n v="2024"/>
    <n v="1"/>
    <x v="0"/>
    <n v="10"/>
    <n v="10"/>
    <s v="202310"/>
    <s v="Jan-24"/>
    <n v="-377.43"/>
    <n v="-0.37742999999999999"/>
  </r>
  <r>
    <d v="2024-01-29T00:00:00"/>
    <s v="OPT-NIFTY-01-Feb-2024-21500-P-E-I"/>
    <s v="NSE"/>
    <s v="Buy"/>
    <n v="50"/>
    <n v="0"/>
    <n v="105.45"/>
    <n v="5272.5"/>
    <s v="#202401293700011964"/>
    <n v="0"/>
    <n v="2.66"/>
    <n v="0"/>
    <n v="0.01"/>
    <n v="20"/>
    <n v="4.08"/>
    <n v="26.75"/>
    <n v="2024"/>
    <n v="1"/>
    <x v="0"/>
    <n v="10"/>
    <n v="10"/>
    <s v="202310"/>
    <s v="Jan-24"/>
    <n v="-5299.25"/>
    <n v="-5.2992499999999998"/>
  </r>
  <r>
    <d v="2024-01-29T00:00:00"/>
    <s v="OPT-NIFSEL-29-Jan-2024-10450-P-E-I"/>
    <s v="NSE"/>
    <s v="Buy"/>
    <n v="75"/>
    <n v="0"/>
    <n v="3.55"/>
    <n v="266.25"/>
    <s v="#202401293700011420"/>
    <n v="0"/>
    <n v="0.13"/>
    <n v="0"/>
    <n v="0"/>
    <n v="20"/>
    <n v="3.62"/>
    <n v="23.75"/>
    <n v="2024"/>
    <n v="1"/>
    <x v="0"/>
    <n v="10"/>
    <n v="10"/>
    <s v="202310"/>
    <s v="Jan-24"/>
    <n v="-290"/>
    <n v="-0.28999999999999998"/>
  </r>
  <r>
    <d v="2024-01-29T00:00:00"/>
    <s v="OPT-NIFTY-01-Feb-2024-21500-P-E-I"/>
    <s v="NSE"/>
    <s v="Buy"/>
    <n v="50"/>
    <n v="0"/>
    <n v="120"/>
    <n v="6000"/>
    <s v="#202401293700010256"/>
    <n v="0"/>
    <n v="3.03"/>
    <n v="0"/>
    <n v="0.01"/>
    <n v="20"/>
    <n v="4.1399999999999997"/>
    <n v="27.18"/>
    <n v="2024"/>
    <n v="1"/>
    <x v="0"/>
    <n v="10"/>
    <n v="10"/>
    <s v="202310"/>
    <s v="Jan-24"/>
    <n v="-6027.18"/>
    <n v="-6.0271800000000004"/>
  </r>
  <r>
    <d v="2024-01-29T00:00:00"/>
    <s v="OPT-NIFTY-01-Feb-2024-21500-P-E-I"/>
    <s v="NSE"/>
    <s v="Sell"/>
    <n v="50"/>
    <n v="0"/>
    <n v="117.75"/>
    <n v="5887.5"/>
    <s v="#202401293700007052"/>
    <n v="3.68"/>
    <n v="2.97"/>
    <n v="0"/>
    <n v="0.01"/>
    <n v="20"/>
    <n v="4.1399999999999997"/>
    <n v="30.8"/>
    <n v="2024"/>
    <n v="1"/>
    <x v="0"/>
    <n v="10"/>
    <n v="10"/>
    <s v="202310"/>
    <s v="Jan-24"/>
    <n v="5856.7"/>
    <n v="5.8567"/>
  </r>
  <r>
    <d v="2024-01-29T00:00:00"/>
    <s v="OPT-NIFTY-01-Feb-2024-21500-P-E-I"/>
    <s v="NSE"/>
    <s v="Buy"/>
    <n v="50"/>
    <n v="0"/>
    <n v="114.2"/>
    <n v="5710"/>
    <s v="#202401293700005726"/>
    <n v="0"/>
    <n v="2.88"/>
    <n v="0.96"/>
    <n v="0.01"/>
    <n v="20"/>
    <n v="4.12"/>
    <n v="27.97"/>
    <n v="2024"/>
    <n v="1"/>
    <x v="0"/>
    <n v="10"/>
    <n v="10"/>
    <s v="202310"/>
    <s v="Jan-24"/>
    <n v="-5737.97"/>
    <n v="-5.7379700000000007"/>
  </r>
  <r>
    <d v="2024-01-29T00:00:00"/>
    <s v="OPT-NIFSEL-29-Jan-2024-10600-C-E-I"/>
    <s v="NSE"/>
    <s v="Sell"/>
    <n v="75"/>
    <n v="0"/>
    <n v="18.55"/>
    <n v="1391.25"/>
    <s v="#202401293700004864"/>
    <n v="0.87"/>
    <n v="0.7"/>
    <n v="0"/>
    <n v="0"/>
    <n v="20"/>
    <n v="3.72"/>
    <n v="25.29"/>
    <n v="2024"/>
    <n v="1"/>
    <x v="0"/>
    <n v="10"/>
    <n v="10"/>
    <s v="202310"/>
    <s v="Jan-24"/>
    <n v="1365.96"/>
    <n v="1.3659600000000001"/>
  </r>
  <r>
    <d v="2024-01-29T00:00:00"/>
    <s v="OPT-NIFSEL-29-Jan-2024-10600-C-E-I"/>
    <s v="NSE"/>
    <s v="Sell"/>
    <n v="75"/>
    <n v="0"/>
    <n v="18.55"/>
    <n v="1391.25"/>
    <s v="#202401293700004771"/>
    <n v="0.87"/>
    <n v="0.7"/>
    <n v="0"/>
    <n v="0"/>
    <n v="20"/>
    <n v="3.72"/>
    <n v="25.29"/>
    <n v="2024"/>
    <n v="1"/>
    <x v="0"/>
    <n v="10"/>
    <n v="10"/>
    <s v="202310"/>
    <s v="Jan-24"/>
    <n v="1365.96"/>
    <n v="1.3659600000000001"/>
  </r>
  <r>
    <d v="2024-01-29T00:00:00"/>
    <s v="OPT-NIFSEL-29-Jan-2024-10600-C-E-I"/>
    <s v="NSE"/>
    <s v="Buy"/>
    <n v="75"/>
    <n v="0"/>
    <n v="3.45"/>
    <n v="258.75"/>
    <s v="#202401293700001543"/>
    <n v="0"/>
    <n v="0.13"/>
    <n v="0"/>
    <n v="0"/>
    <n v="20"/>
    <n v="3.62"/>
    <n v="23.75"/>
    <n v="2024"/>
    <n v="1"/>
    <x v="0"/>
    <n v="10"/>
    <n v="10"/>
    <s v="202310"/>
    <s v="Jan-24"/>
    <n v="-282.5"/>
    <n v="-0.28249999999999997"/>
  </r>
  <r>
    <d v="2024-01-29T00:00:00"/>
    <s v="OPT-NIFSEL-29-Jan-2024-10600-C-E-I"/>
    <s v="NSE"/>
    <s v="Buy"/>
    <n v="75"/>
    <n v="0"/>
    <n v="3.55"/>
    <n v="266.25"/>
    <s v="#202401293700001118"/>
    <n v="0"/>
    <n v="0.13"/>
    <n v="0.02"/>
    <n v="0"/>
    <n v="20"/>
    <n v="3.62"/>
    <n v="23.77"/>
    <n v="2024"/>
    <n v="1"/>
    <x v="0"/>
    <n v="10"/>
    <n v="10"/>
    <s v="202310"/>
    <s v="Jan-24"/>
    <n v="-290.02"/>
    <n v="-0.29002"/>
  </r>
  <r>
    <d v="2024-01-30T00:00:00"/>
    <s v="OPT-NIFTY-01-Feb-2024-21700-P-E-I"/>
    <s v="NSE"/>
    <s v="Sell"/>
    <n v="50"/>
    <n v="0"/>
    <n v="161.15"/>
    <n v="8057.5"/>
    <s v="#202401304500007011"/>
    <n v="5.04"/>
    <n v="4.07"/>
    <n v="0"/>
    <n v="0.01"/>
    <n v="20"/>
    <n v="4.34"/>
    <n v="33.46"/>
    <n v="2024"/>
    <n v="1"/>
    <x v="0"/>
    <n v="10"/>
    <n v="10"/>
    <s v="202310"/>
    <s v="Jan-24"/>
    <n v="8024.04"/>
    <n v="8.0240399999999994"/>
  </r>
  <r>
    <d v="2024-01-30T00:00:00"/>
    <s v="OPT-NIFTY-01-Feb-2024-21700-P-E-I"/>
    <s v="NSE"/>
    <s v="Buy"/>
    <n v="50"/>
    <n v="0"/>
    <n v="137.94999999999999"/>
    <n v="6897.5"/>
    <s v="#202401304500004896"/>
    <n v="0"/>
    <n v="3.48"/>
    <n v="0.21"/>
    <n v="0.01"/>
    <n v="20"/>
    <n v="4.22"/>
    <n v="27.92"/>
    <n v="2024"/>
    <n v="1"/>
    <x v="0"/>
    <n v="10"/>
    <n v="10"/>
    <s v="202310"/>
    <s v="Jan-24"/>
    <n v="-6925.42"/>
    <n v="-6.9254199999999999"/>
  </r>
  <r>
    <d v="2024-01-30T00:00:00"/>
    <s v="OPT-NIFFIN-30-Jan-2024-20300-P-E-I"/>
    <s v="NSE"/>
    <s v="Sell"/>
    <n v="40"/>
    <n v="0"/>
    <n v="33.299999999999997"/>
    <n v="1332"/>
    <s v="#202401304500004622"/>
    <n v="0.47"/>
    <n v="0.67"/>
    <n v="0"/>
    <n v="0"/>
    <n v="20"/>
    <n v="3.72"/>
    <n v="24.86"/>
    <n v="2024"/>
    <n v="1"/>
    <x v="0"/>
    <n v="10"/>
    <n v="10"/>
    <s v="202310"/>
    <s v="Jan-24"/>
    <n v="1307.1400000000001"/>
    <n v="1.3071400000000002"/>
  </r>
  <r>
    <d v="2024-01-30T00:00:00"/>
    <s v="OPT-NIFFIN-30-Jan-2024-20300-P-E-I"/>
    <s v="NSE"/>
    <s v="Sell"/>
    <n v="40"/>
    <n v="0"/>
    <n v="33.5"/>
    <n v="1340"/>
    <s v="#202401304500004527"/>
    <n v="0.84"/>
    <n v="0.68"/>
    <n v="0"/>
    <n v="0"/>
    <n v="20"/>
    <n v="3.72"/>
    <n v="25.24"/>
    <n v="2024"/>
    <n v="1"/>
    <x v="0"/>
    <n v="10"/>
    <n v="10"/>
    <s v="202310"/>
    <s v="Jan-24"/>
    <n v="1314.76"/>
    <n v="1.3147599999999999"/>
  </r>
  <r>
    <d v="2024-01-30T00:00:00"/>
    <s v="OPT-NIFFIN-30-Jan-2024-20300-P-E-I"/>
    <s v="NSE"/>
    <s v="Sell"/>
    <n v="40"/>
    <n v="0"/>
    <n v="41.25"/>
    <n v="1650"/>
    <s v="#202401304500003924"/>
    <n v="1.03"/>
    <n v="0.83"/>
    <n v="0"/>
    <n v="0"/>
    <n v="20"/>
    <n v="3.74"/>
    <n v="25.6"/>
    <n v="2024"/>
    <n v="1"/>
    <x v="0"/>
    <n v="10"/>
    <n v="10"/>
    <s v="202310"/>
    <s v="Jan-24"/>
    <n v="1624.4"/>
    <n v="1.6244000000000001"/>
  </r>
  <r>
    <d v="2024-01-30T00:00:00"/>
    <s v="OPT-NIFFIN-30-Jan-2024-20300-P-E-I"/>
    <s v="NSE"/>
    <s v="Sell"/>
    <n v="40"/>
    <n v="0"/>
    <n v="35.700000000000003"/>
    <n v="1428"/>
    <s v="#202401304500003453"/>
    <n v="0.89"/>
    <n v="0.72"/>
    <n v="0"/>
    <n v="0"/>
    <n v="20"/>
    <n v="3.72"/>
    <n v="25.33"/>
    <n v="2024"/>
    <n v="1"/>
    <x v="0"/>
    <n v="10"/>
    <n v="10"/>
    <s v="202310"/>
    <s v="Jan-24"/>
    <n v="1402.67"/>
    <n v="1.4026700000000001"/>
  </r>
  <r>
    <d v="2024-01-30T00:00:00"/>
    <s v="OPT-NIFFIN-30-Jan-2024-20300-P-E-I"/>
    <s v="NSE"/>
    <s v="Sell"/>
    <n v="40"/>
    <n v="0"/>
    <n v="34.9"/>
    <n v="1396"/>
    <s v="#202401304500003418"/>
    <n v="0.87"/>
    <n v="0.7"/>
    <n v="0"/>
    <n v="0"/>
    <n v="20"/>
    <n v="3.72"/>
    <n v="25.29"/>
    <n v="2024"/>
    <n v="1"/>
    <x v="0"/>
    <n v="10"/>
    <n v="10"/>
    <s v="202310"/>
    <s v="Jan-24"/>
    <n v="1370.71"/>
    <n v="1.3707100000000001"/>
  </r>
  <r>
    <d v="2024-01-30T00:00:00"/>
    <s v="OPT-NIFFIN-30-Jan-2024-20300-P-E-I"/>
    <s v="NSE"/>
    <s v="Sell"/>
    <n v="40"/>
    <n v="0"/>
    <n v="34.549999999999997"/>
    <n v="1382"/>
    <s v="#202401304500003415"/>
    <n v="0.86"/>
    <n v="0.7"/>
    <n v="0"/>
    <n v="0"/>
    <n v="20"/>
    <n v="3.72"/>
    <n v="25.28"/>
    <n v="2024"/>
    <n v="1"/>
    <x v="0"/>
    <n v="10"/>
    <n v="10"/>
    <s v="202310"/>
    <s v="Jan-24"/>
    <n v="1356.72"/>
    <n v="1.3567199999999999"/>
  </r>
  <r>
    <d v="2024-01-30T00:00:00"/>
    <s v="OPT-NIFFIN-30-Jan-2024-20300-P-E-I"/>
    <s v="NSE"/>
    <s v="Buy"/>
    <n v="40"/>
    <n v="0"/>
    <n v="44.25"/>
    <n v="1770"/>
    <s v="#202401304500002794"/>
    <n v="0"/>
    <n v="0.89"/>
    <n v="0"/>
    <n v="0"/>
    <n v="20"/>
    <n v="3.76"/>
    <n v="24.65"/>
    <n v="2024"/>
    <n v="1"/>
    <x v="0"/>
    <n v="10"/>
    <n v="10"/>
    <s v="202310"/>
    <s v="Jan-24"/>
    <n v="-1794.65"/>
    <n v="-1.7946500000000001"/>
  </r>
  <r>
    <d v="2024-01-30T00:00:00"/>
    <s v="OPT-NIFFIN-30-Jan-2024-20300-P-E-I"/>
    <s v="NSE"/>
    <s v="Buy"/>
    <n v="40"/>
    <n v="0"/>
    <n v="48.5"/>
    <n v="1940"/>
    <s v="#202401304500002207"/>
    <n v="0"/>
    <n v="0.98"/>
    <n v="0"/>
    <n v="0"/>
    <n v="20"/>
    <n v="3.78"/>
    <n v="24.76"/>
    <n v="2024"/>
    <n v="1"/>
    <x v="0"/>
    <n v="10"/>
    <n v="10"/>
    <s v="202310"/>
    <s v="Jan-24"/>
    <n v="-1964.76"/>
    <n v="-1.9647600000000001"/>
  </r>
  <r>
    <d v="2024-01-30T00:00:00"/>
    <s v="OPT-NIFFIN-30-Jan-2024-20300-P-E-I"/>
    <s v="NSE"/>
    <s v="Buy"/>
    <n v="40"/>
    <n v="0"/>
    <n v="45.85"/>
    <n v="1834"/>
    <s v="#202401304500001436"/>
    <n v="0"/>
    <n v="0.93"/>
    <n v="0.79"/>
    <n v="0"/>
    <n v="20"/>
    <n v="3.76"/>
    <n v="25.48"/>
    <n v="2024"/>
    <n v="1"/>
    <x v="0"/>
    <n v="10"/>
    <n v="10"/>
    <s v="202310"/>
    <s v="Jan-24"/>
    <n v="-1859.48"/>
    <n v="-1.85948"/>
  </r>
  <r>
    <d v="2024-01-30T00:00:00"/>
    <s v="OPT-NIFFIN-30-Jan-2024-20300-P-E-I"/>
    <s v="NSE"/>
    <s v="Buy"/>
    <n v="40"/>
    <n v="0"/>
    <n v="48.35"/>
    <n v="1934"/>
    <s v="#202401304500000968"/>
    <n v="0"/>
    <n v="0.98"/>
    <n v="0"/>
    <n v="0"/>
    <n v="20"/>
    <n v="3.78"/>
    <n v="24.76"/>
    <n v="2024"/>
    <n v="1"/>
    <x v="0"/>
    <n v="10"/>
    <n v="10"/>
    <s v="202310"/>
    <s v="Jan-24"/>
    <n v="-1958.76"/>
    <n v="-1.9587600000000001"/>
  </r>
  <r>
    <d v="2024-01-30T00:00:00"/>
    <s v="OPT-NIFFIN-30-Jan-2024-20300-P-E-I"/>
    <s v="NSE"/>
    <s v="Buy"/>
    <n v="40"/>
    <n v="0"/>
    <n v="51.4"/>
    <n v="2056"/>
    <s v="#202401304500000931"/>
    <n v="0"/>
    <n v="1.04"/>
    <n v="0"/>
    <n v="0"/>
    <n v="20"/>
    <n v="3.78"/>
    <n v="24.82"/>
    <n v="2024"/>
    <n v="1"/>
    <x v="0"/>
    <n v="10"/>
    <n v="10"/>
    <s v="202310"/>
    <s v="Jan-24"/>
    <n v="-2080.8200000000002"/>
    <n v="-2.0808200000000001"/>
  </r>
  <r>
    <d v="2024-01-30T00:00:00"/>
    <s v="OPT-NIFFIN-30-Jan-2024-20300-P-E-I"/>
    <s v="NSE"/>
    <s v="Buy"/>
    <n v="40"/>
    <n v="0"/>
    <n v="52.5"/>
    <n v="2100"/>
    <s v="#202401304500000927"/>
    <n v="0"/>
    <n v="1.06"/>
    <n v="0"/>
    <n v="0"/>
    <n v="20"/>
    <n v="3.8"/>
    <n v="24.86"/>
    <n v="2024"/>
    <n v="1"/>
    <x v="0"/>
    <n v="10"/>
    <n v="10"/>
    <s v="202310"/>
    <s v="Jan-24"/>
    <n v="-2124.86"/>
    <n v="-2.12486"/>
  </r>
  <r>
    <d v="2024-01-31T00:00:00"/>
    <s v="OPT-CNXBAN-31-Jan-2024-46100-P-E-I"/>
    <s v="NSE"/>
    <s v="Sell"/>
    <n v="540"/>
    <n v="0"/>
    <n v="192.8"/>
    <n v="104112"/>
    <s v="#202401313700017720"/>
    <n v="65.010000000000005"/>
    <n v="52.57"/>
    <n v="0"/>
    <n v="0.11"/>
    <n v="720"/>
    <n v="139.08000000000001"/>
    <n v="976.77"/>
    <n v="2024"/>
    <n v="1"/>
    <x v="0"/>
    <n v="10"/>
    <n v="10"/>
    <s v="202310"/>
    <s v="Jan-24"/>
    <n v="103135.23"/>
    <n v="103.13522999999999"/>
  </r>
  <r>
    <d v="2024-01-31T00:00:00"/>
    <s v="OPT-CNXBAN-31-Jan-2024-46100-P-E-I"/>
    <s v="NSE"/>
    <s v="Buy"/>
    <n v="75"/>
    <n v="0"/>
    <n v="92"/>
    <n v="6900"/>
    <s v="#202401313700016090"/>
    <n v="0"/>
    <n v="3.49"/>
    <n v="0"/>
    <n v="0.01"/>
    <n v="100"/>
    <n v="18.62"/>
    <n v="122.12"/>
    <n v="2024"/>
    <n v="1"/>
    <x v="0"/>
    <n v="10"/>
    <n v="10"/>
    <s v="202310"/>
    <s v="Jan-24"/>
    <n v="-7022.12"/>
    <n v="-7.0221200000000001"/>
  </r>
  <r>
    <d v="2024-01-31T00:00:00"/>
    <s v="OPT-CNXBAN-31-Jan-2024-46100-P-E-I"/>
    <s v="NSE"/>
    <s v="Buy"/>
    <n v="75"/>
    <n v="0"/>
    <n v="90.55"/>
    <n v="6791.25"/>
    <s v="#202401313700015820"/>
    <n v="0"/>
    <n v="3.45"/>
    <n v="0"/>
    <n v="0"/>
    <n v="100"/>
    <n v="18.600000000000001"/>
    <n v="122.05"/>
    <n v="2024"/>
    <n v="1"/>
    <x v="0"/>
    <n v="10"/>
    <n v="10"/>
    <s v="202310"/>
    <s v="Jan-24"/>
    <n v="-6913.3"/>
    <n v="-6.9133000000000004"/>
  </r>
  <r>
    <d v="2024-01-31T00:00:00"/>
    <s v="OPT-CNXBAN-31-Jan-2024-46100-P-E-I"/>
    <s v="NSE"/>
    <s v="Buy"/>
    <n v="90"/>
    <n v="0"/>
    <n v="94.11"/>
    <n v="8469.75"/>
    <s v="#202401313700015591"/>
    <n v="0"/>
    <n v="4.2699999999999996"/>
    <n v="0"/>
    <n v="0.01"/>
    <n v="120"/>
    <n v="22.36"/>
    <n v="146.63999999999999"/>
    <n v="2024"/>
    <n v="1"/>
    <x v="0"/>
    <n v="10"/>
    <n v="10"/>
    <s v="202310"/>
    <s v="Jan-24"/>
    <n v="-8616.39"/>
    <n v="-8.6163899999999991"/>
  </r>
  <r>
    <d v="2024-01-31T00:00:00"/>
    <s v="OPT-CNXBAN-31-Jan-2024-46100-P-E-I"/>
    <s v="NSE"/>
    <s v="Buy"/>
    <n v="75"/>
    <n v="0"/>
    <n v="103.8"/>
    <n v="7785"/>
    <s v="#202401313700015453"/>
    <n v="0"/>
    <n v="3.94"/>
    <n v="0"/>
    <n v="0.01"/>
    <n v="100"/>
    <n v="18.7"/>
    <n v="122.65"/>
    <n v="2024"/>
    <n v="1"/>
    <x v="0"/>
    <n v="10"/>
    <n v="10"/>
    <s v="202310"/>
    <s v="Jan-24"/>
    <n v="-7907.65"/>
    <n v="-7.9076499999999994"/>
  </r>
  <r>
    <d v="2024-01-31T00:00:00"/>
    <s v="OPT-CNXBAN-31-Jan-2024-46100-P-E-I"/>
    <s v="NSE"/>
    <s v="Buy"/>
    <n v="210"/>
    <n v="0"/>
    <n v="103.1"/>
    <n v="21651"/>
    <s v="#202401313700015234"/>
    <n v="0"/>
    <n v="10.93"/>
    <n v="2"/>
    <n v="0.02"/>
    <n v="280"/>
    <n v="52.38"/>
    <n v="345.33"/>
    <n v="2024"/>
    <n v="1"/>
    <x v="0"/>
    <n v="10"/>
    <n v="10"/>
    <s v="202310"/>
    <s v="Jan-24"/>
    <n v="-21996.33"/>
    <n v="-21.99633"/>
  </r>
  <r>
    <d v="2024-01-31T00:00:00"/>
    <s v="OPT-CNXBAN-31-Jan-2024-46100-P-E-I"/>
    <s v="NSE"/>
    <s v="Buy"/>
    <n v="15"/>
    <n v="0"/>
    <n v="103.2"/>
    <n v="1548"/>
    <s v="#202401313700015147"/>
    <n v="0"/>
    <n v="0.78"/>
    <n v="0"/>
    <n v="0"/>
    <n v="20"/>
    <n v="3.74"/>
    <n v="24.52"/>
    <n v="2024"/>
    <n v="1"/>
    <x v="0"/>
    <n v="10"/>
    <n v="10"/>
    <s v="202310"/>
    <s v="Jan-24"/>
    <n v="-1572.52"/>
    <n v="-1.5725199999999999"/>
  </r>
  <r>
    <d v="2024-02-01T00:00:00"/>
    <s v="OPT-CNXBAN-07-Feb-2024-45800-P-E-I"/>
    <s v="NSE"/>
    <s v="Sell"/>
    <n v="330"/>
    <n v="0"/>
    <n v="432.88"/>
    <n v="142851.75"/>
    <s v="#202402013700022935"/>
    <n v="89.29"/>
    <n v="72.14"/>
    <n v="0"/>
    <n v="0.14000000000000001"/>
    <n v="440"/>
    <n v="92.2"/>
    <n v="693.77"/>
    <n v="2024"/>
    <n v="2"/>
    <x v="0"/>
    <n v="11"/>
    <n v="11"/>
    <s v="202311"/>
    <s v="Feb-24"/>
    <n v="142157.98000000001"/>
    <n v="142.15798000000001"/>
  </r>
  <r>
    <d v="2024-02-01T00:00:00"/>
    <s v="OPT-CNXBAN-07-Feb-2024-45800-P-E-I"/>
    <s v="NSE"/>
    <s v="Buy"/>
    <n v="45"/>
    <n v="0"/>
    <n v="327.75"/>
    <n v="14748.75"/>
    <s v="#202402013700019042"/>
    <n v="0"/>
    <n v="7.45"/>
    <n v="0"/>
    <n v="0.01"/>
    <n v="60"/>
    <n v="12.14"/>
    <n v="79.599999999999994"/>
    <n v="2024"/>
    <n v="2"/>
    <x v="0"/>
    <n v="11"/>
    <n v="11"/>
    <s v="202311"/>
    <s v="Feb-24"/>
    <n v="-14828.35"/>
    <n v="-14.82835"/>
  </r>
  <r>
    <d v="2024-02-01T00:00:00"/>
    <s v="OPT-CNXBAN-07-Feb-2024-45800-P-E-I"/>
    <s v="NSE"/>
    <s v="Buy"/>
    <n v="30"/>
    <n v="0"/>
    <n v="355.3"/>
    <n v="10659"/>
    <s v="#202402013700018850"/>
    <n v="0"/>
    <n v="5.38"/>
    <n v="0"/>
    <n v="0.01"/>
    <n v="40"/>
    <n v="8.18"/>
    <n v="53.57"/>
    <n v="2024"/>
    <n v="2"/>
    <x v="0"/>
    <n v="11"/>
    <n v="11"/>
    <s v="202311"/>
    <s v="Feb-24"/>
    <n v="-10712.57"/>
    <n v="-10.712569999999999"/>
  </r>
  <r>
    <d v="2024-02-01T00:00:00"/>
    <s v="OPT-CNXBAN-07-Feb-2024-45800-P-E-I"/>
    <s v="NSE"/>
    <s v="Buy"/>
    <n v="30"/>
    <n v="0"/>
    <n v="401.85"/>
    <n v="12055.5"/>
    <s v="#202402013700018265"/>
    <n v="0"/>
    <n v="6.09"/>
    <n v="0"/>
    <n v="0.01"/>
    <n v="40"/>
    <n v="8.3000000000000007"/>
    <n v="54.4"/>
    <n v="2024"/>
    <n v="2"/>
    <x v="0"/>
    <n v="11"/>
    <n v="11"/>
    <s v="202311"/>
    <s v="Feb-24"/>
    <n v="-12109.9"/>
    <n v="-12.1099"/>
  </r>
  <r>
    <d v="2024-02-01T00:00:00"/>
    <s v="OPT-CNXBAN-07-Feb-2024-45800-P-E-I"/>
    <s v="NSE"/>
    <s v="Buy"/>
    <n v="75"/>
    <n v="0"/>
    <n v="409.95"/>
    <n v="30746.25"/>
    <s v="#202402013700017520"/>
    <n v="0"/>
    <n v="15.53"/>
    <n v="0"/>
    <n v="0.03"/>
    <n v="100"/>
    <n v="20.8"/>
    <n v="136.36000000000001"/>
    <n v="2024"/>
    <n v="2"/>
    <x v="0"/>
    <n v="11"/>
    <n v="11"/>
    <s v="202311"/>
    <s v="Feb-24"/>
    <n v="-30882.61"/>
    <n v="-30.88261"/>
  </r>
  <r>
    <d v="2024-02-01T00:00:00"/>
    <s v="OPT-CNXBAN-07-Feb-2024-45800-P-E-I"/>
    <s v="NSE"/>
    <s v="Buy"/>
    <n v="75"/>
    <n v="0"/>
    <n v="418.81"/>
    <n v="31410.75"/>
    <s v="#202402013700017329"/>
    <n v="0"/>
    <n v="15.86"/>
    <n v="3.75"/>
    <n v="0.04"/>
    <n v="100"/>
    <n v="20.86"/>
    <n v="140.51"/>
    <n v="2024"/>
    <n v="2"/>
    <x v="0"/>
    <n v="11"/>
    <n v="11"/>
    <s v="202311"/>
    <s v="Feb-24"/>
    <n v="-31551.26"/>
    <n v="-31.551259999999999"/>
  </r>
  <r>
    <d v="2024-02-01T00:00:00"/>
    <s v="OPT-CNXBAN-07-Feb-2024-45800-P-E-I"/>
    <s v="NSE"/>
    <s v="Buy"/>
    <n v="60"/>
    <n v="0"/>
    <n v="431.9"/>
    <n v="25914"/>
    <s v="#202402013700017148"/>
    <n v="0"/>
    <n v="13.08"/>
    <n v="0"/>
    <n v="0.02"/>
    <n v="80"/>
    <n v="16.760000000000002"/>
    <n v="109.86"/>
    <n v="2024"/>
    <n v="2"/>
    <x v="0"/>
    <n v="11"/>
    <n v="11"/>
    <s v="202311"/>
    <s v="Feb-24"/>
    <n v="-26023.86"/>
    <n v="-26.023859999999999"/>
  </r>
  <r>
    <d v="2024-02-01T00:00:00"/>
    <s v="OPT-CNXBAN-07-Feb-2024-45800-P-E-I"/>
    <s v="NSE"/>
    <s v="Buy"/>
    <n v="15"/>
    <n v="0"/>
    <n v="427.35"/>
    <n v="6410.25"/>
    <s v="#202402013700017013"/>
    <n v="0"/>
    <n v="3.24"/>
    <n v="0"/>
    <n v="0.01"/>
    <n v="20"/>
    <n v="4.18"/>
    <n v="27.43"/>
    <n v="2024"/>
    <n v="2"/>
    <x v="0"/>
    <n v="11"/>
    <n v="11"/>
    <s v="202311"/>
    <s v="Feb-24"/>
    <n v="-6437.68"/>
    <n v="-6.4376800000000003"/>
  </r>
  <r>
    <d v="2024-02-01T00:00:00"/>
    <s v="OPT-NIFTY-01-Feb-2024-22500-C-E-I"/>
    <s v="NSE"/>
    <s v="Sell"/>
    <n v="50"/>
    <n v="0"/>
    <n v="5.4"/>
    <n v="270"/>
    <s v="#202402013700012044"/>
    <n v="0.33"/>
    <n v="0.14000000000000001"/>
    <n v="0"/>
    <n v="0"/>
    <n v="20"/>
    <n v="3.62"/>
    <n v="24.09"/>
    <n v="2024"/>
    <n v="2"/>
    <x v="0"/>
    <n v="11"/>
    <n v="11"/>
    <s v="202311"/>
    <s v="Feb-24"/>
    <n v="245.91"/>
    <n v="0.24590999999999999"/>
  </r>
  <r>
    <d v="2024-02-01T00:00:00"/>
    <s v="OPT-NIFTY-01-Feb-2024-22500-C-E-I"/>
    <s v="NSE"/>
    <s v="Sell"/>
    <n v="50"/>
    <n v="0"/>
    <n v="5.4"/>
    <n v="270"/>
    <s v="#202402013700012043"/>
    <n v="0.17"/>
    <n v="0.14000000000000001"/>
    <n v="0"/>
    <n v="0"/>
    <n v="20"/>
    <n v="3.62"/>
    <n v="23.93"/>
    <n v="2024"/>
    <n v="2"/>
    <x v="0"/>
    <n v="11"/>
    <n v="11"/>
    <s v="202311"/>
    <s v="Feb-24"/>
    <n v="246.07"/>
    <n v="0.24606999999999998"/>
  </r>
  <r>
    <d v="2024-02-01T00:00:00"/>
    <s v="OPT-NIFTY-01-Feb-2024-22500-C-E-I"/>
    <s v="NSE"/>
    <s v="Buy"/>
    <n v="50"/>
    <n v="0"/>
    <n v="5.3"/>
    <n v="265"/>
    <s v="#202402013700011260"/>
    <n v="0"/>
    <n v="0.13"/>
    <n v="0"/>
    <n v="0"/>
    <n v="20"/>
    <n v="3.62"/>
    <n v="23.75"/>
    <n v="2024"/>
    <n v="2"/>
    <x v="0"/>
    <n v="11"/>
    <n v="11"/>
    <s v="202311"/>
    <s v="Feb-24"/>
    <n v="-288.75"/>
    <n v="-0.28875000000000001"/>
  </r>
  <r>
    <d v="2024-02-01T00:00:00"/>
    <s v="OPT-NIFTY-01-Feb-2024-22500-C-E-I"/>
    <s v="NSE"/>
    <s v="Buy"/>
    <n v="50"/>
    <n v="0"/>
    <n v="5.0999999999999996"/>
    <n v="255"/>
    <s v="#202402013700011236"/>
    <n v="0"/>
    <n v="0.13"/>
    <n v="0.02"/>
    <n v="0"/>
    <n v="20"/>
    <n v="3.62"/>
    <n v="23.77"/>
    <n v="2024"/>
    <n v="2"/>
    <x v="0"/>
    <n v="11"/>
    <n v="11"/>
    <s v="202311"/>
    <s v="Feb-24"/>
    <n v="-278.77"/>
    <n v="-0.27876999999999996"/>
  </r>
  <r>
    <d v="2024-02-01T00:00:00"/>
    <s v="OPT-NIFTY-01-Feb-2024-21800-C-E-I"/>
    <s v="NSE"/>
    <s v="Sell"/>
    <n v="150"/>
    <n v="0"/>
    <n v="97.9"/>
    <n v="14685"/>
    <s v="#202402013700009806"/>
    <n v="9.18"/>
    <n v="7.42"/>
    <n v="0"/>
    <n v="0.01"/>
    <n v="60"/>
    <n v="12.14"/>
    <n v="88.75"/>
    <n v="2024"/>
    <n v="2"/>
    <x v="0"/>
    <n v="11"/>
    <n v="11"/>
    <s v="202311"/>
    <s v="Feb-24"/>
    <n v="14596.25"/>
    <n v="14.59625"/>
  </r>
  <r>
    <d v="2024-02-01T00:00:00"/>
    <s v="OPT-NIFTY-01-Feb-2024-21800-C-E-I"/>
    <s v="NSE"/>
    <s v="Buy"/>
    <n v="150"/>
    <n v="0"/>
    <n v="76.05"/>
    <n v="11407.5"/>
    <s v="#202402013700008059"/>
    <n v="0"/>
    <n v="5.76"/>
    <n v="0"/>
    <n v="0.01"/>
    <n v="60"/>
    <n v="11.84"/>
    <n v="77.61"/>
    <n v="2024"/>
    <n v="2"/>
    <x v="0"/>
    <n v="11"/>
    <n v="11"/>
    <s v="202311"/>
    <s v="Feb-24"/>
    <n v="-11485.11"/>
    <n v="-11.485110000000001"/>
  </r>
  <r>
    <d v="2024-02-01T00:00:00"/>
    <s v="OPT-NIFTY-01-Feb-2024-21800-C-E-I"/>
    <s v="NSE"/>
    <s v="Sell"/>
    <n v="350"/>
    <n v="0"/>
    <n v="72"/>
    <n v="25200"/>
    <s v="#202402013700006332"/>
    <n v="15.75"/>
    <n v="12.73"/>
    <n v="0"/>
    <n v="0.03"/>
    <n v="140"/>
    <n v="27.5"/>
    <n v="196.01"/>
    <n v="2024"/>
    <n v="2"/>
    <x v="0"/>
    <n v="11"/>
    <n v="11"/>
    <s v="202311"/>
    <s v="Feb-24"/>
    <n v="25003.99"/>
    <n v="25.003990000000002"/>
  </r>
  <r>
    <d v="2024-02-01T00:00:00"/>
    <s v="OPT-CNXBAN-07-Feb-2024-46000-C-E-I"/>
    <s v="NSE"/>
    <s v="Sell"/>
    <n v="15"/>
    <n v="0"/>
    <n v="564.65"/>
    <n v="8469.75"/>
    <s v="#202402013700005706"/>
    <n v="5.29"/>
    <n v="4.28"/>
    <n v="0"/>
    <n v="0.01"/>
    <n v="20"/>
    <n v="4.38"/>
    <n v="33.96"/>
    <n v="2024"/>
    <n v="2"/>
    <x v="0"/>
    <n v="11"/>
    <n v="11"/>
    <s v="202311"/>
    <s v="Feb-24"/>
    <n v="8435.7900000000009"/>
    <n v="8.4357900000000008"/>
  </r>
  <r>
    <d v="2024-02-01T00:00:00"/>
    <s v="OPT-NIFTY-01-Feb-2024-21800-C-E-I"/>
    <s v="NSE"/>
    <s v="Buy"/>
    <n v="150"/>
    <n v="0"/>
    <n v="59"/>
    <n v="8850"/>
    <s v="#202402013700005369"/>
    <n v="0"/>
    <n v="4.47"/>
    <n v="0"/>
    <n v="0.01"/>
    <n v="60"/>
    <n v="11.6"/>
    <n v="76.08"/>
    <n v="2024"/>
    <n v="2"/>
    <x v="0"/>
    <n v="11"/>
    <n v="11"/>
    <s v="202311"/>
    <s v="Feb-24"/>
    <n v="-8926.08"/>
    <n v="-8.9260800000000007"/>
  </r>
  <r>
    <d v="2024-02-01T00:00:00"/>
    <s v="OPT-CNXBAN-07-Feb-2024-46000-C-E-I"/>
    <s v="NSE"/>
    <s v="Buy"/>
    <n v="15"/>
    <n v="0"/>
    <n v="527.9"/>
    <n v="7918.5"/>
    <s v="#202402013700005094"/>
    <n v="0"/>
    <n v="4"/>
    <n v="0.24"/>
    <n v="0.01"/>
    <n v="20"/>
    <n v="4.32"/>
    <n v="28.57"/>
    <n v="2024"/>
    <n v="2"/>
    <x v="0"/>
    <n v="11"/>
    <n v="11"/>
    <s v="202311"/>
    <s v="Feb-24"/>
    <n v="-7947.07"/>
    <n v="-7.9470700000000001"/>
  </r>
  <r>
    <d v="2024-02-01T00:00:00"/>
    <s v="OPT-NIFTY-01-Feb-2024-21800-C-E-I"/>
    <s v="NSE"/>
    <s v="Buy"/>
    <n v="150"/>
    <n v="0"/>
    <n v="63.67"/>
    <n v="9550"/>
    <s v="#202402013700004640"/>
    <n v="0"/>
    <n v="4.82"/>
    <n v="0.99"/>
    <n v="0.01"/>
    <n v="60"/>
    <n v="11.66"/>
    <n v="77.48"/>
    <n v="2024"/>
    <n v="2"/>
    <x v="0"/>
    <n v="11"/>
    <n v="11"/>
    <s v="202311"/>
    <s v="Feb-24"/>
    <n v="-9627.48"/>
    <n v="-9.6274800000000003"/>
  </r>
  <r>
    <d v="2024-02-01T00:00:00"/>
    <s v="OPT-NIFTY-01-Feb-2024-21800-C-E-I"/>
    <s v="NSE"/>
    <s v="Buy"/>
    <n v="50"/>
    <n v="0"/>
    <n v="65.400000000000006"/>
    <n v="3270"/>
    <s v="#202402013700004518"/>
    <n v="0"/>
    <n v="1.65"/>
    <n v="0"/>
    <n v="0"/>
    <n v="20"/>
    <n v="3.9"/>
    <n v="25.55"/>
    <n v="2024"/>
    <n v="2"/>
    <x v="0"/>
    <n v="11"/>
    <n v="11"/>
    <s v="202311"/>
    <s v="Feb-24"/>
    <n v="-3295.55"/>
    <n v="-3.29555"/>
  </r>
  <r>
    <d v="2024-02-02T00:00:00"/>
    <s v="OPT-HCLTEC-29-Feb-2024-1600-C-E-S"/>
    <s v="NSE"/>
    <s v="Buy"/>
    <n v="700"/>
    <n v="0"/>
    <n v="45.25"/>
    <n v="31675"/>
    <s v="#202402023700011780"/>
    <n v="0"/>
    <n v="16"/>
    <n v="0.86"/>
    <n v="0.03"/>
    <n v="20"/>
    <n v="6.48"/>
    <n v="43.37"/>
    <n v="2024"/>
    <n v="2"/>
    <x v="0"/>
    <n v="11"/>
    <n v="11"/>
    <s v="202311"/>
    <s v="Feb-24"/>
    <n v="-31718.37"/>
    <n v="-31.71837"/>
  </r>
  <r>
    <d v="2024-02-02T00:00:00"/>
    <s v="OPT-NIFTY-08-Feb-2024-21800-P-E-I"/>
    <s v="NSE"/>
    <s v="Sell"/>
    <n v="50"/>
    <n v="0"/>
    <n v="83.3"/>
    <n v="4165"/>
    <s v="#202402023700007581"/>
    <n v="3"/>
    <n v="2.1"/>
    <n v="0"/>
    <n v="0"/>
    <n v="20"/>
    <n v="3.98"/>
    <n v="29.08"/>
    <n v="2024"/>
    <n v="2"/>
    <x v="0"/>
    <n v="11"/>
    <n v="11"/>
    <s v="202311"/>
    <s v="Feb-24"/>
    <n v="4135.92"/>
    <n v="4.1359200000000005"/>
  </r>
  <r>
    <d v="2024-02-02T00:00:00"/>
    <s v="OPT-NIFTY-08-Feb-2024-21800-P-E-I"/>
    <s v="NSE"/>
    <s v="Buy"/>
    <n v="50"/>
    <n v="0"/>
    <n v="90.95"/>
    <n v="4547.5"/>
    <s v="#202402023700003395"/>
    <n v="0"/>
    <n v="2.2999999999999998"/>
    <n v="0.14000000000000001"/>
    <n v="0"/>
    <n v="20"/>
    <n v="4.0199999999999996"/>
    <n v="26.46"/>
    <n v="2024"/>
    <n v="2"/>
    <x v="0"/>
    <n v="11"/>
    <n v="11"/>
    <s v="202311"/>
    <s v="Feb-24"/>
    <n v="-4573.96"/>
    <n v="-4.5739600000000005"/>
  </r>
  <r>
    <d v="2024-02-05T00:00:00"/>
    <s v="OPT-NIFFIN-06-Feb-2024-20350-P-E-I"/>
    <s v="NSE"/>
    <s v="Sell"/>
    <n v="400"/>
    <n v="0"/>
    <n v="122.7"/>
    <n v="49080"/>
    <s v="#202402053700049655"/>
    <n v="30.68"/>
    <n v="24.78"/>
    <n v="0"/>
    <n v="0.05"/>
    <n v="200"/>
    <n v="40.46"/>
    <n v="295.97000000000003"/>
    <n v="2024"/>
    <n v="2"/>
    <x v="0"/>
    <n v="11"/>
    <n v="11"/>
    <s v="202311"/>
    <s v="Feb-24"/>
    <n v="48784.03"/>
    <n v="48.784030000000001"/>
  </r>
  <r>
    <d v="2024-02-05T00:00:00"/>
    <s v="OPT-NIFFIN-06-Feb-2024-20350-P-E-I"/>
    <s v="NSE"/>
    <s v="Buy"/>
    <n v="400"/>
    <n v="0"/>
    <n v="90.03"/>
    <n v="36012"/>
    <s v="#202402053700038894"/>
    <n v="0"/>
    <n v="18.190000000000001"/>
    <n v="2"/>
    <n v="0.03"/>
    <n v="200"/>
    <n v="39.28"/>
    <n v="259.5"/>
    <n v="2024"/>
    <n v="2"/>
    <x v="0"/>
    <n v="11"/>
    <n v="11"/>
    <s v="202311"/>
    <s v="Feb-24"/>
    <n v="-36271.5"/>
    <n v="-36.271500000000003"/>
  </r>
  <r>
    <d v="2024-02-05T00:00:00"/>
    <s v="OPT-NIFFIN-06-Feb-2024-20350-P-E-I"/>
    <s v="NSE"/>
    <s v="Sell"/>
    <n v="320"/>
    <n v="0"/>
    <n v="80"/>
    <n v="25600"/>
    <s v="#202402053700038641"/>
    <n v="16"/>
    <n v="12.93"/>
    <n v="0"/>
    <n v="0.03"/>
    <n v="160"/>
    <n v="31.14"/>
    <n v="220.1"/>
    <n v="2024"/>
    <n v="2"/>
    <x v="0"/>
    <n v="11"/>
    <n v="11"/>
    <s v="202311"/>
    <s v="Feb-24"/>
    <n v="25379.9"/>
    <n v="25.379900000000003"/>
  </r>
  <r>
    <d v="2024-02-05T00:00:00"/>
    <s v="OPT-NIFFIN-06-Feb-2024-20350-P-E-I"/>
    <s v="NSE"/>
    <s v="Buy"/>
    <n v="40"/>
    <n v="0"/>
    <n v="106.25"/>
    <n v="4250"/>
    <s v="#202402053700036149"/>
    <n v="0"/>
    <n v="2.15"/>
    <n v="0"/>
    <n v="0"/>
    <n v="20"/>
    <n v="3.98"/>
    <n v="26.13"/>
    <n v="2024"/>
    <n v="2"/>
    <x v="0"/>
    <n v="11"/>
    <n v="11"/>
    <s v="202311"/>
    <s v="Feb-24"/>
    <n v="-4276.13"/>
    <n v="-4.2761300000000002"/>
  </r>
  <r>
    <d v="2024-02-05T00:00:00"/>
    <s v="OPT-NIFFIN-06-Feb-2024-20350-P-E-I"/>
    <s v="NSE"/>
    <s v="Buy"/>
    <n v="40"/>
    <n v="0"/>
    <n v="104.75"/>
    <n v="4190"/>
    <s v="#202402053700035872"/>
    <n v="0"/>
    <n v="2.12"/>
    <n v="0"/>
    <n v="0"/>
    <n v="20"/>
    <n v="3.98"/>
    <n v="26.1"/>
    <n v="2024"/>
    <n v="2"/>
    <x v="0"/>
    <n v="11"/>
    <n v="11"/>
    <s v="202311"/>
    <s v="Feb-24"/>
    <n v="-4216.1000000000004"/>
    <n v="-4.2161"/>
  </r>
  <r>
    <d v="2024-02-05T00:00:00"/>
    <s v="OPT-NIFFIN-06-Feb-2024-20350-P-E-I"/>
    <s v="NSE"/>
    <s v="Buy"/>
    <n v="80"/>
    <n v="0"/>
    <n v="106.25"/>
    <n v="8500"/>
    <s v="#202402053700035685"/>
    <n v="0"/>
    <n v="4.29"/>
    <n v="0"/>
    <n v="0.01"/>
    <n v="40"/>
    <n v="7.98"/>
    <n v="52.28"/>
    <n v="2024"/>
    <n v="2"/>
    <x v="0"/>
    <n v="11"/>
    <n v="11"/>
    <s v="202311"/>
    <s v="Feb-24"/>
    <n v="-8552.2800000000007"/>
    <n v="-8.5522800000000014"/>
  </r>
  <r>
    <d v="2024-02-05T00:00:00"/>
    <s v="OPT-NIFFIN-06-Feb-2024-20350-P-E-I"/>
    <s v="NSE"/>
    <s v="Buy"/>
    <n v="160"/>
    <n v="0"/>
    <n v="122.2"/>
    <n v="19552"/>
    <s v="#202402053700035362"/>
    <n v="0"/>
    <n v="9.8800000000000008"/>
    <n v="0"/>
    <n v="0.01"/>
    <n v="80"/>
    <n v="16.18"/>
    <n v="106.07"/>
    <n v="2024"/>
    <n v="2"/>
    <x v="0"/>
    <n v="11"/>
    <n v="11"/>
    <s v="202311"/>
    <s v="Feb-24"/>
    <n v="-19658.07"/>
    <n v="-19.658069999999999"/>
  </r>
  <r>
    <d v="2024-02-05T00:00:00"/>
    <s v="OPT-NIFFIN-06-Feb-2024-20350-P-E-I"/>
    <s v="NSE"/>
    <s v="Sell"/>
    <n v="80"/>
    <n v="0"/>
    <n v="88"/>
    <n v="7040"/>
    <s v="#202402053700033760"/>
    <n v="4.33"/>
    <n v="3.56"/>
    <n v="0"/>
    <n v="0.01"/>
    <n v="40"/>
    <n v="7.84"/>
    <n v="55.74"/>
    <n v="2024"/>
    <n v="2"/>
    <x v="0"/>
    <n v="11"/>
    <n v="11"/>
    <s v="202311"/>
    <s v="Feb-24"/>
    <n v="6984.26"/>
    <n v="6.9842599999999999"/>
  </r>
  <r>
    <d v="2024-02-05T00:00:00"/>
    <s v="OPT-NIFFIN-06-Feb-2024-20350-P-E-I"/>
    <s v="NSE"/>
    <s v="Buy"/>
    <n v="40"/>
    <n v="0"/>
    <n v="76.5"/>
    <n v="3060"/>
    <s v="#202402053700032491"/>
    <n v="0"/>
    <n v="1.55"/>
    <n v="0"/>
    <n v="0"/>
    <n v="20"/>
    <n v="3.88"/>
    <n v="25.43"/>
    <n v="2024"/>
    <n v="2"/>
    <x v="0"/>
    <n v="11"/>
    <n v="11"/>
    <s v="202311"/>
    <s v="Feb-24"/>
    <n v="-3085.43"/>
    <n v="-3.0854299999999997"/>
  </r>
  <r>
    <d v="2024-02-05T00:00:00"/>
    <s v="OPT-NIFFIN-06-Feb-2024-20350-P-E-I"/>
    <s v="NSE"/>
    <s v="Buy"/>
    <n v="40"/>
    <n v="0"/>
    <n v="93.1"/>
    <n v="3724"/>
    <s v="#202402053700031966"/>
    <n v="0"/>
    <n v="1.88"/>
    <n v="0"/>
    <n v="0"/>
    <n v="20"/>
    <n v="3.94"/>
    <n v="25.82"/>
    <n v="2024"/>
    <n v="2"/>
    <x v="0"/>
    <n v="11"/>
    <n v="11"/>
    <s v="202311"/>
    <s v="Feb-24"/>
    <n v="-3749.82"/>
    <n v="-3.7498200000000002"/>
  </r>
  <r>
    <d v="2024-02-06T00:00:00"/>
    <s v="OPT-HCLTEC-29-Feb-2024-1600-C-E-S"/>
    <s v="NSE"/>
    <s v="Sell"/>
    <n v="700"/>
    <n v="0"/>
    <n v="50.05"/>
    <n v="35035"/>
    <s v="#202402063700021088"/>
    <n v="22"/>
    <n v="17.690000000000001"/>
    <n v="0"/>
    <n v="0.04"/>
    <n v="20"/>
    <n v="6.8"/>
    <n v="66.53"/>
    <n v="2024"/>
    <n v="2"/>
    <x v="0"/>
    <n v="11"/>
    <n v="11"/>
    <s v="202311"/>
    <s v="Feb-24"/>
    <n v="34968.47"/>
    <n v="34.968470000000003"/>
  </r>
  <r>
    <d v="2024-02-07T00:00:00"/>
    <s v="OPT-CNXBAN-07-Feb-2024-45800-C-E-I"/>
    <s v="NSE"/>
    <s v="Sell"/>
    <n v="225"/>
    <n v="0"/>
    <n v="29.25"/>
    <n v="6581.25"/>
    <s v="#202402073700021837"/>
    <n v="3.95"/>
    <n v="3.3"/>
    <n v="0"/>
    <n v="0"/>
    <n v="300"/>
    <n v="54.6"/>
    <n v="361.85"/>
    <n v="2024"/>
    <n v="2"/>
    <x v="0"/>
    <n v="11"/>
    <n v="11"/>
    <s v="202311"/>
    <s v="Feb-24"/>
    <n v="6219.4"/>
    <n v="6.2193999999999994"/>
  </r>
  <r>
    <d v="2024-02-07T00:00:00"/>
    <s v="OPT-CNXBAN-07-Feb-2024-45800-C-E-I"/>
    <s v="NSE"/>
    <s v="Buy"/>
    <n v="225"/>
    <n v="0"/>
    <n v="38"/>
    <n v="8550"/>
    <s v="#202402073700021327"/>
    <n v="0"/>
    <n v="4.32"/>
    <n v="0.26"/>
    <n v="0.01"/>
    <n v="300"/>
    <n v="54.78"/>
    <n v="359.37"/>
    <n v="2024"/>
    <n v="2"/>
    <x v="0"/>
    <n v="11"/>
    <n v="11"/>
    <s v="202311"/>
    <s v="Feb-24"/>
    <n v="-8909.3700000000008"/>
    <n v="-8.9093700000000009"/>
  </r>
  <r>
    <d v="2024-02-07T00:00:00"/>
    <s v="OPT-CNXBAN-07-Feb-2024-45900-C-E-I"/>
    <s v="NSE"/>
    <s v="Sell"/>
    <n v="135"/>
    <n v="0"/>
    <n v="14.3"/>
    <n v="1930.5"/>
    <s v="#202402073700019616"/>
    <n v="1.2"/>
    <n v="0.98"/>
    <n v="0"/>
    <n v="0"/>
    <n v="180"/>
    <n v="32.58"/>
    <n v="214.76"/>
    <n v="2024"/>
    <n v="2"/>
    <x v="0"/>
    <n v="11"/>
    <n v="11"/>
    <s v="202311"/>
    <s v="Feb-24"/>
    <n v="1715.74"/>
    <n v="1.71574"/>
  </r>
  <r>
    <d v="2024-02-07T00:00:00"/>
    <s v="OPT-CNXBAN-07-Feb-2024-45900-C-E-I"/>
    <s v="NSE"/>
    <s v="Sell"/>
    <n v="900"/>
    <n v="0"/>
    <n v="15.15"/>
    <n v="13635"/>
    <s v="#202402073700018478"/>
    <n v="8.52"/>
    <n v="6.89"/>
    <n v="0"/>
    <n v="0.02"/>
    <n v="1200"/>
    <n v="217.24"/>
    <n v="1432.67"/>
    <n v="2024"/>
    <n v="2"/>
    <x v="0"/>
    <n v="11"/>
    <n v="11"/>
    <s v="202311"/>
    <s v="Feb-24"/>
    <n v="12202.33"/>
    <n v="12.20233"/>
  </r>
  <r>
    <d v="2024-02-07T00:00:00"/>
    <s v="OPT-CNXBAN-07-Feb-2024-45900-C-E-I"/>
    <s v="NSE"/>
    <s v="Buy"/>
    <n v="345"/>
    <n v="0"/>
    <n v="16.899999999999999"/>
    <n v="5830.5"/>
    <s v="#202402073700015304"/>
    <n v="0"/>
    <n v="2.95"/>
    <n v="0"/>
    <n v="0"/>
    <n v="460"/>
    <n v="83.34"/>
    <n v="546.29"/>
    <n v="2024"/>
    <n v="2"/>
    <x v="0"/>
    <n v="11"/>
    <n v="11"/>
    <s v="202311"/>
    <s v="Feb-24"/>
    <n v="-6376.79"/>
    <n v="-6.3767899999999997"/>
  </r>
  <r>
    <d v="2024-02-07T00:00:00"/>
    <s v="OPT-CNXBAN-07-Feb-2024-45900-C-E-I"/>
    <s v="NSE"/>
    <s v="Buy"/>
    <n v="345"/>
    <n v="0"/>
    <n v="23.35"/>
    <n v="8055.75"/>
    <s v="#202402073700012883"/>
    <n v="0"/>
    <n v="4.07"/>
    <n v="0.99"/>
    <n v="0.01"/>
    <n v="460"/>
    <n v="83.54"/>
    <n v="548.61"/>
    <n v="2024"/>
    <n v="2"/>
    <x v="0"/>
    <n v="11"/>
    <n v="11"/>
    <s v="202311"/>
    <s v="Feb-24"/>
    <n v="-8604.36"/>
    <n v="-8.6043599999999998"/>
  </r>
  <r>
    <d v="2024-02-07T00:00:00"/>
    <s v="OPT-CNXBAN-07-Feb-2024-45900-C-E-I"/>
    <s v="NSE"/>
    <s v="Buy"/>
    <n v="60"/>
    <n v="0"/>
    <n v="41.6"/>
    <n v="2496"/>
    <s v="#202402073700010509"/>
    <n v="0"/>
    <n v="1.26"/>
    <n v="0"/>
    <n v="0"/>
    <n v="80"/>
    <n v="14.62"/>
    <n v="95.88"/>
    <n v="2024"/>
    <n v="2"/>
    <x v="0"/>
    <n v="11"/>
    <n v="11"/>
    <s v="202311"/>
    <s v="Feb-24"/>
    <n v="-2591.88"/>
    <n v="-2.5918800000000002"/>
  </r>
  <r>
    <d v="2024-02-07T00:00:00"/>
    <s v="OPT-CNXBAN-07-Feb-2024-45900-C-E-I"/>
    <s v="NSE"/>
    <s v="Buy"/>
    <n v="45"/>
    <n v="0"/>
    <n v="42.65"/>
    <n v="1919.25"/>
    <s v="#202402073700010460"/>
    <n v="0"/>
    <n v="0.97"/>
    <n v="0"/>
    <n v="0"/>
    <n v="60"/>
    <n v="10.98"/>
    <n v="71.95"/>
    <n v="2024"/>
    <n v="2"/>
    <x v="0"/>
    <n v="11"/>
    <n v="11"/>
    <s v="202311"/>
    <s v="Feb-24"/>
    <n v="-1991.2"/>
    <n v="-1.9912000000000001"/>
  </r>
  <r>
    <d v="2024-02-07T00:00:00"/>
    <s v="OPT-CNXBAN-07-Feb-2024-45900-C-E-I"/>
    <s v="NSE"/>
    <s v="Buy"/>
    <n v="240"/>
    <n v="0"/>
    <n v="47.09"/>
    <n v="11301"/>
    <s v="#202402073700010356"/>
    <n v="0"/>
    <n v="5.71"/>
    <n v="0"/>
    <n v="0"/>
    <n v="320"/>
    <n v="58.64"/>
    <n v="384.35"/>
    <n v="2024"/>
    <n v="2"/>
    <x v="0"/>
    <n v="11"/>
    <n v="11"/>
    <s v="202311"/>
    <s v="Feb-24"/>
    <n v="-11685.35"/>
    <n v="-11.68535"/>
  </r>
  <r>
    <d v="2024-02-07T00:00:00"/>
    <s v="OPT-NIFTY-08-Feb-2024-22000-C-E-I"/>
    <s v="NSE"/>
    <s v="Sell"/>
    <n v="250"/>
    <n v="0"/>
    <n v="85.05"/>
    <n v="21262.5"/>
    <s v="#202402073700009047"/>
    <n v="13.29"/>
    <n v="10.74"/>
    <n v="0"/>
    <n v="0.02"/>
    <n v="100"/>
    <n v="19.940000000000001"/>
    <n v="143.99"/>
    <n v="2024"/>
    <n v="2"/>
    <x v="0"/>
    <n v="11"/>
    <n v="11"/>
    <s v="202311"/>
    <s v="Feb-24"/>
    <n v="21118.51"/>
    <n v="21.118509999999997"/>
  </r>
  <r>
    <d v="2024-02-07T00:00:00"/>
    <s v="OPT-NIFTY-08-Feb-2024-22000-C-E-I"/>
    <s v="NSE"/>
    <s v="Buy"/>
    <n v="200"/>
    <n v="0"/>
    <n v="98.45"/>
    <n v="19690"/>
    <s v="#202402073700007071"/>
    <n v="0"/>
    <n v="9.94"/>
    <n v="0.75"/>
    <n v="0.02"/>
    <n v="80"/>
    <n v="16.2"/>
    <n v="106.91"/>
    <n v="2024"/>
    <n v="2"/>
    <x v="0"/>
    <n v="11"/>
    <n v="11"/>
    <s v="202311"/>
    <s v="Feb-24"/>
    <n v="-19796.91"/>
    <n v="-19.79691"/>
  </r>
  <r>
    <d v="2024-02-07T00:00:00"/>
    <s v="OPT-NIFTY-08-Feb-2024-22000-C-E-I"/>
    <s v="NSE"/>
    <s v="Buy"/>
    <n v="50"/>
    <n v="0"/>
    <n v="103.8"/>
    <n v="5190"/>
    <s v="#202402073700004645"/>
    <n v="0"/>
    <n v="2.62"/>
    <n v="0"/>
    <n v="0.01"/>
    <n v="20"/>
    <n v="4.08"/>
    <n v="26.71"/>
    <n v="2024"/>
    <n v="2"/>
    <x v="0"/>
    <n v="11"/>
    <n v="11"/>
    <s v="202311"/>
    <s v="Feb-24"/>
    <n v="-5216.71"/>
    <n v="-5.21671"/>
  </r>
  <r>
    <d v="2024-02-08T00:00:00"/>
    <s v="OPT-NIFTY-08-Feb-2024-21750-P-E-I"/>
    <s v="NSE"/>
    <s v="Sell"/>
    <n v="50"/>
    <n v="0"/>
    <n v="17.95"/>
    <n v="897.5"/>
    <s v="#202402083700018971"/>
    <n v="0.75"/>
    <n v="0.45"/>
    <n v="0"/>
    <n v="0"/>
    <n v="20"/>
    <n v="3.68"/>
    <n v="24.88"/>
    <n v="2024"/>
    <n v="2"/>
    <x v="0"/>
    <n v="11"/>
    <n v="11"/>
    <s v="202311"/>
    <s v="Feb-24"/>
    <n v="872.62"/>
    <n v="0.87261999999999995"/>
  </r>
  <r>
    <d v="2024-02-08T00:00:00"/>
    <s v="OPT-NIFTY-08-Feb-2024-21750-P-E-I"/>
    <s v="NSE"/>
    <s v="Buy"/>
    <n v="50"/>
    <n v="0"/>
    <n v="25.2"/>
    <n v="1260"/>
    <s v="#202402083700018472"/>
    <n v="0"/>
    <n v="0.64"/>
    <n v="0"/>
    <n v="0"/>
    <n v="20"/>
    <n v="3.72"/>
    <n v="24.36"/>
    <n v="2024"/>
    <n v="2"/>
    <x v="0"/>
    <n v="11"/>
    <n v="11"/>
    <s v="202311"/>
    <s v="Feb-24"/>
    <n v="-1284.3599999999999"/>
    <n v="-1.2843599999999999"/>
  </r>
  <r>
    <d v="2024-02-08T00:00:00"/>
    <s v="OPT-NIFTY-08-Feb-2024-22000-C-E-I"/>
    <s v="NSE"/>
    <s v="Sell"/>
    <n v="250"/>
    <n v="0"/>
    <n v="2.1"/>
    <n v="525"/>
    <s v="#202402083700017431"/>
    <n v="0.33"/>
    <n v="0.27"/>
    <n v="0"/>
    <n v="0"/>
    <n v="100"/>
    <n v="18.04"/>
    <n v="118.64"/>
    <n v="2024"/>
    <n v="2"/>
    <x v="0"/>
    <n v="11"/>
    <n v="11"/>
    <s v="202311"/>
    <s v="Feb-24"/>
    <n v="406.36"/>
    <n v="0.40636"/>
  </r>
  <r>
    <d v="2024-02-08T00:00:00"/>
    <s v="OPT-NIFTY-08-Feb-2024-22000-C-E-I"/>
    <s v="NSE"/>
    <s v="Sell"/>
    <n v="50"/>
    <n v="0"/>
    <n v="2.65"/>
    <n v="132.5"/>
    <s v="#202402083700016414"/>
    <n v="0.08"/>
    <n v="7.0000000000000007E-2"/>
    <n v="0"/>
    <n v="0"/>
    <n v="20"/>
    <n v="3.62"/>
    <n v="23.77"/>
    <n v="2024"/>
    <n v="2"/>
    <x v="0"/>
    <n v="11"/>
    <n v="11"/>
    <s v="202311"/>
    <s v="Feb-24"/>
    <n v="108.73"/>
    <n v="0.10873000000000001"/>
  </r>
  <r>
    <d v="2024-02-08T00:00:00"/>
    <s v="OPT-NIFTY-08-Feb-2024-22000-C-E-I"/>
    <s v="NSE"/>
    <s v="Sell"/>
    <n v="50"/>
    <n v="0"/>
    <n v="2.65"/>
    <n v="132.5"/>
    <s v="#202402083700015702"/>
    <n v="0.08"/>
    <n v="7.0000000000000007E-2"/>
    <n v="0"/>
    <n v="0"/>
    <n v="20"/>
    <n v="3.62"/>
    <n v="23.77"/>
    <n v="2024"/>
    <n v="2"/>
    <x v="0"/>
    <n v="11"/>
    <n v="11"/>
    <s v="202311"/>
    <s v="Feb-24"/>
    <n v="108.73"/>
    <n v="0.10873000000000001"/>
  </r>
  <r>
    <d v="2024-02-08T00:00:00"/>
    <s v="OPT-NIFTY-08-Feb-2024-22000-C-E-I"/>
    <s v="NSE"/>
    <s v="Buy"/>
    <n v="50"/>
    <n v="0"/>
    <n v="3.15"/>
    <n v="157.5"/>
    <s v="#202402083700014192"/>
    <n v="0"/>
    <n v="0.08"/>
    <n v="0"/>
    <n v="0"/>
    <n v="20"/>
    <n v="3.62"/>
    <n v="23.7"/>
    <n v="2024"/>
    <n v="2"/>
    <x v="0"/>
    <n v="11"/>
    <n v="11"/>
    <s v="202311"/>
    <s v="Feb-24"/>
    <n v="-181.2"/>
    <n v="-0.1812"/>
  </r>
  <r>
    <d v="2024-02-08T00:00:00"/>
    <s v="OPT-NIFTY-08-Feb-2024-22000-C-E-I"/>
    <s v="NSE"/>
    <s v="Buy"/>
    <n v="50"/>
    <n v="0"/>
    <n v="3.15"/>
    <n v="157.5"/>
    <s v="#202402083700014183"/>
    <n v="0"/>
    <n v="0.08"/>
    <n v="0"/>
    <n v="0"/>
    <n v="20"/>
    <n v="3.62"/>
    <n v="23.7"/>
    <n v="2024"/>
    <n v="2"/>
    <x v="0"/>
    <n v="11"/>
    <n v="11"/>
    <s v="202311"/>
    <s v="Feb-24"/>
    <n v="-181.2"/>
    <n v="-0.1812"/>
  </r>
  <r>
    <d v="2024-02-08T00:00:00"/>
    <s v="OPT-NIFTY-08-Feb-2024-22000-C-E-I"/>
    <s v="NSE"/>
    <s v="Buy"/>
    <n v="50"/>
    <n v="0"/>
    <n v="2.95"/>
    <n v="147.5"/>
    <s v="#202402083700014006"/>
    <n v="0"/>
    <n v="7.0000000000000007E-2"/>
    <n v="0"/>
    <n v="0"/>
    <n v="20"/>
    <n v="3.62"/>
    <n v="23.69"/>
    <n v="2024"/>
    <n v="2"/>
    <x v="0"/>
    <n v="11"/>
    <n v="11"/>
    <s v="202311"/>
    <s v="Feb-24"/>
    <n v="-171.19"/>
    <n v="-0.17119000000000001"/>
  </r>
  <r>
    <d v="2024-02-08T00:00:00"/>
    <s v="OPT-NIFTY-08-Feb-2024-22000-C-E-I"/>
    <s v="NSE"/>
    <s v="Buy"/>
    <n v="50"/>
    <n v="0"/>
    <n v="3.15"/>
    <n v="157.5"/>
    <s v="#202402083700013938"/>
    <n v="0"/>
    <n v="0.08"/>
    <n v="0"/>
    <n v="0"/>
    <n v="20"/>
    <n v="3.62"/>
    <n v="23.7"/>
    <n v="2024"/>
    <n v="2"/>
    <x v="0"/>
    <n v="11"/>
    <n v="11"/>
    <s v="202311"/>
    <s v="Feb-24"/>
    <n v="-181.2"/>
    <n v="-0.1812"/>
  </r>
  <r>
    <d v="2024-02-08T00:00:00"/>
    <s v="OPT-NIFTY-08-Feb-2024-22000-C-E-I"/>
    <s v="NSE"/>
    <s v="Buy"/>
    <n v="50"/>
    <n v="0"/>
    <n v="3.25"/>
    <n v="162.5"/>
    <s v="#202402083700013884"/>
    <n v="0"/>
    <n v="0.08"/>
    <n v="0"/>
    <n v="0"/>
    <n v="20"/>
    <n v="3.62"/>
    <n v="23.7"/>
    <n v="2024"/>
    <n v="2"/>
    <x v="0"/>
    <n v="11"/>
    <n v="11"/>
    <s v="202311"/>
    <s v="Feb-24"/>
    <n v="-186.2"/>
    <n v="-0.18619999999999998"/>
  </r>
  <r>
    <d v="2024-02-08T00:00:00"/>
    <s v="OPT-NIFTY-08-Feb-2024-22000-C-E-I"/>
    <s v="NSE"/>
    <s v="Buy"/>
    <n v="50"/>
    <n v="0"/>
    <n v="5.9"/>
    <n v="295"/>
    <s v="#202402083700010850"/>
    <n v="0"/>
    <n v="0.15"/>
    <n v="0"/>
    <n v="0"/>
    <n v="20"/>
    <n v="3.62"/>
    <n v="23.77"/>
    <n v="2024"/>
    <n v="2"/>
    <x v="0"/>
    <n v="11"/>
    <n v="11"/>
    <s v="202311"/>
    <s v="Feb-24"/>
    <n v="-318.77"/>
    <n v="-0.31877"/>
  </r>
  <r>
    <d v="2024-02-08T00:00:00"/>
    <s v="OPT-NIFTY-08-Feb-2024-22000-C-E-I"/>
    <s v="NSE"/>
    <s v="Buy"/>
    <n v="50"/>
    <n v="0"/>
    <n v="8.8000000000000007"/>
    <n v="440"/>
    <s v="#202402083700009731"/>
    <n v="0"/>
    <n v="0.22"/>
    <n v="0"/>
    <n v="0"/>
    <n v="20"/>
    <n v="3.64"/>
    <n v="23.86"/>
    <n v="2024"/>
    <n v="2"/>
    <x v="0"/>
    <n v="11"/>
    <n v="11"/>
    <s v="202311"/>
    <s v="Feb-24"/>
    <n v="-463.86"/>
    <n v="-0.46385999999999999"/>
  </r>
  <r>
    <d v="2024-02-08T00:00:00"/>
    <s v="OPT-NIFTY-08-Feb-2024-22000-P-E-I"/>
    <s v="NSE"/>
    <s v="Sell"/>
    <n v="50"/>
    <n v="0"/>
    <n v="88.3"/>
    <n v="4415"/>
    <s v="#202402083700004004"/>
    <n v="2.76"/>
    <n v="2.23"/>
    <n v="0"/>
    <n v="0"/>
    <n v="20"/>
    <n v="4"/>
    <n v="28.99"/>
    <n v="2024"/>
    <n v="2"/>
    <x v="0"/>
    <n v="11"/>
    <n v="11"/>
    <s v="202311"/>
    <s v="Feb-24"/>
    <n v="4386.01"/>
    <n v="4.3860100000000006"/>
  </r>
  <r>
    <d v="2024-02-08T00:00:00"/>
    <s v="OPT-NIFTY-08-Feb-2024-22000-P-E-I"/>
    <s v="NSE"/>
    <s v="Buy"/>
    <n v="50"/>
    <n v="0"/>
    <n v="61.85"/>
    <n v="3092.5"/>
    <s v="#202402083700002795"/>
    <n v="0"/>
    <n v="1.56"/>
    <n v="0"/>
    <n v="0"/>
    <n v="20"/>
    <n v="3.88"/>
    <n v="25.44"/>
    <n v="2024"/>
    <n v="2"/>
    <x v="0"/>
    <n v="11"/>
    <n v="11"/>
    <s v="202311"/>
    <s v="Feb-24"/>
    <n v="-3117.94"/>
    <n v="-3.1179399999999999"/>
  </r>
  <r>
    <d v="2024-02-09T00:00:00"/>
    <s v="OPT-NIFTY-15-Feb-2024-21700-P-E-I"/>
    <s v="NSE"/>
    <s v="Buy"/>
    <n v="50"/>
    <n v="0"/>
    <n v="151.85"/>
    <n v="7592.5"/>
    <s v="#202402093700012593"/>
    <n v="0"/>
    <n v="3.83"/>
    <n v="0"/>
    <n v="0.01"/>
    <n v="20"/>
    <n v="4.3"/>
    <n v="28.14"/>
    <n v="2024"/>
    <n v="2"/>
    <x v="0"/>
    <n v="11"/>
    <n v="11"/>
    <s v="202311"/>
    <s v="Feb-24"/>
    <n v="-7620.64"/>
    <n v="-7.6206400000000007"/>
  </r>
  <r>
    <d v="2024-02-09T00:00:00"/>
    <s v="OPT-NIFTY-15-Feb-2024-21700-P-E-I"/>
    <s v="NSE"/>
    <s v="Sell"/>
    <n v="50"/>
    <n v="0"/>
    <n v="182.25"/>
    <n v="9112.5"/>
    <s v="#202402093700008677"/>
    <n v="6"/>
    <n v="4.5999999999999996"/>
    <n v="0"/>
    <n v="0.01"/>
    <n v="20"/>
    <n v="4.42"/>
    <n v="35.03"/>
    <n v="2024"/>
    <n v="2"/>
    <x v="0"/>
    <n v="11"/>
    <n v="11"/>
    <s v="202311"/>
    <s v="Feb-24"/>
    <n v="9077.4699999999993"/>
    <n v="9.0774699999999999"/>
  </r>
  <r>
    <d v="2024-02-09T00:00:00"/>
    <s v="OPT-NIFTY-15-Feb-2024-21700-P-E-I"/>
    <s v="NSE"/>
    <s v="Buy"/>
    <n v="50"/>
    <n v="0"/>
    <n v="180.55"/>
    <n v="9027.5"/>
    <s v="#202402093700004745"/>
    <n v="0"/>
    <n v="4.5599999999999996"/>
    <n v="1"/>
    <n v="0.01"/>
    <n v="20"/>
    <n v="4.42"/>
    <n v="29.99"/>
    <n v="2024"/>
    <n v="2"/>
    <x v="0"/>
    <n v="11"/>
    <n v="11"/>
    <s v="202311"/>
    <s v="Feb-24"/>
    <n v="-9057.49"/>
    <n v="-9.0574899999999996"/>
  </r>
  <r>
    <d v="2024-02-12T00:00:00"/>
    <s v="OPT-NIFTY-15-Feb-2024-21700-P-E-I"/>
    <s v="NSE"/>
    <s v="Sell"/>
    <n v="50"/>
    <n v="0"/>
    <n v="182"/>
    <n v="9100"/>
    <s v="#202402123700013602"/>
    <n v="6"/>
    <n v="4.5999999999999996"/>
    <n v="0"/>
    <n v="0.01"/>
    <n v="20"/>
    <n v="4.42"/>
    <n v="35.03"/>
    <n v="2024"/>
    <n v="2"/>
    <x v="0"/>
    <n v="11"/>
    <n v="11"/>
    <s v="202311"/>
    <s v="Feb-24"/>
    <n v="9064.9699999999993"/>
    <n v="9.0649699999999989"/>
  </r>
  <r>
    <d v="2024-02-13T00:00:00"/>
    <s v="OPT-NIFFIN-13-Feb-2024-20150-P-E-I"/>
    <s v="NSE"/>
    <s v="Sell"/>
    <n v="200"/>
    <n v="0"/>
    <n v="73.25"/>
    <n v="14650"/>
    <s v="#202402133700017680"/>
    <n v="9.16"/>
    <n v="7.4"/>
    <n v="0"/>
    <n v="0.01"/>
    <n v="100"/>
    <n v="19.34"/>
    <n v="135.91"/>
    <n v="2024"/>
    <n v="2"/>
    <x v="0"/>
    <n v="11"/>
    <n v="11"/>
    <s v="202311"/>
    <s v="Feb-24"/>
    <n v="14514.09"/>
    <n v="14.514089999999999"/>
  </r>
  <r>
    <d v="2024-02-13T00:00:00"/>
    <s v="OPT-NIFFIN-13-Feb-2024-20150-P-E-I"/>
    <s v="NSE"/>
    <s v="Sell"/>
    <n v="200"/>
    <n v="0"/>
    <n v="72"/>
    <n v="14400"/>
    <s v="#202402133700015322"/>
    <n v="9"/>
    <n v="7.27"/>
    <n v="0"/>
    <n v="0.01"/>
    <n v="100"/>
    <n v="19.32"/>
    <n v="135.6"/>
    <n v="2024"/>
    <n v="2"/>
    <x v="0"/>
    <n v="11"/>
    <n v="11"/>
    <s v="202311"/>
    <s v="Feb-24"/>
    <n v="14264.4"/>
    <n v="14.2644"/>
  </r>
  <r>
    <d v="2024-02-13T00:00:00"/>
    <s v="OPT-NIFFIN-13-Feb-2024-20150-P-E-I"/>
    <s v="NSE"/>
    <s v="Buy"/>
    <n v="400"/>
    <n v="0"/>
    <n v="42.09"/>
    <n v="16836"/>
    <s v="#202402133700013031"/>
    <n v="0"/>
    <n v="8.5"/>
    <n v="0"/>
    <n v="0.02"/>
    <n v="200"/>
    <n v="37.54"/>
    <n v="246.06"/>
    <n v="2024"/>
    <n v="2"/>
    <x v="0"/>
    <n v="11"/>
    <n v="11"/>
    <s v="202311"/>
    <s v="Feb-24"/>
    <n v="-17082.060000000001"/>
    <n v="-17.082060000000002"/>
  </r>
  <r>
    <d v="2024-02-13T00:00:00"/>
    <s v="OPT-NIFFIN-13-Feb-2024-20150-P-E-I"/>
    <s v="NSE"/>
    <s v="Sell"/>
    <n v="280"/>
    <n v="0"/>
    <n v="44.54"/>
    <n v="12470"/>
    <s v="#202402133700012350"/>
    <n v="7.8"/>
    <n v="6.3"/>
    <n v="0"/>
    <n v="0"/>
    <n v="140"/>
    <n v="26.32"/>
    <n v="180.42"/>
    <n v="2024"/>
    <n v="2"/>
    <x v="0"/>
    <n v="11"/>
    <n v="11"/>
    <s v="202311"/>
    <s v="Feb-24"/>
    <n v="12289.58"/>
    <n v="12.289579999999999"/>
  </r>
  <r>
    <d v="2024-02-13T00:00:00"/>
    <s v="OPT-NIFFIN-13-Feb-2024-20150-P-E-I"/>
    <s v="NSE"/>
    <s v="Buy"/>
    <n v="240"/>
    <n v="0"/>
    <n v="35.5"/>
    <n v="8520"/>
    <s v="#202402133700012125"/>
    <n v="0"/>
    <n v="4.3"/>
    <n v="0.73"/>
    <n v="0.01"/>
    <n v="120"/>
    <n v="22.38"/>
    <n v="147.41999999999999"/>
    <n v="2024"/>
    <n v="2"/>
    <x v="0"/>
    <n v="11"/>
    <n v="11"/>
    <s v="202311"/>
    <s v="Feb-24"/>
    <n v="-8667.42"/>
    <n v="-8.6674199999999999"/>
  </r>
  <r>
    <d v="2024-02-13T00:00:00"/>
    <s v="OPT-NIFFIN-13-Feb-2024-20150-P-E-I"/>
    <s v="NSE"/>
    <s v="Buy"/>
    <n v="40"/>
    <n v="0"/>
    <n v="35.4"/>
    <n v="1416"/>
    <s v="#202402133700012057"/>
    <n v="0"/>
    <n v="0.72"/>
    <n v="0"/>
    <n v="0"/>
    <n v="20"/>
    <n v="3.72"/>
    <n v="24.44"/>
    <n v="2024"/>
    <n v="2"/>
    <x v="0"/>
    <n v="11"/>
    <n v="11"/>
    <s v="202311"/>
    <s v="Feb-24"/>
    <n v="-1440.44"/>
    <n v="-1.4404400000000002"/>
  </r>
  <r>
    <d v="2024-02-13T00:00:00"/>
    <s v="OPT-NIFFIN-13-Feb-2024-19700-P-E-I"/>
    <s v="NSE"/>
    <s v="Sell"/>
    <n v="1520"/>
    <n v="0"/>
    <n v="1.1000000000000001"/>
    <n v="1672"/>
    <s v="#202402133700009129"/>
    <n v="1.05"/>
    <n v="0.84"/>
    <n v="0"/>
    <n v="0"/>
    <n v="760"/>
    <n v="136.94"/>
    <n v="898.83"/>
    <n v="2024"/>
    <n v="2"/>
    <x v="0"/>
    <n v="11"/>
    <n v="11"/>
    <s v="202311"/>
    <s v="Feb-24"/>
    <n v="773.17"/>
    <n v="0.77316999999999991"/>
  </r>
  <r>
    <d v="2024-02-13T00:00:00"/>
    <s v="OPT-NIFFIN-13-Feb-2024-19700-P-E-I"/>
    <s v="NSE"/>
    <s v="Buy"/>
    <n v="40"/>
    <n v="0"/>
    <n v="4.45"/>
    <n v="178"/>
    <s v="#202402133700004028"/>
    <n v="0"/>
    <n v="0.09"/>
    <n v="0"/>
    <n v="0"/>
    <n v="20"/>
    <n v="3.62"/>
    <n v="23.71"/>
    <n v="2024"/>
    <n v="2"/>
    <x v="0"/>
    <n v="11"/>
    <n v="11"/>
    <s v="202311"/>
    <s v="Feb-24"/>
    <n v="-201.71"/>
    <n v="-0.20171"/>
  </r>
  <r>
    <d v="2024-02-13T00:00:00"/>
    <s v="OPT-NIFFIN-13-Feb-2024-19700-P-E-I"/>
    <s v="NSE"/>
    <s v="Buy"/>
    <n v="40"/>
    <n v="0"/>
    <n v="4.5999999999999996"/>
    <n v="184"/>
    <s v="#202402133700004022"/>
    <n v="0"/>
    <n v="0.09"/>
    <n v="0"/>
    <n v="0"/>
    <n v="20"/>
    <n v="3.62"/>
    <n v="23.71"/>
    <n v="2024"/>
    <n v="2"/>
    <x v="0"/>
    <n v="11"/>
    <n v="11"/>
    <s v="202311"/>
    <s v="Feb-24"/>
    <n v="-207.71"/>
    <n v="-0.20771000000000001"/>
  </r>
  <r>
    <d v="2024-02-13T00:00:00"/>
    <s v="OPT-NIFFIN-13-Feb-2024-19700-P-E-I"/>
    <s v="NSE"/>
    <s v="Buy"/>
    <n v="40"/>
    <n v="0"/>
    <n v="4.6500000000000004"/>
    <n v="186"/>
    <s v="#202402133700004018"/>
    <n v="0"/>
    <n v="0.09"/>
    <n v="0"/>
    <n v="0"/>
    <n v="20"/>
    <n v="3.62"/>
    <n v="23.71"/>
    <n v="2024"/>
    <n v="2"/>
    <x v="0"/>
    <n v="11"/>
    <n v="11"/>
    <s v="202311"/>
    <s v="Feb-24"/>
    <n v="-209.71"/>
    <n v="-0.20971000000000001"/>
  </r>
  <r>
    <d v="2024-02-13T00:00:00"/>
    <s v="OPT-NIFFIN-13-Feb-2024-19700-P-E-I"/>
    <s v="NSE"/>
    <s v="Buy"/>
    <n v="40"/>
    <n v="0"/>
    <n v="4.4000000000000004"/>
    <n v="176"/>
    <s v="#202402133700003925"/>
    <n v="0"/>
    <n v="0.09"/>
    <n v="0"/>
    <n v="0"/>
    <n v="20"/>
    <n v="3.62"/>
    <n v="23.71"/>
    <n v="2024"/>
    <n v="2"/>
    <x v="0"/>
    <n v="11"/>
    <n v="11"/>
    <s v="202311"/>
    <s v="Feb-24"/>
    <n v="-199.71"/>
    <n v="-0.19971"/>
  </r>
  <r>
    <d v="2024-02-13T00:00:00"/>
    <s v="OPT-NIFFIN-13-Feb-2024-19700-P-E-I"/>
    <s v="NSE"/>
    <s v="Buy"/>
    <n v="40"/>
    <n v="0"/>
    <n v="4.4000000000000004"/>
    <n v="176"/>
    <s v="#202402133700003914"/>
    <n v="0"/>
    <n v="0.09"/>
    <n v="0"/>
    <n v="0"/>
    <n v="20"/>
    <n v="3.62"/>
    <n v="23.71"/>
    <n v="2024"/>
    <n v="2"/>
    <x v="0"/>
    <n v="11"/>
    <n v="11"/>
    <s v="202311"/>
    <s v="Feb-24"/>
    <n v="-199.71"/>
    <n v="-0.19971"/>
  </r>
  <r>
    <d v="2024-02-13T00:00:00"/>
    <s v="OPT-NIFFIN-13-Feb-2024-19700-P-E-I"/>
    <s v="NSE"/>
    <s v="Buy"/>
    <n v="40"/>
    <n v="0"/>
    <n v="4.25"/>
    <n v="170"/>
    <s v="#202402133700003898"/>
    <n v="0"/>
    <n v="0.09"/>
    <n v="0"/>
    <n v="0"/>
    <n v="20"/>
    <n v="3.62"/>
    <n v="23.71"/>
    <n v="2024"/>
    <n v="2"/>
    <x v="0"/>
    <n v="11"/>
    <n v="11"/>
    <s v="202311"/>
    <s v="Feb-24"/>
    <n v="-193.71"/>
    <n v="-0.19371000000000002"/>
  </r>
  <r>
    <d v="2024-02-13T00:00:00"/>
    <s v="OPT-NIFFIN-13-Feb-2024-19700-P-E-I"/>
    <s v="NSE"/>
    <s v="Buy"/>
    <n v="40"/>
    <n v="0"/>
    <n v="4.1500000000000004"/>
    <n v="166"/>
    <s v="#202402133700003831"/>
    <n v="0"/>
    <n v="0.08"/>
    <n v="0"/>
    <n v="0"/>
    <n v="20"/>
    <n v="3.62"/>
    <n v="23.7"/>
    <n v="2024"/>
    <n v="2"/>
    <x v="0"/>
    <n v="11"/>
    <n v="11"/>
    <s v="202311"/>
    <s v="Feb-24"/>
    <n v="-189.7"/>
    <n v="-0.18969999999999998"/>
  </r>
  <r>
    <d v="2024-02-13T00:00:00"/>
    <s v="OPT-NIFFIN-13-Feb-2024-19700-P-E-I"/>
    <s v="NSE"/>
    <s v="Buy"/>
    <n v="40"/>
    <n v="0"/>
    <n v="4.2"/>
    <n v="168"/>
    <s v="#202402133700003814"/>
    <n v="0"/>
    <n v="0.08"/>
    <n v="0"/>
    <n v="0"/>
    <n v="20"/>
    <n v="3.62"/>
    <n v="23.7"/>
    <n v="2024"/>
    <n v="2"/>
    <x v="0"/>
    <n v="11"/>
    <n v="11"/>
    <s v="202311"/>
    <s v="Feb-24"/>
    <n v="-191.7"/>
    <n v="-0.19169999999999998"/>
  </r>
  <r>
    <d v="2024-02-13T00:00:00"/>
    <s v="OPT-NIFFIN-13-Feb-2024-19700-P-E-I"/>
    <s v="NSE"/>
    <s v="Buy"/>
    <n v="40"/>
    <n v="0"/>
    <n v="4.2"/>
    <n v="168"/>
    <s v="#202402133700003775"/>
    <n v="0"/>
    <n v="0.08"/>
    <n v="0"/>
    <n v="0"/>
    <n v="20"/>
    <n v="3.62"/>
    <n v="23.7"/>
    <n v="2024"/>
    <n v="2"/>
    <x v="0"/>
    <n v="11"/>
    <n v="11"/>
    <s v="202311"/>
    <s v="Feb-24"/>
    <n v="-191.7"/>
    <n v="-0.19169999999999998"/>
  </r>
  <r>
    <d v="2024-02-13T00:00:00"/>
    <s v="OPT-NIFFIN-13-Feb-2024-19700-P-E-I"/>
    <s v="NSE"/>
    <s v="Buy"/>
    <n v="40"/>
    <n v="0"/>
    <n v="4.25"/>
    <n v="170"/>
    <s v="#202402133700003764"/>
    <n v="0"/>
    <n v="0.09"/>
    <n v="0"/>
    <n v="0"/>
    <n v="20"/>
    <n v="3.62"/>
    <n v="23.71"/>
    <n v="2024"/>
    <n v="2"/>
    <x v="0"/>
    <n v="11"/>
    <n v="11"/>
    <s v="202311"/>
    <s v="Feb-24"/>
    <n v="-193.71"/>
    <n v="-0.19371000000000002"/>
  </r>
  <r>
    <d v="2024-02-13T00:00:00"/>
    <s v="OPT-NIFFIN-13-Feb-2024-19700-P-E-I"/>
    <s v="NSE"/>
    <s v="Buy"/>
    <n v="40"/>
    <n v="0"/>
    <n v="4.1500000000000004"/>
    <n v="166"/>
    <s v="#202402133700003757"/>
    <n v="0"/>
    <n v="0.08"/>
    <n v="0"/>
    <n v="0"/>
    <n v="20"/>
    <n v="3.62"/>
    <n v="23.7"/>
    <n v="2024"/>
    <n v="2"/>
    <x v="0"/>
    <n v="11"/>
    <n v="11"/>
    <s v="202311"/>
    <s v="Feb-24"/>
    <n v="-189.7"/>
    <n v="-0.18969999999999998"/>
  </r>
  <r>
    <d v="2024-02-13T00:00:00"/>
    <s v="OPT-NIFFIN-13-Feb-2024-19700-P-E-I"/>
    <s v="NSE"/>
    <s v="Buy"/>
    <n v="40"/>
    <n v="0"/>
    <n v="4.25"/>
    <n v="170"/>
    <s v="#202402133700003751"/>
    <n v="0"/>
    <n v="0.09"/>
    <n v="0"/>
    <n v="0"/>
    <n v="20"/>
    <n v="3.62"/>
    <n v="23.71"/>
    <n v="2024"/>
    <n v="2"/>
    <x v="0"/>
    <n v="11"/>
    <n v="11"/>
    <s v="202311"/>
    <s v="Feb-24"/>
    <n v="-193.71"/>
    <n v="-0.19371000000000002"/>
  </r>
  <r>
    <d v="2024-02-13T00:00:00"/>
    <s v="OPT-NIFFIN-13-Feb-2024-19700-P-E-I"/>
    <s v="NSE"/>
    <s v="Buy"/>
    <n v="40"/>
    <n v="0"/>
    <n v="4.2"/>
    <n v="168"/>
    <s v="#202402133700003738"/>
    <n v="0"/>
    <n v="0.08"/>
    <n v="0"/>
    <n v="0"/>
    <n v="20"/>
    <n v="3.62"/>
    <n v="23.7"/>
    <n v="2024"/>
    <n v="2"/>
    <x v="0"/>
    <n v="11"/>
    <n v="11"/>
    <s v="202311"/>
    <s v="Feb-24"/>
    <n v="-191.7"/>
    <n v="-0.19169999999999998"/>
  </r>
  <r>
    <d v="2024-02-13T00:00:00"/>
    <s v="OPT-NIFFIN-13-Feb-2024-19700-P-E-I"/>
    <s v="NSE"/>
    <s v="Buy"/>
    <n v="40"/>
    <n v="0"/>
    <n v="4.2"/>
    <n v="168"/>
    <s v="#202402133700003733"/>
    <n v="0"/>
    <n v="0.08"/>
    <n v="0"/>
    <n v="0"/>
    <n v="20"/>
    <n v="3.62"/>
    <n v="23.7"/>
    <n v="2024"/>
    <n v="2"/>
    <x v="0"/>
    <n v="11"/>
    <n v="11"/>
    <s v="202311"/>
    <s v="Feb-24"/>
    <n v="-191.7"/>
    <n v="-0.19169999999999998"/>
  </r>
  <r>
    <d v="2024-02-13T00:00:00"/>
    <s v="OPT-NIFFIN-13-Feb-2024-19700-P-E-I"/>
    <s v="NSE"/>
    <s v="Buy"/>
    <n v="40"/>
    <n v="0"/>
    <n v="5.25"/>
    <n v="210"/>
    <s v="#202402133700003229"/>
    <n v="0"/>
    <n v="0.11"/>
    <n v="0"/>
    <n v="0"/>
    <n v="20"/>
    <n v="3.62"/>
    <n v="23.73"/>
    <n v="2024"/>
    <n v="2"/>
    <x v="0"/>
    <n v="11"/>
    <n v="11"/>
    <s v="202311"/>
    <s v="Feb-24"/>
    <n v="-233.73"/>
    <n v="-0.23372999999999999"/>
  </r>
  <r>
    <d v="2024-02-13T00:00:00"/>
    <s v="OPT-NIFFIN-13-Feb-2024-19700-P-E-I"/>
    <s v="NSE"/>
    <s v="Buy"/>
    <n v="40"/>
    <n v="0"/>
    <n v="5.2"/>
    <n v="208"/>
    <s v="#202402133700003180"/>
    <n v="0"/>
    <n v="0.11"/>
    <n v="0"/>
    <n v="0"/>
    <n v="20"/>
    <n v="3.62"/>
    <n v="23.73"/>
    <n v="2024"/>
    <n v="2"/>
    <x v="0"/>
    <n v="11"/>
    <n v="11"/>
    <s v="202311"/>
    <s v="Feb-24"/>
    <n v="-231.73"/>
    <n v="-0.23172999999999999"/>
  </r>
  <r>
    <d v="2024-02-13T00:00:00"/>
    <s v="OPT-NIFFIN-13-Feb-2024-19700-P-E-I"/>
    <s v="NSE"/>
    <s v="Buy"/>
    <n v="40"/>
    <n v="0"/>
    <n v="5.3"/>
    <n v="212"/>
    <s v="#202402133700003139"/>
    <n v="0"/>
    <n v="0.11"/>
    <n v="0"/>
    <n v="0"/>
    <n v="20"/>
    <n v="3.62"/>
    <n v="23.73"/>
    <n v="2024"/>
    <n v="2"/>
    <x v="0"/>
    <n v="11"/>
    <n v="11"/>
    <s v="202311"/>
    <s v="Feb-24"/>
    <n v="-235.73"/>
    <n v="-0.23573"/>
  </r>
  <r>
    <d v="2024-02-13T00:00:00"/>
    <s v="OPT-NIFFIN-13-Feb-2024-19700-P-E-I"/>
    <s v="NSE"/>
    <s v="Buy"/>
    <n v="40"/>
    <n v="0"/>
    <n v="5.15"/>
    <n v="206"/>
    <s v="#202402133700003113"/>
    <n v="0"/>
    <n v="0.1"/>
    <n v="0"/>
    <n v="0"/>
    <n v="20"/>
    <n v="3.62"/>
    <n v="23.72"/>
    <n v="2024"/>
    <n v="2"/>
    <x v="0"/>
    <n v="11"/>
    <n v="11"/>
    <s v="202311"/>
    <s v="Feb-24"/>
    <n v="-229.72"/>
    <n v="-0.22972000000000001"/>
  </r>
  <r>
    <d v="2024-02-13T00:00:00"/>
    <s v="OPT-NIFFIN-13-Feb-2024-19700-P-E-I"/>
    <s v="NSE"/>
    <s v="Buy"/>
    <n v="40"/>
    <n v="0"/>
    <n v="5.4"/>
    <n v="216"/>
    <s v="#202402133700003085"/>
    <n v="0"/>
    <n v="0.11"/>
    <n v="0"/>
    <n v="0"/>
    <n v="20"/>
    <n v="3.62"/>
    <n v="23.73"/>
    <n v="2024"/>
    <n v="2"/>
    <x v="0"/>
    <n v="11"/>
    <n v="11"/>
    <s v="202311"/>
    <s v="Feb-24"/>
    <n v="-239.73"/>
    <n v="-0.23973"/>
  </r>
  <r>
    <d v="2024-02-13T00:00:00"/>
    <s v="OPT-NIFFIN-13-Feb-2024-19700-P-E-I"/>
    <s v="NSE"/>
    <s v="Buy"/>
    <n v="40"/>
    <n v="0"/>
    <n v="5.45"/>
    <n v="218"/>
    <s v="#202402133700003066"/>
    <n v="0"/>
    <n v="0.11"/>
    <n v="0"/>
    <n v="0"/>
    <n v="20"/>
    <n v="3.62"/>
    <n v="23.73"/>
    <n v="2024"/>
    <n v="2"/>
    <x v="0"/>
    <n v="11"/>
    <n v="11"/>
    <s v="202311"/>
    <s v="Feb-24"/>
    <n v="-241.73"/>
    <n v="-0.24173"/>
  </r>
  <r>
    <d v="2024-02-13T00:00:00"/>
    <s v="OPT-NIFFIN-13-Feb-2024-19700-P-E-I"/>
    <s v="NSE"/>
    <s v="Buy"/>
    <n v="40"/>
    <n v="0"/>
    <n v="6.05"/>
    <n v="242"/>
    <s v="#202402133700003041"/>
    <n v="0"/>
    <n v="0.12"/>
    <n v="0"/>
    <n v="0"/>
    <n v="20"/>
    <n v="3.62"/>
    <n v="23.74"/>
    <n v="2024"/>
    <n v="2"/>
    <x v="0"/>
    <n v="11"/>
    <n v="11"/>
    <s v="202311"/>
    <s v="Feb-24"/>
    <n v="-265.74"/>
    <n v="-0.26574000000000003"/>
  </r>
  <r>
    <d v="2024-02-13T00:00:00"/>
    <s v="OPT-NIFFIN-13-Feb-2024-19700-P-E-I"/>
    <s v="NSE"/>
    <s v="Buy"/>
    <n v="40"/>
    <n v="0"/>
    <n v="6.2"/>
    <n v="248"/>
    <s v="#202402133700003011"/>
    <n v="0"/>
    <n v="0.13"/>
    <n v="0"/>
    <n v="0"/>
    <n v="20"/>
    <n v="3.62"/>
    <n v="23.75"/>
    <n v="2024"/>
    <n v="2"/>
    <x v="0"/>
    <n v="11"/>
    <n v="11"/>
    <s v="202311"/>
    <s v="Feb-24"/>
    <n v="-271.75"/>
    <n v="-0.27174999999999999"/>
  </r>
  <r>
    <d v="2024-02-13T00:00:00"/>
    <s v="OPT-NIFFIN-13-Feb-2024-19700-P-E-I"/>
    <s v="NSE"/>
    <s v="Buy"/>
    <n v="40"/>
    <n v="0"/>
    <n v="6.7"/>
    <n v="268"/>
    <s v="#202402133700002984"/>
    <n v="0"/>
    <n v="0.14000000000000001"/>
    <n v="0"/>
    <n v="0"/>
    <n v="20"/>
    <n v="3.62"/>
    <n v="23.76"/>
    <n v="2024"/>
    <n v="2"/>
    <x v="0"/>
    <n v="11"/>
    <n v="11"/>
    <s v="202311"/>
    <s v="Feb-24"/>
    <n v="-291.76"/>
    <n v="-0.29175999999999996"/>
  </r>
  <r>
    <d v="2024-02-13T00:00:00"/>
    <s v="OPT-NIFFIN-13-Feb-2024-19700-P-E-I"/>
    <s v="NSE"/>
    <s v="Buy"/>
    <n v="40"/>
    <n v="0"/>
    <n v="7.6"/>
    <n v="304"/>
    <s v="#202402133700002957"/>
    <n v="0"/>
    <n v="0.15"/>
    <n v="0"/>
    <n v="0"/>
    <n v="20"/>
    <n v="3.62"/>
    <n v="23.77"/>
    <n v="2024"/>
    <n v="2"/>
    <x v="0"/>
    <n v="11"/>
    <n v="11"/>
    <s v="202311"/>
    <s v="Feb-24"/>
    <n v="-327.77"/>
    <n v="-0.32777000000000001"/>
  </r>
  <r>
    <d v="2024-02-13T00:00:00"/>
    <s v="OPT-NIFFIN-13-Feb-2024-19700-P-E-I"/>
    <s v="NSE"/>
    <s v="Buy"/>
    <n v="40"/>
    <n v="0"/>
    <n v="7.15"/>
    <n v="286"/>
    <s v="#202402133700002934"/>
    <n v="0"/>
    <n v="0.14000000000000001"/>
    <n v="0"/>
    <n v="0"/>
    <n v="20"/>
    <n v="3.62"/>
    <n v="23.76"/>
    <n v="2024"/>
    <n v="2"/>
    <x v="0"/>
    <n v="11"/>
    <n v="11"/>
    <s v="202311"/>
    <s v="Feb-24"/>
    <n v="-309.76"/>
    <n v="-0.30975999999999998"/>
  </r>
  <r>
    <d v="2024-02-13T00:00:00"/>
    <s v="OPT-NIFFIN-13-Feb-2024-19700-P-E-I"/>
    <s v="NSE"/>
    <s v="Buy"/>
    <n v="40"/>
    <n v="0"/>
    <n v="7.75"/>
    <n v="310"/>
    <s v="#202402133700001883"/>
    <n v="0"/>
    <n v="0.16"/>
    <n v="0.27"/>
    <n v="0"/>
    <n v="20"/>
    <n v="3.62"/>
    <n v="24.05"/>
    <n v="2024"/>
    <n v="2"/>
    <x v="0"/>
    <n v="11"/>
    <n v="11"/>
    <s v="202311"/>
    <s v="Feb-24"/>
    <n v="-334.05"/>
    <n v="-0.33405000000000001"/>
  </r>
  <r>
    <d v="2024-02-13T00:00:00"/>
    <s v="OPT-NIFFIN-13-Feb-2024-19700-P-E-I"/>
    <s v="NSE"/>
    <s v="Buy"/>
    <n v="40"/>
    <n v="0"/>
    <n v="7.65"/>
    <n v="306"/>
    <s v="#202402133700001846"/>
    <n v="0"/>
    <n v="0.15"/>
    <n v="0"/>
    <n v="0"/>
    <n v="20"/>
    <n v="3.62"/>
    <n v="23.77"/>
    <n v="2024"/>
    <n v="2"/>
    <x v="0"/>
    <n v="11"/>
    <n v="11"/>
    <s v="202311"/>
    <s v="Feb-24"/>
    <n v="-329.77"/>
    <n v="-0.32977000000000001"/>
  </r>
  <r>
    <d v="2024-02-13T00:00:00"/>
    <s v="OPT-NIFFIN-13-Feb-2024-19700-P-E-I"/>
    <s v="NSE"/>
    <s v="Buy"/>
    <n v="40"/>
    <n v="0"/>
    <n v="7.45"/>
    <n v="298"/>
    <s v="#202402133700001779"/>
    <n v="0"/>
    <n v="0.15"/>
    <n v="0"/>
    <n v="0"/>
    <n v="20"/>
    <n v="3.62"/>
    <n v="23.77"/>
    <n v="2024"/>
    <n v="2"/>
    <x v="0"/>
    <n v="11"/>
    <n v="11"/>
    <s v="202311"/>
    <s v="Feb-24"/>
    <n v="-321.77"/>
    <n v="-0.32177"/>
  </r>
  <r>
    <d v="2024-02-13T00:00:00"/>
    <s v="OPT-NIFFIN-13-Feb-2024-19700-P-E-I"/>
    <s v="NSE"/>
    <s v="Buy"/>
    <n v="40"/>
    <n v="0"/>
    <n v="7.55"/>
    <n v="302"/>
    <s v="#202402133700001752"/>
    <n v="0"/>
    <n v="0.15"/>
    <n v="0"/>
    <n v="0"/>
    <n v="20"/>
    <n v="3.62"/>
    <n v="23.77"/>
    <n v="2024"/>
    <n v="2"/>
    <x v="0"/>
    <n v="11"/>
    <n v="11"/>
    <s v="202311"/>
    <s v="Feb-24"/>
    <n v="-325.77"/>
    <n v="-0.32577"/>
  </r>
  <r>
    <d v="2024-02-13T00:00:00"/>
    <s v="OPT-NIFFIN-13-Feb-2024-19700-P-E-I"/>
    <s v="NSE"/>
    <s v="Buy"/>
    <n v="40"/>
    <n v="0"/>
    <n v="7.55"/>
    <n v="302"/>
    <s v="#202402133700001696"/>
    <n v="0"/>
    <n v="0.15"/>
    <n v="0"/>
    <n v="0"/>
    <n v="20"/>
    <n v="3.62"/>
    <n v="23.77"/>
    <n v="2024"/>
    <n v="2"/>
    <x v="0"/>
    <n v="11"/>
    <n v="11"/>
    <s v="202311"/>
    <s v="Feb-24"/>
    <n v="-325.77"/>
    <n v="-0.32577"/>
  </r>
  <r>
    <d v="2024-02-13T00:00:00"/>
    <s v="OPT-NIFFIN-13-Feb-2024-19700-P-E-I"/>
    <s v="NSE"/>
    <s v="Buy"/>
    <n v="40"/>
    <n v="0"/>
    <n v="6.85"/>
    <n v="274"/>
    <s v="#202402133700001661"/>
    <n v="0"/>
    <n v="0.14000000000000001"/>
    <n v="0"/>
    <n v="0"/>
    <n v="20"/>
    <n v="3.62"/>
    <n v="23.76"/>
    <n v="2024"/>
    <n v="2"/>
    <x v="0"/>
    <n v="11"/>
    <n v="11"/>
    <s v="202311"/>
    <s v="Feb-24"/>
    <n v="-297.76"/>
    <n v="-0.29775999999999997"/>
  </r>
  <r>
    <d v="2024-02-13T00:00:00"/>
    <s v="OPT-NIFFIN-13-Feb-2024-19700-P-E-I"/>
    <s v="NSE"/>
    <s v="Buy"/>
    <n v="40"/>
    <n v="0"/>
    <n v="6.35"/>
    <n v="254"/>
    <s v="#202402133700001635"/>
    <n v="0"/>
    <n v="0.13"/>
    <n v="0"/>
    <n v="0"/>
    <n v="20"/>
    <n v="3.62"/>
    <n v="23.75"/>
    <n v="2024"/>
    <n v="2"/>
    <x v="0"/>
    <n v="11"/>
    <n v="11"/>
    <s v="202311"/>
    <s v="Feb-24"/>
    <n v="-277.75"/>
    <n v="-0.27775"/>
  </r>
  <r>
    <d v="2024-02-13T00:00:00"/>
    <s v="OPT-NIFFIN-13-Feb-2024-19700-P-E-I"/>
    <s v="NSE"/>
    <s v="Buy"/>
    <n v="40"/>
    <n v="0"/>
    <n v="6.65"/>
    <n v="266"/>
    <s v="#202402133700001606"/>
    <n v="0"/>
    <n v="0.13"/>
    <n v="0"/>
    <n v="0"/>
    <n v="20"/>
    <n v="3.62"/>
    <n v="23.75"/>
    <n v="2024"/>
    <n v="2"/>
    <x v="0"/>
    <n v="11"/>
    <n v="11"/>
    <s v="202311"/>
    <s v="Feb-24"/>
    <n v="-289.75"/>
    <n v="-0.28975000000000001"/>
  </r>
  <r>
    <d v="2024-02-13T00:00:00"/>
    <s v="OPT-NIFFIN-13-Feb-2024-19700-P-E-I"/>
    <s v="NSE"/>
    <s v="Buy"/>
    <n v="40"/>
    <n v="0"/>
    <n v="6.9"/>
    <n v="276"/>
    <s v="#202402133700001590"/>
    <n v="0"/>
    <n v="0.14000000000000001"/>
    <n v="0"/>
    <n v="0"/>
    <n v="20"/>
    <n v="3.62"/>
    <n v="23.76"/>
    <n v="2024"/>
    <n v="2"/>
    <x v="0"/>
    <n v="11"/>
    <n v="11"/>
    <s v="202311"/>
    <s v="Feb-24"/>
    <n v="-299.76"/>
    <n v="-0.29975999999999997"/>
  </r>
  <r>
    <d v="2024-02-13T00:00:00"/>
    <s v="OPT-NIFFIN-13-Feb-2024-19700-P-E-I"/>
    <s v="NSE"/>
    <s v="Buy"/>
    <n v="40"/>
    <n v="0"/>
    <n v="7.7"/>
    <n v="308"/>
    <s v="#202402133700001527"/>
    <n v="0"/>
    <n v="0.16"/>
    <n v="0"/>
    <n v="0"/>
    <n v="20"/>
    <n v="3.62"/>
    <n v="23.78"/>
    <n v="2024"/>
    <n v="2"/>
    <x v="0"/>
    <n v="11"/>
    <n v="11"/>
    <s v="202311"/>
    <s v="Feb-24"/>
    <n v="-331.78"/>
    <n v="-0.33177999999999996"/>
  </r>
  <r>
    <d v="2024-02-13T00:00:00"/>
    <s v="OPT-NIFFIN-13-Feb-2024-19700-P-E-I"/>
    <s v="NSE"/>
    <s v="Buy"/>
    <n v="40"/>
    <n v="0"/>
    <n v="9"/>
    <n v="360"/>
    <s v="#202402133700001482"/>
    <n v="0"/>
    <n v="0.18"/>
    <n v="0"/>
    <n v="0"/>
    <n v="20"/>
    <n v="3.64"/>
    <n v="23.82"/>
    <n v="2024"/>
    <n v="2"/>
    <x v="0"/>
    <n v="11"/>
    <n v="11"/>
    <s v="202311"/>
    <s v="Feb-24"/>
    <n v="-383.82"/>
    <n v="-0.38381999999999999"/>
  </r>
  <r>
    <d v="2024-02-13T00:00:00"/>
    <s v="OPT-NIFFIN-13-Feb-2024-19700-P-E-I"/>
    <s v="NSE"/>
    <s v="Buy"/>
    <n v="40"/>
    <n v="0"/>
    <n v="10.3"/>
    <n v="412"/>
    <s v="#202402133700001444"/>
    <n v="0"/>
    <n v="0.21"/>
    <n v="0"/>
    <n v="0"/>
    <n v="20"/>
    <n v="3.64"/>
    <n v="23.85"/>
    <n v="2024"/>
    <n v="2"/>
    <x v="0"/>
    <n v="11"/>
    <n v="11"/>
    <s v="202311"/>
    <s v="Feb-24"/>
    <n v="-435.85"/>
    <n v="-0.43585000000000002"/>
  </r>
  <r>
    <d v="2024-02-13T00:00:00"/>
    <s v="OPT-NIFFIN-13-Feb-2024-19700-P-E-I"/>
    <s v="NSE"/>
    <s v="Buy"/>
    <n v="40"/>
    <n v="0"/>
    <n v="9.8000000000000007"/>
    <n v="392"/>
    <s v="#202402133700001411"/>
    <n v="0"/>
    <n v="0.2"/>
    <n v="0"/>
    <n v="0"/>
    <n v="20"/>
    <n v="3.64"/>
    <n v="23.84"/>
    <n v="2024"/>
    <n v="2"/>
    <x v="0"/>
    <n v="11"/>
    <n v="11"/>
    <s v="202311"/>
    <s v="Feb-24"/>
    <n v="-415.84"/>
    <n v="-0.41583999999999999"/>
  </r>
  <r>
    <d v="2024-02-14T00:00:00"/>
    <s v="OPT-NIFTY-15-Feb-2024-21550-P-E-I"/>
    <s v="NSE"/>
    <s v="Sell"/>
    <n v="800"/>
    <n v="0"/>
    <n v="39.700000000000003"/>
    <n v="31760"/>
    <s v="#202402143700021174"/>
    <n v="19.84"/>
    <n v="16.03"/>
    <n v="0"/>
    <n v="0.03"/>
    <n v="320"/>
    <n v="60.48"/>
    <n v="416.38"/>
    <n v="2024"/>
    <n v="2"/>
    <x v="0"/>
    <n v="11"/>
    <n v="11"/>
    <s v="202311"/>
    <s v="Feb-24"/>
    <n v="31343.62"/>
    <n v="31.343619999999998"/>
  </r>
  <r>
    <d v="2024-02-14T00:00:00"/>
    <s v="OPT-NIFTY-15-Feb-2024-21550-P-E-I"/>
    <s v="NSE"/>
    <s v="Buy"/>
    <n v="400"/>
    <n v="0"/>
    <n v="53.53"/>
    <n v="21412.5"/>
    <s v="#202402143700012687"/>
    <n v="0"/>
    <n v="10.81"/>
    <n v="1.42"/>
    <n v="0.01"/>
    <n v="160"/>
    <n v="30.74"/>
    <n v="202.98"/>
    <n v="2024"/>
    <n v="2"/>
    <x v="0"/>
    <n v="11"/>
    <n v="11"/>
    <s v="202311"/>
    <s v="Feb-24"/>
    <n v="-21615.48"/>
    <n v="-21.615479999999998"/>
  </r>
  <r>
    <d v="2024-02-14T00:00:00"/>
    <s v="OPT-NIFTY-15-Feb-2024-21550-P-E-I"/>
    <s v="NSE"/>
    <s v="Buy"/>
    <n v="400"/>
    <n v="0"/>
    <n v="64.8"/>
    <n v="25920"/>
    <s v="#202402143700011711"/>
    <n v="0"/>
    <n v="13.09"/>
    <n v="0"/>
    <n v="0.03"/>
    <n v="160"/>
    <n v="31.16"/>
    <n v="204.28"/>
    <n v="2024"/>
    <n v="2"/>
    <x v="0"/>
    <n v="11"/>
    <n v="11"/>
    <s v="202311"/>
    <s v="Feb-24"/>
    <n v="-26124.28"/>
    <n v="-26.124279999999999"/>
  </r>
  <r>
    <d v="2024-02-14T00:00:00"/>
    <s v="OPT-NIFTY-15-Feb-2024-21650-C-E-I"/>
    <s v="NSE"/>
    <s v="Sell"/>
    <n v="350"/>
    <n v="0"/>
    <n v="59.11"/>
    <n v="20690"/>
    <s v="#202402143700011378"/>
    <n v="12.94"/>
    <n v="10.45"/>
    <n v="0"/>
    <n v="0.02"/>
    <n v="140"/>
    <n v="27.06"/>
    <n v="190.47"/>
    <n v="2024"/>
    <n v="2"/>
    <x v="0"/>
    <n v="11"/>
    <n v="11"/>
    <s v="202311"/>
    <s v="Feb-24"/>
    <n v="20499.53"/>
    <n v="20.49953"/>
  </r>
  <r>
    <d v="2024-02-14T00:00:00"/>
    <s v="OPT-NIFTY-15-Feb-2024-21650-C-E-I"/>
    <s v="NSE"/>
    <s v="Buy"/>
    <n v="300"/>
    <n v="0"/>
    <n v="69.17"/>
    <n v="20750"/>
    <s v="#202402143700009360"/>
    <n v="0"/>
    <n v="10.48"/>
    <n v="0"/>
    <n v="0.02"/>
    <n v="120"/>
    <n v="23.52"/>
    <n v="154.02000000000001"/>
    <n v="2024"/>
    <n v="2"/>
    <x v="0"/>
    <n v="11"/>
    <n v="11"/>
    <s v="202311"/>
    <s v="Feb-24"/>
    <n v="-20904.02"/>
    <n v="-20.904019999999999"/>
  </r>
  <r>
    <d v="2024-02-14T00:00:00"/>
    <s v="OPT-NIFTY-15-Feb-2024-21650-C-E-I"/>
    <s v="NSE"/>
    <s v="Buy"/>
    <n v="50"/>
    <n v="0"/>
    <n v="71.7"/>
    <n v="3585"/>
    <s v="#202402143700009186"/>
    <n v="0"/>
    <n v="1.81"/>
    <n v="0"/>
    <n v="0"/>
    <n v="20"/>
    <n v="3.92"/>
    <n v="25.73"/>
    <n v="2024"/>
    <n v="2"/>
    <x v="0"/>
    <n v="11"/>
    <n v="11"/>
    <s v="202311"/>
    <s v="Feb-24"/>
    <n v="-3610.73"/>
    <n v="-3.6107300000000002"/>
  </r>
  <r>
    <d v="2024-02-14T00:00:00"/>
    <s v="OPT-CNXBAN-14-Feb-2024-45000-P-E-I"/>
    <s v="NSE"/>
    <s v="Sell"/>
    <n v="195"/>
    <n v="0"/>
    <n v="57.95"/>
    <n v="11300.25"/>
    <s v="#202402143700008683"/>
    <n v="7.07"/>
    <n v="5.71"/>
    <n v="0"/>
    <n v="0"/>
    <n v="260"/>
    <n v="47.84"/>
    <n v="320.62"/>
    <n v="2024"/>
    <n v="2"/>
    <x v="0"/>
    <n v="11"/>
    <n v="11"/>
    <s v="202311"/>
    <s v="Feb-24"/>
    <n v="10979.63"/>
    <n v="10.979629999999998"/>
  </r>
  <r>
    <d v="2024-02-14T00:00:00"/>
    <s v="OPT-CNXBAN-14-Feb-2024-45000-P-E-I"/>
    <s v="NSE"/>
    <s v="Buy"/>
    <n v="90"/>
    <n v="0"/>
    <n v="66.7"/>
    <n v="6003"/>
    <s v="#202402143700008180"/>
    <n v="0"/>
    <n v="3.03"/>
    <n v="0.41"/>
    <n v="0.01"/>
    <n v="120"/>
    <n v="22.14"/>
    <n v="145.59"/>
    <n v="2024"/>
    <n v="2"/>
    <x v="0"/>
    <n v="11"/>
    <n v="11"/>
    <s v="202311"/>
    <s v="Feb-24"/>
    <n v="-6148.59"/>
    <n v="-6.1485900000000004"/>
  </r>
  <r>
    <d v="2024-02-14T00:00:00"/>
    <s v="OPT-CNXBAN-14-Feb-2024-45000-P-E-I"/>
    <s v="NSE"/>
    <s v="Buy"/>
    <n v="90"/>
    <n v="0"/>
    <n v="67.3"/>
    <n v="6057"/>
    <s v="#202402143700008104"/>
    <n v="0"/>
    <n v="3.06"/>
    <n v="0"/>
    <n v="0.01"/>
    <n v="120"/>
    <n v="22.16"/>
    <n v="145.22999999999999"/>
    <n v="2024"/>
    <n v="2"/>
    <x v="0"/>
    <n v="11"/>
    <n v="11"/>
    <s v="202311"/>
    <s v="Feb-24"/>
    <n v="-6202.23"/>
    <n v="-6.2022299999999992"/>
  </r>
  <r>
    <d v="2024-02-14T00:00:00"/>
    <s v="OPT-CNXBAN-14-Feb-2024-45000-P-E-I"/>
    <s v="NSE"/>
    <s v="Buy"/>
    <n v="15"/>
    <n v="0"/>
    <n v="108.2"/>
    <n v="1623"/>
    <s v="#202402143700007825"/>
    <n v="0"/>
    <n v="0.82"/>
    <n v="0"/>
    <n v="0"/>
    <n v="20"/>
    <n v="3.74"/>
    <n v="24.56"/>
    <n v="2024"/>
    <n v="2"/>
    <x v="0"/>
    <n v="11"/>
    <n v="11"/>
    <s v="202311"/>
    <s v="Feb-24"/>
    <n v="-1647.56"/>
    <n v="-1.6475599999999999"/>
  </r>
  <r>
    <d v="2024-02-14T00:00:00"/>
    <s v="OPT-CNXBAN-14-Feb-2024-46000-C-E-I"/>
    <s v="NSE"/>
    <s v="Sell"/>
    <n v="105"/>
    <n v="0"/>
    <n v="5.75"/>
    <n v="603.75"/>
    <s v="#202402143700007602"/>
    <n v="0.38"/>
    <n v="0.3"/>
    <n v="0"/>
    <n v="0"/>
    <n v="140"/>
    <n v="25.26"/>
    <n v="165.94"/>
    <n v="2024"/>
    <n v="2"/>
    <x v="0"/>
    <n v="11"/>
    <n v="11"/>
    <s v="202311"/>
    <s v="Feb-24"/>
    <n v="437.81"/>
    <n v="0.43780999999999998"/>
  </r>
  <r>
    <d v="2024-02-14T00:00:00"/>
    <s v="OPT-NIFTY-15-Feb-2024-21650-C-E-I"/>
    <s v="NSE"/>
    <s v="Sell"/>
    <n v="450"/>
    <n v="0"/>
    <n v="63"/>
    <n v="28350"/>
    <s v="#202402143700007219"/>
    <n v="17.78"/>
    <n v="14.32"/>
    <n v="0"/>
    <n v="0.03"/>
    <n v="180"/>
    <n v="34.979999999999997"/>
    <n v="247.11"/>
    <n v="2024"/>
    <n v="2"/>
    <x v="0"/>
    <n v="11"/>
    <n v="11"/>
    <s v="202311"/>
    <s v="Feb-24"/>
    <n v="28102.89"/>
    <n v="28.102889999999999"/>
  </r>
  <r>
    <d v="2024-02-14T00:00:00"/>
    <s v="OPT-NIFTY-15-Feb-2024-21650-C-E-I"/>
    <s v="NSE"/>
    <s v="Buy"/>
    <n v="400"/>
    <n v="0"/>
    <n v="53.8"/>
    <n v="21520"/>
    <s v="#202402143700003585"/>
    <n v="0"/>
    <n v="10.87"/>
    <n v="1.1399999999999999"/>
    <n v="0.02"/>
    <n v="160"/>
    <n v="30.76"/>
    <n v="202.79"/>
    <n v="2024"/>
    <n v="2"/>
    <x v="0"/>
    <n v="11"/>
    <n v="11"/>
    <s v="202311"/>
    <s v="Feb-24"/>
    <n v="-21722.79"/>
    <n v="-21.72279"/>
  </r>
  <r>
    <d v="2024-02-14T00:00:00"/>
    <s v="OPT-NIFTY-15-Feb-2024-21650-C-E-I"/>
    <s v="NSE"/>
    <s v="Buy"/>
    <n v="50"/>
    <n v="0"/>
    <n v="51.75"/>
    <n v="2587.5"/>
    <s v="#202402143700003174"/>
    <n v="0"/>
    <n v="1.31"/>
    <n v="0"/>
    <n v="0"/>
    <n v="20"/>
    <n v="3.84"/>
    <n v="25.15"/>
    <n v="2024"/>
    <n v="2"/>
    <x v="0"/>
    <n v="11"/>
    <n v="11"/>
    <s v="202311"/>
    <s v="Feb-24"/>
    <n v="-2612.65"/>
    <n v="-2.6126499999999999"/>
  </r>
  <r>
    <d v="2024-02-14T00:00:00"/>
    <s v="OPT-CNXBAN-14-Feb-2024-46000-C-E-I"/>
    <s v="NSE"/>
    <s v="Buy"/>
    <n v="15"/>
    <n v="0"/>
    <n v="9.5"/>
    <n v="142.5"/>
    <s v="#202402143700001092"/>
    <n v="0"/>
    <n v="7.0000000000000007E-2"/>
    <n v="0.03"/>
    <n v="0"/>
    <n v="20"/>
    <n v="3.62"/>
    <n v="23.72"/>
    <n v="2024"/>
    <n v="2"/>
    <x v="0"/>
    <n v="11"/>
    <n v="11"/>
    <s v="202311"/>
    <s v="Feb-24"/>
    <n v="-166.22"/>
    <n v="-0.16622000000000001"/>
  </r>
  <r>
    <d v="2024-02-14T00:00:00"/>
    <s v="OPT-CNXBAN-14-Feb-2024-46000-C-E-I"/>
    <s v="NSE"/>
    <s v="Buy"/>
    <n v="15"/>
    <n v="0"/>
    <n v="9.5"/>
    <n v="142.5"/>
    <s v="#202402143700001063"/>
    <n v="0"/>
    <n v="7.0000000000000007E-2"/>
    <n v="0"/>
    <n v="0"/>
    <n v="20"/>
    <n v="3.62"/>
    <n v="23.69"/>
    <n v="2024"/>
    <n v="2"/>
    <x v="0"/>
    <n v="11"/>
    <n v="11"/>
    <s v="202311"/>
    <s v="Feb-24"/>
    <n v="-166.19"/>
    <n v="-0.16619"/>
  </r>
  <r>
    <d v="2024-02-14T00:00:00"/>
    <s v="OPT-CNXBAN-14-Feb-2024-46000-C-E-I"/>
    <s v="NSE"/>
    <s v="Buy"/>
    <n v="15"/>
    <n v="0"/>
    <n v="9.1"/>
    <n v="136.5"/>
    <s v="#202402143700001047"/>
    <n v="0"/>
    <n v="7.0000000000000007E-2"/>
    <n v="0"/>
    <n v="0"/>
    <n v="20"/>
    <n v="3.62"/>
    <n v="23.69"/>
    <n v="2024"/>
    <n v="2"/>
    <x v="0"/>
    <n v="11"/>
    <n v="11"/>
    <s v="202311"/>
    <s v="Feb-24"/>
    <n v="-160.19"/>
    <n v="-0.16019"/>
  </r>
  <r>
    <d v="2024-02-14T00:00:00"/>
    <s v="OPT-CNXBAN-14-Feb-2024-46000-C-E-I"/>
    <s v="NSE"/>
    <s v="Buy"/>
    <n v="15"/>
    <n v="0"/>
    <n v="9.15"/>
    <n v="137.25"/>
    <s v="#202402143700001031"/>
    <n v="0"/>
    <n v="7.0000000000000007E-2"/>
    <n v="0"/>
    <n v="0"/>
    <n v="20"/>
    <n v="3.62"/>
    <n v="23.69"/>
    <n v="2024"/>
    <n v="2"/>
    <x v="0"/>
    <n v="11"/>
    <n v="11"/>
    <s v="202311"/>
    <s v="Feb-24"/>
    <n v="-160.94"/>
    <n v="-0.16094"/>
  </r>
  <r>
    <d v="2024-02-14T00:00:00"/>
    <s v="OPT-CNXBAN-14-Feb-2024-46000-C-E-I"/>
    <s v="NSE"/>
    <s v="Buy"/>
    <n v="15"/>
    <n v="0"/>
    <n v="8.9499999999999993"/>
    <n v="134.25"/>
    <s v="#202402143700001020"/>
    <n v="0"/>
    <n v="7.0000000000000007E-2"/>
    <n v="0"/>
    <n v="0"/>
    <n v="20"/>
    <n v="3.62"/>
    <n v="23.69"/>
    <n v="2024"/>
    <n v="2"/>
    <x v="0"/>
    <n v="11"/>
    <n v="11"/>
    <s v="202311"/>
    <s v="Feb-24"/>
    <n v="-157.94"/>
    <n v="-0.15794"/>
  </r>
  <r>
    <d v="2024-02-14T00:00:00"/>
    <s v="OPT-CNXBAN-14-Feb-2024-46000-C-E-I"/>
    <s v="NSE"/>
    <s v="Buy"/>
    <n v="15"/>
    <n v="0"/>
    <n v="8.75"/>
    <n v="131.25"/>
    <s v="#202402143700001015"/>
    <n v="0"/>
    <n v="7.0000000000000007E-2"/>
    <n v="0"/>
    <n v="0"/>
    <n v="20"/>
    <n v="3.62"/>
    <n v="23.69"/>
    <n v="2024"/>
    <n v="2"/>
    <x v="0"/>
    <n v="11"/>
    <n v="11"/>
    <s v="202311"/>
    <s v="Feb-24"/>
    <n v="-154.94"/>
    <n v="-0.15493999999999999"/>
  </r>
  <r>
    <d v="2024-02-14T00:00:00"/>
    <s v="OPT-CNXBAN-14-Feb-2024-46000-C-E-I"/>
    <s v="NSE"/>
    <s v="Buy"/>
    <n v="15"/>
    <n v="0"/>
    <n v="8.6"/>
    <n v="129"/>
    <s v="#202402143700000980"/>
    <n v="0"/>
    <n v="7.0000000000000007E-2"/>
    <n v="0"/>
    <n v="0"/>
    <n v="20"/>
    <n v="3.62"/>
    <n v="23.69"/>
    <n v="2024"/>
    <n v="2"/>
    <x v="0"/>
    <n v="11"/>
    <n v="11"/>
    <s v="202311"/>
    <s v="Feb-24"/>
    <n v="-152.69"/>
    <n v="-0.15268999999999999"/>
  </r>
  <r>
    <d v="2024-02-15T00:00:00"/>
    <s v="OPT-NIFTY-15-Feb-2024-21900-C-E-I"/>
    <s v="NSE"/>
    <s v="Sell"/>
    <n v="500"/>
    <n v="0"/>
    <n v="24"/>
    <n v="12000"/>
    <s v="#202402153700028195"/>
    <n v="8"/>
    <n v="6.06"/>
    <n v="0"/>
    <n v="0.01"/>
    <n v="200"/>
    <n v="37.08"/>
    <n v="251.15"/>
    <n v="2024"/>
    <n v="2"/>
    <x v="0"/>
    <n v="11"/>
    <n v="11"/>
    <s v="202311"/>
    <s v="Feb-24"/>
    <n v="11748.85"/>
    <n v="11.748850000000001"/>
  </r>
  <r>
    <d v="2024-02-15T00:00:00"/>
    <s v="OPT-NIFTY-15-Feb-2024-21900-C-E-I"/>
    <s v="NSE"/>
    <s v="Buy"/>
    <n v="500"/>
    <n v="0"/>
    <n v="14.95"/>
    <n v="7475"/>
    <s v="#202402153700027982"/>
    <n v="0"/>
    <n v="3.77"/>
    <n v="0"/>
    <n v="0.01"/>
    <n v="200"/>
    <n v="36.68"/>
    <n v="240.46"/>
    <n v="2024"/>
    <n v="2"/>
    <x v="0"/>
    <n v="11"/>
    <n v="11"/>
    <s v="202311"/>
    <s v="Feb-24"/>
    <n v="-7715.46"/>
    <n v="-7.7154600000000002"/>
  </r>
  <r>
    <d v="2024-02-19T00:00:00"/>
    <s v="OPT-NIFFIN-20-Feb-2024-20550-C-E-I"/>
    <s v="NSE"/>
    <s v="Sell"/>
    <n v="240"/>
    <n v="0"/>
    <n v="125.05"/>
    <n v="30012"/>
    <s v="#202402193700010047"/>
    <n v="19.010000000000002"/>
    <n v="15.17"/>
    <n v="0"/>
    <n v="0.05"/>
    <n v="120"/>
    <n v="24.34"/>
    <n v="178.57"/>
    <n v="2024"/>
    <n v="2"/>
    <x v="0"/>
    <n v="11"/>
    <n v="11"/>
    <s v="202311"/>
    <s v="Feb-24"/>
    <n v="29833.43"/>
    <n v="29.83343"/>
  </r>
  <r>
    <d v="2024-02-19T00:00:00"/>
    <s v="OPT-NIFFIN-20-Feb-2024-20550-C-E-I"/>
    <s v="NSE"/>
    <s v="Buy"/>
    <n v="240"/>
    <n v="0"/>
    <n v="99.95"/>
    <n v="23988"/>
    <s v="#202402193700008262"/>
    <n v="0"/>
    <n v="12.11"/>
    <n v="1"/>
    <n v="0.02"/>
    <n v="120"/>
    <n v="23.78"/>
    <n v="156.91"/>
    <n v="2024"/>
    <n v="2"/>
    <x v="0"/>
    <n v="11"/>
    <n v="11"/>
    <s v="202311"/>
    <s v="Feb-24"/>
    <n v="-24144.91"/>
    <n v="-24.144909999999999"/>
  </r>
  <r>
    <d v="2024-02-20T00:00:00"/>
    <s v="OPT-NIFFIN-20-Feb-2024-20500-P-E-I"/>
    <s v="NSE"/>
    <s v="Sell"/>
    <n v="1800"/>
    <n v="0"/>
    <n v="2.95"/>
    <n v="5310"/>
    <s v="#202402203700015322"/>
    <n v="3.44"/>
    <n v="2.68"/>
    <n v="0"/>
    <n v="0"/>
    <n v="900"/>
    <n v="162.52000000000001"/>
    <n v="1068.6400000000001"/>
    <n v="2024"/>
    <n v="2"/>
    <x v="0"/>
    <n v="11"/>
    <n v="11"/>
    <s v="202311"/>
    <s v="Feb-24"/>
    <n v="4241.3599999999997"/>
    <n v="4.2413599999999994"/>
  </r>
  <r>
    <d v="2024-02-20T00:00:00"/>
    <s v="OPT-NIFFIN-20-Feb-2024-20500-P-E-I"/>
    <s v="NSE"/>
    <s v="Sell"/>
    <n v="1800"/>
    <n v="0"/>
    <n v="2.95"/>
    <n v="5310"/>
    <s v="#202402203700015296"/>
    <n v="3.32"/>
    <n v="2.69"/>
    <n v="0"/>
    <n v="0"/>
    <n v="900"/>
    <n v="162.47999999999999"/>
    <n v="1068.49"/>
    <n v="2024"/>
    <n v="2"/>
    <x v="0"/>
    <n v="11"/>
    <n v="11"/>
    <s v="202311"/>
    <s v="Feb-24"/>
    <n v="4241.51"/>
    <n v="4.2415099999999999"/>
  </r>
  <r>
    <d v="2024-02-20T00:00:00"/>
    <s v="OPT-NIFFIN-20-Feb-2024-20500-P-E-I"/>
    <s v="NSE"/>
    <s v="Buy"/>
    <n v="1800"/>
    <n v="0"/>
    <n v="5.0999999999999996"/>
    <n v="9180"/>
    <s v="#202402203700013783"/>
    <n v="0"/>
    <n v="4.63"/>
    <n v="1.3"/>
    <n v="0"/>
    <n v="900"/>
    <n v="162.82"/>
    <n v="1068.75"/>
    <n v="2024"/>
    <n v="2"/>
    <x v="0"/>
    <n v="11"/>
    <n v="11"/>
    <s v="202311"/>
    <s v="Feb-24"/>
    <n v="-10248.75"/>
    <n v="-10.248749999999999"/>
  </r>
  <r>
    <d v="2024-02-20T00:00:00"/>
    <s v="OPT-NIFFIN-20-Feb-2024-20500-P-E-I"/>
    <s v="NSE"/>
    <s v="Buy"/>
    <n v="1800"/>
    <n v="0"/>
    <n v="6.1"/>
    <n v="10980"/>
    <s v="#202402203700013737"/>
    <n v="0"/>
    <n v="5.54"/>
    <n v="0"/>
    <n v="0.01"/>
    <n v="900"/>
    <n v="162.97999999999999"/>
    <n v="1068.53"/>
    <n v="2024"/>
    <n v="2"/>
    <x v="0"/>
    <n v="11"/>
    <n v="11"/>
    <s v="202311"/>
    <s v="Feb-24"/>
    <n v="-12048.53"/>
    <n v="-12.048530000000001"/>
  </r>
  <r>
    <d v="2024-02-20T00:00:00"/>
    <s v="OPT-RBLBAN-29-Feb-2024-270-C-E-S"/>
    <s v="NSE"/>
    <s v="Sell"/>
    <n v="2500"/>
    <n v="0"/>
    <n v="9.3000000000000007"/>
    <n v="23250"/>
    <s v="#202402203700012677"/>
    <n v="14.53"/>
    <n v="11.74"/>
    <n v="0"/>
    <n v="0.02"/>
    <n v="20"/>
    <n v="5.72"/>
    <n v="52.01"/>
    <n v="2024"/>
    <n v="2"/>
    <x v="0"/>
    <n v="11"/>
    <n v="11"/>
    <s v="202311"/>
    <s v="Feb-24"/>
    <n v="23197.99"/>
    <n v="23.197990000000001"/>
  </r>
  <r>
    <d v="2024-02-20T00:00:00"/>
    <s v="OPT-RBLBAN-29-Feb-2024-270-C-E-S"/>
    <s v="NSE"/>
    <s v="Buy"/>
    <n v="2500"/>
    <n v="0"/>
    <n v="9.35"/>
    <n v="23375"/>
    <s v="#202402203700012423"/>
    <n v="0"/>
    <n v="11.8"/>
    <n v="0.7"/>
    <n v="0.02"/>
    <n v="20"/>
    <n v="5.72"/>
    <n v="38.24"/>
    <n v="2024"/>
    <n v="2"/>
    <x v="0"/>
    <n v="11"/>
    <n v="11"/>
    <s v="202311"/>
    <s v="Feb-24"/>
    <n v="-23413.24"/>
    <n v="-23.413240000000002"/>
  </r>
  <r>
    <d v="2024-02-20T00:00:00"/>
    <s v="OPT-NIFFIN-20-Feb-2024-20500-P-E-I"/>
    <s v="NSE"/>
    <s v="Sell"/>
    <n v="1040"/>
    <n v="0"/>
    <n v="4.1500000000000004"/>
    <n v="4316"/>
    <s v="#202402203700011941"/>
    <n v="2.7"/>
    <n v="2.1800000000000002"/>
    <n v="0"/>
    <n v="0"/>
    <n v="520"/>
    <n v="93.98"/>
    <n v="618.86"/>
    <n v="2024"/>
    <n v="2"/>
    <x v="0"/>
    <n v="11"/>
    <n v="11"/>
    <s v="202311"/>
    <s v="Feb-24"/>
    <n v="3697.14"/>
    <n v="3.6971400000000001"/>
  </r>
  <r>
    <d v="2024-02-20T00:00:00"/>
    <s v="OPT-NIFFIN-20-Feb-2024-20500-P-E-I"/>
    <s v="NSE"/>
    <s v="Buy"/>
    <n v="520"/>
    <n v="0"/>
    <n v="7.5"/>
    <n v="3900"/>
    <s v="#202402203700011029"/>
    <n v="0"/>
    <n v="1.97"/>
    <n v="0"/>
    <n v="0"/>
    <n v="260"/>
    <n v="47.14"/>
    <n v="309.11"/>
    <n v="2024"/>
    <n v="2"/>
    <x v="0"/>
    <n v="11"/>
    <n v="11"/>
    <s v="202311"/>
    <s v="Feb-24"/>
    <n v="-4209.1099999999997"/>
    <n v="-4.2091099999999999"/>
  </r>
  <r>
    <d v="2024-02-20T00:00:00"/>
    <s v="OPT-NIFFIN-20-Feb-2024-20500-P-E-I"/>
    <s v="NSE"/>
    <s v="Buy"/>
    <n v="40"/>
    <n v="0"/>
    <n v="9.5500000000000007"/>
    <n v="382"/>
    <s v="#202402203700008469"/>
    <n v="0"/>
    <n v="0.19"/>
    <n v="0"/>
    <n v="0"/>
    <n v="20"/>
    <n v="3.64"/>
    <n v="23.83"/>
    <n v="2024"/>
    <n v="2"/>
    <x v="0"/>
    <n v="11"/>
    <n v="11"/>
    <s v="202311"/>
    <s v="Feb-24"/>
    <n v="-405.83"/>
    <n v="-0.40582999999999997"/>
  </r>
  <r>
    <d v="2024-02-20T00:00:00"/>
    <s v="OPT-NIFFIN-20-Feb-2024-20500-P-E-I"/>
    <s v="NSE"/>
    <s v="Buy"/>
    <n v="40"/>
    <n v="0"/>
    <n v="9.65"/>
    <n v="386"/>
    <s v="#202402203700008463"/>
    <n v="0"/>
    <n v="0.19"/>
    <n v="0"/>
    <n v="0"/>
    <n v="20"/>
    <n v="3.64"/>
    <n v="23.83"/>
    <n v="2024"/>
    <n v="2"/>
    <x v="0"/>
    <n v="11"/>
    <n v="11"/>
    <s v="202311"/>
    <s v="Feb-24"/>
    <n v="-409.83"/>
    <n v="-0.40982999999999997"/>
  </r>
  <r>
    <d v="2024-02-20T00:00:00"/>
    <s v="OPT-NIFFIN-20-Feb-2024-20500-P-E-I"/>
    <s v="NSE"/>
    <s v="Buy"/>
    <n v="40"/>
    <n v="0"/>
    <n v="9.65"/>
    <n v="386"/>
    <s v="#202402203700008451"/>
    <n v="0"/>
    <n v="0.19"/>
    <n v="0"/>
    <n v="0"/>
    <n v="20"/>
    <n v="3.64"/>
    <n v="23.83"/>
    <n v="2024"/>
    <n v="2"/>
    <x v="0"/>
    <n v="11"/>
    <n v="11"/>
    <s v="202311"/>
    <s v="Feb-24"/>
    <n v="-409.83"/>
    <n v="-0.40982999999999997"/>
  </r>
  <r>
    <d v="2024-02-20T00:00:00"/>
    <s v="OPT-NIFFIN-20-Feb-2024-20500-P-E-I"/>
    <s v="NSE"/>
    <s v="Buy"/>
    <n v="40"/>
    <n v="0"/>
    <n v="9.75"/>
    <n v="390"/>
    <s v="#202402203700008395"/>
    <n v="0"/>
    <n v="0.2"/>
    <n v="0"/>
    <n v="0"/>
    <n v="20"/>
    <n v="3.64"/>
    <n v="23.84"/>
    <n v="2024"/>
    <n v="2"/>
    <x v="0"/>
    <n v="11"/>
    <n v="11"/>
    <s v="202311"/>
    <s v="Feb-24"/>
    <n v="-413.84"/>
    <n v="-0.41383999999999999"/>
  </r>
  <r>
    <d v="2024-02-20T00:00:00"/>
    <s v="OPT-NIFFIN-20-Feb-2024-20500-P-E-I"/>
    <s v="NSE"/>
    <s v="Buy"/>
    <n v="40"/>
    <n v="0"/>
    <n v="9.9"/>
    <n v="396"/>
    <s v="#202402203700008188"/>
    <n v="0"/>
    <n v="0.2"/>
    <n v="0"/>
    <n v="0"/>
    <n v="20"/>
    <n v="3.64"/>
    <n v="23.84"/>
    <n v="2024"/>
    <n v="2"/>
    <x v="0"/>
    <n v="11"/>
    <n v="11"/>
    <s v="202311"/>
    <s v="Feb-24"/>
    <n v="-419.84"/>
    <n v="-0.41983999999999999"/>
  </r>
  <r>
    <d v="2024-02-20T00:00:00"/>
    <s v="OPT-NIFFIN-20-Feb-2024-20500-P-E-I"/>
    <s v="NSE"/>
    <s v="Buy"/>
    <n v="40"/>
    <n v="0"/>
    <n v="9.9"/>
    <n v="396"/>
    <s v="#202402203700008177"/>
    <n v="0"/>
    <n v="0.2"/>
    <n v="0"/>
    <n v="0"/>
    <n v="20"/>
    <n v="3.64"/>
    <n v="23.84"/>
    <n v="2024"/>
    <n v="2"/>
    <x v="0"/>
    <n v="11"/>
    <n v="11"/>
    <s v="202311"/>
    <s v="Feb-24"/>
    <n v="-419.84"/>
    <n v="-0.41983999999999999"/>
  </r>
  <r>
    <d v="2024-02-20T00:00:00"/>
    <s v="OPT-NIFFIN-20-Feb-2024-20500-P-E-I"/>
    <s v="NSE"/>
    <s v="Buy"/>
    <n v="40"/>
    <n v="0"/>
    <n v="10"/>
    <n v="400"/>
    <s v="#202402203700008170"/>
    <n v="0"/>
    <n v="0.2"/>
    <n v="0"/>
    <n v="0"/>
    <n v="20"/>
    <n v="3.64"/>
    <n v="23.84"/>
    <n v="2024"/>
    <n v="2"/>
    <x v="0"/>
    <n v="11"/>
    <n v="11"/>
    <s v="202311"/>
    <s v="Feb-24"/>
    <n v="-423.84"/>
    <n v="-0.42383999999999999"/>
  </r>
  <r>
    <d v="2024-02-20T00:00:00"/>
    <s v="OPT-NIFFIN-20-Feb-2024-20500-P-E-I"/>
    <s v="NSE"/>
    <s v="Buy"/>
    <n v="40"/>
    <n v="0"/>
    <n v="9.15"/>
    <n v="366"/>
    <s v="#202402203700007642"/>
    <n v="0"/>
    <n v="0.18"/>
    <n v="0"/>
    <n v="0"/>
    <n v="20"/>
    <n v="3.64"/>
    <n v="23.82"/>
    <n v="2024"/>
    <n v="2"/>
    <x v="0"/>
    <n v="11"/>
    <n v="11"/>
    <s v="202311"/>
    <s v="Feb-24"/>
    <n v="-389.82"/>
    <n v="-0.38982"/>
  </r>
  <r>
    <d v="2024-02-20T00:00:00"/>
    <s v="OPT-NIFFIN-20-Feb-2024-20500-P-E-I"/>
    <s v="NSE"/>
    <s v="Buy"/>
    <n v="40"/>
    <n v="0"/>
    <n v="9.0500000000000007"/>
    <n v="362"/>
    <s v="#202402203700007418"/>
    <n v="0"/>
    <n v="0.18"/>
    <n v="0"/>
    <n v="0"/>
    <n v="20"/>
    <n v="3.64"/>
    <n v="23.82"/>
    <n v="2024"/>
    <n v="2"/>
    <x v="0"/>
    <n v="11"/>
    <n v="11"/>
    <s v="202311"/>
    <s v="Feb-24"/>
    <n v="-385.82"/>
    <n v="-0.38582"/>
  </r>
  <r>
    <d v="2024-02-20T00:00:00"/>
    <s v="OPT-NIFFIN-20-Feb-2024-20500-P-E-I"/>
    <s v="NSE"/>
    <s v="Buy"/>
    <n v="40"/>
    <n v="0"/>
    <n v="12.6"/>
    <n v="504"/>
    <s v="#202402203700007160"/>
    <n v="0"/>
    <n v="0.25"/>
    <n v="0"/>
    <n v="0"/>
    <n v="20"/>
    <n v="3.64"/>
    <n v="23.89"/>
    <n v="2024"/>
    <n v="2"/>
    <x v="0"/>
    <n v="11"/>
    <n v="11"/>
    <s v="202311"/>
    <s v="Feb-24"/>
    <n v="-527.89"/>
    <n v="-0.52788999999999997"/>
  </r>
  <r>
    <d v="2024-02-20T00:00:00"/>
    <s v="OPT-NIFFIN-20-Feb-2024-20500-P-E-I"/>
    <s v="NSE"/>
    <s v="Buy"/>
    <n v="40"/>
    <n v="0"/>
    <n v="12.55"/>
    <n v="502"/>
    <s v="#202402203700006913"/>
    <n v="0"/>
    <n v="0.25"/>
    <n v="0"/>
    <n v="0"/>
    <n v="20"/>
    <n v="3.64"/>
    <n v="23.89"/>
    <n v="2024"/>
    <n v="2"/>
    <x v="0"/>
    <n v="11"/>
    <n v="11"/>
    <s v="202311"/>
    <s v="Feb-24"/>
    <n v="-525.89"/>
    <n v="-0.52588999999999997"/>
  </r>
  <r>
    <d v="2024-02-20T00:00:00"/>
    <s v="OPT-NIFFIN-20-Feb-2024-20500-P-E-I"/>
    <s v="NSE"/>
    <s v="Buy"/>
    <n v="40"/>
    <n v="0"/>
    <n v="14.4"/>
    <n v="576"/>
    <s v="#202402203700006778"/>
    <n v="0"/>
    <n v="0.28999999999999998"/>
    <n v="0"/>
    <n v="0"/>
    <n v="20"/>
    <n v="3.66"/>
    <n v="23.95"/>
    <n v="2024"/>
    <n v="2"/>
    <x v="0"/>
    <n v="11"/>
    <n v="11"/>
    <s v="202311"/>
    <s v="Feb-24"/>
    <n v="-599.95000000000005"/>
    <n v="-0.59995000000000009"/>
  </r>
  <r>
    <d v="2024-02-20T00:00:00"/>
    <s v="OPT-NIFFIN-20-Feb-2024-20500-P-E-I"/>
    <s v="NSE"/>
    <s v="Buy"/>
    <n v="40"/>
    <n v="0"/>
    <n v="30"/>
    <n v="1200"/>
    <s v="#202402203700004937"/>
    <n v="0"/>
    <n v="0.61"/>
    <n v="0"/>
    <n v="0"/>
    <n v="20"/>
    <n v="3.7"/>
    <n v="24.31"/>
    <n v="2024"/>
    <n v="2"/>
    <x v="0"/>
    <n v="11"/>
    <n v="11"/>
    <s v="202311"/>
    <s v="Feb-24"/>
    <n v="-1224.31"/>
    <n v="-1.22431"/>
  </r>
  <r>
    <d v="2024-02-21T00:00:00"/>
    <s v="OPT-CNXBAN-21-Feb-2024-47200-C-E-I"/>
    <s v="NSE"/>
    <s v="Sell"/>
    <n v="120"/>
    <n v="0"/>
    <n v="78.55"/>
    <n v="9426"/>
    <s v="#202402213700020089"/>
    <n v="5.9"/>
    <n v="4.7699999999999996"/>
    <n v="0"/>
    <n v="0"/>
    <n v="160"/>
    <n v="29.64"/>
    <n v="200.31"/>
    <n v="2024"/>
    <n v="2"/>
    <x v="0"/>
    <n v="11"/>
    <n v="11"/>
    <s v="202311"/>
    <s v="Feb-24"/>
    <n v="9225.69"/>
    <n v="9.2256900000000002"/>
  </r>
  <r>
    <d v="2024-02-21T00:00:00"/>
    <s v="OPT-CNXBAN-21-Feb-2024-47200-C-E-I"/>
    <s v="NSE"/>
    <s v="Buy"/>
    <n v="120"/>
    <n v="0"/>
    <n v="68.3"/>
    <n v="8196"/>
    <s v="#202402213700018547"/>
    <n v="0"/>
    <n v="4.1399999999999997"/>
    <n v="0.25"/>
    <n v="0.01"/>
    <n v="160"/>
    <n v="29.54"/>
    <n v="193.94"/>
    <n v="2024"/>
    <n v="2"/>
    <x v="0"/>
    <n v="11"/>
    <n v="11"/>
    <s v="202311"/>
    <s v="Feb-24"/>
    <n v="-8389.94"/>
    <n v="-8.3899400000000011"/>
  </r>
  <r>
    <d v="2024-02-21T00:00:00"/>
    <s v="OPT-CNXBAN-21-Feb-2024-47000-P-E-I"/>
    <s v="NSE"/>
    <s v="Sell"/>
    <n v="105"/>
    <n v="0"/>
    <n v="35.9"/>
    <n v="3769.5"/>
    <s v="#202402213700018507"/>
    <n v="2.36"/>
    <n v="1.9"/>
    <n v="0"/>
    <n v="0"/>
    <n v="140"/>
    <n v="25.54"/>
    <n v="169.8"/>
    <n v="2024"/>
    <n v="2"/>
    <x v="0"/>
    <n v="11"/>
    <n v="11"/>
    <s v="202311"/>
    <s v="Feb-24"/>
    <n v="3599.7"/>
    <n v="3.5996999999999999"/>
  </r>
  <r>
    <d v="2024-02-21T00:00:00"/>
    <s v="OPT-CNXBAN-21-Feb-2024-47000-P-E-I"/>
    <s v="NSE"/>
    <s v="Buy"/>
    <n v="105"/>
    <n v="0"/>
    <n v="135.15"/>
    <n v="14190.75"/>
    <s v="#202402213700012658"/>
    <n v="0"/>
    <n v="7.17"/>
    <n v="0.75"/>
    <n v="0.01"/>
    <n v="140"/>
    <n v="26.48"/>
    <n v="174.41"/>
    <n v="2024"/>
    <n v="2"/>
    <x v="0"/>
    <n v="11"/>
    <n v="11"/>
    <s v="202311"/>
    <s v="Feb-24"/>
    <n v="-14365.16"/>
    <n v="-14.365159999999999"/>
  </r>
  <r>
    <d v="2024-02-21T00:00:00"/>
    <s v="OPT-CNXBAN-21-Feb-2024-47000-P-E-I"/>
    <s v="NSE"/>
    <s v="Sell"/>
    <n v="105"/>
    <n v="0"/>
    <n v="130"/>
    <n v="13650"/>
    <s v="#202402213700012075"/>
    <n v="8.75"/>
    <n v="6.89"/>
    <n v="0"/>
    <n v="0.01"/>
    <n v="140"/>
    <n v="26.44"/>
    <n v="182.09"/>
    <n v="2024"/>
    <n v="2"/>
    <x v="0"/>
    <n v="11"/>
    <n v="11"/>
    <s v="202311"/>
    <s v="Feb-24"/>
    <n v="13467.91"/>
    <n v="13.46791"/>
  </r>
  <r>
    <d v="2024-02-21T00:00:00"/>
    <s v="OPT-CNXBAN-21-Feb-2024-47000-P-E-I"/>
    <s v="NSE"/>
    <s v="Buy"/>
    <n v="45"/>
    <n v="0"/>
    <n v="51.45"/>
    <n v="2315.25"/>
    <s v="#202402213700005424"/>
    <n v="0"/>
    <n v="1.17"/>
    <n v="0"/>
    <n v="0"/>
    <n v="60"/>
    <n v="11.02"/>
    <n v="72.19"/>
    <n v="2024"/>
    <n v="2"/>
    <x v="0"/>
    <n v="11"/>
    <n v="11"/>
    <s v="202311"/>
    <s v="Feb-24"/>
    <n v="-2387.44"/>
    <n v="-2.3874400000000002"/>
  </r>
  <r>
    <d v="2024-02-21T00:00:00"/>
    <s v="OPT-CNXBAN-21-Feb-2024-47000-P-E-I"/>
    <s v="NSE"/>
    <s v="Buy"/>
    <n v="45"/>
    <n v="0"/>
    <n v="69.849999999999994"/>
    <n v="3143.25"/>
    <s v="#202402213700004280"/>
    <n v="0"/>
    <n v="1.59"/>
    <n v="0"/>
    <n v="0"/>
    <n v="60"/>
    <n v="11.1"/>
    <n v="72.69"/>
    <n v="2024"/>
    <n v="2"/>
    <x v="0"/>
    <n v="11"/>
    <n v="11"/>
    <s v="202311"/>
    <s v="Feb-24"/>
    <n v="-3215.94"/>
    <n v="-3.2159400000000002"/>
  </r>
  <r>
    <d v="2024-02-21T00:00:00"/>
    <s v="OPT-CNXBAN-21-Feb-2024-47000-P-E-I"/>
    <s v="NSE"/>
    <s v="Buy"/>
    <n v="15"/>
    <n v="0"/>
    <n v="122.3"/>
    <n v="1834.5"/>
    <s v="#202402213700002257"/>
    <n v="0"/>
    <n v="0.93"/>
    <n v="0"/>
    <n v="0"/>
    <n v="20"/>
    <n v="3.76"/>
    <n v="24.69"/>
    <n v="2024"/>
    <n v="2"/>
    <x v="0"/>
    <n v="11"/>
    <n v="11"/>
    <s v="202311"/>
    <s v="Feb-24"/>
    <n v="-1859.19"/>
    <n v="-1.8591900000000001"/>
  </r>
  <r>
    <d v="2024-02-22T00:00:00"/>
    <s v="OPT-NIFTY-22-Feb-2024-21900-P-E-I"/>
    <s v="NSE"/>
    <s v="Sell"/>
    <n v="250"/>
    <n v="0"/>
    <n v="10"/>
    <n v="2500"/>
    <s v="#202402223700017940"/>
    <n v="1.56"/>
    <n v="1.26"/>
    <n v="0"/>
    <n v="0"/>
    <n v="100"/>
    <n v="18.22"/>
    <n v="121.04"/>
    <n v="2024"/>
    <n v="2"/>
    <x v="0"/>
    <n v="11"/>
    <n v="11"/>
    <s v="202311"/>
    <s v="Feb-24"/>
    <n v="2378.96"/>
    <n v="2.3789600000000002"/>
  </r>
  <r>
    <d v="2024-02-22T00:00:00"/>
    <s v="OPT-NIFTY-22-Feb-2024-21900-P-E-I"/>
    <s v="NSE"/>
    <s v="Buy"/>
    <n v="50"/>
    <n v="0"/>
    <n v="21.65"/>
    <n v="1082.5"/>
    <s v="#202402223700016314"/>
    <n v="0"/>
    <n v="0.55000000000000004"/>
    <n v="0"/>
    <n v="0"/>
    <n v="20"/>
    <n v="3.7"/>
    <n v="24.25"/>
    <n v="2024"/>
    <n v="2"/>
    <x v="0"/>
    <n v="11"/>
    <n v="11"/>
    <s v="202311"/>
    <s v="Feb-24"/>
    <n v="-1106.75"/>
    <n v="-1.1067499999999999"/>
  </r>
  <r>
    <d v="2024-02-22T00:00:00"/>
    <s v="OPT-NIFTY-22-Feb-2024-21900-P-E-I"/>
    <s v="NSE"/>
    <s v="Buy"/>
    <n v="50"/>
    <n v="0"/>
    <n v="30"/>
    <n v="1500"/>
    <s v="#202402223700015316"/>
    <n v="0"/>
    <n v="0.76"/>
    <n v="0"/>
    <n v="0"/>
    <n v="20"/>
    <n v="3.74"/>
    <n v="24.5"/>
    <n v="2024"/>
    <n v="2"/>
    <x v="0"/>
    <n v="11"/>
    <n v="11"/>
    <s v="202311"/>
    <s v="Feb-24"/>
    <n v="-1524.5"/>
    <n v="-1.5245"/>
  </r>
  <r>
    <d v="2024-02-22T00:00:00"/>
    <s v="OPT-NIFTY-22-Feb-2024-21900-P-E-I"/>
    <s v="NSE"/>
    <s v="Buy"/>
    <n v="50"/>
    <n v="0"/>
    <n v="26.4"/>
    <n v="1320"/>
    <s v="#202402223700014837"/>
    <n v="0"/>
    <n v="0.67"/>
    <n v="0"/>
    <n v="0"/>
    <n v="20"/>
    <n v="3.72"/>
    <n v="24.39"/>
    <n v="2024"/>
    <n v="2"/>
    <x v="0"/>
    <n v="11"/>
    <n v="11"/>
    <s v="202311"/>
    <s v="Feb-24"/>
    <n v="-1344.39"/>
    <n v="-1.3443900000000002"/>
  </r>
  <r>
    <d v="2024-02-22T00:00:00"/>
    <s v="OPT-NIFTY-22-Feb-2024-21900-P-E-I"/>
    <s v="NSE"/>
    <s v="Buy"/>
    <n v="50"/>
    <n v="0"/>
    <n v="40"/>
    <n v="2000"/>
    <s v="#202402223700014598"/>
    <n v="0"/>
    <n v="1.01"/>
    <n v="0"/>
    <n v="0"/>
    <n v="20"/>
    <n v="3.78"/>
    <n v="24.79"/>
    <n v="2024"/>
    <n v="2"/>
    <x v="0"/>
    <n v="11"/>
    <n v="11"/>
    <s v="202311"/>
    <s v="Feb-24"/>
    <n v="-2024.79"/>
    <n v="-2.0247899999999999"/>
  </r>
  <r>
    <d v="2024-02-22T00:00:00"/>
    <s v="OPT-NIFTY-22-Feb-2024-21900-P-E-I"/>
    <s v="NSE"/>
    <s v="Buy"/>
    <n v="50"/>
    <n v="0"/>
    <n v="49.5"/>
    <n v="2475"/>
    <s v="#202402223700014129"/>
    <n v="0"/>
    <n v="1.25"/>
    <n v="0"/>
    <n v="0"/>
    <n v="20"/>
    <n v="3.82"/>
    <n v="25.07"/>
    <n v="2024"/>
    <n v="2"/>
    <x v="0"/>
    <n v="11"/>
    <n v="11"/>
    <s v="202311"/>
    <s v="Feb-24"/>
    <n v="-2500.0700000000002"/>
    <n v="-2.50007"/>
  </r>
  <r>
    <d v="2024-02-22T00:00:00"/>
    <s v="OPT-NIFTY-22-Feb-2024-22000-P-E-I"/>
    <s v="NSE"/>
    <s v="Sell"/>
    <n v="50"/>
    <n v="0"/>
    <n v="160.05000000000001"/>
    <n v="8002.5"/>
    <s v="#202402223700008533"/>
    <n v="5.44"/>
    <n v="4.04"/>
    <n v="0"/>
    <n v="0.01"/>
    <n v="20"/>
    <n v="4.32"/>
    <n v="33.81"/>
    <n v="2024"/>
    <n v="2"/>
    <x v="0"/>
    <n v="11"/>
    <n v="11"/>
    <s v="202311"/>
    <s v="Feb-24"/>
    <n v="7968.69"/>
    <n v="7.9686899999999996"/>
  </r>
  <r>
    <d v="2024-02-22T00:00:00"/>
    <s v="OPT-NIFTY-22-Feb-2024-22000-P-E-I"/>
    <s v="NSE"/>
    <s v="Buy"/>
    <n v="50"/>
    <n v="0"/>
    <n v="136.05000000000001"/>
    <n v="6802.5"/>
    <s v="#202402223700007266"/>
    <n v="0"/>
    <n v="3.44"/>
    <n v="0"/>
    <n v="0.01"/>
    <n v="20"/>
    <n v="4.22"/>
    <n v="27.67"/>
    <n v="2024"/>
    <n v="2"/>
    <x v="0"/>
    <n v="11"/>
    <n v="11"/>
    <s v="202311"/>
    <s v="Feb-24"/>
    <n v="-6830.17"/>
    <n v="-6.8301699999999999"/>
  </r>
  <r>
    <d v="2024-02-23T00:00:00"/>
    <s v="OPT-NIFFIN-27-Feb-2024-20650-P-E-I"/>
    <s v="NSE"/>
    <s v="Sell"/>
    <n v="120"/>
    <n v="0"/>
    <n v="99"/>
    <n v="11880"/>
    <s v="#202402233700022232"/>
    <n v="6.96"/>
    <n v="6"/>
    <n v="0"/>
    <n v="0.01"/>
    <n v="60"/>
    <n v="11.88"/>
    <n v="84.85"/>
    <n v="2024"/>
    <n v="2"/>
    <x v="0"/>
    <n v="11"/>
    <n v="11"/>
    <s v="202311"/>
    <s v="Feb-24"/>
    <n v="11795.15"/>
    <n v="11.79515"/>
  </r>
  <r>
    <d v="2024-02-23T00:00:00"/>
    <s v="OPT-NIFTY-29-Feb-2024-22300-C-E-I"/>
    <s v="NSE"/>
    <s v="Buy"/>
    <n v="100"/>
    <n v="0"/>
    <n v="147.75"/>
    <n v="14775"/>
    <s v="#202402233700013561"/>
    <n v="0"/>
    <n v="7.46"/>
    <n v="0.67"/>
    <n v="0.01"/>
    <n v="40"/>
    <n v="8.5399999999999991"/>
    <n v="56.68"/>
    <n v="2024"/>
    <n v="2"/>
    <x v="0"/>
    <n v="11"/>
    <n v="11"/>
    <s v="202311"/>
    <s v="Feb-24"/>
    <n v="-14831.68"/>
    <n v="-14.83168"/>
  </r>
  <r>
    <d v="2024-02-23T00:00:00"/>
    <s v="OPT-NIFTY-29-Feb-2024-22300-C-E-I"/>
    <s v="NSE"/>
    <s v="Buy"/>
    <n v="50"/>
    <n v="0"/>
    <n v="147.94999999999999"/>
    <n v="7397.5"/>
    <s v="#202402233700011703"/>
    <n v="0"/>
    <n v="3.74"/>
    <n v="0"/>
    <n v="0.01"/>
    <n v="20"/>
    <n v="4.28"/>
    <n v="28.03"/>
    <n v="2024"/>
    <n v="2"/>
    <x v="0"/>
    <n v="11"/>
    <n v="11"/>
    <s v="202311"/>
    <s v="Feb-24"/>
    <n v="-7425.53"/>
    <n v="-7.4255300000000002"/>
  </r>
  <r>
    <d v="2024-02-23T00:00:00"/>
    <s v="OPT-NIFFIN-27-Feb-2024-20650-P-E-I"/>
    <s v="NSE"/>
    <s v="Buy"/>
    <n v="40"/>
    <n v="0"/>
    <n v="72.900000000000006"/>
    <n v="2916"/>
    <s v="#202402233700009985"/>
    <n v="0"/>
    <n v="1.47"/>
    <n v="0"/>
    <n v="0"/>
    <n v="20"/>
    <n v="3.86"/>
    <n v="25.33"/>
    <n v="2024"/>
    <n v="2"/>
    <x v="0"/>
    <n v="11"/>
    <n v="11"/>
    <s v="202311"/>
    <s v="Feb-24"/>
    <n v="-2941.33"/>
    <n v="-2.9413299999999998"/>
  </r>
  <r>
    <d v="2024-02-23T00:00:00"/>
    <s v="OPT-NIFFIN-27-Feb-2024-20650-P-E-I"/>
    <s v="NSE"/>
    <s v="Buy"/>
    <n v="40"/>
    <n v="0"/>
    <n v="92.1"/>
    <n v="3684"/>
    <s v="#202402233700008998"/>
    <n v="0"/>
    <n v="1.86"/>
    <n v="0"/>
    <n v="0"/>
    <n v="20"/>
    <n v="3.94"/>
    <n v="25.8"/>
    <n v="2024"/>
    <n v="2"/>
    <x v="0"/>
    <n v="11"/>
    <n v="11"/>
    <s v="202311"/>
    <s v="Feb-24"/>
    <n v="-3709.8"/>
    <n v="-3.7098"/>
  </r>
  <r>
    <d v="2024-02-23T00:00:00"/>
    <s v="OPT-NIFFIN-27-Feb-2024-20650-P-E-I"/>
    <s v="NSE"/>
    <s v="Buy"/>
    <n v="40"/>
    <n v="0"/>
    <n v="98.75"/>
    <n v="3950"/>
    <s v="#202402233700008153"/>
    <n v="0"/>
    <n v="1.99"/>
    <n v="0.32"/>
    <n v="0"/>
    <n v="20"/>
    <n v="3.96"/>
    <n v="26.27"/>
    <n v="2024"/>
    <n v="2"/>
    <x v="0"/>
    <n v="11"/>
    <n v="11"/>
    <s v="202311"/>
    <s v="Feb-24"/>
    <n v="-3976.27"/>
    <n v="-3.97627"/>
  </r>
  <r>
    <d v="2024-02-23T00:00:00"/>
    <s v="OPT-NIFTY-29-Feb-2024-22200-P-E-I"/>
    <s v="NSE"/>
    <s v="Sell"/>
    <n v="250"/>
    <n v="0"/>
    <n v="134.65"/>
    <n v="33662.5"/>
    <s v="#202402233700007069"/>
    <n v="21.04"/>
    <n v="17"/>
    <n v="0"/>
    <n v="0.03"/>
    <n v="100"/>
    <n v="21.06"/>
    <n v="159.13"/>
    <n v="2024"/>
    <n v="2"/>
    <x v="0"/>
    <n v="11"/>
    <n v="11"/>
    <s v="202311"/>
    <s v="Feb-24"/>
    <n v="33503.370000000003"/>
    <n v="33.503370000000004"/>
  </r>
  <r>
    <d v="2024-02-23T00:00:00"/>
    <s v="OPT-NIFTY-29-Feb-2024-22200-P-E-I"/>
    <s v="NSE"/>
    <s v="Buy"/>
    <n v="200"/>
    <n v="0"/>
    <n v="129.25"/>
    <n v="25850"/>
    <s v="#202402233700003825"/>
    <n v="0"/>
    <n v="13.05"/>
    <n v="1.01"/>
    <n v="0.03"/>
    <n v="80"/>
    <n v="16.760000000000002"/>
    <n v="110.85"/>
    <n v="2024"/>
    <n v="2"/>
    <x v="0"/>
    <n v="11"/>
    <n v="11"/>
    <s v="202311"/>
    <s v="Feb-24"/>
    <n v="-25960.85"/>
    <n v="-25.960849999999997"/>
  </r>
  <r>
    <d v="2024-02-23T00:00:00"/>
    <s v="OPT-NIFTY-29-Feb-2024-22200-P-E-I"/>
    <s v="NSE"/>
    <s v="Buy"/>
    <n v="50"/>
    <n v="0"/>
    <n v="130.85"/>
    <n v="6542.5"/>
    <s v="#202402233700002965"/>
    <n v="0"/>
    <n v="3.3"/>
    <n v="0"/>
    <n v="0.01"/>
    <n v="20"/>
    <n v="4.2"/>
    <n v="27.51"/>
    <n v="2024"/>
    <n v="2"/>
    <x v="0"/>
    <n v="11"/>
    <n v="11"/>
    <s v="202311"/>
    <s v="Feb-24"/>
    <n v="-6570.01"/>
    <n v="-6.5700099999999999"/>
  </r>
  <r>
    <d v="2024-02-26T00:00:00"/>
    <s v="OPT-NIFTY-29-Feb-2024-22300-C-E-I"/>
    <s v="NSE"/>
    <s v="Sell"/>
    <n v="150"/>
    <n v="0"/>
    <n v="74.099999999999994"/>
    <n v="11115"/>
    <s v="#202402263700007254"/>
    <n v="6.95"/>
    <n v="5.61"/>
    <n v="0"/>
    <n v="0.01"/>
    <n v="60"/>
    <n v="11.82"/>
    <n v="84.39"/>
    <n v="2024"/>
    <n v="2"/>
    <x v="0"/>
    <n v="11"/>
    <n v="11"/>
    <s v="202311"/>
    <s v="Feb-24"/>
    <n v="11030.61"/>
    <n v="11.030610000000001"/>
  </r>
  <r>
    <d v="2024-02-26T00:00:00"/>
    <s v="OPT-NIFSEL-26-Feb-2024-11050-C-E-I"/>
    <s v="NSE"/>
    <s v="Sell"/>
    <n v="450"/>
    <n v="0"/>
    <n v="5.05"/>
    <n v="2272.5"/>
    <s v="#202402263700007190"/>
    <n v="1.06"/>
    <n v="1.1499999999999999"/>
    <n v="0"/>
    <n v="0"/>
    <n v="120"/>
    <n v="21.82"/>
    <n v="144.03"/>
    <n v="2024"/>
    <n v="2"/>
    <x v="0"/>
    <n v="11"/>
    <n v="11"/>
    <s v="202311"/>
    <s v="Feb-24"/>
    <n v="2128.4699999999998"/>
    <n v="2.1284699999999996"/>
  </r>
  <r>
    <d v="2024-02-26T00:00:00"/>
    <s v="OPT-NIFSEL-26-Feb-2024-11050-C-E-I"/>
    <s v="NSE"/>
    <s v="Buy"/>
    <n v="150"/>
    <n v="0"/>
    <n v="6.45"/>
    <n v="967.5"/>
    <s v="#202402263700005441"/>
    <n v="0"/>
    <n v="0.48"/>
    <n v="0"/>
    <n v="0"/>
    <n v="40"/>
    <n v="7.28"/>
    <n v="47.76"/>
    <n v="2024"/>
    <n v="2"/>
    <x v="0"/>
    <n v="11"/>
    <n v="11"/>
    <s v="202311"/>
    <s v="Feb-24"/>
    <n v="-1015.26"/>
    <n v="-1.0152600000000001"/>
  </r>
  <r>
    <d v="2024-02-26T00:00:00"/>
    <s v="OPT-NIFSEL-26-Feb-2024-11050-C-E-I"/>
    <s v="NSE"/>
    <s v="Buy"/>
    <n v="150"/>
    <n v="0"/>
    <n v="12.65"/>
    <n v="1897.5"/>
    <s v="#202402263700004132"/>
    <n v="0"/>
    <n v="0.96"/>
    <n v="0"/>
    <n v="0"/>
    <n v="40"/>
    <n v="7.38"/>
    <n v="48.34"/>
    <n v="2024"/>
    <n v="2"/>
    <x v="0"/>
    <n v="11"/>
    <n v="11"/>
    <s v="202311"/>
    <s v="Feb-24"/>
    <n v="-1945.84"/>
    <n v="-1.94584"/>
  </r>
  <r>
    <d v="2024-02-26T00:00:00"/>
    <s v="OPT-NIFSEL-26-Feb-2024-11050-C-E-I"/>
    <s v="NSE"/>
    <s v="Buy"/>
    <n v="150"/>
    <n v="0"/>
    <n v="32.65"/>
    <n v="4897.5"/>
    <s v="#202402263700003264"/>
    <n v="0"/>
    <n v="2.4700000000000002"/>
    <n v="0"/>
    <n v="0"/>
    <n v="40"/>
    <n v="7.64"/>
    <n v="50.11"/>
    <n v="2024"/>
    <n v="2"/>
    <x v="0"/>
    <n v="11"/>
    <n v="11"/>
    <s v="202311"/>
    <s v="Feb-24"/>
    <n v="-4947.6099999999997"/>
    <n v="-4.9476100000000001"/>
  </r>
  <r>
    <d v="2024-02-27T00:00:00"/>
    <s v="OPT-NIFTY-29-Feb-2024-22250-C-E-I"/>
    <s v="NSE"/>
    <s v="Sell"/>
    <n v="250"/>
    <n v="0"/>
    <n v="89.15"/>
    <n v="22287.5"/>
    <s v="#202402273700026919"/>
    <n v="13.93"/>
    <n v="11.26"/>
    <n v="0"/>
    <n v="0.02"/>
    <n v="100"/>
    <n v="20.04"/>
    <n v="145.25"/>
    <n v="2024"/>
    <n v="2"/>
    <x v="0"/>
    <n v="11"/>
    <n v="11"/>
    <s v="202311"/>
    <s v="Feb-24"/>
    <n v="22142.25"/>
    <n v="22.142250000000001"/>
  </r>
  <r>
    <d v="2024-02-27T00:00:00"/>
    <s v="OPT-NIFTY-29-Feb-2024-22250-C-E-I"/>
    <s v="NSE"/>
    <s v="Buy"/>
    <n v="250"/>
    <n v="0"/>
    <n v="80.95"/>
    <n v="20237.5"/>
    <s v="#202402273700024779"/>
    <n v="0"/>
    <n v="10.210000000000001"/>
    <n v="0.79"/>
    <n v="0.01"/>
    <n v="100"/>
    <n v="19.82"/>
    <n v="130.83000000000001"/>
    <n v="2024"/>
    <n v="2"/>
    <x v="0"/>
    <n v="11"/>
    <n v="11"/>
    <s v="202311"/>
    <s v="Feb-24"/>
    <n v="-20368.330000000002"/>
    <n v="-20.36833"/>
  </r>
  <r>
    <d v="2024-02-27T00:00:00"/>
    <s v="OPT-NIFTY-29-Feb-2024-22150-C-E-I"/>
    <s v="NSE"/>
    <s v="Sell"/>
    <n v="50"/>
    <n v="0"/>
    <n v="139.65"/>
    <n v="6982.5"/>
    <s v="#202402273700016118"/>
    <n v="4.3600000000000003"/>
    <n v="3.53"/>
    <n v="0"/>
    <n v="0.01"/>
    <n v="20"/>
    <n v="4.24"/>
    <n v="32.14"/>
    <n v="2024"/>
    <n v="2"/>
    <x v="0"/>
    <n v="11"/>
    <n v="11"/>
    <s v="202311"/>
    <s v="Feb-24"/>
    <n v="6950.36"/>
    <n v="6.9503599999999999"/>
  </r>
  <r>
    <d v="2024-02-27T00:00:00"/>
    <s v="OPT-NIFFIN-27-Feb-2024-20600-C-E-I"/>
    <s v="NSE"/>
    <s v="Sell"/>
    <n v="40"/>
    <n v="0"/>
    <n v="29"/>
    <n v="1160"/>
    <s v="#202402273700007789"/>
    <n v="0.71"/>
    <n v="0.59"/>
    <n v="0"/>
    <n v="0"/>
    <n v="20"/>
    <n v="3.7"/>
    <n v="25"/>
    <n v="2024"/>
    <n v="2"/>
    <x v="0"/>
    <n v="11"/>
    <n v="11"/>
    <s v="202311"/>
    <s v="Feb-24"/>
    <n v="1135"/>
    <n v="1.135"/>
  </r>
  <r>
    <d v="2024-02-27T00:00:00"/>
    <s v="OPT-NIFFIN-27-Feb-2024-20600-C-E-I"/>
    <s v="NSE"/>
    <s v="Buy"/>
    <n v="40"/>
    <n v="0"/>
    <n v="26.65"/>
    <n v="1066"/>
    <s v="#202402273700007447"/>
    <n v="0"/>
    <n v="0.54"/>
    <n v="0.03"/>
    <n v="0"/>
    <n v="20"/>
    <n v="3.7"/>
    <n v="24.27"/>
    <n v="2024"/>
    <n v="2"/>
    <x v="0"/>
    <n v="11"/>
    <n v="11"/>
    <s v="202311"/>
    <s v="Feb-24"/>
    <n v="-1090.27"/>
    <n v="-1.0902700000000001"/>
  </r>
  <r>
    <d v="2024-02-27T00:00:00"/>
    <s v="OPT-NIFTY-29-Feb-2024-22150-C-E-I"/>
    <s v="NSE"/>
    <s v="Buy"/>
    <n v="50"/>
    <n v="0"/>
    <n v="119.25"/>
    <n v="5962.5"/>
    <s v="#202402273700003545"/>
    <n v="0"/>
    <n v="3.01"/>
    <n v="0.18"/>
    <n v="0.01"/>
    <n v="20"/>
    <n v="4.1399999999999997"/>
    <n v="27.34"/>
    <n v="2024"/>
    <n v="2"/>
    <x v="0"/>
    <n v="11"/>
    <n v="11"/>
    <s v="202311"/>
    <s v="Feb-24"/>
    <n v="-5989.84"/>
    <n v="-5.9898400000000001"/>
  </r>
  <r>
    <d v="2024-02-28T00:00:00"/>
    <s v="OPT-CNXBAN-29-Feb-2024-46600-C-E-I"/>
    <s v="NSE"/>
    <s v="Buy"/>
    <n v="600"/>
    <n v="0"/>
    <n v="55"/>
    <n v="33000"/>
    <s v="#202402283700028151"/>
    <n v="0"/>
    <n v="16.670000000000002"/>
    <n v="0"/>
    <n v="0.03"/>
    <n v="800"/>
    <n v="147.02000000000001"/>
    <n v="963.72"/>
    <n v="2024"/>
    <n v="2"/>
    <x v="0"/>
    <n v="11"/>
    <n v="11"/>
    <s v="202311"/>
    <s v="Feb-24"/>
    <n v="-33963.72"/>
    <n v="-33.963720000000002"/>
  </r>
  <r>
    <d v="2024-02-28T00:00:00"/>
    <s v="OPT-CNXBAN-29-Feb-2024-46600-C-E-I"/>
    <s v="NSE"/>
    <s v="Buy"/>
    <n v="600"/>
    <n v="0"/>
    <n v="115"/>
    <n v="69000"/>
    <s v="#202402283700017286"/>
    <n v="0"/>
    <n v="34.85"/>
    <n v="5.14"/>
    <n v="7.0000000000000007E-2"/>
    <n v="800"/>
    <n v="150.28"/>
    <n v="990.34"/>
    <n v="2024"/>
    <n v="2"/>
    <x v="0"/>
    <n v="11"/>
    <n v="11"/>
    <s v="202311"/>
    <s v="Feb-24"/>
    <n v="-69990.34"/>
    <n v="-69.990340000000003"/>
  </r>
  <r>
    <d v="2024-02-28T00:00:00"/>
    <s v="OPT-CNXBAN-29-Feb-2024-46600-C-E-I"/>
    <s v="NSE"/>
    <s v="Sell"/>
    <n v="315"/>
    <n v="0"/>
    <n v="106.9"/>
    <n v="33673.5"/>
    <s v="#202402283700016620"/>
    <n v="21.29"/>
    <n v="17.010000000000002"/>
    <n v="0"/>
    <n v="0.03"/>
    <n v="420"/>
    <n v="78.66"/>
    <n v="536.99"/>
    <n v="2024"/>
    <n v="2"/>
    <x v="0"/>
    <n v="11"/>
    <n v="11"/>
    <s v="202311"/>
    <s v="Feb-24"/>
    <n v="33136.51"/>
    <n v="33.136510000000001"/>
  </r>
  <r>
    <d v="2024-02-28T00:00:00"/>
    <s v="OPT-CNXBAN-29-Feb-2024-46600-C-E-I"/>
    <s v="NSE"/>
    <s v="Buy"/>
    <n v="60"/>
    <n v="0"/>
    <n v="117.5"/>
    <n v="7050"/>
    <s v="#202402283700012865"/>
    <n v="0"/>
    <n v="3.56"/>
    <n v="0"/>
    <n v="0.01"/>
    <n v="80"/>
    <n v="15.04"/>
    <n v="98.61"/>
    <n v="2024"/>
    <n v="2"/>
    <x v="0"/>
    <n v="11"/>
    <n v="11"/>
    <s v="202311"/>
    <s v="Feb-24"/>
    <n v="-7148.61"/>
    <n v="-7.1486099999999997"/>
  </r>
  <r>
    <d v="2024-02-28T00:00:00"/>
    <s v="OPT-CNXBAN-29-Feb-2024-46600-C-E-I"/>
    <s v="NSE"/>
    <s v="Buy"/>
    <n v="60"/>
    <n v="0"/>
    <n v="179.6"/>
    <n v="10776"/>
    <s v="#202402283700009861"/>
    <n v="0"/>
    <n v="5.44"/>
    <n v="0"/>
    <n v="0.01"/>
    <n v="80"/>
    <n v="15.38"/>
    <n v="100.83"/>
    <n v="2024"/>
    <n v="2"/>
    <x v="0"/>
    <n v="11"/>
    <n v="11"/>
    <s v="202311"/>
    <s v="Feb-24"/>
    <n v="-10876.83"/>
    <n v="-10.87683"/>
  </r>
  <r>
    <d v="2024-02-28T00:00:00"/>
    <s v="OPT-CNXBAN-29-Feb-2024-46600-C-E-I"/>
    <s v="NSE"/>
    <s v="Buy"/>
    <n v="60"/>
    <n v="0"/>
    <n v="196.9"/>
    <n v="11814"/>
    <s v="#202402283700009008"/>
    <n v="0"/>
    <n v="5.97"/>
    <n v="0"/>
    <n v="0.01"/>
    <n v="80"/>
    <n v="15.48"/>
    <n v="101.46"/>
    <n v="2024"/>
    <n v="2"/>
    <x v="0"/>
    <n v="11"/>
    <n v="11"/>
    <s v="202311"/>
    <s v="Feb-24"/>
    <n v="-11915.46"/>
    <n v="-11.915459999999999"/>
  </r>
  <r>
    <d v="2024-02-28T00:00:00"/>
    <s v="OPT-CNXBAN-29-Feb-2024-46600-C-E-I"/>
    <s v="NSE"/>
    <s v="Buy"/>
    <n v="60"/>
    <n v="0"/>
    <n v="238.3"/>
    <n v="14298"/>
    <s v="#202402283700008712"/>
    <n v="0"/>
    <n v="7.22"/>
    <n v="0"/>
    <n v="0.02"/>
    <n v="80"/>
    <n v="15.72"/>
    <n v="102.96"/>
    <n v="2024"/>
    <n v="2"/>
    <x v="0"/>
    <n v="11"/>
    <n v="11"/>
    <s v="202311"/>
    <s v="Feb-24"/>
    <n v="-14400.96"/>
    <n v="-14.40096"/>
  </r>
  <r>
    <d v="2024-02-28T00:00:00"/>
    <s v="OPT-CNXBAN-29-Feb-2024-46600-C-E-I"/>
    <s v="NSE"/>
    <s v="Buy"/>
    <n v="15"/>
    <n v="0"/>
    <n v="277.7"/>
    <n v="4165.5"/>
    <s v="#202402283700007754"/>
    <n v="0"/>
    <n v="2.1"/>
    <n v="0"/>
    <n v="0"/>
    <n v="20"/>
    <n v="3.98"/>
    <n v="26.08"/>
    <n v="2024"/>
    <n v="2"/>
    <x v="0"/>
    <n v="11"/>
    <n v="11"/>
    <s v="202311"/>
    <s v="Feb-24"/>
    <n v="-4191.58"/>
    <n v="-4.1915800000000001"/>
  </r>
  <r>
    <d v="2024-02-28T00:00:00"/>
    <s v="OPT-CNXBAN-29-Feb-2024-46600-C-E-I"/>
    <s v="NSE"/>
    <s v="Buy"/>
    <n v="60"/>
    <n v="0"/>
    <n v="293.95"/>
    <n v="17637"/>
    <s v="#202402283700007662"/>
    <n v="0"/>
    <n v="8.91"/>
    <n v="0"/>
    <n v="0.01"/>
    <n v="80"/>
    <n v="16"/>
    <n v="104.92"/>
    <n v="2024"/>
    <n v="2"/>
    <x v="0"/>
    <n v="11"/>
    <n v="11"/>
    <s v="202311"/>
    <s v="Feb-24"/>
    <n v="-17741.919999999998"/>
    <n v="-17.741919999999997"/>
  </r>
  <r>
    <d v="2024-02-28T00:00:00"/>
    <s v="OPT-CNXBAN-29-Feb-2024-46600-C-E-I"/>
    <s v="NSE"/>
    <s v="Sell"/>
    <n v="15"/>
    <n v="0"/>
    <n v="270.8"/>
    <n v="4062"/>
    <s v="#202402283700005124"/>
    <n v="2.54"/>
    <n v="2.0499999999999998"/>
    <n v="0"/>
    <n v="0"/>
    <n v="20"/>
    <n v="3.96"/>
    <n v="28.55"/>
    <n v="2024"/>
    <n v="2"/>
    <x v="0"/>
    <n v="11"/>
    <n v="11"/>
    <s v="202311"/>
    <s v="Feb-24"/>
    <n v="4033.45"/>
    <n v="4.0334500000000002"/>
  </r>
  <r>
    <d v="2024-02-28T00:00:00"/>
    <s v="OPT-CNXBAN-29-Feb-2024-46600-C-E-I"/>
    <s v="NSE"/>
    <s v="Buy"/>
    <n v="15"/>
    <n v="0"/>
    <n v="239.05"/>
    <n v="3585.75"/>
    <s v="#202402283700004969"/>
    <n v="0"/>
    <n v="1.81"/>
    <n v="0"/>
    <n v="0"/>
    <n v="20"/>
    <n v="3.92"/>
    <n v="25.73"/>
    <n v="2024"/>
    <n v="2"/>
    <x v="0"/>
    <n v="11"/>
    <n v="11"/>
    <s v="202311"/>
    <s v="Feb-24"/>
    <n v="-3611.48"/>
    <n v="-3.6114799999999998"/>
  </r>
  <r>
    <d v="2024-02-28T00:00:00"/>
    <s v="OPT-CNXBAN-29-Feb-2024-46600-P-E-I"/>
    <s v="NSE"/>
    <s v="Sell"/>
    <n v="105"/>
    <n v="0"/>
    <n v="292.14999999999998"/>
    <n v="30675.75"/>
    <s v="#202402283700004304"/>
    <n v="19.18"/>
    <n v="15.49"/>
    <n v="0"/>
    <n v="0.02"/>
    <n v="140"/>
    <n v="28"/>
    <n v="202.69"/>
    <n v="2024"/>
    <n v="2"/>
    <x v="0"/>
    <n v="11"/>
    <n v="11"/>
    <s v="202311"/>
    <s v="Feb-24"/>
    <n v="30473.06"/>
    <n v="30.47306"/>
  </r>
  <r>
    <d v="2024-02-28T00:00:00"/>
    <s v="OPT-CNXBAN-29-Feb-2024-46600-P-E-I"/>
    <s v="NSE"/>
    <s v="Buy"/>
    <n v="15"/>
    <n v="0"/>
    <n v="253.6"/>
    <n v="3804"/>
    <s v="#202402283700003498"/>
    <n v="0"/>
    <n v="1.92"/>
    <n v="0"/>
    <n v="0"/>
    <n v="20"/>
    <n v="3.94"/>
    <n v="25.86"/>
    <n v="2024"/>
    <n v="2"/>
    <x v="0"/>
    <n v="11"/>
    <n v="11"/>
    <s v="202311"/>
    <s v="Feb-24"/>
    <n v="-3829.86"/>
    <n v="-3.82986"/>
  </r>
  <r>
    <d v="2024-02-28T00:00:00"/>
    <s v="OPT-CNXBAN-29-Feb-2024-46600-P-E-I"/>
    <s v="NSE"/>
    <s v="Buy"/>
    <n v="15"/>
    <n v="0"/>
    <n v="263.3"/>
    <n v="3949.5"/>
    <s v="#202402283700002316"/>
    <n v="0"/>
    <n v="1.99"/>
    <n v="0"/>
    <n v="0"/>
    <n v="20"/>
    <n v="3.96"/>
    <n v="25.95"/>
    <n v="2024"/>
    <n v="2"/>
    <x v="0"/>
    <n v="11"/>
    <n v="11"/>
    <s v="202311"/>
    <s v="Feb-24"/>
    <n v="-3975.45"/>
    <n v="-3.9754499999999999"/>
  </r>
  <r>
    <d v="2024-02-28T00:00:00"/>
    <s v="OPT-CNXBAN-29-Feb-2024-46600-P-E-I"/>
    <s v="NSE"/>
    <s v="Buy"/>
    <n v="15"/>
    <n v="0"/>
    <n v="276.39999999999998"/>
    <n v="4146"/>
    <s v="#202402283700002128"/>
    <n v="0"/>
    <n v="2.09"/>
    <n v="0"/>
    <n v="0"/>
    <n v="20"/>
    <n v="3.98"/>
    <n v="26.07"/>
    <n v="2024"/>
    <n v="2"/>
    <x v="0"/>
    <n v="11"/>
    <n v="11"/>
    <s v="202311"/>
    <s v="Feb-24"/>
    <n v="-4172.07"/>
    <n v="-4.1720699999999997"/>
  </r>
  <r>
    <d v="2024-02-28T00:00:00"/>
    <s v="OPT-CNXBAN-29-Feb-2024-46600-P-E-I"/>
    <s v="NSE"/>
    <s v="Buy"/>
    <n v="15"/>
    <n v="0"/>
    <n v="277.45"/>
    <n v="4161.75"/>
    <s v="#202402283700002122"/>
    <n v="0"/>
    <n v="2.1"/>
    <n v="0.86"/>
    <n v="0"/>
    <n v="20"/>
    <n v="3.98"/>
    <n v="26.94"/>
    <n v="2024"/>
    <n v="2"/>
    <x v="0"/>
    <n v="11"/>
    <n v="11"/>
    <s v="202311"/>
    <s v="Feb-24"/>
    <n v="-4188.6899999999996"/>
    <n v="-4.1886899999999994"/>
  </r>
  <r>
    <d v="2024-02-28T00:00:00"/>
    <s v="OPT-CNXBAN-29-Feb-2024-46600-P-E-I"/>
    <s v="NSE"/>
    <s v="Buy"/>
    <n v="15"/>
    <n v="0"/>
    <n v="278.45"/>
    <n v="4176.75"/>
    <s v="#202402283700001855"/>
    <n v="0"/>
    <n v="2.11"/>
    <n v="0"/>
    <n v="0"/>
    <n v="20"/>
    <n v="3.98"/>
    <n v="26.09"/>
    <n v="2024"/>
    <n v="2"/>
    <x v="0"/>
    <n v="11"/>
    <n v="11"/>
    <s v="202311"/>
    <s v="Feb-24"/>
    <n v="-4202.84"/>
    <n v="-4.2028400000000001"/>
  </r>
  <r>
    <d v="2024-02-28T00:00:00"/>
    <s v="OPT-CNXBAN-29-Feb-2024-46600-P-E-I"/>
    <s v="NSE"/>
    <s v="Buy"/>
    <n v="15"/>
    <n v="0"/>
    <n v="280.7"/>
    <n v="4210.5"/>
    <s v="#202402283700001762"/>
    <n v="0"/>
    <n v="2.13"/>
    <n v="0"/>
    <n v="0"/>
    <n v="20"/>
    <n v="3.98"/>
    <n v="26.11"/>
    <n v="2024"/>
    <n v="2"/>
    <x v="0"/>
    <n v="11"/>
    <n v="11"/>
    <s v="202311"/>
    <s v="Feb-24"/>
    <n v="-4236.6099999999997"/>
    <n v="-4.2366099999999998"/>
  </r>
  <r>
    <d v="2024-02-28T00:00:00"/>
    <s v="OPT-CNXBAN-29-Feb-2024-46600-P-E-I"/>
    <s v="NSE"/>
    <s v="Buy"/>
    <n v="15"/>
    <n v="0"/>
    <n v="276.05"/>
    <n v="4140.75"/>
    <s v="#202402283700001523"/>
    <n v="0"/>
    <n v="2.09"/>
    <n v="0"/>
    <n v="0"/>
    <n v="20"/>
    <n v="3.98"/>
    <n v="26.07"/>
    <n v="2024"/>
    <n v="2"/>
    <x v="0"/>
    <n v="11"/>
    <n v="11"/>
    <s v="202311"/>
    <s v="Feb-24"/>
    <n v="-4166.82"/>
    <n v="-4.1668199999999995"/>
  </r>
  <r>
    <d v="2024-02-29T00:00:00"/>
    <s v="OPT-CNXBAN-29-Feb-2024-46600-C-E-I"/>
    <s v="NSE"/>
    <s v="Sell"/>
    <n v="300"/>
    <n v="0"/>
    <n v="5.65"/>
    <n v="1695"/>
    <s v="#202402293700028090"/>
    <n v="1.06"/>
    <n v="0.86"/>
    <n v="0"/>
    <n v="0"/>
    <n v="400"/>
    <n v="72.16"/>
    <n v="474.08"/>
    <n v="2024"/>
    <n v="2"/>
    <x v="0"/>
    <n v="11"/>
    <n v="11"/>
    <s v="202311"/>
    <s v="Feb-24"/>
    <n v="1220.92"/>
    <n v="1.22092"/>
  </r>
  <r>
    <d v="2024-02-29T00:00:00"/>
    <s v="OPT-CNXBAN-29-Feb-2024-46600-C-E-I"/>
    <s v="NSE"/>
    <s v="Sell"/>
    <n v="900"/>
    <n v="0"/>
    <n v="5.25"/>
    <n v="4725"/>
    <s v="#202402293700028072"/>
    <n v="2.95"/>
    <n v="2.38"/>
    <n v="0"/>
    <n v="0"/>
    <n v="1200"/>
    <n v="216.44"/>
    <n v="1421.77"/>
    <n v="2024"/>
    <n v="2"/>
    <x v="0"/>
    <n v="11"/>
    <n v="11"/>
    <s v="202311"/>
    <s v="Feb-24"/>
    <n v="3303.23"/>
    <n v="3.3032300000000001"/>
  </r>
  <r>
    <d v="2024-02-29T00:00:00"/>
    <s v="OPT-CNXBAN-29-Feb-2024-46600-C-E-I"/>
    <s v="NSE"/>
    <s v="Sell"/>
    <n v="900"/>
    <n v="0"/>
    <n v="5.25"/>
    <n v="4725"/>
    <s v="#202402293700028043"/>
    <n v="2.95"/>
    <n v="2.39"/>
    <n v="0"/>
    <n v="0"/>
    <n v="1200"/>
    <n v="216.44"/>
    <n v="1421.78"/>
    <n v="2024"/>
    <n v="2"/>
    <x v="0"/>
    <n v="11"/>
    <n v="11"/>
    <s v="202311"/>
    <s v="Feb-24"/>
    <n v="3303.2200000000003"/>
    <n v="3.30322"/>
  </r>
  <r>
    <d v="2024-02-29T00:00:00"/>
    <s v="OPT-CNXBAN-29-Feb-2024-46600-C-E-I"/>
    <s v="NSE"/>
    <s v="Sell"/>
    <n v="900"/>
    <n v="0"/>
    <n v="4.8499999999999996"/>
    <n v="4363.5"/>
    <s v="#202402293700027521"/>
    <n v="2.73"/>
    <n v="2.21"/>
    <n v="0"/>
    <n v="0"/>
    <n v="1200"/>
    <n v="216.4"/>
    <n v="1421.34"/>
    <n v="2024"/>
    <n v="2"/>
    <x v="0"/>
    <n v="11"/>
    <n v="11"/>
    <s v="202311"/>
    <s v="Feb-24"/>
    <n v="2942.16"/>
    <n v="2.9421599999999999"/>
  </r>
  <r>
    <d v="2024-02-29T00:00:00"/>
    <s v="OPT-CNXBAN-29-Feb-2024-46600-C-E-I"/>
    <s v="NSE"/>
    <s v="Sell"/>
    <n v="900"/>
    <n v="0"/>
    <n v="4.9000000000000004"/>
    <n v="4410"/>
    <s v="#202402293700027454"/>
    <n v="2.75"/>
    <n v="2.23"/>
    <n v="0"/>
    <n v="0"/>
    <n v="1200"/>
    <n v="216.4"/>
    <n v="1421.38"/>
    <n v="2024"/>
    <n v="2"/>
    <x v="0"/>
    <n v="11"/>
    <n v="11"/>
    <s v="202311"/>
    <s v="Feb-24"/>
    <n v="2988.62"/>
    <n v="2.9886200000000001"/>
  </r>
  <r>
    <d v="2024-02-29T00:00:00"/>
    <s v="OPT-CNXBAN-29-Feb-2024-46600-C-E-I"/>
    <s v="NSE"/>
    <s v="Sell"/>
    <n v="900"/>
    <n v="0"/>
    <n v="4.8499999999999996"/>
    <n v="4365"/>
    <s v="#202402293700027419"/>
    <n v="2.74"/>
    <n v="2.2000000000000002"/>
    <n v="0"/>
    <n v="0"/>
    <n v="1200"/>
    <n v="216.4"/>
    <n v="1421.34"/>
    <n v="2024"/>
    <n v="2"/>
    <x v="0"/>
    <n v="11"/>
    <n v="11"/>
    <s v="202311"/>
    <s v="Feb-24"/>
    <n v="2943.66"/>
    <n v="2.9436599999999999"/>
  </r>
  <r>
    <d v="2024-02-29T00:00:00"/>
    <s v="OPT-CNXBAN-29-Feb-2024-46600-C-E-I"/>
    <s v="NSE"/>
    <s v="Sell"/>
    <n v="900"/>
    <n v="0"/>
    <n v="6.95"/>
    <n v="6255"/>
    <s v="#202402293700025531"/>
    <n v="3.84"/>
    <n v="3.17"/>
    <n v="0"/>
    <n v="0"/>
    <n v="1200"/>
    <n v="216.54"/>
    <n v="1423.55"/>
    <n v="2024"/>
    <n v="2"/>
    <x v="0"/>
    <n v="11"/>
    <n v="11"/>
    <s v="202311"/>
    <s v="Feb-24"/>
    <n v="4831.45"/>
    <n v="4.8314500000000002"/>
  </r>
  <r>
    <d v="2024-02-29T00:00:00"/>
    <s v="OPT-CNXBAN-29-Feb-2024-46600-C-E-I"/>
    <s v="NSE"/>
    <s v="Buy"/>
    <n v="900"/>
    <n v="0"/>
    <n v="8.9499999999999993"/>
    <n v="8055"/>
    <s v="#202402293700016432"/>
    <n v="0"/>
    <n v="4.07"/>
    <n v="0"/>
    <n v="0"/>
    <n v="1200"/>
    <n v="216.74"/>
    <n v="1420.81"/>
    <n v="2024"/>
    <n v="2"/>
    <x v="0"/>
    <n v="11"/>
    <n v="11"/>
    <s v="202311"/>
    <s v="Feb-24"/>
    <n v="-9475.81"/>
    <n v="-9.4758099999999992"/>
  </r>
  <r>
    <d v="2024-02-29T00:00:00"/>
    <s v="OPT-CNXBAN-29-Feb-2024-46600-C-E-I"/>
    <s v="NSE"/>
    <s v="Buy"/>
    <n v="900"/>
    <n v="0"/>
    <n v="9.6999999999999993"/>
    <n v="8730"/>
    <s v="#202402293700016335"/>
    <n v="0"/>
    <n v="4.41"/>
    <n v="0"/>
    <n v="0"/>
    <n v="1200"/>
    <n v="216.8"/>
    <n v="1421.21"/>
    <n v="2024"/>
    <n v="2"/>
    <x v="0"/>
    <n v="11"/>
    <n v="11"/>
    <s v="202311"/>
    <s v="Feb-24"/>
    <n v="-10151.209999999999"/>
    <n v="-10.151209999999999"/>
  </r>
  <r>
    <d v="2024-02-29T00:00:00"/>
    <s v="OPT-CNXBAN-29-Feb-2024-46600-C-E-I"/>
    <s v="NSE"/>
    <s v="Buy"/>
    <n v="900"/>
    <n v="0"/>
    <n v="9.1"/>
    <n v="8190"/>
    <s v="#202402293700016296"/>
    <n v="0"/>
    <n v="4.13"/>
    <n v="2"/>
    <n v="0.01"/>
    <n v="1200"/>
    <n v="216.76"/>
    <n v="1422.9"/>
    <n v="2024"/>
    <n v="2"/>
    <x v="0"/>
    <n v="11"/>
    <n v="11"/>
    <s v="202311"/>
    <s v="Feb-24"/>
    <n v="-9612.9"/>
    <n v="-9.6128999999999998"/>
  </r>
  <r>
    <d v="2024-02-29T00:00:00"/>
    <s v="OPT-CNXBAN-29-Feb-2024-46600-C-E-I"/>
    <s v="NSE"/>
    <s v="Buy"/>
    <n v="900"/>
    <n v="0"/>
    <n v="18.2"/>
    <n v="16379.25"/>
    <s v="#202402293700008897"/>
    <n v="0"/>
    <n v="8.2799999999999994"/>
    <n v="0"/>
    <n v="0.01"/>
    <n v="1200"/>
    <n v="217.5"/>
    <n v="1425.79"/>
    <n v="2024"/>
    <n v="2"/>
    <x v="0"/>
    <n v="11"/>
    <n v="11"/>
    <s v="202311"/>
    <s v="Feb-24"/>
    <n v="-17805.04"/>
    <n v="-17.805040000000002"/>
  </r>
  <r>
    <d v="2024-02-29T00:00:00"/>
    <s v="OPT-CNXBAN-29-Feb-2024-46600-C-E-I"/>
    <s v="NSE"/>
    <s v="Buy"/>
    <n v="900"/>
    <n v="0"/>
    <n v="25.7"/>
    <n v="23130"/>
    <s v="#202402293700001087"/>
    <n v="0"/>
    <n v="11.67"/>
    <n v="0"/>
    <n v="0.01"/>
    <n v="1200"/>
    <n v="218.12"/>
    <n v="1429.8"/>
    <n v="2024"/>
    <n v="2"/>
    <x v="0"/>
    <n v="11"/>
    <n v="11"/>
    <s v="202311"/>
    <s v="Feb-24"/>
    <n v="-24559.8"/>
    <n v="-24.559799999999999"/>
  </r>
  <r>
    <d v="2024-03-01T00:00:00"/>
    <s v="OPT-NIFFIN-05-Mar-2024-20900-C-E-I"/>
    <s v="NSE"/>
    <s v="Sell"/>
    <n v="160"/>
    <n v="0"/>
    <n v="95.4"/>
    <n v="15264"/>
    <s v="#202403013700020685"/>
    <n v="9.4700000000000006"/>
    <n v="7.71"/>
    <n v="0"/>
    <n v="0.02"/>
    <n v="80"/>
    <n v="15.8"/>
    <n v="113"/>
    <n v="2024"/>
    <n v="3"/>
    <x v="0"/>
    <n v="12"/>
    <n v="12"/>
    <s v="202312"/>
    <s v="Mar-24"/>
    <n v="15151"/>
    <n v="15.151"/>
  </r>
  <r>
    <d v="2024-03-01T00:00:00"/>
    <s v="OPT-NIFFIN-05-Mar-2024-20900-C-E-I"/>
    <s v="NSE"/>
    <s v="Buy"/>
    <n v="160"/>
    <n v="0"/>
    <n v="89.3"/>
    <n v="14288"/>
    <s v="#202403013700020474"/>
    <n v="0"/>
    <n v="7.21"/>
    <n v="0.43"/>
    <n v="0.01"/>
    <n v="80"/>
    <n v="15.7"/>
    <n v="103.35"/>
    <n v="2024"/>
    <n v="3"/>
    <x v="0"/>
    <n v="12"/>
    <n v="12"/>
    <s v="202312"/>
    <s v="Mar-24"/>
    <n v="-14391.35"/>
    <n v="-14.391350000000001"/>
  </r>
  <r>
    <d v="2024-03-01T00:00:00"/>
    <s v="OPT-NIFTY-07-Mar-2024-22250-C-E-I"/>
    <s v="NSE"/>
    <s v="Sell"/>
    <n v="300"/>
    <n v="0"/>
    <n v="217.45"/>
    <n v="65235"/>
    <s v="#202403013700011864"/>
    <n v="40.770000000000003"/>
    <n v="32.94"/>
    <n v="0"/>
    <n v="0.06"/>
    <n v="120"/>
    <n v="27.54"/>
    <n v="221.31"/>
    <n v="2024"/>
    <n v="3"/>
    <x v="0"/>
    <n v="12"/>
    <n v="12"/>
    <s v="202312"/>
    <s v="Mar-24"/>
    <n v="65013.69"/>
    <n v="65.013689999999997"/>
  </r>
  <r>
    <d v="2024-03-01T00:00:00"/>
    <s v="OPT-NIFTY-07-Mar-2024-22250-C-E-I"/>
    <s v="NSE"/>
    <s v="Buy"/>
    <n v="300"/>
    <n v="0"/>
    <n v="185.2"/>
    <n v="55560"/>
    <s v="#202403013700011370"/>
    <n v="0"/>
    <n v="28.06"/>
    <n v="2.17"/>
    <n v="0.06"/>
    <n v="120"/>
    <n v="26.66"/>
    <n v="176.95"/>
    <n v="2024"/>
    <n v="3"/>
    <x v="0"/>
    <n v="12"/>
    <n v="12"/>
    <s v="202312"/>
    <s v="Mar-24"/>
    <n v="-55736.95"/>
    <n v="-55.73695"/>
  </r>
  <r>
    <d v="2024-03-01T00:00:00"/>
    <s v="OPT-NIFSEL-04-Mar-2024-10800-P-E-I"/>
    <s v="NSE"/>
    <s v="Sell"/>
    <n v="225"/>
    <n v="0"/>
    <n v="48.05"/>
    <n v="10811.25"/>
    <s v="#202403013700009839"/>
    <n v="6.75"/>
    <n v="5.46"/>
    <n v="0"/>
    <n v="0"/>
    <n v="60"/>
    <n v="11.76"/>
    <n v="83.97"/>
    <n v="2024"/>
    <n v="3"/>
    <x v="0"/>
    <n v="12"/>
    <n v="12"/>
    <s v="202312"/>
    <s v="Mar-24"/>
    <n v="10727.28"/>
    <n v="10.72728"/>
  </r>
  <r>
    <d v="2024-03-01T00:00:00"/>
    <s v="OPT-NIFSEL-04-Mar-2024-10800-P-E-I"/>
    <s v="NSE"/>
    <s v="Buy"/>
    <n v="150"/>
    <n v="0"/>
    <n v="56.65"/>
    <n v="8497.5"/>
    <s v="#202403013700006175"/>
    <n v="0"/>
    <n v="4.29"/>
    <n v="0.4"/>
    <n v="0.01"/>
    <n v="40"/>
    <n v="7.98"/>
    <n v="52.68"/>
    <n v="2024"/>
    <n v="3"/>
    <x v="0"/>
    <n v="12"/>
    <n v="12"/>
    <s v="202312"/>
    <s v="Mar-24"/>
    <n v="-8550.18"/>
    <n v="-8.550180000000001"/>
  </r>
  <r>
    <d v="2024-03-01T00:00:00"/>
    <s v="OPT-NIFSEL-04-Mar-2024-10800-P-E-I"/>
    <s v="NSE"/>
    <s v="Buy"/>
    <n v="75"/>
    <n v="0"/>
    <n v="64.2"/>
    <n v="4815"/>
    <s v="#202403013700002612"/>
    <n v="0"/>
    <n v="2.4300000000000002"/>
    <n v="0"/>
    <n v="0"/>
    <n v="20"/>
    <n v="4.04"/>
    <n v="26.47"/>
    <n v="2024"/>
    <n v="3"/>
    <x v="0"/>
    <n v="12"/>
    <n v="12"/>
    <s v="202312"/>
    <s v="Mar-24"/>
    <n v="-4841.47"/>
    <n v="-4.8414700000000002"/>
  </r>
  <r>
    <d v="2024-03-04T00:00:00"/>
    <s v="OPT-CNXBAN-06-Mar-2024-47300-C-E-I"/>
    <s v="NSE"/>
    <s v="Sell"/>
    <n v="105"/>
    <n v="0"/>
    <n v="327.05"/>
    <n v="34340.25"/>
    <s v="#202403043700042511"/>
    <n v="21"/>
    <n v="17.34"/>
    <n v="0"/>
    <n v="0.03"/>
    <n v="140"/>
    <n v="28.32"/>
    <n v="206.69"/>
    <n v="2024"/>
    <n v="3"/>
    <x v="0"/>
    <n v="12"/>
    <n v="12"/>
    <s v="202312"/>
    <s v="Mar-24"/>
    <n v="34133.56"/>
    <n v="34.133559999999996"/>
  </r>
  <r>
    <d v="2024-03-04T00:00:00"/>
    <s v="OPT-CNXBAN-06-Mar-2024-47300-C-E-I"/>
    <s v="NSE"/>
    <s v="Buy"/>
    <n v="105"/>
    <n v="0"/>
    <n v="302.51"/>
    <n v="31763.25"/>
    <s v="#202403043700042460"/>
    <n v="0"/>
    <n v="16.04"/>
    <n v="1"/>
    <n v="0.03"/>
    <n v="140"/>
    <n v="28.1"/>
    <n v="185.17"/>
    <n v="2024"/>
    <n v="3"/>
    <x v="0"/>
    <n v="12"/>
    <n v="12"/>
    <s v="202312"/>
    <s v="Mar-24"/>
    <n v="-31948.42"/>
    <n v="-31.948419999999999"/>
  </r>
  <r>
    <d v="2024-03-05T00:00:00"/>
    <s v="OPT-CNXBAN-06-Mar-2024-47300-P-E-I"/>
    <s v="NSE"/>
    <s v="Sell"/>
    <n v="105"/>
    <n v="0"/>
    <n v="95"/>
    <n v="9975"/>
    <s v="#202403053700017959"/>
    <n v="6.23"/>
    <n v="5.04"/>
    <n v="0"/>
    <n v="0.01"/>
    <n v="140"/>
    <n v="26.1"/>
    <n v="177.38"/>
    <n v="2024"/>
    <n v="3"/>
    <x v="0"/>
    <n v="12"/>
    <n v="12"/>
    <s v="202312"/>
    <s v="Mar-24"/>
    <n v="9797.6200000000008"/>
    <n v="9.7976200000000002"/>
  </r>
  <r>
    <d v="2024-03-05T00:00:00"/>
    <s v="OPT-CNXBAN-06-Mar-2024-47300-P-E-I"/>
    <s v="NSE"/>
    <s v="Buy"/>
    <n v="105"/>
    <n v="0"/>
    <n v="83.85"/>
    <n v="8804.25"/>
    <s v="#202403053700017892"/>
    <n v="0"/>
    <n v="4.46"/>
    <n v="0"/>
    <n v="0.01"/>
    <n v="140"/>
    <n v="26.02"/>
    <n v="170.49"/>
    <n v="2024"/>
    <n v="3"/>
    <x v="0"/>
    <n v="12"/>
    <n v="12"/>
    <s v="202312"/>
    <s v="Mar-24"/>
    <n v="-8974.74"/>
    <n v="-8.9747400000000006"/>
  </r>
  <r>
    <d v="2024-03-05T00:00:00"/>
    <s v="OPT-CNXBAN-06-Mar-2024-47400-C-E-I"/>
    <s v="NSE"/>
    <s v="Sell"/>
    <n v="105"/>
    <n v="0"/>
    <n v="252.3"/>
    <n v="26491.5"/>
    <s v="#202403053700015796"/>
    <n v="16.559999999999999"/>
    <n v="13.38"/>
    <n v="0"/>
    <n v="0.03"/>
    <n v="140"/>
    <n v="27.62"/>
    <n v="197.59"/>
    <n v="2024"/>
    <n v="3"/>
    <x v="0"/>
    <n v="12"/>
    <n v="12"/>
    <s v="202312"/>
    <s v="Mar-24"/>
    <n v="26293.91"/>
    <n v="26.29391"/>
  </r>
  <r>
    <d v="2024-03-05T00:00:00"/>
    <s v="OPT-CNXBAN-06-Mar-2024-47400-C-E-I"/>
    <s v="NSE"/>
    <s v="Buy"/>
    <n v="105"/>
    <n v="0"/>
    <n v="239.85"/>
    <n v="25184.25"/>
    <s v="#202403053700015784"/>
    <n v="0"/>
    <n v="12.72"/>
    <n v="0"/>
    <n v="0.02"/>
    <n v="140"/>
    <n v="27.5"/>
    <n v="180.24"/>
    <n v="2024"/>
    <n v="3"/>
    <x v="0"/>
    <n v="12"/>
    <n v="12"/>
    <s v="202312"/>
    <s v="Mar-24"/>
    <n v="-25364.49"/>
    <n v="-25.36449"/>
  </r>
  <r>
    <d v="2024-03-05T00:00:00"/>
    <s v="OPT-CNXBAN-06-Mar-2024-47400-C-E-I"/>
    <s v="NSE"/>
    <s v="Sell"/>
    <n v="105"/>
    <n v="0"/>
    <n v="211"/>
    <n v="22155"/>
    <s v="#202403053700012944"/>
    <n v="13.85"/>
    <n v="11.19"/>
    <n v="0"/>
    <n v="0.03"/>
    <n v="140"/>
    <n v="27.22"/>
    <n v="192.29"/>
    <n v="2024"/>
    <n v="3"/>
    <x v="0"/>
    <n v="12"/>
    <n v="12"/>
    <s v="202312"/>
    <s v="Mar-24"/>
    <n v="21962.71"/>
    <n v="21.962709999999998"/>
  </r>
  <r>
    <d v="2024-03-05T00:00:00"/>
    <s v="OPT-CNXBAN-06-Mar-2024-47400-C-E-I"/>
    <s v="NSE"/>
    <s v="Buy"/>
    <n v="105"/>
    <n v="0"/>
    <n v="201.35"/>
    <n v="21141.75"/>
    <s v="#202403053700010297"/>
    <n v="0"/>
    <n v="10.68"/>
    <n v="1.98"/>
    <n v="0.02"/>
    <n v="140"/>
    <n v="27.12"/>
    <n v="179.8"/>
    <n v="2024"/>
    <n v="3"/>
    <x v="0"/>
    <n v="12"/>
    <n v="12"/>
    <s v="202312"/>
    <s v="Mar-24"/>
    <n v="-21321.55"/>
    <n v="-21.321549999999998"/>
  </r>
  <r>
    <d v="2024-03-05T00:00:00"/>
    <s v="OPT-CNXBAN-06-Mar-2024-47300-P-E-I"/>
    <s v="NSE"/>
    <s v="Sell"/>
    <n v="60"/>
    <n v="0"/>
    <n v="275"/>
    <n v="16500"/>
    <s v="#202403053700007167"/>
    <n v="10.31"/>
    <n v="8.33"/>
    <n v="0"/>
    <n v="0.02"/>
    <n v="80"/>
    <n v="15.9"/>
    <n v="114.56"/>
    <n v="2024"/>
    <n v="3"/>
    <x v="0"/>
    <n v="12"/>
    <n v="12"/>
    <s v="202312"/>
    <s v="Mar-24"/>
    <n v="16385.439999999999"/>
    <n v="16.385439999999999"/>
  </r>
  <r>
    <d v="2024-03-05T00:00:00"/>
    <s v="OPT-CNXBAN-06-Mar-2024-47300-P-E-I"/>
    <s v="NSE"/>
    <s v="Sell"/>
    <n v="45"/>
    <n v="0"/>
    <n v="255.75"/>
    <n v="11508.75"/>
    <s v="#202403053700005723"/>
    <n v="7.19"/>
    <n v="5.81"/>
    <n v="0"/>
    <n v="0.01"/>
    <n v="60"/>
    <n v="11.84"/>
    <n v="84.85"/>
    <n v="2024"/>
    <n v="3"/>
    <x v="0"/>
    <n v="12"/>
    <n v="12"/>
    <s v="202312"/>
    <s v="Mar-24"/>
    <n v="11423.9"/>
    <n v="11.4239"/>
  </r>
  <r>
    <d v="2024-03-05T00:00:00"/>
    <s v="OPT-CNXBAN-06-Mar-2024-47300-P-E-I"/>
    <s v="NSE"/>
    <s v="Buy"/>
    <n v="105"/>
    <n v="0"/>
    <n v="239.8"/>
    <n v="25179"/>
    <s v="#202403053700004949"/>
    <n v="0"/>
    <n v="12.72"/>
    <n v="1.02"/>
    <n v="0.03"/>
    <n v="140"/>
    <n v="27.5"/>
    <n v="181.27"/>
    <n v="2024"/>
    <n v="3"/>
    <x v="0"/>
    <n v="12"/>
    <n v="12"/>
    <s v="202312"/>
    <s v="Mar-24"/>
    <n v="-25360.27"/>
    <n v="-25.36027"/>
  </r>
  <r>
    <d v="2024-03-05T00:00:00"/>
    <s v="OPT-CNXBAN-06-Mar-2024-47400-C-E-I"/>
    <s v="NSE"/>
    <s v="Sell"/>
    <n v="105"/>
    <n v="0"/>
    <n v="215.17"/>
    <n v="22593"/>
    <s v="#202403053700004830"/>
    <n v="13.86"/>
    <n v="11.41"/>
    <n v="0"/>
    <n v="0.02"/>
    <n v="140"/>
    <n v="27.26"/>
    <n v="192.55"/>
    <n v="2024"/>
    <n v="3"/>
    <x v="0"/>
    <n v="12"/>
    <n v="12"/>
    <s v="202312"/>
    <s v="Mar-24"/>
    <n v="22400.45"/>
    <n v="22.400449999999999"/>
  </r>
  <r>
    <d v="2024-03-05T00:00:00"/>
    <s v="OPT-CNXBAN-06-Mar-2024-47400-C-E-I"/>
    <s v="NSE"/>
    <s v="Buy"/>
    <n v="105"/>
    <n v="0"/>
    <n v="252.3"/>
    <n v="26491.5"/>
    <s v="#202403053700003408"/>
    <n v="0"/>
    <n v="13.37"/>
    <n v="0"/>
    <n v="0.03"/>
    <n v="140"/>
    <n v="27.6"/>
    <n v="181"/>
    <n v="2024"/>
    <n v="3"/>
    <x v="0"/>
    <n v="12"/>
    <n v="12"/>
    <s v="202312"/>
    <s v="Mar-24"/>
    <n v="-26672.5"/>
    <n v="-26.672499999999999"/>
  </r>
  <r>
    <d v="2024-03-06T00:00:00"/>
    <s v="OPT-CNXBAN-06-Mar-2024-48200-C-E-I"/>
    <s v="NSE"/>
    <s v="Sell"/>
    <n v="525"/>
    <n v="0"/>
    <n v="23.65"/>
    <n v="12416.25"/>
    <s v="#202403063700022683"/>
    <n v="7.76"/>
    <n v="6.27"/>
    <n v="0"/>
    <n v="0.01"/>
    <n v="700"/>
    <n v="127.12"/>
    <n v="841.16"/>
    <n v="2024"/>
    <n v="3"/>
    <x v="0"/>
    <n v="12"/>
    <n v="12"/>
    <s v="202312"/>
    <s v="Mar-24"/>
    <n v="11575.09"/>
    <n v="11.575089999999999"/>
  </r>
  <r>
    <d v="2024-03-06T00:00:00"/>
    <s v="OPT-CNXBAN-06-Mar-2024-48200-C-E-I"/>
    <s v="NSE"/>
    <s v="Buy"/>
    <n v="525"/>
    <n v="0"/>
    <n v="52"/>
    <n v="27300"/>
    <s v="#202403063700016795"/>
    <n v="0"/>
    <n v="13.79"/>
    <n v="0.82"/>
    <n v="0.03"/>
    <n v="700"/>
    <n v="128.47999999999999"/>
    <n v="843.12"/>
    <n v="2024"/>
    <n v="3"/>
    <x v="0"/>
    <n v="12"/>
    <n v="12"/>
    <s v="202312"/>
    <s v="Mar-24"/>
    <n v="-28143.119999999999"/>
    <n v="-28.14312"/>
  </r>
  <r>
    <d v="2024-03-06T00:00:00"/>
    <s v="OPT-CNXBAN-06-Mar-2024-47500-P-E-I"/>
    <s v="NSE"/>
    <s v="Sell"/>
    <n v="510"/>
    <n v="0"/>
    <n v="24.66"/>
    <n v="12576"/>
    <s v="#202403063700013002"/>
    <n v="7.79"/>
    <n v="6.36"/>
    <n v="0"/>
    <n v="0"/>
    <n v="680"/>
    <n v="123.54"/>
    <n v="817.69"/>
    <n v="2024"/>
    <n v="3"/>
    <x v="0"/>
    <n v="12"/>
    <n v="12"/>
    <s v="202312"/>
    <s v="Mar-24"/>
    <n v="11758.31"/>
    <n v="11.75831"/>
  </r>
  <r>
    <d v="2024-03-06T00:00:00"/>
    <s v="OPT-CNXBAN-06-Mar-2024-47500-P-E-I"/>
    <s v="NSE"/>
    <s v="Buy"/>
    <n v="510"/>
    <n v="0"/>
    <n v="41"/>
    <n v="20910"/>
    <s v="#202403063700010613"/>
    <n v="0"/>
    <n v="10.56"/>
    <n v="1.18"/>
    <n v="0.02"/>
    <n v="680"/>
    <n v="124.3"/>
    <n v="816.06"/>
    <n v="2024"/>
    <n v="3"/>
    <x v="0"/>
    <n v="12"/>
    <n v="12"/>
    <s v="202312"/>
    <s v="Mar-24"/>
    <n v="-21726.06"/>
    <n v="-21.72606"/>
  </r>
  <r>
    <d v="2024-03-06T00:00:00"/>
    <s v="OPT-CNXBAN-06-Mar-2024-47500-P-E-I"/>
    <s v="NSE"/>
    <s v="Sell"/>
    <n v="105"/>
    <n v="0"/>
    <n v="37.4"/>
    <n v="3927"/>
    <s v="#202403063700009269"/>
    <n v="2.4500000000000002"/>
    <n v="1.98"/>
    <n v="0"/>
    <n v="0"/>
    <n v="140"/>
    <n v="25.56"/>
    <n v="169.99"/>
    <n v="2024"/>
    <n v="3"/>
    <x v="0"/>
    <n v="12"/>
    <n v="12"/>
    <s v="202312"/>
    <s v="Mar-24"/>
    <n v="3757.01"/>
    <n v="3.7570100000000002"/>
  </r>
  <r>
    <d v="2024-03-06T00:00:00"/>
    <s v="OPT-CNXBAN-06-Mar-2024-47500-P-E-I"/>
    <s v="NSE"/>
    <s v="Buy"/>
    <n v="105"/>
    <n v="0"/>
    <n v="134.69999999999999"/>
    <n v="14143.5"/>
    <s v="#202403063700002291"/>
    <n v="0"/>
    <n v="7.14"/>
    <n v="0"/>
    <n v="0.01"/>
    <n v="140"/>
    <n v="26.48"/>
    <n v="173.63"/>
    <n v="2024"/>
    <n v="3"/>
    <x v="0"/>
    <n v="12"/>
    <n v="12"/>
    <s v="202312"/>
    <s v="Mar-24"/>
    <n v="-14317.13"/>
    <n v="-14.317129999999999"/>
  </r>
  <r>
    <d v="2024-03-07T00:00:00"/>
    <s v="OPT-CNXBAN-13-Mar-2024-48000-C-E-I"/>
    <s v="NSE"/>
    <s v="Buy"/>
    <n v="75"/>
    <n v="0"/>
    <n v="346.55"/>
    <n v="25991.25"/>
    <s v="#202403073700021762"/>
    <n v="0"/>
    <n v="13.13"/>
    <n v="0.78"/>
    <n v="0.03"/>
    <n v="100"/>
    <n v="20.36"/>
    <n v="134.30000000000001"/>
    <n v="2024"/>
    <n v="3"/>
    <x v="0"/>
    <n v="12"/>
    <n v="12"/>
    <s v="202312"/>
    <s v="Mar-24"/>
    <n v="-26125.55"/>
    <n v="-26.12555"/>
  </r>
  <r>
    <d v="2024-03-07T00:00:00"/>
    <s v="OPT-CNXBAN-13-Mar-2024-47800-P-E-I"/>
    <s v="NSE"/>
    <s v="Sell"/>
    <n v="105"/>
    <n v="0"/>
    <n v="365.95"/>
    <n v="38424.75"/>
    <s v="#202403073700012820"/>
    <n v="24.02"/>
    <n v="19.399999999999999"/>
    <n v="0"/>
    <n v="0.04"/>
    <n v="140"/>
    <n v="28.7"/>
    <n v="212.16"/>
    <n v="2024"/>
    <n v="3"/>
    <x v="0"/>
    <n v="12"/>
    <n v="12"/>
    <s v="202312"/>
    <s v="Mar-24"/>
    <n v="38212.589999999997"/>
    <n v="38.212589999999999"/>
  </r>
  <r>
    <d v="2024-03-07T00:00:00"/>
    <s v="OPT-CNXBAN-13-Mar-2024-47800-P-E-I"/>
    <s v="NSE"/>
    <s v="Buy"/>
    <n v="105"/>
    <n v="0"/>
    <n v="350.4"/>
    <n v="36792"/>
    <s v="#202403073700011941"/>
    <n v="0"/>
    <n v="18.579999999999998"/>
    <n v="1.1000000000000001"/>
    <n v="0.04"/>
    <n v="140"/>
    <n v="28.56"/>
    <n v="188.28"/>
    <n v="2024"/>
    <n v="3"/>
    <x v="0"/>
    <n v="12"/>
    <n v="12"/>
    <s v="202312"/>
    <s v="Mar-24"/>
    <n v="-36980.28"/>
    <n v="-36.98028"/>
  </r>
  <r>
    <d v="2024-03-07T00:00:00"/>
    <s v="OPT-CNXBAN-13-Mar-2024-47800-C-E-I"/>
    <s v="NSE"/>
    <s v="Sell"/>
    <n v="105"/>
    <n v="0"/>
    <n v="399.45"/>
    <n v="41942.25"/>
    <s v="#202403073700010084"/>
    <n v="26.3"/>
    <n v="21.18"/>
    <n v="0"/>
    <n v="0.04"/>
    <n v="140"/>
    <n v="29.02"/>
    <n v="216.54"/>
    <n v="2024"/>
    <n v="3"/>
    <x v="0"/>
    <n v="12"/>
    <n v="12"/>
    <s v="202312"/>
    <s v="Mar-24"/>
    <n v="41725.71"/>
    <n v="41.725709999999999"/>
  </r>
  <r>
    <d v="2024-03-07T00:00:00"/>
    <s v="OPT-CNXBAN-13-Mar-2024-47800-C-E-I"/>
    <s v="NSE"/>
    <s v="Buy"/>
    <n v="105"/>
    <n v="0"/>
    <n v="390.85"/>
    <n v="41039.25"/>
    <s v="#202403073700009680"/>
    <n v="0"/>
    <n v="20.72"/>
    <n v="1.28"/>
    <n v="0.04"/>
    <n v="140"/>
    <n v="28.94"/>
    <n v="190.98"/>
    <n v="2024"/>
    <n v="3"/>
    <x v="0"/>
    <n v="12"/>
    <n v="12"/>
    <s v="202312"/>
    <s v="Mar-24"/>
    <n v="-41230.230000000003"/>
    <n v="-41.230230000000006"/>
  </r>
  <r>
    <d v="2024-03-07T00:00:00"/>
    <s v="OPT-NIFTY-07-Mar-2024-22500-C-E-I"/>
    <s v="NSE"/>
    <s v="Sell"/>
    <n v="900"/>
    <n v="0"/>
    <n v="35"/>
    <n v="31500"/>
    <s v="#202403073700005493"/>
    <n v="19.690000000000001"/>
    <n v="15.91"/>
    <n v="0"/>
    <n v="0.03"/>
    <n v="360"/>
    <n v="67.66"/>
    <n v="463.29"/>
    <n v="2024"/>
    <n v="3"/>
    <x v="0"/>
    <n v="12"/>
    <n v="12"/>
    <s v="202312"/>
    <s v="Mar-24"/>
    <n v="31036.71"/>
    <n v="31.036709999999999"/>
  </r>
  <r>
    <d v="2024-03-07T00:00:00"/>
    <s v="OPT-NIFTY-07-Mar-2024-22500-C-E-I"/>
    <s v="NSE"/>
    <s v="Buy"/>
    <n v="900"/>
    <n v="0"/>
    <n v="31"/>
    <n v="27900"/>
    <s v="#202403073700004328"/>
    <n v="0"/>
    <n v="14.09"/>
    <n v="0.84"/>
    <n v="0.03"/>
    <n v="360"/>
    <n v="67.34"/>
    <n v="442.3"/>
    <n v="2024"/>
    <n v="3"/>
    <x v="0"/>
    <n v="12"/>
    <n v="12"/>
    <s v="202312"/>
    <s v="Mar-24"/>
    <n v="-28342.3"/>
    <n v="-28.342299999999998"/>
  </r>
  <r>
    <d v="2024-03-11T00:00:00"/>
    <s v="OPT-CNXBAN-13-Mar-2024-47600-P-E-I"/>
    <s v="NSE"/>
    <s v="Sell"/>
    <n v="120"/>
    <n v="0"/>
    <n v="412"/>
    <n v="49440"/>
    <s v="#202403113700013207"/>
    <n v="30.54"/>
    <n v="24.96"/>
    <n v="0"/>
    <n v="0.05"/>
    <n v="160"/>
    <n v="33.299999999999997"/>
    <n v="248.85"/>
    <n v="2024"/>
    <n v="3"/>
    <x v="0"/>
    <n v="12"/>
    <n v="12"/>
    <s v="202312"/>
    <s v="Mar-24"/>
    <n v="49191.15"/>
    <n v="49.19115"/>
  </r>
  <r>
    <d v="2024-03-11T00:00:00"/>
    <s v="OPT-CNXBAN-13-Mar-2024-47600-P-E-I"/>
    <s v="NSE"/>
    <s v="Buy"/>
    <n v="120"/>
    <n v="0"/>
    <n v="301.10000000000002"/>
    <n v="36132"/>
    <s v="#202403112500002974"/>
    <n v="0"/>
    <n v="18.239999999999998"/>
    <n v="1"/>
    <n v="0.04"/>
    <n v="160"/>
    <n v="32.08"/>
    <n v="211.36"/>
    <n v="2024"/>
    <n v="3"/>
    <x v="0"/>
    <n v="12"/>
    <n v="12"/>
    <s v="202312"/>
    <s v="Mar-24"/>
    <n v="-36343.360000000001"/>
    <n v="-36.343360000000004"/>
  </r>
  <r>
    <d v="2024-03-11T00:00:00"/>
    <s v="OPT-CNXBAN-13-Mar-2024-48000-C-E-I"/>
    <s v="NSE"/>
    <s v="Sell"/>
    <n v="75"/>
    <n v="0"/>
    <n v="201.9"/>
    <n v="15142.5"/>
    <s v="#202403112500002490"/>
    <n v="9.4600000000000009"/>
    <n v="7.65"/>
    <n v="0"/>
    <n v="0.02"/>
    <n v="100"/>
    <n v="19.38"/>
    <n v="136.51"/>
    <n v="2024"/>
    <n v="3"/>
    <x v="0"/>
    <n v="12"/>
    <n v="12"/>
    <s v="202312"/>
    <s v="Mar-24"/>
    <n v="15005.99"/>
    <n v="15.005990000000001"/>
  </r>
  <r>
    <d v="2024-03-12T00:00:00"/>
    <s v="OPT-CNXBAN-13-Mar-2024-47300-P-E-I"/>
    <s v="NSE"/>
    <s v="Sell"/>
    <n v="120"/>
    <n v="0"/>
    <n v="212"/>
    <n v="25440"/>
    <s v="#202403123700027080"/>
    <n v="15.9"/>
    <n v="12.85"/>
    <n v="0"/>
    <n v="0.03"/>
    <n v="160"/>
    <n v="31.1"/>
    <n v="219.88"/>
    <n v="2024"/>
    <n v="3"/>
    <x v="0"/>
    <n v="12"/>
    <n v="12"/>
    <s v="202312"/>
    <s v="Mar-24"/>
    <n v="25220.12"/>
    <n v="25.220119999999998"/>
  </r>
  <r>
    <d v="2024-03-12T00:00:00"/>
    <s v="OPT-CNXBAN-13-Mar-2024-47300-P-E-I"/>
    <s v="NSE"/>
    <s v="Buy"/>
    <n v="60"/>
    <n v="0"/>
    <n v="232"/>
    <n v="13920"/>
    <s v="#202403123700025035"/>
    <n v="0"/>
    <n v="7.03"/>
    <n v="0"/>
    <n v="0.01"/>
    <n v="80"/>
    <n v="15.66"/>
    <n v="102.7"/>
    <n v="2024"/>
    <n v="3"/>
    <x v="0"/>
    <n v="12"/>
    <n v="12"/>
    <s v="202312"/>
    <s v="Mar-24"/>
    <n v="-14022.7"/>
    <n v="-14.0227"/>
  </r>
  <r>
    <d v="2024-03-12T00:00:00"/>
    <s v="OPT-CNXBAN-13-Mar-2024-47300-P-E-I"/>
    <s v="NSE"/>
    <s v="Buy"/>
    <n v="60"/>
    <n v="0"/>
    <n v="237.4"/>
    <n v="14244"/>
    <s v="#202403123700024762"/>
    <n v="0"/>
    <n v="7.19"/>
    <n v="0.84"/>
    <n v="0.01"/>
    <n v="80"/>
    <n v="15.7"/>
    <n v="103.74"/>
    <n v="2024"/>
    <n v="3"/>
    <x v="0"/>
    <n v="12"/>
    <n v="12"/>
    <s v="202312"/>
    <s v="Mar-24"/>
    <n v="-14347.74"/>
    <n v="-14.34774"/>
  </r>
  <r>
    <d v="2024-03-12T00:00:00"/>
    <s v="OPT-CNXBAN-13-Mar-2024-47300-C-E-I"/>
    <s v="NSE"/>
    <s v="Sell"/>
    <n v="135"/>
    <n v="0"/>
    <n v="281.10000000000002"/>
    <n v="37948.5"/>
    <s v="#202403123700017350"/>
    <n v="24.12"/>
    <n v="19.16"/>
    <n v="0"/>
    <n v="0.04"/>
    <n v="180"/>
    <n v="35.86"/>
    <n v="259.18"/>
    <n v="2024"/>
    <n v="3"/>
    <x v="0"/>
    <n v="12"/>
    <n v="12"/>
    <s v="202312"/>
    <s v="Mar-24"/>
    <n v="37689.32"/>
    <n v="37.689320000000002"/>
  </r>
  <r>
    <d v="2024-03-12T00:00:00"/>
    <s v="OPT-CNXBAN-13-Mar-2024-47300-C-E-I"/>
    <s v="NSE"/>
    <s v="Buy"/>
    <n v="45"/>
    <n v="0"/>
    <n v="237.95"/>
    <n v="10707.75"/>
    <s v="#202403123700017207"/>
    <n v="0"/>
    <n v="5.4"/>
    <n v="0"/>
    <n v="0.01"/>
    <n v="60"/>
    <n v="11.76"/>
    <n v="77.17"/>
    <n v="2024"/>
    <n v="3"/>
    <x v="0"/>
    <n v="12"/>
    <n v="12"/>
    <s v="202312"/>
    <s v="Mar-24"/>
    <n v="-10784.92"/>
    <n v="-10.78492"/>
  </r>
  <r>
    <d v="2024-03-12T00:00:00"/>
    <s v="OPT-CNXBAN-13-Mar-2024-47300-C-E-I"/>
    <s v="NSE"/>
    <s v="Buy"/>
    <n v="45"/>
    <n v="0"/>
    <n v="238.55"/>
    <n v="10734.75"/>
    <s v="#202403123700016542"/>
    <n v="0"/>
    <n v="5.42"/>
    <n v="1.0900000000000001"/>
    <n v="0.01"/>
    <n v="60"/>
    <n v="11.78"/>
    <n v="78.3"/>
    <n v="2024"/>
    <n v="3"/>
    <x v="0"/>
    <n v="12"/>
    <n v="12"/>
    <s v="202312"/>
    <s v="Mar-24"/>
    <n v="-10813.05"/>
    <n v="-10.813049999999999"/>
  </r>
  <r>
    <d v="2024-03-12T00:00:00"/>
    <s v="OPT-CNXBAN-13-Mar-2024-47300-C-E-I"/>
    <s v="NSE"/>
    <s v="Buy"/>
    <n v="45"/>
    <n v="0"/>
    <n v="301.8"/>
    <n v="13581"/>
    <s v="#202403123700016265"/>
    <n v="0"/>
    <n v="6.86"/>
    <n v="0"/>
    <n v="0.01"/>
    <n v="60"/>
    <n v="12.04"/>
    <n v="78.91"/>
    <n v="2024"/>
    <n v="3"/>
    <x v="0"/>
    <n v="12"/>
    <n v="12"/>
    <s v="202312"/>
    <s v="Mar-24"/>
    <n v="-13659.91"/>
    <n v="-13.65991"/>
  </r>
  <r>
    <d v="2024-03-12T00:00:00"/>
    <s v="OPT-CNXBAN-13-Mar-2024-47600-C-E-I"/>
    <s v="NSE"/>
    <s v="Sell"/>
    <n v="150"/>
    <n v="0"/>
    <n v="147.25"/>
    <n v="22087.5"/>
    <s v="#202403123700010420"/>
    <n v="13.8"/>
    <n v="11.15"/>
    <n v="0"/>
    <n v="0.02"/>
    <n v="200"/>
    <n v="38.020000000000003"/>
    <n v="262.99"/>
    <n v="2024"/>
    <n v="3"/>
    <x v="0"/>
    <n v="12"/>
    <n v="12"/>
    <s v="202312"/>
    <s v="Mar-24"/>
    <n v="21824.51"/>
    <n v="21.82451"/>
  </r>
  <r>
    <d v="2024-03-12T00:00:00"/>
    <s v="OPT-CNXBAN-13-Mar-2024-47600-C-E-I"/>
    <s v="NSE"/>
    <s v="Buy"/>
    <n v="60"/>
    <n v="0"/>
    <n v="105.25"/>
    <n v="6315"/>
    <s v="#202403123700009658"/>
    <n v="0"/>
    <n v="3.19"/>
    <n v="0.61"/>
    <n v="0.01"/>
    <n v="80"/>
    <n v="14.98"/>
    <n v="98.79"/>
    <n v="2024"/>
    <n v="3"/>
    <x v="0"/>
    <n v="12"/>
    <n v="12"/>
    <s v="202312"/>
    <s v="Mar-24"/>
    <n v="-6413.79"/>
    <n v="-6.4137899999999997"/>
  </r>
  <r>
    <d v="2024-03-12T00:00:00"/>
    <s v="OPT-CNXBAN-13-Mar-2024-47600-C-E-I"/>
    <s v="NSE"/>
    <s v="Buy"/>
    <n v="60"/>
    <n v="0"/>
    <n v="99.03"/>
    <n v="5941.5"/>
    <s v="#202403123700009535"/>
    <n v="0"/>
    <n v="3"/>
    <n v="0"/>
    <n v="0"/>
    <n v="80"/>
    <n v="14.94"/>
    <n v="97.94"/>
    <n v="2024"/>
    <n v="3"/>
    <x v="0"/>
    <n v="12"/>
    <n v="12"/>
    <s v="202312"/>
    <s v="Mar-24"/>
    <n v="-6039.44"/>
    <n v="-6.0394399999999999"/>
  </r>
  <r>
    <d v="2024-03-12T00:00:00"/>
    <s v="OPT-CNXBAN-13-Mar-2024-47600-C-E-I"/>
    <s v="NSE"/>
    <s v="Buy"/>
    <n v="30"/>
    <n v="0"/>
    <n v="270.05"/>
    <n v="8101.5"/>
    <s v="#202403123700008861"/>
    <n v="0"/>
    <n v="4.09"/>
    <n v="0"/>
    <n v="0.01"/>
    <n v="40"/>
    <n v="7.94"/>
    <n v="52.04"/>
    <n v="2024"/>
    <n v="3"/>
    <x v="0"/>
    <n v="12"/>
    <n v="12"/>
    <s v="202312"/>
    <s v="Mar-24"/>
    <n v="-8153.54"/>
    <n v="-8.1535399999999996"/>
  </r>
  <r>
    <d v="2024-03-12T00:00:00"/>
    <s v="OPT-CNXBAN-13-Mar-2024-48000-C-E-I"/>
    <s v="NSE"/>
    <s v="Sell"/>
    <n v="120"/>
    <n v="0"/>
    <n v="145.05000000000001"/>
    <n v="17406"/>
    <s v="#202403123700004000"/>
    <n v="10.88"/>
    <n v="8.7899999999999991"/>
    <n v="0"/>
    <n v="0.01"/>
    <n v="160"/>
    <n v="30.38"/>
    <n v="210.06"/>
    <n v="2024"/>
    <n v="3"/>
    <x v="0"/>
    <n v="12"/>
    <n v="12"/>
    <s v="202312"/>
    <s v="Mar-24"/>
    <n v="17195.939999999999"/>
    <n v="17.19594"/>
  </r>
  <r>
    <d v="2024-03-12T00:00:00"/>
    <s v="OPT-CNXBAN-13-Mar-2024-48000-C-E-I"/>
    <s v="NSE"/>
    <s v="Buy"/>
    <n v="120"/>
    <n v="0"/>
    <n v="127.18"/>
    <n v="15261"/>
    <s v="#202403123700003914"/>
    <n v="0"/>
    <n v="7.71"/>
    <n v="0.46"/>
    <n v="0.01"/>
    <n v="160"/>
    <n v="30.18"/>
    <n v="198.36"/>
    <n v="2024"/>
    <n v="3"/>
    <x v="0"/>
    <n v="12"/>
    <n v="12"/>
    <s v="202312"/>
    <s v="Mar-24"/>
    <n v="-15459.36"/>
    <n v="-15.45936"/>
  </r>
  <r>
    <d v="2024-03-12T00:00:00"/>
    <s v="OPT-CNXBAN-13-Mar-2024-47300-C-E-I"/>
    <s v="NSE"/>
    <s v="Sell"/>
    <n v="30"/>
    <n v="0"/>
    <n v="282.7"/>
    <n v="8481"/>
    <s v="#202403123700002227"/>
    <n v="5.3"/>
    <n v="4.28"/>
    <n v="0"/>
    <n v="0"/>
    <n v="40"/>
    <n v="7.96"/>
    <n v="57.54"/>
    <n v="2024"/>
    <n v="3"/>
    <x v="0"/>
    <n v="12"/>
    <n v="12"/>
    <s v="202312"/>
    <s v="Mar-24"/>
    <n v="8423.4599999999991"/>
    <n v="8.4234599999999986"/>
  </r>
  <r>
    <d v="2024-03-12T00:00:00"/>
    <s v="OPT-CNXBAN-13-Mar-2024-47300-C-E-I"/>
    <s v="NSE"/>
    <s v="Buy"/>
    <n v="15"/>
    <n v="0"/>
    <n v="232.9"/>
    <n v="3493.5"/>
    <s v="#202403123700001972"/>
    <n v="0"/>
    <n v="1.76"/>
    <n v="0"/>
    <n v="0"/>
    <n v="20"/>
    <n v="3.92"/>
    <n v="25.68"/>
    <n v="2024"/>
    <n v="3"/>
    <x v="0"/>
    <n v="12"/>
    <n v="12"/>
    <s v="202312"/>
    <s v="Mar-24"/>
    <n v="-3519.18"/>
    <n v="-3.51918"/>
  </r>
  <r>
    <d v="2024-03-12T00:00:00"/>
    <s v="OPT-CNXBAN-13-Mar-2024-47300-C-E-I"/>
    <s v="NSE"/>
    <s v="Buy"/>
    <n v="15"/>
    <n v="0"/>
    <n v="242.5"/>
    <n v="3637.5"/>
    <s v="#202403123700001482"/>
    <n v="0"/>
    <n v="1.84"/>
    <n v="0"/>
    <n v="0"/>
    <n v="20"/>
    <n v="3.94"/>
    <n v="25.78"/>
    <n v="2024"/>
    <n v="3"/>
    <x v="0"/>
    <n v="12"/>
    <n v="12"/>
    <s v="202312"/>
    <s v="Mar-24"/>
    <n v="-3663.28"/>
    <n v="-3.6632800000000003"/>
  </r>
  <r>
    <d v="2024-03-13T00:00:00"/>
    <s v="OPT-CNXBAN-13-Mar-2024-46900-P-E-I"/>
    <s v="NSE"/>
    <s v="Sell"/>
    <n v="900"/>
    <n v="0"/>
    <n v="30.1"/>
    <n v="27090"/>
    <s v="#202403133700022718"/>
    <n v="16.93"/>
    <n v="13.68"/>
    <n v="0"/>
    <n v="0.03"/>
    <n v="1200"/>
    <n v="218.46"/>
    <n v="1449.1"/>
    <n v="2024"/>
    <n v="3"/>
    <x v="0"/>
    <n v="12"/>
    <n v="12"/>
    <s v="202312"/>
    <s v="Mar-24"/>
    <n v="25640.9"/>
    <n v="25.640900000000002"/>
  </r>
  <r>
    <d v="2024-03-13T00:00:00"/>
    <s v="OPT-CNXBAN-13-Mar-2024-46900-P-E-I"/>
    <s v="NSE"/>
    <s v="Buy"/>
    <n v="900"/>
    <n v="0"/>
    <n v="49.1"/>
    <n v="44190"/>
    <s v="#202403133700019248"/>
    <n v="0"/>
    <n v="22.32"/>
    <n v="1.33"/>
    <n v="0.03"/>
    <n v="1200"/>
    <n v="220"/>
    <n v="1443.68"/>
    <n v="2024"/>
    <n v="3"/>
    <x v="0"/>
    <n v="12"/>
    <n v="12"/>
    <s v="202312"/>
    <s v="Mar-24"/>
    <n v="-45633.68"/>
    <n v="-45.633679999999998"/>
  </r>
  <r>
    <d v="2024-03-13T00:00:00"/>
    <s v="OPT-CNXBAN-13-Mar-2024-47100-P-E-I"/>
    <s v="NSE"/>
    <s v="Sell"/>
    <n v="300"/>
    <n v="0"/>
    <n v="78.31"/>
    <n v="23491.5"/>
    <s v="#202403133700017623"/>
    <n v="14.68"/>
    <n v="11.87"/>
    <n v="0"/>
    <n v="0.02"/>
    <n v="400"/>
    <n v="74.14"/>
    <n v="500.71"/>
    <n v="2024"/>
    <n v="3"/>
    <x v="0"/>
    <n v="12"/>
    <n v="12"/>
    <s v="202312"/>
    <s v="Mar-24"/>
    <n v="22990.79"/>
    <n v="22.990790000000001"/>
  </r>
  <r>
    <d v="2024-03-13T00:00:00"/>
    <s v="OPT-CNXBAN-13-Mar-2024-47100-P-E-I"/>
    <s v="NSE"/>
    <s v="Buy"/>
    <n v="300"/>
    <n v="0"/>
    <n v="105.45"/>
    <n v="31635"/>
    <s v="#202403133700014950"/>
    <n v="0"/>
    <n v="15.98"/>
    <n v="0.95"/>
    <n v="0.03"/>
    <n v="400"/>
    <n v="74.88"/>
    <n v="491.84"/>
    <n v="2024"/>
    <n v="3"/>
    <x v="0"/>
    <n v="12"/>
    <n v="12"/>
    <s v="202312"/>
    <s v="Mar-24"/>
    <n v="-32126.84"/>
    <n v="-32.126840000000001"/>
  </r>
  <r>
    <d v="2024-03-13T00:00:00"/>
    <s v="OPT-CNXBAN-13-Mar-2024-47400-C-E-I"/>
    <s v="NSE"/>
    <s v="Sell"/>
    <n v="600"/>
    <n v="0"/>
    <n v="40.39"/>
    <n v="24234.75"/>
    <s v="#202403133700012884"/>
    <n v="15.18"/>
    <n v="12.23"/>
    <n v="0"/>
    <n v="0"/>
    <n v="800"/>
    <n v="146.16"/>
    <n v="973.57"/>
    <n v="2024"/>
    <n v="3"/>
    <x v="0"/>
    <n v="12"/>
    <n v="12"/>
    <s v="202312"/>
    <s v="Mar-24"/>
    <n v="23261.18"/>
    <n v="23.26118"/>
  </r>
  <r>
    <d v="2024-03-13T00:00:00"/>
    <s v="OPT-CNXBAN-13-Mar-2024-47400-C-E-I"/>
    <s v="NSE"/>
    <s v="Buy"/>
    <n v="600"/>
    <n v="0"/>
    <n v="47.95"/>
    <n v="28771.5"/>
    <s v="#202403133700011981"/>
    <n v="0"/>
    <n v="14.54"/>
    <n v="2.84"/>
    <n v="0.03"/>
    <n v="800"/>
    <n v="146.63999999999999"/>
    <n v="964.05"/>
    <n v="2024"/>
    <n v="3"/>
    <x v="0"/>
    <n v="12"/>
    <n v="12"/>
    <s v="202312"/>
    <s v="Mar-24"/>
    <n v="-29735.55"/>
    <n v="-29.73555"/>
  </r>
  <r>
    <d v="2024-03-13T00:00:00"/>
    <s v="OPT-CNXBAN-13-Mar-2024-47400-C-E-I"/>
    <s v="NSE"/>
    <s v="Sell"/>
    <n v="210"/>
    <n v="0"/>
    <n v="61.5"/>
    <n v="12915"/>
    <s v="#202403133700010327"/>
    <n v="8.07"/>
    <n v="6.52"/>
    <n v="0"/>
    <n v="0.01"/>
    <n v="280"/>
    <n v="51.58"/>
    <n v="346.18"/>
    <n v="2024"/>
    <n v="3"/>
    <x v="0"/>
    <n v="12"/>
    <n v="12"/>
    <s v="202312"/>
    <s v="Mar-24"/>
    <n v="12568.82"/>
    <n v="12.568820000000001"/>
  </r>
  <r>
    <d v="2024-03-13T00:00:00"/>
    <s v="OPT-CNXBAN-13-Mar-2024-47400-C-E-I"/>
    <s v="NSE"/>
    <s v="Buy"/>
    <n v="105"/>
    <n v="0"/>
    <n v="72.349999999999994"/>
    <n v="7596.75"/>
    <s v="#202403133700009175"/>
    <n v="0"/>
    <n v="3.84"/>
    <n v="0"/>
    <n v="0.01"/>
    <n v="140"/>
    <n v="25.9"/>
    <n v="169.75"/>
    <n v="2024"/>
    <n v="3"/>
    <x v="0"/>
    <n v="12"/>
    <n v="12"/>
    <s v="202312"/>
    <s v="Mar-24"/>
    <n v="-7766.5"/>
    <n v="-7.7664999999999997"/>
  </r>
  <r>
    <d v="2024-03-13T00:00:00"/>
    <s v="OPT-CNXBAN-13-Mar-2024-47400-C-E-I"/>
    <s v="NSE"/>
    <s v="Buy"/>
    <n v="105"/>
    <n v="0"/>
    <n v="107.45"/>
    <n v="11282.25"/>
    <s v="#202403133700007747"/>
    <n v="0"/>
    <n v="5.7"/>
    <n v="0"/>
    <n v="0.01"/>
    <n v="140"/>
    <n v="26.22"/>
    <n v="171.93"/>
    <n v="2024"/>
    <n v="3"/>
    <x v="0"/>
    <n v="12"/>
    <n v="12"/>
    <s v="202312"/>
    <s v="Mar-24"/>
    <n v="-11454.18"/>
    <n v="-11.454180000000001"/>
  </r>
  <r>
    <d v="2024-03-13T00:00:00"/>
    <s v="OPT-CNXBAN-13-Mar-2024-47300-P-E-I"/>
    <s v="NSE"/>
    <s v="Sell"/>
    <n v="240"/>
    <n v="0"/>
    <n v="143.75"/>
    <n v="34500"/>
    <s v="#202403133700005032"/>
    <n v="21.56"/>
    <n v="17.420000000000002"/>
    <n v="0"/>
    <n v="0.04"/>
    <n v="320"/>
    <n v="60.76"/>
    <n v="419.78"/>
    <n v="2024"/>
    <n v="3"/>
    <x v="0"/>
    <n v="12"/>
    <n v="12"/>
    <s v="202312"/>
    <s v="Mar-24"/>
    <n v="34080.22"/>
    <n v="34.080220000000004"/>
  </r>
  <r>
    <d v="2024-03-13T00:00:00"/>
    <s v="OPT-CNXBAN-13-Mar-2024-47300-P-E-I"/>
    <s v="NSE"/>
    <s v="Buy"/>
    <n v="240"/>
    <n v="0"/>
    <n v="122.9"/>
    <n v="29496"/>
    <s v="#202403133700004972"/>
    <n v="0"/>
    <n v="14.9"/>
    <n v="0.88"/>
    <n v="0.03"/>
    <n v="320"/>
    <n v="60.28"/>
    <n v="396.09"/>
    <n v="2024"/>
    <n v="3"/>
    <x v="0"/>
    <n v="12"/>
    <n v="12"/>
    <s v="202312"/>
    <s v="Mar-24"/>
    <n v="-29892.09"/>
    <n v="-29.89209"/>
  </r>
  <r>
    <d v="2024-03-13T00:00:00"/>
    <s v="OPT-CNXBAN-13-Mar-2024-47400-C-E-I"/>
    <s v="NSE"/>
    <s v="Sell"/>
    <n v="240"/>
    <n v="0"/>
    <n v="110.61"/>
    <n v="26547"/>
    <s v="#202403133700004486"/>
    <n v="16.59"/>
    <n v="13.41"/>
    <n v="0"/>
    <n v="0.02"/>
    <n v="320"/>
    <n v="60.04"/>
    <n v="410.06"/>
    <n v="2024"/>
    <n v="3"/>
    <x v="0"/>
    <n v="12"/>
    <n v="12"/>
    <s v="202312"/>
    <s v="Mar-24"/>
    <n v="26136.94"/>
    <n v="26.136939999999999"/>
  </r>
  <r>
    <d v="2024-03-13T00:00:00"/>
    <s v="OPT-CNXBAN-13-Mar-2024-47400-C-E-I"/>
    <s v="NSE"/>
    <s v="Buy"/>
    <n v="120"/>
    <n v="0"/>
    <n v="126.05"/>
    <n v="15126"/>
    <s v="#202403133700004054"/>
    <n v="0"/>
    <n v="7.64"/>
    <n v="0"/>
    <n v="0.01"/>
    <n v="160"/>
    <n v="30.16"/>
    <n v="197.81"/>
    <n v="2024"/>
    <n v="3"/>
    <x v="0"/>
    <n v="12"/>
    <n v="12"/>
    <s v="202312"/>
    <s v="Mar-24"/>
    <n v="-15323.81"/>
    <n v="-15.32381"/>
  </r>
  <r>
    <d v="2024-03-13T00:00:00"/>
    <s v="OPT-CNXBAN-13-Mar-2024-47400-C-E-I"/>
    <s v="NSE"/>
    <s v="Buy"/>
    <n v="120"/>
    <n v="0"/>
    <n v="140.22999999999999"/>
    <n v="16827.75"/>
    <s v="#202403133700002093"/>
    <n v="0"/>
    <n v="8.5"/>
    <n v="0"/>
    <n v="0.02"/>
    <n v="160"/>
    <n v="30.34"/>
    <n v="198.86"/>
    <n v="2024"/>
    <n v="3"/>
    <x v="0"/>
    <n v="12"/>
    <n v="12"/>
    <s v="202312"/>
    <s v="Mar-24"/>
    <n v="-17026.61"/>
    <n v="-17.026610000000002"/>
  </r>
  <r>
    <d v="2024-03-14T00:00:00"/>
    <s v="OPT-CNXBAN-20-Mar-2024-47200-C-E-I"/>
    <s v="NSE"/>
    <s v="Sell"/>
    <n v="45"/>
    <n v="0"/>
    <n v="283.2"/>
    <n v="12744"/>
    <s v="#202403143700025858"/>
    <n v="7.97"/>
    <n v="6.44"/>
    <n v="0"/>
    <n v="0.01"/>
    <n v="60"/>
    <n v="11.96"/>
    <n v="86.38"/>
    <n v="2024"/>
    <n v="3"/>
    <x v="0"/>
    <n v="12"/>
    <n v="12"/>
    <s v="202312"/>
    <s v="Mar-24"/>
    <n v="12657.62"/>
    <n v="12.657620000000001"/>
  </r>
  <r>
    <d v="2024-03-14T00:00:00"/>
    <s v="OPT-CNXBAN-20-Mar-2024-47200-C-E-I"/>
    <s v="NSE"/>
    <s v="Buy"/>
    <n v="30"/>
    <n v="0"/>
    <n v="488.45"/>
    <n v="14653.5"/>
    <s v="#202403143700016131"/>
    <n v="0"/>
    <n v="7.4"/>
    <n v="0.3"/>
    <n v="0.01"/>
    <n v="40"/>
    <n v="8.5399999999999991"/>
    <n v="56.25"/>
    <n v="2024"/>
    <n v="3"/>
    <x v="0"/>
    <n v="12"/>
    <n v="12"/>
    <s v="202312"/>
    <s v="Mar-24"/>
    <n v="-14709.75"/>
    <n v="-14.70975"/>
  </r>
  <r>
    <d v="2024-03-14T00:00:00"/>
    <s v="OPT-CNXBAN-20-Mar-2024-47200-C-E-I"/>
    <s v="NSE"/>
    <s v="Buy"/>
    <n v="15"/>
    <n v="0"/>
    <n v="479.1"/>
    <n v="7186.5"/>
    <s v="#202403143700012519"/>
    <n v="0"/>
    <n v="3.63"/>
    <n v="0"/>
    <n v="0.01"/>
    <n v="20"/>
    <n v="4.26"/>
    <n v="27.9"/>
    <n v="2024"/>
    <n v="3"/>
    <x v="0"/>
    <n v="12"/>
    <n v="12"/>
    <s v="202312"/>
    <s v="Mar-24"/>
    <n v="-7214.4"/>
    <n v="-7.2143999999999995"/>
  </r>
  <r>
    <d v="2024-03-14T00:00:00"/>
    <s v="OPT-CNXBAN-20-Mar-2024-46800-C-E-I"/>
    <s v="NSE"/>
    <s v="Sell"/>
    <n v="30"/>
    <n v="0"/>
    <n v="590.04999999999995"/>
    <n v="17701.5"/>
    <s v="#202403143700008272"/>
    <n v="11.06"/>
    <n v="8.94"/>
    <n v="0"/>
    <n v="0.02"/>
    <n v="40"/>
    <n v="8.8000000000000007"/>
    <n v="68.819999999999993"/>
    <n v="2024"/>
    <n v="3"/>
    <x v="0"/>
    <n v="12"/>
    <n v="12"/>
    <s v="202312"/>
    <s v="Mar-24"/>
    <n v="17632.68"/>
    <n v="17.632680000000001"/>
  </r>
  <r>
    <d v="2024-03-14T00:00:00"/>
    <s v="OPT-CNXBAN-20-Mar-2024-46800-C-E-I"/>
    <s v="NSE"/>
    <s v="Buy"/>
    <n v="15"/>
    <n v="0"/>
    <n v="486.45"/>
    <n v="7296.75"/>
    <s v="#202403143700004465"/>
    <n v="0"/>
    <n v="3.68"/>
    <n v="0.46"/>
    <n v="0.01"/>
    <n v="20"/>
    <n v="4.26"/>
    <n v="28.41"/>
    <n v="2024"/>
    <n v="3"/>
    <x v="0"/>
    <n v="12"/>
    <n v="12"/>
    <s v="202312"/>
    <s v="Mar-24"/>
    <n v="-7325.16"/>
    <n v="-7.3251599999999994"/>
  </r>
  <r>
    <d v="2024-03-14T00:00:00"/>
    <s v="OPT-CNXBAN-20-Mar-2024-46800-C-E-I"/>
    <s v="NSE"/>
    <s v="Buy"/>
    <n v="15"/>
    <n v="0"/>
    <n v="529.70000000000005"/>
    <n v="7945.5"/>
    <s v="#202403143700003320"/>
    <n v="0"/>
    <n v="4.01"/>
    <n v="0"/>
    <n v="0.01"/>
    <n v="20"/>
    <n v="4.32"/>
    <n v="28.34"/>
    <n v="2024"/>
    <n v="3"/>
    <x v="0"/>
    <n v="12"/>
    <n v="12"/>
    <s v="202312"/>
    <s v="Mar-24"/>
    <n v="-7973.84"/>
    <n v="-7.97384"/>
  </r>
  <r>
    <d v="2024-03-14T00:00:00"/>
    <s v="OPT-CNXBAN-20-Mar-2024-46700-C-E-I"/>
    <s v="NSE"/>
    <s v="Sell"/>
    <n v="15"/>
    <n v="0"/>
    <n v="553.04999999999995"/>
    <n v="8295.75"/>
    <s v="#202403143700001174"/>
    <n v="4.97"/>
    <n v="4.1900000000000004"/>
    <n v="0"/>
    <n v="0.01"/>
    <n v="20"/>
    <n v="4.3600000000000003"/>
    <n v="33.53"/>
    <n v="2024"/>
    <n v="3"/>
    <x v="0"/>
    <n v="12"/>
    <n v="12"/>
    <s v="202312"/>
    <s v="Mar-24"/>
    <n v="8262.2199999999993"/>
    <n v="8.2622199999999992"/>
  </r>
  <r>
    <d v="2024-03-14T00:00:00"/>
    <s v="OPT-CNXBAN-20-Mar-2024-46700-C-E-I"/>
    <s v="NSE"/>
    <s v="Buy"/>
    <n v="15"/>
    <n v="0"/>
    <n v="527.9"/>
    <n v="7918.5"/>
    <s v="#202403143700001014"/>
    <n v="0"/>
    <n v="4"/>
    <n v="0.24"/>
    <n v="0.01"/>
    <n v="20"/>
    <n v="4.32"/>
    <n v="28.57"/>
    <n v="2024"/>
    <n v="3"/>
    <x v="0"/>
    <n v="12"/>
    <n v="12"/>
    <s v="202312"/>
    <s v="Mar-24"/>
    <n v="-7947.07"/>
    <n v="-7.9470700000000001"/>
  </r>
  <r>
    <d v="2024-03-15T00:00:00"/>
    <s v="OPT-CNXBAN-20-Mar-2024-47900-C-E-I"/>
    <s v="NSE"/>
    <s v="Buy"/>
    <n v="30"/>
    <n v="0"/>
    <n v="35.700000000000003"/>
    <n v="1071"/>
    <s v="#202403153700023749"/>
    <n v="0"/>
    <n v="0.54"/>
    <n v="0"/>
    <n v="0"/>
    <n v="40"/>
    <n v="7.3"/>
    <n v="47.84"/>
    <n v="2024"/>
    <n v="3"/>
    <x v="0"/>
    <n v="12"/>
    <n v="12"/>
    <s v="202312"/>
    <s v="Mar-24"/>
    <n v="-1118.8399999999999"/>
    <n v="-1.1188399999999998"/>
  </r>
  <r>
    <d v="2024-03-15T00:00:00"/>
    <s v="OPT-CNXBAN-20-Mar-2024-46400-P-E-I"/>
    <s v="NSE"/>
    <s v="Sell"/>
    <n v="15"/>
    <n v="0"/>
    <n v="363.4"/>
    <n v="5451"/>
    <s v="#202403153700020770"/>
    <n v="3"/>
    <n v="2.75"/>
    <n v="0"/>
    <n v="0.01"/>
    <n v="20"/>
    <n v="4.0999999999999996"/>
    <n v="29.86"/>
    <n v="2024"/>
    <n v="3"/>
    <x v="0"/>
    <n v="12"/>
    <n v="12"/>
    <s v="202312"/>
    <s v="Mar-24"/>
    <n v="5421.14"/>
    <n v="5.4211400000000003"/>
  </r>
  <r>
    <d v="2024-03-15T00:00:00"/>
    <s v="OPT-CNXBAN-20-Mar-2024-46400-P-E-I"/>
    <s v="NSE"/>
    <s v="Buy"/>
    <n v="15"/>
    <n v="0"/>
    <n v="264.64999999999998"/>
    <n v="3969.75"/>
    <s v="#202403153700019525"/>
    <n v="0"/>
    <n v="2"/>
    <n v="0"/>
    <n v="0"/>
    <n v="20"/>
    <n v="3.96"/>
    <n v="25.96"/>
    <n v="2024"/>
    <n v="3"/>
    <x v="0"/>
    <n v="12"/>
    <n v="12"/>
    <s v="202312"/>
    <s v="Mar-24"/>
    <n v="-3995.71"/>
    <n v="-3.9957099999999999"/>
  </r>
  <r>
    <d v="2024-03-18T00:00:00"/>
    <s v="OPT-CNXBAN-20-Mar-2024-46100-P-E-I"/>
    <s v="NSE"/>
    <s v="Sell"/>
    <n v="30"/>
    <n v="0"/>
    <n v="124.2"/>
    <n v="3726"/>
    <s v="#202403183700015510"/>
    <n v="2.33"/>
    <n v="1.88"/>
    <n v="0"/>
    <n v="0"/>
    <n v="40"/>
    <n v="7.54"/>
    <n v="51.75"/>
    <n v="2024"/>
    <n v="3"/>
    <x v="0"/>
    <n v="12"/>
    <n v="12"/>
    <s v="202312"/>
    <s v="Mar-24"/>
    <n v="3674.25"/>
    <n v="3.6742499999999998"/>
  </r>
  <r>
    <d v="2024-03-18T00:00:00"/>
    <s v="OPT-CNXBAN-20-Mar-2024-46100-P-E-I"/>
    <s v="NSE"/>
    <s v="Buy"/>
    <n v="15"/>
    <n v="0"/>
    <n v="255.45"/>
    <n v="3831.75"/>
    <s v="#202403183700012135"/>
    <n v="0"/>
    <n v="1.94"/>
    <n v="0.69"/>
    <n v="0"/>
    <n v="20"/>
    <n v="3.94"/>
    <n v="26.57"/>
    <n v="2024"/>
    <n v="3"/>
    <x v="0"/>
    <n v="12"/>
    <n v="12"/>
    <s v="202312"/>
    <s v="Mar-24"/>
    <n v="-3858.32"/>
    <n v="-3.85832"/>
  </r>
  <r>
    <d v="2024-03-18T00:00:00"/>
    <s v="OPT-CNXBAN-20-Mar-2024-46100-P-E-I"/>
    <s v="NSE"/>
    <s v="Buy"/>
    <n v="15"/>
    <n v="0"/>
    <n v="277.3"/>
    <n v="4159.5"/>
    <s v="#202403183700010537"/>
    <n v="0"/>
    <n v="2.1"/>
    <n v="0"/>
    <n v="0"/>
    <n v="20"/>
    <n v="3.98"/>
    <n v="26.08"/>
    <n v="2024"/>
    <n v="3"/>
    <x v="0"/>
    <n v="12"/>
    <n v="12"/>
    <s v="202312"/>
    <s v="Mar-24"/>
    <n v="-4185.58"/>
    <n v="-4.1855799999999999"/>
  </r>
  <r>
    <d v="2024-03-18T00:00:00"/>
    <s v="OPT-CNXBAN-20-Mar-2024-47900-C-E-I"/>
    <s v="NSE"/>
    <s v="Sell"/>
    <n v="30"/>
    <n v="0"/>
    <n v="16.7"/>
    <n v="501"/>
    <s v="#202403183700010440"/>
    <n v="0.31"/>
    <n v="0.25"/>
    <n v="0"/>
    <n v="0"/>
    <n v="40"/>
    <n v="7.24"/>
    <n v="47.8"/>
    <n v="2024"/>
    <n v="3"/>
    <x v="0"/>
    <n v="12"/>
    <n v="12"/>
    <s v="202312"/>
    <s v="Mar-24"/>
    <n v="453.2"/>
    <n v="0.45319999999999999"/>
  </r>
  <r>
    <d v="2024-03-18T00:00:00"/>
    <s v="OPT-CNXBAN-20-Mar-2024-46400-P-E-I"/>
    <s v="NSE"/>
    <s v="Sell"/>
    <n v="15"/>
    <n v="0"/>
    <n v="418.25"/>
    <n v="6273.75"/>
    <s v="#202403183700010355"/>
    <n v="3.92"/>
    <n v="3.17"/>
    <n v="0"/>
    <n v="0.01"/>
    <n v="20"/>
    <n v="4.18"/>
    <n v="31.28"/>
    <n v="2024"/>
    <n v="3"/>
    <x v="0"/>
    <n v="12"/>
    <n v="12"/>
    <s v="202312"/>
    <s v="Mar-24"/>
    <n v="6242.47"/>
    <n v="6.24247"/>
  </r>
  <r>
    <d v="2024-03-18T00:00:00"/>
    <s v="OPT-CNXBAN-20-Mar-2024-46400-P-E-I"/>
    <s v="NSE"/>
    <s v="Buy"/>
    <n v="15"/>
    <n v="0"/>
    <n v="331.5"/>
    <n v="4972.5"/>
    <s v="#202403183700008229"/>
    <n v="0"/>
    <n v="2.5099999999999998"/>
    <n v="0.15"/>
    <n v="0"/>
    <n v="20"/>
    <n v="4.0599999999999996"/>
    <n v="26.72"/>
    <n v="2024"/>
    <n v="3"/>
    <x v="0"/>
    <n v="12"/>
    <n v="12"/>
    <s v="202312"/>
    <s v="Mar-24"/>
    <n v="-4999.22"/>
    <n v="-4.9992200000000002"/>
  </r>
  <r>
    <d v="2024-03-18T00:00:00"/>
    <s v="OPT-CNXBAN-20-Mar-2024-46500-P-E-I"/>
    <s v="NSE"/>
    <s v="Sell"/>
    <n v="15"/>
    <n v="0"/>
    <n v="425"/>
    <n v="6375"/>
    <s v="#202403183700005755"/>
    <n v="4.4400000000000004"/>
    <n v="3.22"/>
    <n v="0"/>
    <n v="0.01"/>
    <n v="20"/>
    <n v="4.18"/>
    <n v="31.85"/>
    <n v="2024"/>
    <n v="3"/>
    <x v="0"/>
    <n v="12"/>
    <n v="12"/>
    <s v="202312"/>
    <s v="Mar-24"/>
    <n v="6343.15"/>
    <n v="6.3431499999999996"/>
  </r>
  <r>
    <d v="2024-03-18T00:00:00"/>
    <s v="OPT-CNXBAN-20-Mar-2024-46500-P-E-I"/>
    <s v="NSE"/>
    <s v="Buy"/>
    <n v="15"/>
    <n v="0"/>
    <n v="364.05"/>
    <n v="5460.75"/>
    <s v="#202403183700005668"/>
    <n v="0"/>
    <n v="2.76"/>
    <n v="0.16"/>
    <n v="0.01"/>
    <n v="20"/>
    <n v="4.0999999999999996"/>
    <n v="27.03"/>
    <n v="2024"/>
    <n v="3"/>
    <x v="0"/>
    <n v="12"/>
    <n v="12"/>
    <s v="202312"/>
    <s v="Mar-24"/>
    <n v="-5487.78"/>
    <n v="-5.4877799999999999"/>
  </r>
  <r>
    <d v="2024-03-19T00:00:00"/>
    <s v="OPT-NIFTY-21-Mar-2024-22000-C-E-I"/>
    <s v="NSE"/>
    <s v="Buy"/>
    <n v="50"/>
    <n v="0"/>
    <n v="45.65"/>
    <n v="2282.5"/>
    <s v="#202403193700022859"/>
    <n v="0"/>
    <n v="1.1499999999999999"/>
    <n v="7.0000000000000007E-2"/>
    <n v="0"/>
    <n v="20"/>
    <n v="3.8"/>
    <n v="25.02"/>
    <n v="2024"/>
    <n v="3"/>
    <x v="0"/>
    <n v="12"/>
    <n v="12"/>
    <s v="202312"/>
    <s v="Mar-24"/>
    <n v="-2307.52"/>
    <n v="-2.3075199999999998"/>
  </r>
  <r>
    <d v="2024-03-19T00:00:00"/>
    <s v="OPT-CNXBAN-20-Mar-2024-46200-P-E-I"/>
    <s v="NSE"/>
    <s v="Sell"/>
    <n v="450"/>
    <n v="0"/>
    <n v="126.73"/>
    <n v="57030"/>
    <s v="#202403193700021940"/>
    <n v="35.65"/>
    <n v="28.8"/>
    <n v="0"/>
    <n v="0.04"/>
    <n v="600"/>
    <n v="113.2"/>
    <n v="777.69"/>
    <n v="2024"/>
    <n v="3"/>
    <x v="0"/>
    <n v="12"/>
    <n v="12"/>
    <s v="202312"/>
    <s v="Mar-24"/>
    <n v="56252.31"/>
    <n v="56.252309999999994"/>
  </r>
  <r>
    <d v="2024-03-19T00:00:00"/>
    <s v="OPT-CNXBAN-20-Mar-2024-46200-P-E-I"/>
    <s v="NSE"/>
    <s v="Buy"/>
    <n v="225"/>
    <n v="0"/>
    <n v="149.56"/>
    <n v="33651"/>
    <s v="#202403193700021654"/>
    <n v="0"/>
    <n v="16.989999999999998"/>
    <n v="0"/>
    <n v="0.04"/>
    <n v="300"/>
    <n v="57.08"/>
    <n v="374.11"/>
    <n v="2024"/>
    <n v="3"/>
    <x v="0"/>
    <n v="12"/>
    <n v="12"/>
    <s v="202312"/>
    <s v="Mar-24"/>
    <n v="-34025.11"/>
    <n v="-34.025109999999998"/>
  </r>
  <r>
    <d v="2024-03-19T00:00:00"/>
    <s v="OPT-CNXBAN-20-Mar-2024-46200-P-E-I"/>
    <s v="NSE"/>
    <s v="Buy"/>
    <n v="225"/>
    <n v="0"/>
    <n v="197.69"/>
    <n v="44481"/>
    <s v="#202403193700021321"/>
    <n v="0"/>
    <n v="22.46"/>
    <n v="2.34"/>
    <n v="0.05"/>
    <n v="300"/>
    <n v="58.06"/>
    <n v="382.91"/>
    <n v="2024"/>
    <n v="3"/>
    <x v="0"/>
    <n v="12"/>
    <n v="12"/>
    <s v="202312"/>
    <s v="Mar-24"/>
    <n v="-44863.91"/>
    <n v="-44.863910000000004"/>
  </r>
  <r>
    <d v="2024-03-19T00:00:00"/>
    <s v="OPT-NIFTY-21-Mar-2024-22000-C-E-I"/>
    <s v="NSE"/>
    <s v="Sell"/>
    <n v="50"/>
    <n v="0"/>
    <n v="45.75"/>
    <n v="2287.5"/>
    <s v="#202403193700020919"/>
    <n v="1.43"/>
    <n v="1.1599999999999999"/>
    <n v="0"/>
    <n v="0"/>
    <n v="20"/>
    <n v="3.8"/>
    <n v="26.39"/>
    <n v="2024"/>
    <n v="3"/>
    <x v="0"/>
    <n v="12"/>
    <n v="12"/>
    <s v="202312"/>
    <s v="Mar-24"/>
    <n v="2261.11"/>
    <n v="2.26111"/>
  </r>
  <r>
    <d v="2024-03-19T00:00:00"/>
    <s v="OPT-CNXBAN-20-Mar-2024-46400-C-E-I"/>
    <s v="NSE"/>
    <s v="Sell"/>
    <n v="105"/>
    <n v="0"/>
    <n v="165.04"/>
    <n v="17329.5"/>
    <s v="#202403193700020838"/>
    <n v="10.83"/>
    <n v="8.75"/>
    <n v="0"/>
    <n v="0"/>
    <n v="140"/>
    <n v="26.8"/>
    <n v="186.38"/>
    <n v="2024"/>
    <n v="3"/>
    <x v="0"/>
    <n v="12"/>
    <n v="12"/>
    <s v="202312"/>
    <s v="Mar-24"/>
    <n v="17143.12"/>
    <n v="17.14312"/>
  </r>
  <r>
    <d v="2024-03-19T00:00:00"/>
    <s v="OPT-CNXBAN-20-Mar-2024-46600-C-E-I"/>
    <s v="NSE"/>
    <s v="Sell"/>
    <n v="15"/>
    <n v="0"/>
    <n v="108.3"/>
    <n v="1624.5"/>
    <s v="#202403193700020637"/>
    <n v="1.02"/>
    <n v="0.82"/>
    <n v="0"/>
    <n v="0"/>
    <n v="20"/>
    <n v="3.74"/>
    <n v="25.58"/>
    <n v="2024"/>
    <n v="3"/>
    <x v="0"/>
    <n v="12"/>
    <n v="12"/>
    <s v="202312"/>
    <s v="Mar-24"/>
    <n v="1598.92"/>
    <n v="1.5989200000000001"/>
  </r>
  <r>
    <d v="2024-03-19T00:00:00"/>
    <s v="OPT-CNXBAN-20-Mar-2024-46400-C-E-I"/>
    <s v="NSE"/>
    <s v="Buy"/>
    <n v="105"/>
    <n v="0"/>
    <n v="178.35"/>
    <n v="18726.75"/>
    <s v="#202403193700020425"/>
    <n v="0"/>
    <n v="9.4600000000000009"/>
    <n v="0.56000000000000005"/>
    <n v="0.02"/>
    <n v="140"/>
    <n v="26.9"/>
    <n v="176.94"/>
    <n v="2024"/>
    <n v="3"/>
    <x v="0"/>
    <n v="12"/>
    <n v="12"/>
    <s v="202312"/>
    <s v="Mar-24"/>
    <n v="-18903.689999999999"/>
    <n v="-18.903689999999997"/>
  </r>
  <r>
    <d v="2024-03-19T00:00:00"/>
    <s v="OPT-CNXBAN-20-Mar-2024-46600-C-E-I"/>
    <s v="NSE"/>
    <s v="Sell"/>
    <n v="900"/>
    <n v="0"/>
    <n v="169"/>
    <n v="152100"/>
    <s v="#202403193700017748"/>
    <n v="95.07"/>
    <n v="76.8"/>
    <n v="0"/>
    <n v="0.14000000000000001"/>
    <n v="1200"/>
    <n v="229.86"/>
    <n v="1601.87"/>
    <n v="2024"/>
    <n v="3"/>
    <x v="0"/>
    <n v="12"/>
    <n v="12"/>
    <s v="202312"/>
    <s v="Mar-24"/>
    <n v="150498.13"/>
    <n v="150.49813"/>
  </r>
  <r>
    <d v="2024-03-19T00:00:00"/>
    <s v="OPT-CNXBAN-20-Mar-2024-46600-C-E-I"/>
    <s v="NSE"/>
    <s v="Buy"/>
    <n v="900"/>
    <n v="0"/>
    <n v="164.95"/>
    <n v="148455"/>
    <s v="#202403193700016546"/>
    <n v="0"/>
    <n v="74.98"/>
    <n v="5.03"/>
    <n v="0.15"/>
    <n v="1200"/>
    <n v="229.52"/>
    <n v="1509.68"/>
    <n v="2024"/>
    <n v="3"/>
    <x v="0"/>
    <n v="12"/>
    <n v="12"/>
    <s v="202312"/>
    <s v="Mar-24"/>
    <n v="-149964.68"/>
    <n v="-149.96467999999999"/>
  </r>
  <r>
    <d v="2024-03-19T00:00:00"/>
    <s v="OPT-CNXBAN-20-Mar-2024-46600-C-E-I"/>
    <s v="NSE"/>
    <s v="Buy"/>
    <n v="15"/>
    <n v="0"/>
    <n v="171"/>
    <n v="2565"/>
    <s v="#202403193700009631"/>
    <n v="0"/>
    <n v="1.3"/>
    <n v="0"/>
    <n v="0"/>
    <n v="20"/>
    <n v="3.84"/>
    <n v="25.14"/>
    <n v="2024"/>
    <n v="3"/>
    <x v="0"/>
    <n v="12"/>
    <n v="12"/>
    <s v="202312"/>
    <s v="Mar-24"/>
    <n v="-2590.14"/>
    <n v="-2.5901399999999999"/>
  </r>
  <r>
    <d v="2024-03-20T00:00:00"/>
    <s v="OPT-CNXBAN-20-Mar-2024-46600-C-E-I"/>
    <s v="NSE"/>
    <s v="Sell"/>
    <n v="450"/>
    <n v="0"/>
    <n v="59.22"/>
    <n v="26650.5"/>
    <s v="#202403203700021967"/>
    <n v="16.670000000000002"/>
    <n v="13.46"/>
    <n v="0"/>
    <n v="0.02"/>
    <n v="600"/>
    <n v="110.4"/>
    <n v="740.55"/>
    <n v="2024"/>
    <n v="3"/>
    <x v="0"/>
    <n v="12"/>
    <n v="12"/>
    <s v="202312"/>
    <s v="Mar-24"/>
    <n v="25909.95"/>
    <n v="25.909950000000002"/>
  </r>
  <r>
    <d v="2024-03-20T00:00:00"/>
    <s v="OPT-CNXBAN-20-Mar-2024-46600-C-E-I"/>
    <s v="NSE"/>
    <s v="Sell"/>
    <n v="900"/>
    <n v="0"/>
    <n v="59.48"/>
    <n v="53532"/>
    <s v="#202403203700021930"/>
    <n v="33.479999999999997"/>
    <n v="27.02"/>
    <n v="0"/>
    <n v="0.04"/>
    <n v="1200"/>
    <n v="220.82"/>
    <n v="1481.36"/>
    <n v="2024"/>
    <n v="3"/>
    <x v="0"/>
    <n v="12"/>
    <n v="12"/>
    <s v="202312"/>
    <s v="Mar-24"/>
    <n v="52050.64"/>
    <n v="52.050640000000001"/>
  </r>
  <r>
    <d v="2024-03-20T00:00:00"/>
    <s v="OPT-CNXBAN-20-Mar-2024-46600-C-E-I"/>
    <s v="NSE"/>
    <s v="Sell"/>
    <n v="900"/>
    <n v="0"/>
    <n v="57.62"/>
    <n v="51858.75"/>
    <s v="#202403203700021876"/>
    <n v="32.880000000000003"/>
    <n v="26.19"/>
    <n v="0"/>
    <n v="0.05"/>
    <n v="1200"/>
    <n v="220.76"/>
    <n v="1479.88"/>
    <n v="2024"/>
    <n v="3"/>
    <x v="0"/>
    <n v="12"/>
    <n v="12"/>
    <s v="202312"/>
    <s v="Mar-24"/>
    <n v="50378.87"/>
    <n v="50.378869999999999"/>
  </r>
  <r>
    <d v="2024-03-20T00:00:00"/>
    <s v="OPT-CNXBAN-20-Mar-2024-46600-C-E-I"/>
    <s v="NSE"/>
    <s v="Buy"/>
    <n v="900"/>
    <n v="0"/>
    <n v="14.4"/>
    <n v="12960"/>
    <s v="#202403203700011994"/>
    <n v="0"/>
    <n v="6.55"/>
    <n v="0"/>
    <n v="0.01"/>
    <n v="1200"/>
    <n v="217.2"/>
    <n v="1423.76"/>
    <n v="2024"/>
    <n v="3"/>
    <x v="0"/>
    <n v="12"/>
    <n v="12"/>
    <s v="202312"/>
    <s v="Mar-24"/>
    <n v="-14383.76"/>
    <n v="-14.383760000000001"/>
  </r>
  <r>
    <d v="2024-03-20T00:00:00"/>
    <s v="OPT-CNXBAN-20-Mar-2024-46600-C-E-I"/>
    <s v="NSE"/>
    <s v="Buy"/>
    <n v="450"/>
    <n v="0"/>
    <n v="30.05"/>
    <n v="13520.25"/>
    <s v="#202403203700005947"/>
    <n v="0"/>
    <n v="6.89"/>
    <n v="0"/>
    <n v="0"/>
    <n v="600"/>
    <n v="109.2"/>
    <n v="716.09"/>
    <n v="2024"/>
    <n v="3"/>
    <x v="0"/>
    <n v="12"/>
    <n v="12"/>
    <s v="202312"/>
    <s v="Mar-24"/>
    <n v="-14236.34"/>
    <n v="-14.23634"/>
  </r>
  <r>
    <d v="2024-03-20T00:00:00"/>
    <s v="OPT-CNXBAN-20-Mar-2024-46600-C-E-I"/>
    <s v="NSE"/>
    <s v="Buy"/>
    <n v="900"/>
    <n v="0"/>
    <n v="94.52"/>
    <n v="85069.5"/>
    <s v="#202403203700003021"/>
    <n v="0"/>
    <n v="42.94"/>
    <n v="3"/>
    <n v="0.11"/>
    <n v="1200"/>
    <n v="223.76"/>
    <n v="1469.81"/>
    <n v="2024"/>
    <n v="3"/>
    <x v="0"/>
    <n v="12"/>
    <n v="12"/>
    <s v="202312"/>
    <s v="Mar-24"/>
    <n v="-86539.31"/>
    <n v="-86.53931"/>
  </r>
  <r>
    <d v="2024-03-21T00:00:00"/>
    <s v="OPT-CNXBAN-27-Mar-2024-46800-C-E-I"/>
    <s v="NSE"/>
    <s v="Sell"/>
    <n v="15"/>
    <n v="0"/>
    <n v="351.2"/>
    <n v="5268"/>
    <s v="#202403213700027141"/>
    <n v="3.29"/>
    <n v="2.66"/>
    <n v="0"/>
    <n v="0.01"/>
    <n v="20"/>
    <n v="4.08"/>
    <n v="30.04"/>
    <n v="2024"/>
    <n v="3"/>
    <x v="0"/>
    <n v="12"/>
    <n v="12"/>
    <s v="202312"/>
    <s v="Mar-24"/>
    <n v="5237.96"/>
    <n v="5.2379600000000002"/>
  </r>
  <r>
    <d v="2024-03-21T00:00:00"/>
    <s v="OPT-NIFTY-21-Mar-2024-22000-P-E-I"/>
    <s v="NSE"/>
    <s v="Sell"/>
    <n v="50"/>
    <n v="0"/>
    <n v="12.4"/>
    <n v="620"/>
    <s v="#202403213700022754"/>
    <n v="0.71"/>
    <n v="0.31"/>
    <n v="0"/>
    <n v="0"/>
    <n v="20"/>
    <n v="3.66"/>
    <n v="24.68"/>
    <n v="2024"/>
    <n v="3"/>
    <x v="0"/>
    <n v="12"/>
    <n v="12"/>
    <s v="202312"/>
    <s v="Mar-24"/>
    <n v="595.32000000000005"/>
    <n v="0.59532000000000007"/>
  </r>
  <r>
    <d v="2024-03-21T00:00:00"/>
    <s v="OPT-NIFTY-21-Mar-2024-22000-P-E-I"/>
    <s v="NSE"/>
    <s v="Buy"/>
    <n v="50"/>
    <n v="0"/>
    <n v="14.55"/>
    <n v="727.5"/>
    <s v="#202403213700022566"/>
    <n v="0"/>
    <n v="0.37"/>
    <n v="0"/>
    <n v="0"/>
    <n v="20"/>
    <n v="3.66"/>
    <n v="24.03"/>
    <n v="2024"/>
    <n v="3"/>
    <x v="0"/>
    <n v="12"/>
    <n v="12"/>
    <s v="202312"/>
    <s v="Mar-24"/>
    <n v="-751.53"/>
    <n v="-0.75152999999999992"/>
  </r>
  <r>
    <d v="2024-03-21T00:00:00"/>
    <s v="OPT-CNXBAN-27-Mar-2024-46800-C-E-I"/>
    <s v="NSE"/>
    <s v="Buy"/>
    <n v="15"/>
    <n v="0"/>
    <n v="392.1"/>
    <n v="5881.5"/>
    <s v="#202403213700017871"/>
    <n v="0"/>
    <n v="2.97"/>
    <n v="0"/>
    <n v="0.01"/>
    <n v="20"/>
    <n v="4.1399999999999997"/>
    <n v="27.12"/>
    <n v="2024"/>
    <n v="3"/>
    <x v="0"/>
    <n v="12"/>
    <n v="12"/>
    <s v="202312"/>
    <s v="Mar-24"/>
    <n v="-5908.62"/>
    <n v="-5.90862"/>
  </r>
  <r>
    <d v="2024-03-22T00:00:00"/>
    <s v="OPT-CNXBAN-27-Mar-2024-46900-C-E-I"/>
    <s v="NSE"/>
    <s v="Sell"/>
    <n v="60"/>
    <n v="0"/>
    <n v="323.89999999999998"/>
    <n v="19434"/>
    <s v="#202403223700013517"/>
    <n v="12.14"/>
    <n v="9.82"/>
    <n v="0"/>
    <n v="0.02"/>
    <n v="80"/>
    <n v="16.16"/>
    <n v="118.14"/>
    <n v="2024"/>
    <n v="3"/>
    <x v="0"/>
    <n v="12"/>
    <n v="12"/>
    <s v="202312"/>
    <s v="Mar-24"/>
    <n v="19315.86"/>
    <n v="19.315860000000001"/>
  </r>
  <r>
    <d v="2024-03-22T00:00:00"/>
    <s v="OPT-CNXBAN-27-Mar-2024-46900-C-E-I"/>
    <s v="NSE"/>
    <s v="Buy"/>
    <n v="60"/>
    <n v="0"/>
    <n v="378.5"/>
    <n v="22710"/>
    <s v="#202403223700008732"/>
    <n v="0"/>
    <n v="11.47"/>
    <n v="0.68"/>
    <n v="0.03"/>
    <n v="80"/>
    <n v="16.48"/>
    <n v="108.66"/>
    <n v="2024"/>
    <n v="3"/>
    <x v="0"/>
    <n v="12"/>
    <n v="12"/>
    <s v="202312"/>
    <s v="Mar-24"/>
    <n v="-22818.66"/>
    <n v="-22.818660000000001"/>
  </r>
  <r>
    <d v="2024-03-22T00:00:00"/>
    <s v="OPT-CNXBAN-27-Mar-2024-46500-P-E-I"/>
    <s v="NSE"/>
    <s v="Sell"/>
    <n v="105"/>
    <n v="0"/>
    <n v="193.75"/>
    <n v="20343.75"/>
    <s v="#202403223700006428"/>
    <n v="12.72"/>
    <n v="10.28"/>
    <n v="0"/>
    <n v="0.02"/>
    <n v="140"/>
    <n v="27.06"/>
    <n v="190.08"/>
    <n v="2024"/>
    <n v="3"/>
    <x v="0"/>
    <n v="12"/>
    <n v="12"/>
    <s v="202312"/>
    <s v="Mar-24"/>
    <n v="20153.669999999998"/>
    <n v="20.153669999999998"/>
  </r>
  <r>
    <d v="2024-03-22T00:00:00"/>
    <s v="OPT-CNXBAN-27-Mar-2024-46500-P-E-I"/>
    <s v="NSE"/>
    <s v="Buy"/>
    <n v="105"/>
    <n v="0"/>
    <n v="226.66"/>
    <n v="23799"/>
    <s v="#202403223700004542"/>
    <n v="0"/>
    <n v="12.02"/>
    <n v="1.32"/>
    <n v="0.02"/>
    <n v="140"/>
    <n v="27.36"/>
    <n v="180.72"/>
    <n v="2024"/>
    <n v="3"/>
    <x v="0"/>
    <n v="12"/>
    <n v="12"/>
    <s v="202312"/>
    <s v="Mar-24"/>
    <n v="-23979.72"/>
    <n v="-23.97972"/>
  </r>
  <r>
    <d v="2024-03-22T00:00:00"/>
    <s v="OPT-CNXBAN-27-Mar-2024-46500-P-E-I"/>
    <s v="NSE"/>
    <s v="Sell"/>
    <n v="30"/>
    <n v="0"/>
    <n v="214.15"/>
    <n v="6424.5"/>
    <s v="#202403223700003689"/>
    <n v="4.1399999999999997"/>
    <n v="3.24"/>
    <n v="0"/>
    <n v="0.01"/>
    <n v="40"/>
    <n v="7.78"/>
    <n v="55.17"/>
    <n v="2024"/>
    <n v="3"/>
    <x v="0"/>
    <n v="12"/>
    <n v="12"/>
    <s v="202312"/>
    <s v="Mar-24"/>
    <n v="6369.33"/>
    <n v="6.3693299999999997"/>
  </r>
  <r>
    <d v="2024-03-22T00:00:00"/>
    <s v="OPT-CNXBAN-27-Mar-2024-46500-P-E-I"/>
    <s v="NSE"/>
    <s v="Buy"/>
    <n v="15"/>
    <n v="0"/>
    <n v="214.65"/>
    <n v="3219.75"/>
    <s v="#202403223700003294"/>
    <n v="0"/>
    <n v="1.63"/>
    <n v="0"/>
    <n v="0"/>
    <n v="20"/>
    <n v="3.9"/>
    <n v="25.53"/>
    <n v="2024"/>
    <n v="3"/>
    <x v="0"/>
    <n v="12"/>
    <n v="12"/>
    <s v="202312"/>
    <s v="Mar-24"/>
    <n v="-3245.28"/>
    <n v="-3.2452800000000002"/>
  </r>
  <r>
    <d v="2024-03-22T00:00:00"/>
    <s v="OPT-CNXBAN-27-Mar-2024-46500-P-E-I"/>
    <s v="NSE"/>
    <s v="Buy"/>
    <n v="15"/>
    <n v="0"/>
    <n v="266.45"/>
    <n v="3996.75"/>
    <s v="#202403223700001634"/>
    <n v="0"/>
    <n v="2.02"/>
    <n v="0"/>
    <n v="0"/>
    <n v="20"/>
    <n v="3.96"/>
    <n v="25.98"/>
    <n v="2024"/>
    <n v="3"/>
    <x v="0"/>
    <n v="12"/>
    <n v="12"/>
    <s v="202312"/>
    <s v="Mar-24"/>
    <n v="-4022.73"/>
    <n v="-4.0227300000000001"/>
  </r>
  <r>
    <d v="2024-03-27T00:00:00"/>
    <s v="OPT-CNXBAN-27-Mar-2024-47200-C-E-I"/>
    <s v="NSE"/>
    <s v="Sell"/>
    <n v="840"/>
    <n v="0"/>
    <n v="2.85"/>
    <n v="2394"/>
    <s v="#202403273700018100"/>
    <n v="2"/>
    <n v="1.2"/>
    <n v="0"/>
    <n v="0"/>
    <n v="1120"/>
    <n v="201.82"/>
    <n v="1325.02"/>
    <n v="2024"/>
    <n v="3"/>
    <x v="0"/>
    <n v="12"/>
    <n v="12"/>
    <s v="202312"/>
    <s v="Mar-24"/>
    <n v="1068.98"/>
    <n v="1.06898"/>
  </r>
  <r>
    <d v="2024-03-27T00:00:00"/>
    <s v="OPT-CNXBAN-27-Mar-2024-47200-C-E-I"/>
    <s v="NSE"/>
    <s v="Buy"/>
    <n v="120"/>
    <n v="0"/>
    <n v="3.95"/>
    <n v="474"/>
    <s v="#202403273700015189"/>
    <n v="0"/>
    <n v="0.24"/>
    <n v="0"/>
    <n v="0"/>
    <n v="160"/>
    <n v="28.84"/>
    <n v="189.08"/>
    <n v="2024"/>
    <n v="3"/>
    <x v="0"/>
    <n v="12"/>
    <n v="12"/>
    <s v="202312"/>
    <s v="Mar-24"/>
    <n v="-663.08"/>
    <n v="-0.66308"/>
  </r>
  <r>
    <d v="2024-03-27T00:00:00"/>
    <s v="OPT-CNXBAN-27-Mar-2024-47200-C-E-I"/>
    <s v="NSE"/>
    <s v="Buy"/>
    <n v="120"/>
    <n v="0"/>
    <n v="6.1"/>
    <n v="732"/>
    <s v="#202403273700014315"/>
    <n v="0"/>
    <n v="0.37"/>
    <n v="0"/>
    <n v="0"/>
    <n v="160"/>
    <n v="28.86"/>
    <n v="189.23"/>
    <n v="2024"/>
    <n v="3"/>
    <x v="0"/>
    <n v="12"/>
    <n v="12"/>
    <s v="202312"/>
    <s v="Mar-24"/>
    <n v="-921.23"/>
    <n v="-0.92122999999999999"/>
  </r>
  <r>
    <d v="2024-03-27T00:00:00"/>
    <s v="OPT-CNXBAN-27-Mar-2024-47200-C-E-I"/>
    <s v="NSE"/>
    <s v="Buy"/>
    <n v="120"/>
    <n v="0"/>
    <n v="6.9"/>
    <n v="828"/>
    <s v="#202403273700011202"/>
    <n v="0"/>
    <n v="0.42"/>
    <n v="0"/>
    <n v="0"/>
    <n v="160"/>
    <n v="28.88"/>
    <n v="189.3"/>
    <n v="2024"/>
    <n v="3"/>
    <x v="0"/>
    <n v="12"/>
    <n v="12"/>
    <s v="202312"/>
    <s v="Mar-24"/>
    <n v="-1017.3"/>
    <n v="-1.0172999999999999"/>
  </r>
  <r>
    <d v="2024-03-27T00:00:00"/>
    <s v="OPT-CNXBAN-27-Mar-2024-47200-C-E-I"/>
    <s v="NSE"/>
    <s v="Buy"/>
    <n v="120"/>
    <n v="0"/>
    <n v="6.61"/>
    <n v="792.75"/>
    <s v="#202403273700010986"/>
    <n v="0"/>
    <n v="0.4"/>
    <n v="0"/>
    <n v="0"/>
    <n v="160"/>
    <n v="28.86"/>
    <n v="189.26"/>
    <n v="2024"/>
    <n v="3"/>
    <x v="0"/>
    <n v="12"/>
    <n v="12"/>
    <s v="202312"/>
    <s v="Mar-24"/>
    <n v="-982.01"/>
    <n v="-0.98200999999999994"/>
  </r>
  <r>
    <d v="2024-03-27T00:00:00"/>
    <s v="OPT-CNXBAN-27-Mar-2024-47200-C-E-I"/>
    <s v="NSE"/>
    <s v="Buy"/>
    <n v="120"/>
    <n v="0"/>
    <n v="11.35"/>
    <n v="1362"/>
    <s v="#202403273700009855"/>
    <n v="0"/>
    <n v="0.69"/>
    <n v="0"/>
    <n v="0"/>
    <n v="160"/>
    <n v="28.92"/>
    <n v="189.61"/>
    <n v="2024"/>
    <n v="3"/>
    <x v="0"/>
    <n v="12"/>
    <n v="12"/>
    <s v="202312"/>
    <s v="Mar-24"/>
    <n v="-1551.6100000000001"/>
    <n v="-1.5516100000000002"/>
  </r>
  <r>
    <d v="2024-03-27T00:00:00"/>
    <s v="OPT-CNXBAN-27-Mar-2024-47200-C-E-I"/>
    <s v="NSE"/>
    <s v="Buy"/>
    <n v="120"/>
    <n v="0"/>
    <n v="12.75"/>
    <n v="1530"/>
    <s v="#202403273700009592"/>
    <n v="0"/>
    <n v="0.77"/>
    <n v="0"/>
    <n v="0"/>
    <n v="160"/>
    <n v="28.94"/>
    <n v="189.71"/>
    <n v="2024"/>
    <n v="3"/>
    <x v="0"/>
    <n v="12"/>
    <n v="12"/>
    <s v="202312"/>
    <s v="Mar-24"/>
    <n v="-1719.71"/>
    <n v="-1.7197100000000001"/>
  </r>
  <r>
    <d v="2024-03-27T00:00:00"/>
    <s v="OPT-CNXBAN-27-Mar-2024-47200-C-E-I"/>
    <s v="NSE"/>
    <s v="Buy"/>
    <n v="120"/>
    <n v="0"/>
    <n v="26.24"/>
    <n v="3148.5"/>
    <s v="#202403273700008776"/>
    <n v="0"/>
    <n v="1.6"/>
    <n v="0"/>
    <n v="0"/>
    <n v="160"/>
    <n v="29.1"/>
    <n v="190.7"/>
    <n v="2024"/>
    <n v="3"/>
    <x v="0"/>
    <n v="12"/>
    <n v="12"/>
    <s v="202312"/>
    <s v="Mar-24"/>
    <n v="-3339.2"/>
    <n v="-3.3391999999999999"/>
  </r>
  <r>
    <d v="2024-04-01T00:00:00"/>
    <s v="OPT-CNXBAN-03-Apr-2024-47600-C-E-I"/>
    <s v="NSE"/>
    <s v="Sell"/>
    <n v="105"/>
    <n v="0"/>
    <n v="218.1"/>
    <n v="22900.5"/>
    <s v="#202404013700016590"/>
    <n v="14"/>
    <n v="11.45"/>
    <n v="0"/>
    <n v="0.02"/>
    <n v="140"/>
    <n v="27.26"/>
    <n v="192.73"/>
    <n v="2024"/>
    <n v="4"/>
    <x v="1"/>
    <n v="1"/>
    <s v="01"/>
    <s v="202401"/>
    <s v="Apr-24"/>
    <n v="22707.77"/>
    <n v="22.70777"/>
  </r>
  <r>
    <d v="2024-04-01T00:00:00"/>
    <s v="OPT-CNXBAN-03-Apr-2024-47600-C-E-I"/>
    <s v="NSE"/>
    <s v="Buy"/>
    <n v="105"/>
    <n v="0"/>
    <n v="267.04000000000002"/>
    <n v="28038.75"/>
    <s v="#202404013700004194"/>
    <n v="0"/>
    <n v="14.03"/>
    <n v="1"/>
    <n v="0.03"/>
    <n v="140"/>
    <n v="27.72"/>
    <n v="182.78"/>
    <n v="2024"/>
    <n v="4"/>
    <x v="1"/>
    <n v="1"/>
    <s v="01"/>
    <s v="202401"/>
    <s v="Apr-24"/>
    <n v="-28221.53"/>
    <n v="-28.221529999999998"/>
  </r>
  <r>
    <d v="2024-04-02T00:00:00"/>
    <s v="OPT-CNXBAN-03-Apr-2024-47500-P-E-I"/>
    <s v="NSE"/>
    <s v="Sell"/>
    <n v="105"/>
    <n v="0"/>
    <n v="109.97"/>
    <n v="11547"/>
    <s v="#202404023700008850"/>
    <n v="7.21"/>
    <n v="5.78"/>
    <n v="0"/>
    <n v="0.01"/>
    <n v="140"/>
    <n v="26.24"/>
    <n v="179.24"/>
    <n v="2024"/>
    <n v="4"/>
    <x v="1"/>
    <n v="1"/>
    <s v="01"/>
    <s v="202401"/>
    <s v="Apr-24"/>
    <n v="11367.76"/>
    <n v="11.367760000000001"/>
  </r>
  <r>
    <d v="2024-04-02T00:00:00"/>
    <s v="OPT-CNXBAN-03-Apr-2024-47500-P-E-I"/>
    <s v="NSE"/>
    <s v="Buy"/>
    <n v="105"/>
    <n v="0"/>
    <n v="129"/>
    <n v="13545"/>
    <s v="#202404023700006743"/>
    <n v="0"/>
    <n v="6.77"/>
    <n v="0.93"/>
    <n v="0.01"/>
    <n v="140"/>
    <n v="26.42"/>
    <n v="174.13"/>
    <n v="2024"/>
    <n v="4"/>
    <x v="1"/>
    <n v="1"/>
    <s v="01"/>
    <s v="202401"/>
    <s v="Apr-24"/>
    <n v="-13719.13"/>
    <n v="-13.71913"/>
  </r>
  <r>
    <d v="2024-04-02T00:00:00"/>
    <s v="OPT-CNXBAN-03-Apr-2024-47500-P-E-I"/>
    <s v="NSE"/>
    <s v="Sell"/>
    <n v="105"/>
    <n v="0"/>
    <n v="130.24"/>
    <n v="13674.75"/>
    <s v="#202404023700006137"/>
    <n v="8.14"/>
    <n v="6.83"/>
    <n v="0"/>
    <n v="0.01"/>
    <n v="140"/>
    <n v="26.44"/>
    <n v="181.42"/>
    <n v="2024"/>
    <n v="4"/>
    <x v="1"/>
    <n v="1"/>
    <s v="01"/>
    <s v="202401"/>
    <s v="Apr-24"/>
    <n v="13493.33"/>
    <n v="13.49333"/>
  </r>
  <r>
    <d v="2024-04-02T00:00:00"/>
    <s v="OPT-CNXBAN-03-Apr-2024-47500-P-E-I"/>
    <s v="NSE"/>
    <s v="Buy"/>
    <n v="105"/>
    <n v="0"/>
    <n v="153.99"/>
    <n v="16168.5"/>
    <s v="#202404023700004482"/>
    <n v="0"/>
    <n v="8.09"/>
    <n v="0"/>
    <n v="0.01"/>
    <n v="140"/>
    <n v="26.66"/>
    <n v="174.76"/>
    <n v="2024"/>
    <n v="4"/>
    <x v="1"/>
    <n v="1"/>
    <s v="01"/>
    <s v="202401"/>
    <s v="Apr-24"/>
    <n v="-16343.26"/>
    <n v="-16.343260000000001"/>
  </r>
  <r>
    <d v="2024-04-02T00:00:00"/>
    <s v="OPT-CNXBAN-03-Apr-2024-47600-C-E-I"/>
    <s v="NSE"/>
    <s v="Sell"/>
    <n v="15"/>
    <n v="0"/>
    <n v="175.4"/>
    <n v="2631"/>
    <s v="#202404023700001769"/>
    <n v="1.64"/>
    <n v="1.32"/>
    <n v="0"/>
    <n v="0"/>
    <n v="20"/>
    <n v="3.84"/>
    <n v="26.8"/>
    <n v="2024"/>
    <n v="4"/>
    <x v="1"/>
    <n v="1"/>
    <s v="01"/>
    <s v="202401"/>
    <s v="Apr-24"/>
    <n v="2604.1999999999998"/>
    <n v="2.6041999999999996"/>
  </r>
  <r>
    <d v="2024-04-02T00:00:00"/>
    <s v="OPT-CNXBAN-03-Apr-2024-47600-C-E-I"/>
    <s v="NSE"/>
    <s v="Buy"/>
    <n v="15"/>
    <n v="0"/>
    <n v="151.19999999999999"/>
    <n v="2268"/>
    <s v="#202404023700001118"/>
    <n v="0"/>
    <n v="1.1299999999999999"/>
    <n v="7.0000000000000007E-2"/>
    <n v="0"/>
    <n v="20"/>
    <n v="3.8"/>
    <n v="25"/>
    <n v="2024"/>
    <n v="4"/>
    <x v="1"/>
    <n v="1"/>
    <s v="01"/>
    <s v="202401"/>
    <s v="Apr-24"/>
    <n v="-2293"/>
    <n v="-2.2930000000000001"/>
  </r>
  <r>
    <d v="2024-04-03T00:00:00"/>
    <s v="OPT-CNXBAN-03-Apr-2024-47600-C-E-I"/>
    <s v="NSE"/>
    <s v="Sell"/>
    <n v="15"/>
    <n v="0"/>
    <n v="87.3"/>
    <n v="1309.5"/>
    <s v="#202404033700015082"/>
    <n v="0.82"/>
    <n v="0.65"/>
    <n v="0"/>
    <n v="0"/>
    <n v="20"/>
    <n v="3.72"/>
    <n v="25.19"/>
    <n v="2024"/>
    <n v="4"/>
    <x v="1"/>
    <n v="1"/>
    <s v="01"/>
    <s v="202401"/>
    <s v="Apr-24"/>
    <n v="1284.31"/>
    <n v="1.2843099999999998"/>
  </r>
  <r>
    <d v="2024-04-03T00:00:00"/>
    <s v="OPT-CNXBAN-03-Apr-2024-47600-C-E-I"/>
    <s v="NSE"/>
    <s v="Buy"/>
    <n v="15"/>
    <n v="0"/>
    <n v="31.1"/>
    <n v="466.5"/>
    <s v="#202404033700011930"/>
    <n v="0"/>
    <n v="0.23"/>
    <n v="0"/>
    <n v="0"/>
    <n v="20"/>
    <n v="3.64"/>
    <n v="23.87"/>
    <n v="2024"/>
    <n v="4"/>
    <x v="1"/>
    <n v="1"/>
    <s v="01"/>
    <s v="202401"/>
    <s v="Apr-24"/>
    <n v="-490.37"/>
    <n v="-0.49037000000000003"/>
  </r>
  <r>
    <d v="2024-04-03T00:00:00"/>
    <s v="OPT-CNXBAN-03-Apr-2024-47600-C-E-I"/>
    <s v="NSE"/>
    <s v="Sell"/>
    <n v="600"/>
    <n v="0"/>
    <n v="67.25"/>
    <n v="40350"/>
    <s v="#202404033700007430"/>
    <n v="25.18"/>
    <n v="20.18"/>
    <n v="0"/>
    <n v="0.04"/>
    <n v="800"/>
    <n v="147.63999999999999"/>
    <n v="993.04"/>
    <n v="2024"/>
    <n v="4"/>
    <x v="1"/>
    <n v="1"/>
    <s v="01"/>
    <s v="202401"/>
    <s v="Apr-24"/>
    <n v="39356.959999999999"/>
    <n v="39.356960000000001"/>
  </r>
  <r>
    <d v="2024-04-03T00:00:00"/>
    <s v="OPT-CNXBAN-03-Apr-2024-47600-C-E-I"/>
    <s v="NSE"/>
    <s v="Buy"/>
    <n v="600"/>
    <n v="0"/>
    <n v="34.1"/>
    <n v="20460"/>
    <s v="#202404033700002508"/>
    <n v="0"/>
    <n v="10.23"/>
    <n v="1"/>
    <n v="0.02"/>
    <n v="800"/>
    <n v="145.84"/>
    <n v="957.09"/>
    <n v="2024"/>
    <n v="4"/>
    <x v="1"/>
    <n v="1"/>
    <s v="01"/>
    <s v="202401"/>
    <s v="Apr-24"/>
    <n v="-21417.09"/>
    <n v="-21.417090000000002"/>
  </r>
  <r>
    <d v="2024-04-04T00:00:00"/>
    <s v="OPT-NIFTY-04-Apr-2024-22450-C-E-I"/>
    <s v="NSE"/>
    <s v="Sell"/>
    <n v="900"/>
    <n v="0"/>
    <n v="52"/>
    <n v="46800"/>
    <s v="#202404043700020035"/>
    <n v="29.25"/>
    <n v="23.4"/>
    <n v="0"/>
    <n v="0.05"/>
    <n v="360"/>
    <n v="69.02"/>
    <n v="481.72"/>
    <n v="2024"/>
    <n v="4"/>
    <x v="1"/>
    <n v="1"/>
    <s v="01"/>
    <s v="202401"/>
    <s v="Apr-24"/>
    <n v="46318.28"/>
    <n v="46.318280000000001"/>
  </r>
  <r>
    <d v="2024-04-04T00:00:00"/>
    <s v="OPT-NIFTY-04-Apr-2024-22450-C-E-I"/>
    <s v="NSE"/>
    <s v="Buy"/>
    <n v="300"/>
    <n v="0"/>
    <n v="25.05"/>
    <n v="7515"/>
    <s v="#202404043700017729"/>
    <n v="0"/>
    <n v="3.76"/>
    <n v="0.51"/>
    <n v="0.01"/>
    <n v="120"/>
    <n v="22.28"/>
    <n v="146.56"/>
    <n v="2024"/>
    <n v="4"/>
    <x v="1"/>
    <n v="1"/>
    <s v="01"/>
    <s v="202401"/>
    <s v="Apr-24"/>
    <n v="-7661.56"/>
    <n v="-7.6615600000000006"/>
  </r>
  <r>
    <d v="2024-04-04T00:00:00"/>
    <s v="OPT-NIFTY-04-Apr-2024-22450-C-E-I"/>
    <s v="NSE"/>
    <s v="Buy"/>
    <n v="300"/>
    <n v="0"/>
    <n v="21"/>
    <n v="6300"/>
    <s v="#202404043700009521"/>
    <n v="0"/>
    <n v="3.18"/>
    <n v="0"/>
    <n v="0"/>
    <n v="120"/>
    <n v="22.2"/>
    <n v="145.38"/>
    <n v="2024"/>
    <n v="4"/>
    <x v="1"/>
    <n v="1"/>
    <s v="01"/>
    <s v="202401"/>
    <s v="Apr-24"/>
    <n v="-6445.38"/>
    <n v="-6.4453800000000001"/>
  </r>
  <r>
    <d v="2024-04-04T00:00:00"/>
    <s v="OPT-NIFTY-04-Apr-2024-22450-C-E-I"/>
    <s v="NSE"/>
    <s v="Buy"/>
    <n v="300"/>
    <n v="0"/>
    <n v="41"/>
    <n v="12300"/>
    <s v="#202404043700008241"/>
    <n v="0"/>
    <n v="6.15"/>
    <n v="0"/>
    <n v="0.01"/>
    <n v="120"/>
    <n v="22.7"/>
    <n v="148.86000000000001"/>
    <n v="2024"/>
    <n v="4"/>
    <x v="1"/>
    <n v="1"/>
    <s v="01"/>
    <s v="202401"/>
    <s v="Apr-24"/>
    <n v="-12448.86"/>
    <n v="-12.44886"/>
  </r>
  <r>
    <d v="2024-04-04T00:00:00"/>
    <s v="OPT-CNXBAN-10-Apr-2024-48000-C-E-I"/>
    <s v="NSE"/>
    <s v="Sell"/>
    <n v="60"/>
    <n v="0"/>
    <n v="289.39999999999998"/>
    <n v="17364"/>
    <s v="#202404043700008023"/>
    <n v="10.75"/>
    <n v="8.68"/>
    <n v="0"/>
    <n v="0.02"/>
    <n v="80"/>
    <n v="15.96"/>
    <n v="115.41"/>
    <n v="2024"/>
    <n v="4"/>
    <x v="1"/>
    <n v="1"/>
    <s v="01"/>
    <s v="202401"/>
    <s v="Apr-24"/>
    <n v="17248.59"/>
    <n v="17.24859"/>
  </r>
  <r>
    <d v="2024-04-04T00:00:00"/>
    <s v="OPT-CNXBAN-10-Apr-2024-48000-C-E-I"/>
    <s v="NSE"/>
    <s v="Buy"/>
    <n v="60"/>
    <n v="0"/>
    <n v="272.08"/>
    <n v="16324.5"/>
    <s v="#202404043700006997"/>
    <n v="0"/>
    <n v="8.16"/>
    <n v="0.49"/>
    <n v="0.01"/>
    <n v="80"/>
    <n v="15.86"/>
    <n v="104.52"/>
    <n v="2024"/>
    <n v="4"/>
    <x v="1"/>
    <n v="1"/>
    <s v="01"/>
    <s v="202401"/>
    <s v="Apr-24"/>
    <n v="-16429.02"/>
    <n v="-16.429020000000001"/>
  </r>
  <r>
    <d v="2024-04-08T00:00:00"/>
    <s v="OPT-CNXBAN-10-Apr-2024-48500-C-E-I"/>
    <s v="NSE"/>
    <s v="Sell"/>
    <n v="105"/>
    <n v="0"/>
    <n v="297"/>
    <n v="31185"/>
    <s v="#202404083700042500"/>
    <n v="19.489999999999998"/>
    <n v="15.6"/>
    <n v="0"/>
    <n v="0.03"/>
    <n v="140"/>
    <n v="28.02"/>
    <n v="203.14"/>
    <n v="2024"/>
    <n v="4"/>
    <x v="1"/>
    <n v="1"/>
    <s v="01"/>
    <s v="202401"/>
    <s v="Apr-24"/>
    <n v="30981.86"/>
    <n v="30.981860000000001"/>
  </r>
  <r>
    <d v="2024-04-08T00:00:00"/>
    <s v="OPT-CNXBAN-10-Apr-2024-48500-C-E-I"/>
    <s v="NSE"/>
    <s v="Buy"/>
    <n v="105"/>
    <n v="0"/>
    <n v="289.08999999999997"/>
    <n v="30354.75"/>
    <s v="#202404083700040839"/>
    <n v="0"/>
    <n v="15.18"/>
    <n v="2"/>
    <n v="0.02"/>
    <n v="140"/>
    <n v="27.96"/>
    <n v="185.16"/>
    <n v="2024"/>
    <n v="4"/>
    <x v="1"/>
    <n v="1"/>
    <s v="01"/>
    <s v="202401"/>
    <s v="Apr-24"/>
    <n v="-30539.91"/>
    <n v="-30.539909999999999"/>
  </r>
  <r>
    <d v="2024-04-08T00:00:00"/>
    <s v="OPT-CNXBAN-10-Apr-2024-48500-C-E-I"/>
    <s v="NSE"/>
    <s v="Sell"/>
    <n v="75"/>
    <n v="0"/>
    <n v="299.14999999999998"/>
    <n v="22436.25"/>
    <s v="#202404083700032225"/>
    <n v="14.51"/>
    <n v="11.22"/>
    <n v="0"/>
    <n v="0.02"/>
    <n v="100"/>
    <n v="20.02"/>
    <n v="145.77000000000001"/>
    <n v="2024"/>
    <n v="4"/>
    <x v="1"/>
    <n v="1"/>
    <s v="01"/>
    <s v="202401"/>
    <s v="Apr-24"/>
    <n v="22290.48"/>
    <n v="22.290479999999999"/>
  </r>
  <r>
    <d v="2024-04-08T00:00:00"/>
    <s v="OPT-CNXBAN-10-Apr-2024-48500-C-E-I"/>
    <s v="NSE"/>
    <s v="Buy"/>
    <n v="15"/>
    <n v="0"/>
    <n v="271.25"/>
    <n v="4068.75"/>
    <s v="#202404083700029477"/>
    <n v="0"/>
    <n v="2.0299999999999998"/>
    <n v="0"/>
    <n v="0"/>
    <n v="20"/>
    <n v="3.96"/>
    <n v="25.99"/>
    <n v="2024"/>
    <n v="4"/>
    <x v="1"/>
    <n v="1"/>
    <s v="01"/>
    <s v="202401"/>
    <s v="Apr-24"/>
    <n v="-4094.74"/>
    <n v="-4.0947399999999998"/>
  </r>
  <r>
    <d v="2024-04-08T00:00:00"/>
    <s v="OPT-CNXBAN-10-Apr-2024-48500-C-E-I"/>
    <s v="NSE"/>
    <s v="Buy"/>
    <n v="15"/>
    <n v="0"/>
    <n v="270.14999999999998"/>
    <n v="4052.25"/>
    <s v="#202404083700025775"/>
    <n v="0"/>
    <n v="2.0299999999999998"/>
    <n v="0"/>
    <n v="0"/>
    <n v="20"/>
    <n v="3.96"/>
    <n v="25.99"/>
    <n v="2024"/>
    <n v="4"/>
    <x v="1"/>
    <n v="1"/>
    <s v="01"/>
    <s v="202401"/>
    <s v="Apr-24"/>
    <n v="-4078.24"/>
    <n v="-4.0782400000000001"/>
  </r>
  <r>
    <d v="2024-04-08T00:00:00"/>
    <s v="OPT-CNXBAN-10-Apr-2024-48500-C-E-I"/>
    <s v="NSE"/>
    <s v="Buy"/>
    <n v="15"/>
    <n v="0"/>
    <n v="291"/>
    <n v="4365"/>
    <s v="#202404083700025210"/>
    <n v="0"/>
    <n v="2.1800000000000002"/>
    <n v="0"/>
    <n v="0"/>
    <n v="20"/>
    <n v="4"/>
    <n v="26.18"/>
    <n v="2024"/>
    <n v="4"/>
    <x v="1"/>
    <n v="1"/>
    <s v="01"/>
    <s v="202401"/>
    <s v="Apr-24"/>
    <n v="-4391.18"/>
    <n v="-4.3911800000000003"/>
  </r>
  <r>
    <d v="2024-04-08T00:00:00"/>
    <s v="OPT-CNXBAN-10-Apr-2024-48500-C-E-I"/>
    <s v="NSE"/>
    <s v="Buy"/>
    <n v="15"/>
    <n v="0"/>
    <n v="315.39999999999998"/>
    <n v="4731"/>
    <s v="#202404083700024250"/>
    <n v="0"/>
    <n v="2.37"/>
    <n v="0"/>
    <n v="0"/>
    <n v="20"/>
    <n v="4.0199999999999996"/>
    <n v="26.39"/>
    <n v="2024"/>
    <n v="4"/>
    <x v="1"/>
    <n v="1"/>
    <s v="01"/>
    <s v="202401"/>
    <s v="Apr-24"/>
    <n v="-4757.3900000000003"/>
    <n v="-4.75739"/>
  </r>
  <r>
    <d v="2024-04-08T00:00:00"/>
    <s v="OPT-CNXBAN-10-Apr-2024-48500-C-E-I"/>
    <s v="NSE"/>
    <s v="Buy"/>
    <n v="15"/>
    <n v="0"/>
    <n v="301.39999999999998"/>
    <n v="4521"/>
    <s v="#202404083700023756"/>
    <n v="0"/>
    <n v="2.2599999999999998"/>
    <n v="0"/>
    <n v="0"/>
    <n v="20"/>
    <n v="4"/>
    <n v="26.26"/>
    <n v="2024"/>
    <n v="4"/>
    <x v="1"/>
    <n v="1"/>
    <s v="01"/>
    <s v="202401"/>
    <s v="Apr-24"/>
    <n v="-4547.26"/>
    <n v="-4.5472600000000005"/>
  </r>
  <r>
    <d v="2024-04-09T00:00:00"/>
    <s v="OPT-CNXBAN-10-Apr-2024-48700-P-E-I"/>
    <s v="NSE"/>
    <s v="Sell"/>
    <n v="60"/>
    <n v="0"/>
    <n v="175.65"/>
    <n v="10539"/>
    <s v="#202404093700024551"/>
    <n v="6.59"/>
    <n v="5.27"/>
    <n v="0"/>
    <n v="0.01"/>
    <n v="80"/>
    <n v="15.36"/>
    <n v="107.23"/>
    <n v="2024"/>
    <n v="4"/>
    <x v="1"/>
    <n v="1"/>
    <s v="01"/>
    <s v="202401"/>
    <s v="Apr-24"/>
    <n v="10431.77"/>
    <n v="10.43177"/>
  </r>
  <r>
    <d v="2024-04-09T00:00:00"/>
    <s v="OPT-CNXBAN-10-Apr-2024-48700-P-E-I"/>
    <s v="NSE"/>
    <s v="Buy"/>
    <n v="60"/>
    <n v="0"/>
    <n v="155.05000000000001"/>
    <n v="9303"/>
    <s v="#202404093700024014"/>
    <n v="0"/>
    <n v="4.6500000000000004"/>
    <n v="0.28000000000000003"/>
    <n v="0.01"/>
    <n v="80"/>
    <n v="15.24"/>
    <n v="100.18"/>
    <n v="2024"/>
    <n v="4"/>
    <x v="1"/>
    <n v="1"/>
    <s v="01"/>
    <s v="202401"/>
    <s v="Apr-24"/>
    <n v="-9403.18"/>
    <n v="-9.4031800000000008"/>
  </r>
  <r>
    <d v="2024-04-09T00:00:00"/>
    <s v="OPT-NIFFIN-09-Apr-2024-21700-C-E-I"/>
    <s v="NSE"/>
    <s v="Sell"/>
    <n v="360"/>
    <n v="0"/>
    <n v="62"/>
    <n v="22320"/>
    <s v="#202404093700013097"/>
    <n v="13.95"/>
    <n v="11.16"/>
    <n v="0"/>
    <n v="0.02"/>
    <n v="180"/>
    <n v="34.42"/>
    <n v="239.55"/>
    <n v="2024"/>
    <n v="4"/>
    <x v="1"/>
    <n v="1"/>
    <s v="01"/>
    <s v="202401"/>
    <s v="Apr-24"/>
    <n v="22080.45"/>
    <n v="22.080449999999999"/>
  </r>
  <r>
    <d v="2024-04-09T00:00:00"/>
    <s v="OPT-NIFFIN-09-Apr-2024-21700-C-E-I"/>
    <s v="NSE"/>
    <s v="Buy"/>
    <n v="360"/>
    <n v="0"/>
    <n v="37.200000000000003"/>
    <n v="13392"/>
    <s v="#202404093700010297"/>
    <n v="0"/>
    <n v="6.7"/>
    <n v="0.43"/>
    <n v="0.01"/>
    <n v="180"/>
    <n v="33.6"/>
    <n v="220.74"/>
    <n v="2024"/>
    <n v="4"/>
    <x v="1"/>
    <n v="1"/>
    <s v="01"/>
    <s v="202401"/>
    <s v="Apr-24"/>
    <n v="-13612.74"/>
    <n v="-13.612740000000001"/>
  </r>
  <r>
    <d v="2024-04-09T00:00:00"/>
    <s v="OPT-NIFFIN-09-Apr-2024-21700-C-E-I"/>
    <s v="NSE"/>
    <s v="Sell"/>
    <n v="40"/>
    <n v="0"/>
    <n v="53.15"/>
    <n v="2126"/>
    <s v="#202404093700009234"/>
    <n v="1.33"/>
    <n v="1.06"/>
    <n v="0"/>
    <n v="0"/>
    <n v="20"/>
    <n v="3.8"/>
    <n v="26.19"/>
    <n v="2024"/>
    <n v="4"/>
    <x v="1"/>
    <n v="1"/>
    <s v="01"/>
    <s v="202401"/>
    <s v="Apr-24"/>
    <n v="2099.81"/>
    <n v="2.0998099999999997"/>
  </r>
  <r>
    <d v="2024-04-09T00:00:00"/>
    <s v="OPT-NIFFIN-09-Apr-2024-21700-C-E-I"/>
    <s v="NSE"/>
    <s v="Buy"/>
    <n v="40"/>
    <n v="0"/>
    <n v="25.2"/>
    <n v="1008"/>
    <s v="#202404093700008916"/>
    <n v="0"/>
    <n v="0.5"/>
    <n v="0"/>
    <n v="0"/>
    <n v="20"/>
    <n v="3.7"/>
    <n v="24.2"/>
    <n v="2024"/>
    <n v="4"/>
    <x v="1"/>
    <n v="1"/>
    <s v="01"/>
    <s v="202401"/>
    <s v="Apr-24"/>
    <n v="-1032.2"/>
    <n v="-1.0322"/>
  </r>
  <r>
    <d v="2024-04-09T00:00:00"/>
    <s v="OPT-CNXBAN-10-Apr-2024-48700-C-E-I"/>
    <s v="NSE"/>
    <s v="Sell"/>
    <n v="150"/>
    <n v="0"/>
    <n v="189.65"/>
    <n v="28447.5"/>
    <s v="#202404093700002688"/>
    <n v="18.13"/>
    <n v="14.22"/>
    <n v="0"/>
    <n v="0.03"/>
    <n v="200"/>
    <n v="38.56"/>
    <n v="270.94"/>
    <n v="2024"/>
    <n v="4"/>
    <x v="1"/>
    <n v="1"/>
    <s v="01"/>
    <s v="202401"/>
    <s v="Apr-24"/>
    <n v="28176.560000000001"/>
    <n v="28.176560000000002"/>
  </r>
  <r>
    <d v="2024-04-09T00:00:00"/>
    <s v="OPT-CNXBAN-10-Apr-2024-48700-C-E-I"/>
    <s v="NSE"/>
    <s v="Buy"/>
    <n v="45"/>
    <n v="0"/>
    <n v="171.28"/>
    <n v="7707.75"/>
    <s v="#202404093700002064"/>
    <n v="0"/>
    <n v="3.85"/>
    <n v="0"/>
    <n v="0.01"/>
    <n v="60"/>
    <n v="11.5"/>
    <n v="75.36"/>
    <n v="2024"/>
    <n v="4"/>
    <x v="1"/>
    <n v="1"/>
    <s v="01"/>
    <s v="202401"/>
    <s v="Apr-24"/>
    <n v="-7783.11"/>
    <n v="-7.7831099999999998"/>
  </r>
  <r>
    <d v="2024-04-09T00:00:00"/>
    <s v="OPT-CNXBAN-10-Apr-2024-48700-C-E-I"/>
    <s v="NSE"/>
    <s v="Buy"/>
    <n v="105"/>
    <n v="0"/>
    <n v="183.35"/>
    <n v="19251.75"/>
    <s v="#202404093700001158"/>
    <n v="0"/>
    <n v="9.6300000000000008"/>
    <n v="1.29"/>
    <n v="0.02"/>
    <n v="140"/>
    <n v="26.94"/>
    <n v="177.88"/>
    <n v="2024"/>
    <n v="4"/>
    <x v="1"/>
    <n v="1"/>
    <s v="01"/>
    <s v="202401"/>
    <s v="Apr-24"/>
    <n v="-19429.63"/>
    <n v="-19.42963"/>
  </r>
  <r>
    <d v="2024-04-10T00:00:00"/>
    <s v="OPT-CNXBAN-10-Apr-2024-48700-P-E-I"/>
    <s v="NSE"/>
    <s v="Sell"/>
    <n v="420"/>
    <n v="0"/>
    <n v="34.25"/>
    <n v="14385"/>
    <s v="#202404103700017713"/>
    <n v="8.99"/>
    <n v="7.2"/>
    <n v="0"/>
    <n v="0.01"/>
    <n v="560"/>
    <n v="102.1"/>
    <n v="678.3"/>
    <n v="2024"/>
    <n v="4"/>
    <x v="1"/>
    <n v="1"/>
    <s v="01"/>
    <s v="202401"/>
    <s v="Apr-24"/>
    <n v="13706.7"/>
    <n v="13.706700000000001"/>
  </r>
  <r>
    <d v="2024-04-10T00:00:00"/>
    <s v="OPT-CNXBAN-10-Apr-2024-48700-P-E-I"/>
    <s v="NSE"/>
    <s v="Buy"/>
    <n v="210"/>
    <n v="0"/>
    <n v="24"/>
    <n v="5040"/>
    <s v="#202404103700016211"/>
    <n v="0"/>
    <n v="2.52"/>
    <n v="0.34"/>
    <n v="0.01"/>
    <n v="280"/>
    <n v="50.86"/>
    <n v="333.73"/>
    <n v="2024"/>
    <n v="4"/>
    <x v="1"/>
    <n v="1"/>
    <s v="01"/>
    <s v="202401"/>
    <s v="Apr-24"/>
    <n v="-5373.73"/>
    <n v="-5.3737299999999992"/>
  </r>
  <r>
    <d v="2024-04-10T00:00:00"/>
    <s v="OPT-CNXBAN-10-Apr-2024-48700-P-E-I"/>
    <s v="NSE"/>
    <s v="Buy"/>
    <n v="105"/>
    <n v="0"/>
    <n v="28.55"/>
    <n v="2997.75"/>
    <s v="#202404103700015266"/>
    <n v="0"/>
    <n v="1.49"/>
    <n v="0"/>
    <n v="0"/>
    <n v="140"/>
    <n v="25.48"/>
    <n v="166.97"/>
    <n v="2024"/>
    <n v="4"/>
    <x v="1"/>
    <n v="1"/>
    <s v="01"/>
    <s v="202401"/>
    <s v="Apr-24"/>
    <n v="-3164.72"/>
    <n v="-3.16472"/>
  </r>
  <r>
    <d v="2024-04-10T00:00:00"/>
    <s v="OPT-CNXBAN-10-Apr-2024-48700-P-E-I"/>
    <s v="NSE"/>
    <s v="Buy"/>
    <n v="105"/>
    <n v="0"/>
    <n v="32.6"/>
    <n v="3423"/>
    <s v="#202404103700015135"/>
    <n v="0"/>
    <n v="1.69"/>
    <n v="0"/>
    <n v="0"/>
    <n v="140"/>
    <n v="25.5"/>
    <n v="167.19"/>
    <n v="2024"/>
    <n v="4"/>
    <x v="1"/>
    <n v="1"/>
    <s v="01"/>
    <s v="202401"/>
    <s v="Apr-24"/>
    <n v="-3590.19"/>
    <n v="-3.5901900000000002"/>
  </r>
  <r>
    <d v="2024-04-10T00:00:00"/>
    <s v="OPT-CNXBAN-10-Apr-2024-48800-C-E-I"/>
    <s v="NSE"/>
    <s v="Sell"/>
    <n v="120"/>
    <n v="0"/>
    <n v="205"/>
    <n v="24600"/>
    <s v="#202404103700002828"/>
    <n v="15.01"/>
    <n v="12.3"/>
    <n v="0"/>
    <n v="0.03"/>
    <n v="160"/>
    <n v="31.02"/>
    <n v="218.36"/>
    <n v="2024"/>
    <n v="4"/>
    <x v="1"/>
    <n v="1"/>
    <s v="01"/>
    <s v="202401"/>
    <s v="Apr-24"/>
    <n v="24381.64"/>
    <n v="24.381640000000001"/>
  </r>
  <r>
    <d v="2024-04-10T00:00:00"/>
    <s v="OPT-CNXBAN-10-Apr-2024-48800-C-E-I"/>
    <s v="NSE"/>
    <s v="Buy"/>
    <n v="105"/>
    <n v="0"/>
    <n v="109.1"/>
    <n v="11455.5"/>
    <s v="#202404103700001265"/>
    <n v="0"/>
    <n v="5.73"/>
    <n v="0.66"/>
    <n v="0.01"/>
    <n v="140"/>
    <n v="26.24"/>
    <n v="172.64"/>
    <n v="2024"/>
    <n v="4"/>
    <x v="1"/>
    <n v="1"/>
    <s v="01"/>
    <s v="202401"/>
    <s v="Apr-24"/>
    <n v="-11628.14"/>
    <n v="-11.62814"/>
  </r>
  <r>
    <d v="2024-04-10T00:00:00"/>
    <s v="OPT-CNXBAN-10-Apr-2024-48800-C-E-I"/>
    <s v="NSE"/>
    <s v="Buy"/>
    <n v="15"/>
    <n v="0"/>
    <n v="111.7"/>
    <n v="1675.5"/>
    <s v="#202404103700000917"/>
    <n v="0"/>
    <n v="0.84"/>
    <n v="0"/>
    <n v="0"/>
    <n v="20"/>
    <n v="3.76"/>
    <n v="24.6"/>
    <n v="2024"/>
    <n v="4"/>
    <x v="1"/>
    <n v="1"/>
    <s v="01"/>
    <s v="202401"/>
    <s v="Apr-24"/>
    <n v="-1700.1"/>
    <n v="-1.7000999999999999"/>
  </r>
  <r>
    <d v="2024-04-12T00:00:00"/>
    <s v="OPT-CNXBAN-16-Apr-2024-48800-C-E-I"/>
    <s v="NSE"/>
    <s v="Sell"/>
    <n v="150"/>
    <n v="0"/>
    <n v="178.87"/>
    <n v="26830.5"/>
    <s v="#202404123700022820"/>
    <n v="16.77"/>
    <n v="13.41"/>
    <n v="0"/>
    <n v="0.03"/>
    <n v="200"/>
    <n v="38.4"/>
    <n v="268.61"/>
    <n v="2024"/>
    <n v="4"/>
    <x v="1"/>
    <n v="1"/>
    <s v="01"/>
    <s v="202401"/>
    <s v="Apr-24"/>
    <n v="26561.89"/>
    <n v="26.561889999999998"/>
  </r>
  <r>
    <d v="2024-04-12T00:00:00"/>
    <s v="OPT-NIFSEL-15-Apr-2024-11025-C-E-I"/>
    <s v="NSE"/>
    <s v="Sell"/>
    <n v="75"/>
    <n v="0"/>
    <n v="31.15"/>
    <n v="2336.25"/>
    <s v="#202404123700018998"/>
    <n v="1.46"/>
    <n v="1.17"/>
    <n v="0"/>
    <n v="0"/>
    <n v="20"/>
    <n v="3.82"/>
    <n v="26.45"/>
    <n v="2024"/>
    <n v="4"/>
    <x v="1"/>
    <n v="1"/>
    <s v="01"/>
    <s v="202401"/>
    <s v="Apr-24"/>
    <n v="2309.8000000000002"/>
    <n v="2.3098000000000001"/>
  </r>
  <r>
    <d v="2024-04-12T00:00:00"/>
    <s v="OPT-CNXBAN-16-Apr-2024-48800-C-E-I"/>
    <s v="NSE"/>
    <s v="Buy"/>
    <n v="45"/>
    <n v="0"/>
    <n v="196.9"/>
    <n v="8860.5"/>
    <s v="#202404123700015253"/>
    <n v="0"/>
    <n v="4.43"/>
    <n v="0"/>
    <n v="0.01"/>
    <n v="60"/>
    <n v="11.6"/>
    <n v="76.040000000000006"/>
    <n v="2024"/>
    <n v="4"/>
    <x v="1"/>
    <n v="1"/>
    <s v="01"/>
    <s v="202401"/>
    <s v="Apr-24"/>
    <n v="-8936.5400000000009"/>
    <n v="-8.9365400000000008"/>
  </r>
  <r>
    <d v="2024-04-12T00:00:00"/>
    <s v="OPT-NIFSEL-15-Apr-2024-11025-C-E-I"/>
    <s v="NSE"/>
    <s v="Buy"/>
    <n v="75"/>
    <n v="0"/>
    <n v="41.65"/>
    <n v="3123.75"/>
    <s v="#202404123700013990"/>
    <n v="0"/>
    <n v="1.56"/>
    <n v="0.09"/>
    <n v="0"/>
    <n v="20"/>
    <n v="3.88"/>
    <n v="25.53"/>
    <n v="2024"/>
    <n v="4"/>
    <x v="1"/>
    <n v="1"/>
    <s v="01"/>
    <s v="202401"/>
    <s v="Apr-24"/>
    <n v="-3149.28"/>
    <n v="-3.1492800000000001"/>
  </r>
  <r>
    <d v="2024-04-12T00:00:00"/>
    <s v="OPT-CNXBAN-16-Apr-2024-48900-C-E-I"/>
    <s v="NSE"/>
    <s v="Sell"/>
    <n v="30"/>
    <n v="0"/>
    <n v="215.15"/>
    <n v="6454.5"/>
    <s v="#202404123700011879"/>
    <n v="3.77"/>
    <n v="3.23"/>
    <n v="0"/>
    <n v="0.01"/>
    <n v="40"/>
    <n v="7.78"/>
    <n v="54.79"/>
    <n v="2024"/>
    <n v="4"/>
    <x v="1"/>
    <n v="1"/>
    <s v="01"/>
    <s v="202401"/>
    <s v="Apr-24"/>
    <n v="6399.71"/>
    <n v="6.3997099999999998"/>
  </r>
  <r>
    <d v="2024-04-12T00:00:00"/>
    <s v="OPT-CNXBAN-16-Apr-2024-48800-C-E-I"/>
    <s v="NSE"/>
    <s v="Buy"/>
    <n v="105"/>
    <n v="0"/>
    <n v="227.5"/>
    <n v="23887.5"/>
    <s v="#202404123700011348"/>
    <n v="0"/>
    <n v="11.94"/>
    <n v="0.75"/>
    <n v="0.02"/>
    <n v="140"/>
    <n v="27.36"/>
    <n v="180.07"/>
    <n v="2024"/>
    <n v="4"/>
    <x v="1"/>
    <n v="1"/>
    <s v="01"/>
    <s v="202401"/>
    <s v="Apr-24"/>
    <n v="-24067.57"/>
    <n v="-24.06757"/>
  </r>
  <r>
    <d v="2024-04-12T00:00:00"/>
    <s v="OPT-CNXBAN-16-Apr-2024-48900-C-E-I"/>
    <s v="NSE"/>
    <s v="Buy"/>
    <n v="15"/>
    <n v="0"/>
    <n v="167"/>
    <n v="2505"/>
    <s v="#202404123700008911"/>
    <n v="0"/>
    <n v="1.25"/>
    <n v="0"/>
    <n v="0"/>
    <n v="20"/>
    <n v="3.82"/>
    <n v="25.07"/>
    <n v="2024"/>
    <n v="4"/>
    <x v="1"/>
    <n v="1"/>
    <s v="01"/>
    <s v="202401"/>
    <s v="Apr-24"/>
    <n v="-2530.0700000000002"/>
    <n v="-2.5300700000000003"/>
  </r>
  <r>
    <d v="2024-04-12T00:00:00"/>
    <s v="OPT-CNXBAN-16-Apr-2024-48900-C-E-I"/>
    <s v="NSE"/>
    <s v="Buy"/>
    <n v="15"/>
    <n v="0"/>
    <n v="182.6"/>
    <n v="2739"/>
    <s v="#202404123700004941"/>
    <n v="0"/>
    <n v="1.37"/>
    <n v="0.16"/>
    <n v="0"/>
    <n v="20"/>
    <n v="3.84"/>
    <n v="25.37"/>
    <n v="2024"/>
    <n v="4"/>
    <x v="1"/>
    <n v="1"/>
    <s v="01"/>
    <s v="202401"/>
    <s v="Apr-24"/>
    <n v="-2764.37"/>
    <n v="-2.76437"/>
  </r>
  <r>
    <d v="2024-04-15T00:00:00"/>
    <s v="OPT-NIFSEL-15-Apr-2024-11000-C-E-I"/>
    <s v="NSE"/>
    <s v="Sell"/>
    <n v="1200"/>
    <n v="0"/>
    <n v="0.3"/>
    <n v="360"/>
    <s v="#202404153700016657"/>
    <n v="0.23"/>
    <n v="0.18"/>
    <n v="0"/>
    <n v="0"/>
    <n v="320"/>
    <n v="57.64"/>
    <n v="378.05"/>
    <n v="2024"/>
    <n v="4"/>
    <x v="1"/>
    <n v="1"/>
    <s v="01"/>
    <s v="202401"/>
    <s v="Apr-24"/>
    <n v="-18.050000000000011"/>
    <n v="-1.805000000000001E-2"/>
  </r>
  <r>
    <d v="2024-04-15T00:00:00"/>
    <s v="OPT-CNXBAN-16-Apr-2024-48000-C-E-I"/>
    <s v="NSE"/>
    <s v="Sell"/>
    <n v="15"/>
    <n v="0"/>
    <n v="244.7"/>
    <n v="3670.5"/>
    <s v="#202404153700016614"/>
    <n v="2.29"/>
    <n v="1.84"/>
    <n v="0"/>
    <n v="0"/>
    <n v="20"/>
    <n v="3.94"/>
    <n v="28.07"/>
    <n v="2024"/>
    <n v="4"/>
    <x v="1"/>
    <n v="1"/>
    <s v="01"/>
    <s v="202401"/>
    <s v="Apr-24"/>
    <n v="3642.43"/>
    <n v="3.6424300000000001"/>
  </r>
  <r>
    <d v="2024-04-15T00:00:00"/>
    <s v="OPT-CNXBAN-16-Apr-2024-48000-C-E-I"/>
    <s v="NSE"/>
    <s v="Buy"/>
    <n v="15"/>
    <n v="0"/>
    <n v="269.5"/>
    <n v="4042.5"/>
    <s v="#202404153700015471"/>
    <n v="0"/>
    <n v="2.02"/>
    <n v="0"/>
    <n v="0"/>
    <n v="20"/>
    <n v="3.96"/>
    <n v="25.98"/>
    <n v="2024"/>
    <n v="4"/>
    <x v="1"/>
    <n v="1"/>
    <s v="01"/>
    <s v="202401"/>
    <s v="Apr-24"/>
    <n v="-4068.48"/>
    <n v="-4.0684800000000001"/>
  </r>
  <r>
    <d v="2024-04-15T00:00:00"/>
    <s v="OPT-CNXBAN-16-Apr-2024-48000-C-E-I"/>
    <s v="NSE"/>
    <s v="Sell"/>
    <n v="15"/>
    <n v="0"/>
    <n v="345.15"/>
    <n v="5177.25"/>
    <s v="#202404153700011498"/>
    <n v="3.24"/>
    <n v="2.59"/>
    <n v="0"/>
    <n v="0.01"/>
    <n v="20"/>
    <n v="4.0599999999999996"/>
    <n v="29.9"/>
    <n v="2024"/>
    <n v="4"/>
    <x v="1"/>
    <n v="1"/>
    <s v="01"/>
    <s v="202401"/>
    <s v="Apr-24"/>
    <n v="5147.3500000000004"/>
    <n v="5.1473500000000003"/>
  </r>
  <r>
    <d v="2024-04-15T00:00:00"/>
    <s v="OPT-NIFSEL-15-Apr-2024-11000-C-E-I"/>
    <s v="NSE"/>
    <s v="Buy"/>
    <n v="600"/>
    <n v="0"/>
    <n v="1.9"/>
    <n v="1140"/>
    <s v="#202404153700011440"/>
    <n v="0"/>
    <n v="0.56999999999999995"/>
    <n v="0"/>
    <n v="0"/>
    <n v="160"/>
    <n v="28.9"/>
    <n v="189.47"/>
    <n v="2024"/>
    <n v="4"/>
    <x v="1"/>
    <n v="1"/>
    <s v="01"/>
    <s v="202401"/>
    <s v="Apr-24"/>
    <n v="-1329.47"/>
    <n v="-1.3294699999999999"/>
  </r>
  <r>
    <d v="2024-04-15T00:00:00"/>
    <s v="OPT-CNXBAN-16-Apr-2024-48000-C-E-I"/>
    <s v="NSE"/>
    <s v="Buy"/>
    <n v="15"/>
    <n v="0"/>
    <n v="316.3"/>
    <n v="4744.5"/>
    <s v="#202404153700011351"/>
    <n v="0"/>
    <n v="2.37"/>
    <n v="0"/>
    <n v="0"/>
    <n v="20"/>
    <n v="4.0199999999999996"/>
    <n v="26.39"/>
    <n v="2024"/>
    <n v="4"/>
    <x v="1"/>
    <n v="1"/>
    <s v="01"/>
    <s v="202401"/>
    <s v="Apr-24"/>
    <n v="-4770.8900000000003"/>
    <n v="-4.7708900000000005"/>
  </r>
  <r>
    <d v="2024-04-15T00:00:00"/>
    <s v="OPT-NIFSEL-15-Apr-2024-11000-C-E-I"/>
    <s v="NSE"/>
    <s v="Sell"/>
    <n v="75"/>
    <n v="0"/>
    <n v="1.5"/>
    <n v="112.5"/>
    <s v="#202404153700009208"/>
    <n v="0.02"/>
    <n v="0.06"/>
    <n v="0"/>
    <n v="0"/>
    <n v="20"/>
    <n v="3.62"/>
    <n v="23.7"/>
    <n v="2024"/>
    <n v="4"/>
    <x v="1"/>
    <n v="1"/>
    <s v="01"/>
    <s v="202401"/>
    <s v="Apr-24"/>
    <n v="88.8"/>
    <n v="8.8800000000000004E-2"/>
  </r>
  <r>
    <d v="2024-04-15T00:00:00"/>
    <s v="OPT-NIFSEL-15-Apr-2024-11000-C-E-I"/>
    <s v="NSE"/>
    <s v="Sell"/>
    <n v="75"/>
    <n v="0"/>
    <n v="1.5"/>
    <n v="112.5"/>
    <s v="#202404153700009198"/>
    <n v="7.0000000000000007E-2"/>
    <n v="0.06"/>
    <n v="0"/>
    <n v="0"/>
    <n v="20"/>
    <n v="3.62"/>
    <n v="23.75"/>
    <n v="2024"/>
    <n v="4"/>
    <x v="1"/>
    <n v="1"/>
    <s v="01"/>
    <s v="202401"/>
    <s v="Apr-24"/>
    <n v="88.75"/>
    <n v="8.8749999999999996E-2"/>
  </r>
  <r>
    <d v="2024-04-15T00:00:00"/>
    <s v="OPT-NIFSEL-15-Apr-2024-11000-C-E-I"/>
    <s v="NSE"/>
    <s v="Sell"/>
    <n v="75"/>
    <n v="0"/>
    <n v="1.5"/>
    <n v="112.5"/>
    <s v="#202404153700009195"/>
    <n v="7.0000000000000007E-2"/>
    <n v="0.06"/>
    <n v="0"/>
    <n v="0"/>
    <n v="20"/>
    <n v="3.62"/>
    <n v="23.75"/>
    <n v="2024"/>
    <n v="4"/>
    <x v="1"/>
    <n v="1"/>
    <s v="01"/>
    <s v="202401"/>
    <s v="Apr-24"/>
    <n v="88.75"/>
    <n v="8.8749999999999996E-2"/>
  </r>
  <r>
    <d v="2024-04-15T00:00:00"/>
    <s v="OPT-NIFSEL-15-Apr-2024-11000-C-E-I"/>
    <s v="NSE"/>
    <s v="Sell"/>
    <n v="75"/>
    <n v="0"/>
    <n v="1.7"/>
    <n v="127.5"/>
    <s v="#202404153700009164"/>
    <n v="0.08"/>
    <n v="0.06"/>
    <n v="0"/>
    <n v="0"/>
    <n v="20"/>
    <n v="3.62"/>
    <n v="23.76"/>
    <n v="2024"/>
    <n v="4"/>
    <x v="1"/>
    <n v="1"/>
    <s v="01"/>
    <s v="202401"/>
    <s v="Apr-24"/>
    <n v="103.74"/>
    <n v="0.10374"/>
  </r>
  <r>
    <d v="2024-04-15T00:00:00"/>
    <s v="OPT-NIFSEL-15-Apr-2024-11000-C-E-I"/>
    <s v="NSE"/>
    <s v="Buy"/>
    <n v="600"/>
    <n v="0"/>
    <n v="2.2999999999999998"/>
    <n v="1380"/>
    <s v="#202404153700006121"/>
    <n v="0"/>
    <n v="0.69"/>
    <n v="0"/>
    <n v="0"/>
    <n v="160"/>
    <n v="28.92"/>
    <n v="189.61"/>
    <n v="2024"/>
    <n v="4"/>
    <x v="1"/>
    <n v="1"/>
    <s v="01"/>
    <s v="202401"/>
    <s v="Apr-24"/>
    <n v="-1569.6100000000001"/>
    <n v="-1.5696100000000002"/>
  </r>
  <r>
    <d v="2024-04-15T00:00:00"/>
    <s v="OPT-NIFSEL-15-Apr-2024-11000-C-E-I"/>
    <s v="NSE"/>
    <s v="Buy"/>
    <n v="75"/>
    <n v="0"/>
    <n v="3.95"/>
    <n v="296.25"/>
    <s v="#202404153700002557"/>
    <n v="0"/>
    <n v="0.15"/>
    <n v="0"/>
    <n v="0"/>
    <n v="20"/>
    <n v="3.62"/>
    <n v="23.77"/>
    <n v="2024"/>
    <n v="4"/>
    <x v="1"/>
    <n v="1"/>
    <s v="01"/>
    <s v="202401"/>
    <s v="Apr-24"/>
    <n v="-320.02"/>
    <n v="-0.32001999999999997"/>
  </r>
  <r>
    <d v="2024-04-15T00:00:00"/>
    <s v="OPT-NIFSEL-15-Apr-2024-11000-C-E-I"/>
    <s v="NSE"/>
    <s v="Buy"/>
    <n v="75"/>
    <n v="0"/>
    <n v="3.9"/>
    <n v="292.5"/>
    <s v="#202404153700002536"/>
    <n v="0"/>
    <n v="0.15"/>
    <n v="0"/>
    <n v="0"/>
    <n v="20"/>
    <n v="3.62"/>
    <n v="23.77"/>
    <n v="2024"/>
    <n v="4"/>
    <x v="1"/>
    <n v="1"/>
    <s v="01"/>
    <s v="202401"/>
    <s v="Apr-24"/>
    <n v="-316.27"/>
    <n v="-0.31627"/>
  </r>
  <r>
    <d v="2024-04-15T00:00:00"/>
    <s v="OPT-NIFSEL-15-Apr-2024-11000-C-E-I"/>
    <s v="NSE"/>
    <s v="Buy"/>
    <n v="75"/>
    <n v="0"/>
    <n v="3.85"/>
    <n v="288.75"/>
    <s v="#202404153700002520"/>
    <n v="0"/>
    <n v="0.14000000000000001"/>
    <n v="0"/>
    <n v="0"/>
    <n v="20"/>
    <n v="3.62"/>
    <n v="23.76"/>
    <n v="2024"/>
    <n v="4"/>
    <x v="1"/>
    <n v="1"/>
    <s v="01"/>
    <s v="202401"/>
    <s v="Apr-24"/>
    <n v="-312.51"/>
    <n v="-0.31251000000000001"/>
  </r>
  <r>
    <d v="2024-04-15T00:00:00"/>
    <s v="OPT-NIFSEL-15-Apr-2024-11000-C-E-I"/>
    <s v="NSE"/>
    <s v="Buy"/>
    <n v="75"/>
    <n v="0"/>
    <n v="4.1500000000000004"/>
    <n v="311.25"/>
    <s v="#202404153700002380"/>
    <n v="0"/>
    <n v="0.16"/>
    <n v="0"/>
    <n v="0"/>
    <n v="20"/>
    <n v="3.62"/>
    <n v="23.78"/>
    <n v="2024"/>
    <n v="4"/>
    <x v="1"/>
    <n v="1"/>
    <s v="01"/>
    <s v="202401"/>
    <s v="Apr-24"/>
    <n v="-335.03"/>
    <n v="-0.33502999999999999"/>
  </r>
  <r>
    <d v="2024-04-16T00:00:00"/>
    <s v="OPT-CNXBAN-16-Apr-2024-47500-C-E-I"/>
    <s v="NSE"/>
    <s v="Sell"/>
    <n v="15"/>
    <n v="0"/>
    <n v="35"/>
    <n v="525"/>
    <s v="#202404163700018156"/>
    <n v="0.18"/>
    <n v="0.26"/>
    <n v="0"/>
    <n v="0"/>
    <n v="20"/>
    <n v="3.64"/>
    <n v="24.08"/>
    <n v="2024"/>
    <n v="4"/>
    <x v="1"/>
    <n v="1"/>
    <s v="01"/>
    <s v="202401"/>
    <s v="Apr-24"/>
    <n v="500.92"/>
    <n v="0.50092000000000003"/>
  </r>
  <r>
    <d v="2024-04-16T00:00:00"/>
    <s v="OPT-NIFTY-18-Apr-2024-22250-C-E-I"/>
    <s v="NSE"/>
    <s v="Sell"/>
    <n v="150"/>
    <n v="0"/>
    <n v="30.1"/>
    <n v="4515"/>
    <s v="#202404163700017777"/>
    <n v="2.82"/>
    <n v="2.2599999999999998"/>
    <n v="0"/>
    <n v="0"/>
    <n v="60"/>
    <n v="11.22"/>
    <n v="76.3"/>
    <n v="2024"/>
    <n v="4"/>
    <x v="1"/>
    <n v="1"/>
    <s v="01"/>
    <s v="202401"/>
    <s v="Apr-24"/>
    <n v="4438.7"/>
    <n v="4.4386999999999999"/>
  </r>
  <r>
    <d v="2024-04-16T00:00:00"/>
    <s v="OPT-CNXBAN-16-Apr-2024-47500-C-E-I"/>
    <s v="NSE"/>
    <s v="Buy"/>
    <n v="15"/>
    <n v="0"/>
    <n v="79.5"/>
    <n v="1192.5"/>
    <s v="#202404163700010095"/>
    <n v="0"/>
    <n v="0.6"/>
    <n v="0"/>
    <n v="0"/>
    <n v="20"/>
    <n v="3.7"/>
    <n v="24.3"/>
    <n v="2024"/>
    <n v="4"/>
    <x v="1"/>
    <n v="1"/>
    <s v="01"/>
    <s v="202401"/>
    <s v="Apr-24"/>
    <n v="-1216.8"/>
    <n v="-1.2167999999999999"/>
  </r>
  <r>
    <d v="2024-04-16T00:00:00"/>
    <s v="OPT-NIFTY-18-Apr-2024-22250-C-E-I"/>
    <s v="NSE"/>
    <s v="Buy"/>
    <n v="50"/>
    <n v="0"/>
    <n v="52.05"/>
    <n v="2602.5"/>
    <s v="#202404163700006753"/>
    <n v="0"/>
    <n v="1.3"/>
    <n v="0"/>
    <n v="0"/>
    <n v="20"/>
    <n v="3.84"/>
    <n v="25.14"/>
    <n v="2024"/>
    <n v="4"/>
    <x v="1"/>
    <n v="1"/>
    <s v="01"/>
    <s v="202401"/>
    <s v="Apr-24"/>
    <n v="-2627.64"/>
    <n v="-2.62764"/>
  </r>
  <r>
    <d v="2024-04-16T00:00:00"/>
    <s v="OPT-NIFTY-18-Apr-2024-22250-C-E-I"/>
    <s v="NSE"/>
    <s v="Buy"/>
    <n v="100"/>
    <n v="0"/>
    <n v="58.93"/>
    <n v="5892.5"/>
    <s v="#202404163700006684"/>
    <n v="0"/>
    <n v="2.94"/>
    <n v="0"/>
    <n v="0"/>
    <n v="40"/>
    <n v="7.72"/>
    <n v="50.66"/>
    <n v="2024"/>
    <n v="4"/>
    <x v="1"/>
    <n v="1"/>
    <s v="01"/>
    <s v="202401"/>
    <s v="Apr-24"/>
    <n v="-5943.16"/>
    <n v="-5.9431599999999998"/>
  </r>
  <r>
    <d v="2024-04-18T00:00:00"/>
    <s v="OPT-CNXBAN-24-Apr-2024-47400-P-E-I"/>
    <s v="NSE"/>
    <s v="Sell"/>
    <n v="105"/>
    <n v="0"/>
    <n v="199.25"/>
    <n v="20921.25"/>
    <s v="#202404183700016719"/>
    <n v="12.67"/>
    <n v="10.46"/>
    <n v="0"/>
    <n v="0.02"/>
    <n v="140"/>
    <n v="27.08"/>
    <n v="190.23"/>
    <n v="2024"/>
    <n v="4"/>
    <x v="1"/>
    <n v="1"/>
    <s v="01"/>
    <s v="202401"/>
    <s v="Apr-24"/>
    <n v="20731.02"/>
    <n v="20.731020000000001"/>
  </r>
  <r>
    <d v="2024-04-18T00:00:00"/>
    <s v="OPT-NIFTY-18-Apr-2024-22200-C-E-I"/>
    <s v="NSE"/>
    <s v="Sell"/>
    <n v="50"/>
    <n v="0"/>
    <n v="74.7"/>
    <n v="3735"/>
    <s v="#202404183700010588"/>
    <n v="2.33"/>
    <n v="1.87"/>
    <n v="0"/>
    <n v="0"/>
    <n v="20"/>
    <n v="3.94"/>
    <n v="28.14"/>
    <n v="2024"/>
    <n v="4"/>
    <x v="1"/>
    <n v="1"/>
    <s v="01"/>
    <s v="202401"/>
    <s v="Apr-24"/>
    <n v="3706.86"/>
    <n v="3.7068600000000003"/>
  </r>
  <r>
    <d v="2024-04-18T00:00:00"/>
    <s v="OPT-NIFTY-18-Apr-2024-22200-C-E-I"/>
    <s v="NSE"/>
    <s v="Buy"/>
    <n v="50"/>
    <n v="0"/>
    <n v="33"/>
    <n v="1650"/>
    <s v="#202404183700010181"/>
    <n v="0"/>
    <n v="0.83"/>
    <n v="0.05"/>
    <n v="0"/>
    <n v="20"/>
    <n v="3.74"/>
    <n v="24.62"/>
    <n v="2024"/>
    <n v="4"/>
    <x v="1"/>
    <n v="1"/>
    <s v="01"/>
    <s v="202401"/>
    <s v="Apr-24"/>
    <n v="-1674.62"/>
    <n v="-1.67462"/>
  </r>
  <r>
    <d v="2024-04-18T00:00:00"/>
    <s v="OPT-CNXBAN-24-Apr-2024-47400-P-E-I"/>
    <s v="NSE"/>
    <s v="Buy"/>
    <n v="105"/>
    <n v="0"/>
    <n v="219.35"/>
    <n v="23031.75"/>
    <s v="#202404183700002844"/>
    <n v="0"/>
    <n v="11.52"/>
    <n v="0.95"/>
    <n v="0.02"/>
    <n v="140"/>
    <n v="27.28"/>
    <n v="179.77"/>
    <n v="2024"/>
    <n v="4"/>
    <x v="1"/>
    <n v="1"/>
    <s v="01"/>
    <s v="202401"/>
    <s v="Apr-24"/>
    <n v="-23211.52"/>
    <n v="-23.21152"/>
  </r>
  <r>
    <d v="2024-04-19T00:00:00"/>
    <s v="OPT-CNXBAN-24-Apr-2024-46600-P-E-I"/>
    <s v="NSE"/>
    <s v="Buy"/>
    <n v="15"/>
    <n v="0"/>
    <n v="292.2"/>
    <n v="4383"/>
    <s v="#202404193700010218"/>
    <n v="0"/>
    <n v="2.19"/>
    <n v="0"/>
    <n v="0"/>
    <n v="20"/>
    <n v="4"/>
    <n v="26.19"/>
    <n v="2024"/>
    <n v="4"/>
    <x v="1"/>
    <n v="1"/>
    <s v="01"/>
    <s v="202401"/>
    <s v="Apr-24"/>
    <n v="-4409.1899999999996"/>
    <n v="-4.4091899999999997"/>
  </r>
  <r>
    <d v="2024-04-23T00:00:00"/>
    <s v="OPT-CNXBAN-24-Apr-2024-46600-P-E-I"/>
    <s v="NSE"/>
    <s v="Buy"/>
    <n v="900"/>
    <n v="0"/>
    <n v="11.75"/>
    <n v="10575"/>
    <s v="#202404233700007432"/>
    <n v="0"/>
    <n v="5.31"/>
    <n v="1"/>
    <n v="0.01"/>
    <n v="1200"/>
    <n v="217.02"/>
    <n v="1423.34"/>
    <n v="2024"/>
    <n v="4"/>
    <x v="1"/>
    <n v="1"/>
    <s v="01"/>
    <s v="202401"/>
    <s v="Apr-24"/>
    <n v="-11998.34"/>
    <n v="-11.998340000000001"/>
  </r>
  <r>
    <d v="2024-04-23T00:00:00"/>
    <s v="OPT-CNXBAN-24-Apr-2024-46600-P-E-I"/>
    <s v="NSE"/>
    <s v="Buy"/>
    <n v="600"/>
    <n v="0"/>
    <n v="20.2"/>
    <n v="12120"/>
    <s v="#202404233700004074"/>
    <n v="0"/>
    <n v="6.06"/>
    <n v="0"/>
    <n v="0"/>
    <n v="800"/>
    <n v="145.08000000000001"/>
    <n v="951.14"/>
    <n v="2024"/>
    <n v="4"/>
    <x v="1"/>
    <n v="1"/>
    <s v="01"/>
    <s v="202401"/>
    <s v="Apr-24"/>
    <n v="-13071.14"/>
    <n v="-13.07114"/>
  </r>
  <r>
    <d v="2024-04-24T00:00:00"/>
    <s v="OPT-CNXBAN-24-Apr-2024-47900-P-E-I"/>
    <s v="NSE"/>
    <s v="Sell"/>
    <n v="900"/>
    <n v="0"/>
    <n v="4.05"/>
    <n v="3645"/>
    <s v="#202404243700019658"/>
    <n v="1.91"/>
    <n v="1.82"/>
    <n v="0"/>
    <n v="0"/>
    <n v="1200"/>
    <n v="216.32"/>
    <n v="1420.05"/>
    <n v="2024"/>
    <n v="4"/>
    <x v="1"/>
    <n v="1"/>
    <s v="01"/>
    <s v="202401"/>
    <s v="Apr-24"/>
    <n v="2224.9499999999998"/>
    <n v="2.2249499999999998"/>
  </r>
  <r>
    <d v="2024-04-24T00:00:00"/>
    <s v="OPT-CNXBAN-24-Apr-2024-47900-P-E-I"/>
    <s v="NSE"/>
    <s v="Buy"/>
    <n v="900"/>
    <n v="0"/>
    <n v="11.5"/>
    <n v="10350"/>
    <s v="#202404243700015770"/>
    <n v="0"/>
    <n v="5.22"/>
    <n v="0"/>
    <n v="0"/>
    <n v="1200"/>
    <n v="216.92"/>
    <n v="1422.14"/>
    <n v="2024"/>
    <n v="4"/>
    <x v="1"/>
    <n v="1"/>
    <s v="01"/>
    <s v="202401"/>
    <s v="Apr-24"/>
    <n v="-11772.14"/>
    <n v="-11.77214"/>
  </r>
  <r>
    <d v="2024-04-24T00:00:00"/>
    <s v="OPT-CNXBAN-24-Apr-2024-46600-P-E-I"/>
    <s v="NSE"/>
    <s v="Sell"/>
    <n v="615"/>
    <n v="0"/>
    <n v="2.2000000000000002"/>
    <n v="1353"/>
    <s v="#202404243700006563"/>
    <n v="0.84"/>
    <n v="0.67"/>
    <n v="0"/>
    <n v="0"/>
    <n v="820"/>
    <n v="147.72"/>
    <n v="969.23"/>
    <n v="2024"/>
    <n v="4"/>
    <x v="1"/>
    <n v="1"/>
    <s v="01"/>
    <s v="202401"/>
    <s v="Apr-24"/>
    <n v="383.77"/>
    <n v="0.38377"/>
  </r>
  <r>
    <d v="2024-04-24T00:00:00"/>
    <s v="OPT-CNXBAN-24-Apr-2024-46600-P-E-I"/>
    <s v="NSE"/>
    <s v="Sell"/>
    <n v="900"/>
    <n v="0"/>
    <n v="2.2000000000000002"/>
    <n v="1980"/>
    <s v="#202404243700006531"/>
    <n v="1.24"/>
    <n v="0.98"/>
    <n v="0"/>
    <n v="0"/>
    <n v="1200"/>
    <n v="216.16"/>
    <n v="1418.38"/>
    <n v="2024"/>
    <n v="4"/>
    <x v="1"/>
    <n v="1"/>
    <s v="01"/>
    <s v="202401"/>
    <s v="Apr-24"/>
    <n v="561.61999999999989"/>
    <n v="0.5616199999999999"/>
  </r>
  <r>
    <d v="2024-04-26T00:00:00"/>
    <s v="OPT-NIFTY-02-May-2024-22550-C-E-I"/>
    <s v="NSE"/>
    <s v="Sell"/>
    <n v="200"/>
    <n v="0"/>
    <n v="101.25"/>
    <n v="20250"/>
    <s v="#202404263700016483"/>
    <n v="12.66"/>
    <n v="10.130000000000001"/>
    <n v="0"/>
    <n v="0.02"/>
    <n v="160"/>
    <n v="30.62"/>
    <n v="213.43"/>
    <n v="2024"/>
    <n v="4"/>
    <x v="1"/>
    <n v="1"/>
    <s v="01"/>
    <s v="202401"/>
    <s v="Apr-24"/>
    <n v="20036.57"/>
    <n v="20.036570000000001"/>
  </r>
  <r>
    <d v="2024-04-26T00:00:00"/>
    <s v="OPT-NIFTY-02-May-2024-22550-C-E-I"/>
    <s v="NSE"/>
    <s v="Buy"/>
    <n v="100"/>
    <n v="0"/>
    <n v="131.25"/>
    <n v="13125"/>
    <s v="#202404263700013098"/>
    <n v="0"/>
    <n v="6.56"/>
    <n v="1.21"/>
    <n v="0.01"/>
    <n v="80"/>
    <n v="15.58"/>
    <n v="103.36"/>
    <n v="2024"/>
    <n v="4"/>
    <x v="1"/>
    <n v="1"/>
    <s v="01"/>
    <s v="202401"/>
    <s v="Apr-24"/>
    <n v="-13228.36"/>
    <n v="-13.22836"/>
  </r>
  <r>
    <d v="2024-04-26T00:00:00"/>
    <s v="OPT-NIFTY-02-May-2024-22550-C-E-I"/>
    <s v="NSE"/>
    <s v="Buy"/>
    <n v="50"/>
    <n v="0"/>
    <n v="131.25"/>
    <n v="6562.5"/>
    <s v="#202404263700011485"/>
    <n v="0"/>
    <n v="3.28"/>
    <n v="0"/>
    <n v="0.01"/>
    <n v="40"/>
    <n v="7.8"/>
    <n v="51.09"/>
    <n v="2024"/>
    <n v="4"/>
    <x v="1"/>
    <n v="1"/>
    <s v="01"/>
    <s v="202401"/>
    <s v="Apr-24"/>
    <n v="-6613.59"/>
    <n v="-6.6135900000000003"/>
  </r>
  <r>
    <d v="2024-04-26T00:00:00"/>
    <s v="OPT-NIFTY-02-May-2024-22550-C-E-I"/>
    <s v="NSE"/>
    <s v="Buy"/>
    <n v="50"/>
    <n v="0"/>
    <n v="146.1"/>
    <n v="7305"/>
    <s v="#202404263700011140"/>
    <n v="0"/>
    <n v="3.65"/>
    <n v="0"/>
    <n v="0.01"/>
    <n v="40"/>
    <n v="7.86"/>
    <n v="51.52"/>
    <n v="2024"/>
    <n v="4"/>
    <x v="1"/>
    <n v="1"/>
    <s v="01"/>
    <s v="202401"/>
    <s v="Apr-24"/>
    <n v="-7356.52"/>
    <n v="-7.3565200000000006"/>
  </r>
  <r>
    <d v="2024-04-26T00:00:00"/>
    <s v="OPT-CNXBAN-30-Apr-2024-48500-C-E-I"/>
    <s v="NSE"/>
    <s v="Sell"/>
    <n v="105"/>
    <n v="0"/>
    <n v="265.75"/>
    <n v="27903.75"/>
    <s v="#202404263700010858"/>
    <n v="17.34"/>
    <n v="13.94"/>
    <n v="0"/>
    <n v="0.01"/>
    <n v="140"/>
    <n v="27.72"/>
    <n v="199.01"/>
    <n v="2024"/>
    <n v="4"/>
    <x v="1"/>
    <n v="1"/>
    <s v="01"/>
    <s v="202401"/>
    <s v="Apr-24"/>
    <n v="27704.74"/>
    <n v="27.704740000000001"/>
  </r>
  <r>
    <d v="2024-04-26T00:00:00"/>
    <s v="OPT-CNXBAN-30-Apr-2024-48500-C-E-I"/>
    <s v="NSE"/>
    <s v="Buy"/>
    <n v="105"/>
    <n v="0"/>
    <n v="251.25"/>
    <n v="26381.25"/>
    <s v="#202404263700010262"/>
    <n v="0"/>
    <n v="13.19"/>
    <n v="0.79"/>
    <n v="0.03"/>
    <n v="140"/>
    <n v="27.58"/>
    <n v="181.59"/>
    <n v="2024"/>
    <n v="4"/>
    <x v="1"/>
    <n v="1"/>
    <s v="01"/>
    <s v="202401"/>
    <s v="Apr-24"/>
    <n v="-26562.84"/>
    <n v="-26.562840000000001"/>
  </r>
  <r>
    <d v="2024-04-30T00:00:00"/>
    <s v="OPT-NIFFIN-30-Apr-2024-22050-C-E-I"/>
    <s v="NSE"/>
    <s v="Sell"/>
    <n v="400"/>
    <n v="0"/>
    <n v="45.75"/>
    <n v="18300"/>
    <s v="#202404303700025073"/>
    <n v="11"/>
    <n v="9.17"/>
    <n v="0"/>
    <n v="0.01"/>
    <n v="200"/>
    <n v="37.64"/>
    <n v="257.82"/>
    <n v="2024"/>
    <n v="4"/>
    <x v="1"/>
    <n v="1"/>
    <s v="01"/>
    <s v="202401"/>
    <s v="Apr-24"/>
    <n v="18042.18"/>
    <n v="18.042180000000002"/>
  </r>
  <r>
    <d v="2024-04-30T00:00:00"/>
    <s v="OPT-NIFFIN-30-Apr-2024-22050-C-E-I"/>
    <s v="NSE"/>
    <s v="Buy"/>
    <n v="400"/>
    <n v="0"/>
    <n v="31.95"/>
    <n v="12780"/>
    <s v="#202404303700024057"/>
    <n v="0"/>
    <n v="6.39"/>
    <n v="0"/>
    <n v="0.01"/>
    <n v="200"/>
    <n v="37.159999999999997"/>
    <n v="243.56"/>
    <n v="2024"/>
    <n v="4"/>
    <x v="1"/>
    <n v="1"/>
    <s v="01"/>
    <s v="202401"/>
    <s v="Apr-24"/>
    <n v="-13023.56"/>
    <n v="-13.02356"/>
  </r>
  <r>
    <d v="2024-05-02T00:00:00"/>
    <s v="OPT-NIFTY-02-May-2024-22650-P-E-I"/>
    <s v="NSE"/>
    <s v="Sell"/>
    <n v="500"/>
    <n v="0"/>
    <n v="17.25"/>
    <n v="8625"/>
    <s v="#202405023700023691"/>
    <n v="5"/>
    <n v="4.3099999999999996"/>
    <n v="0"/>
    <n v="0.01"/>
    <n v="400"/>
    <n v="72.78"/>
    <n v="482.1"/>
    <n v="2024"/>
    <n v="5"/>
    <x v="1"/>
    <n v="2"/>
    <s v="02"/>
    <s v="202402"/>
    <s v="May-24"/>
    <n v="8142.9"/>
    <n v="8.1428999999999991"/>
  </r>
  <r>
    <d v="2024-05-02T00:00:00"/>
    <s v="OPT-NIFTY-02-May-2024-22650-P-E-I"/>
    <s v="NSE"/>
    <s v="Buy"/>
    <n v="250"/>
    <n v="0"/>
    <n v="17.149999999999999"/>
    <n v="4287.5"/>
    <s v="#202405023700022750"/>
    <n v="0"/>
    <n v="2.15"/>
    <n v="0"/>
    <n v="0"/>
    <n v="200"/>
    <n v="36.380000000000003"/>
    <n v="238.53"/>
    <n v="2024"/>
    <n v="5"/>
    <x v="1"/>
    <n v="2"/>
    <s v="02"/>
    <s v="202402"/>
    <s v="May-24"/>
    <n v="-4526.03"/>
    <n v="-4.5260299999999996"/>
  </r>
  <r>
    <d v="2024-05-02T00:00:00"/>
    <s v="OPT-NIFTY-02-May-2024-22650-P-E-I"/>
    <s v="NSE"/>
    <s v="Buy"/>
    <n v="250"/>
    <n v="0"/>
    <n v="20.3"/>
    <n v="5075"/>
    <s v="#202405023700022717"/>
    <n v="0"/>
    <n v="2.54"/>
    <n v="0"/>
    <n v="0"/>
    <n v="200"/>
    <n v="36.46"/>
    <n v="239"/>
    <n v="2024"/>
    <n v="5"/>
    <x v="1"/>
    <n v="2"/>
    <s v="02"/>
    <s v="202402"/>
    <s v="May-24"/>
    <n v="-5314"/>
    <n v="-5.3140000000000001"/>
  </r>
  <r>
    <d v="2024-05-06T00:00:00"/>
    <s v="OPT-CNXBAN-08-May-2024-48500-P-E-I"/>
    <s v="NSE"/>
    <s v="Sell"/>
    <n v="135"/>
    <n v="0"/>
    <n v="84.9"/>
    <n v="11461.5"/>
    <s v="#202405063700051514"/>
    <n v="6.68"/>
    <n v="5.73"/>
    <n v="0"/>
    <n v="0.01"/>
    <n v="180"/>
    <n v="33.44"/>
    <n v="225.86"/>
    <n v="2024"/>
    <n v="5"/>
    <x v="1"/>
    <n v="2"/>
    <s v="02"/>
    <s v="202402"/>
    <s v="May-24"/>
    <n v="11235.64"/>
    <n v="11.23564"/>
  </r>
  <r>
    <d v="2024-05-06T00:00:00"/>
    <s v="OPT-CNXBAN-08-May-2024-48500-P-E-I"/>
    <s v="NSE"/>
    <s v="Buy"/>
    <n v="135"/>
    <n v="0"/>
    <n v="121.25"/>
    <n v="16368.75"/>
    <s v="#202405063700049716"/>
    <n v="0"/>
    <n v="8.18"/>
    <n v="0.49"/>
    <n v="0.02"/>
    <n v="180"/>
    <n v="33.880000000000003"/>
    <n v="222.57"/>
    <n v="2024"/>
    <n v="5"/>
    <x v="1"/>
    <n v="2"/>
    <s v="02"/>
    <s v="202402"/>
    <s v="May-24"/>
    <n v="-16591.32"/>
    <n v="-16.59132"/>
  </r>
  <r>
    <d v="2024-05-06T00:00:00"/>
    <s v="OPT-CNXBAN-08-May-2024-49200-C-E-I"/>
    <s v="NSE"/>
    <s v="Sell"/>
    <n v="60"/>
    <n v="0"/>
    <n v="195.25"/>
    <n v="11715"/>
    <s v="#202405063700049432"/>
    <n v="7.32"/>
    <n v="5.86"/>
    <n v="0"/>
    <n v="0.01"/>
    <n v="80"/>
    <n v="15.46"/>
    <n v="108.65"/>
    <n v="2024"/>
    <n v="5"/>
    <x v="1"/>
    <n v="2"/>
    <s v="02"/>
    <s v="202402"/>
    <s v="May-24"/>
    <n v="11606.35"/>
    <n v="11.606350000000001"/>
  </r>
  <r>
    <d v="2024-05-06T00:00:00"/>
    <s v="OPT-CNXBAN-08-May-2024-49200-C-E-I"/>
    <s v="NSE"/>
    <s v="Buy"/>
    <n v="30"/>
    <n v="0"/>
    <n v="229.5"/>
    <n v="6885"/>
    <s v="#202405063700045791"/>
    <n v="0"/>
    <n v="3.44"/>
    <n v="0.51"/>
    <n v="0.01"/>
    <n v="40"/>
    <n v="7.82"/>
    <n v="51.78"/>
    <n v="2024"/>
    <n v="5"/>
    <x v="1"/>
    <n v="2"/>
    <s v="02"/>
    <s v="202402"/>
    <s v="May-24"/>
    <n v="-6936.78"/>
    <n v="-6.9367799999999997"/>
  </r>
  <r>
    <d v="2024-05-06T00:00:00"/>
    <s v="OPT-CNXBAN-08-May-2024-49200-C-E-I"/>
    <s v="NSE"/>
    <s v="Buy"/>
    <n v="30"/>
    <n v="0"/>
    <n v="313.2"/>
    <n v="9396"/>
    <s v="#202405063700042400"/>
    <n v="0"/>
    <n v="4.7"/>
    <n v="0"/>
    <n v="0"/>
    <n v="40"/>
    <n v="8.0399999999999991"/>
    <n v="52.74"/>
    <n v="2024"/>
    <n v="5"/>
    <x v="1"/>
    <n v="2"/>
    <s v="02"/>
    <s v="202402"/>
    <s v="May-24"/>
    <n v="-9448.74"/>
    <n v="-9.448739999999999"/>
  </r>
  <r>
    <d v="2024-05-07T00:00:00"/>
    <s v="OPT-CNXBAN-08-May-2024-49000-C-E-I"/>
    <s v="NSE"/>
    <s v="Sell"/>
    <n v="900"/>
    <n v="0"/>
    <n v="55.25"/>
    <n v="49725"/>
    <s v="#202405073700018858"/>
    <n v="31.55"/>
    <n v="24.86"/>
    <n v="0"/>
    <n v="0.04"/>
    <n v="1200"/>
    <n v="220.48"/>
    <n v="1476.93"/>
    <n v="2024"/>
    <n v="5"/>
    <x v="1"/>
    <n v="2"/>
    <s v="02"/>
    <s v="202402"/>
    <s v="May-24"/>
    <n v="48248.07"/>
    <n v="48.248069999999998"/>
  </r>
  <r>
    <d v="2024-05-07T00:00:00"/>
    <s v="OPT-CNXBAN-08-May-2024-49000-C-E-I"/>
    <s v="NSE"/>
    <s v="Buy"/>
    <n v="900"/>
    <n v="0"/>
    <n v="65.95"/>
    <n v="59355"/>
    <s v="#202405073700017930"/>
    <n v="0"/>
    <n v="29.68"/>
    <n v="0"/>
    <n v="0.06"/>
    <n v="1200"/>
    <n v="221.36"/>
    <n v="1451.1"/>
    <n v="2024"/>
    <n v="5"/>
    <x v="1"/>
    <n v="2"/>
    <s v="02"/>
    <s v="202402"/>
    <s v="May-24"/>
    <n v="-60806.1"/>
    <n v="-60.806100000000001"/>
  </r>
  <r>
    <d v="2024-05-07T00:00:00"/>
    <s v="OPT-CNXBAN-08-May-2024-49000-C-E-I"/>
    <s v="NSE"/>
    <s v="Sell"/>
    <n v="900"/>
    <n v="0"/>
    <n v="61.25"/>
    <n v="55125"/>
    <s v="#202405073700014847"/>
    <n v="34.450000000000003"/>
    <n v="27.58"/>
    <n v="0"/>
    <n v="0.05"/>
    <n v="1200"/>
    <n v="220.98"/>
    <n v="1483.06"/>
    <n v="2024"/>
    <n v="5"/>
    <x v="1"/>
    <n v="2"/>
    <s v="02"/>
    <s v="202402"/>
    <s v="May-24"/>
    <n v="53641.94"/>
    <n v="53.641940000000005"/>
  </r>
  <r>
    <d v="2024-05-07T00:00:00"/>
    <s v="OPT-CNXBAN-08-May-2024-49000-C-E-I"/>
    <s v="NSE"/>
    <s v="Buy"/>
    <n v="900"/>
    <n v="0"/>
    <n v="91.25"/>
    <n v="82125"/>
    <s v="#202405073700011715"/>
    <n v="0"/>
    <n v="41.07"/>
    <n v="4"/>
    <n v="0.08"/>
    <n v="1200"/>
    <n v="223.42"/>
    <n v="1468.57"/>
    <n v="2024"/>
    <n v="5"/>
    <x v="1"/>
    <n v="2"/>
    <s v="02"/>
    <s v="202402"/>
    <s v="May-24"/>
    <n v="-83593.570000000007"/>
    <n v="-83.593570000000014"/>
  </r>
  <r>
    <d v="2024-05-08T00:00:00"/>
    <s v="OPT-CNXBAN-08-May-2024-48100-P-E-I"/>
    <s v="NSE"/>
    <s v="Sell"/>
    <n v="210"/>
    <n v="0"/>
    <n v="157.25"/>
    <n v="33022.5"/>
    <s v="#202405083700014214"/>
    <n v="21"/>
    <n v="16.52"/>
    <n v="0"/>
    <n v="0.03"/>
    <n v="280"/>
    <n v="53.38"/>
    <n v="370.93"/>
    <n v="2024"/>
    <n v="5"/>
    <x v="1"/>
    <n v="2"/>
    <s v="02"/>
    <s v="202402"/>
    <s v="May-24"/>
    <n v="32651.57"/>
    <n v="32.65157"/>
  </r>
  <r>
    <d v="2024-05-08T00:00:00"/>
    <s v="OPT-CNXBAN-08-May-2024-48100-P-E-I"/>
    <s v="NSE"/>
    <s v="Buy"/>
    <n v="210"/>
    <n v="0"/>
    <n v="127.37"/>
    <n v="26748"/>
    <s v="#202405083700006706"/>
    <n v="0"/>
    <n v="13.38"/>
    <n v="1"/>
    <n v="0.02"/>
    <n v="280"/>
    <n v="52.82"/>
    <n v="347.22"/>
    <n v="2024"/>
    <n v="5"/>
    <x v="1"/>
    <n v="2"/>
    <s v="02"/>
    <s v="202402"/>
    <s v="May-24"/>
    <n v="-27095.22"/>
    <n v="-27.095220000000001"/>
  </r>
  <r>
    <d v="2024-05-09T00:00:00"/>
    <s v="OPT-CNXBAN-15-May-2024-48300-C-E-I"/>
    <s v="NSE"/>
    <s v="Sell"/>
    <n v="105"/>
    <n v="0"/>
    <n v="266.79000000000002"/>
    <n v="28013.25"/>
    <s v="#202405093700006756"/>
    <n v="17.25"/>
    <n v="14"/>
    <n v="0"/>
    <n v="0.02"/>
    <n v="140"/>
    <n v="27.72"/>
    <n v="198.99"/>
    <n v="2024"/>
    <n v="5"/>
    <x v="1"/>
    <n v="2"/>
    <s v="02"/>
    <s v="202402"/>
    <s v="May-24"/>
    <n v="27814.26"/>
    <n v="27.814259999999997"/>
  </r>
  <r>
    <d v="2024-05-09T00:00:00"/>
    <s v="OPT-CNXBAN-15-May-2024-48300-C-E-I"/>
    <s v="NSE"/>
    <s v="Buy"/>
    <n v="105"/>
    <n v="0"/>
    <n v="328.26"/>
    <n v="34467.75"/>
    <s v="#202405093700004861"/>
    <n v="0"/>
    <n v="17.23"/>
    <n v="2"/>
    <n v="0.03"/>
    <n v="140"/>
    <n v="28.3"/>
    <n v="187.56"/>
    <n v="2024"/>
    <n v="5"/>
    <x v="1"/>
    <n v="2"/>
    <s v="02"/>
    <s v="202402"/>
    <s v="May-24"/>
    <n v="-34655.31"/>
    <n v="-34.65531"/>
  </r>
  <r>
    <d v="2024-05-09T00:00:00"/>
    <s v="OPT-CNXBAN-15-May-2024-48300-C-E-I"/>
    <s v="NSE"/>
    <s v="Sell"/>
    <n v="105"/>
    <n v="0"/>
    <n v="331.25"/>
    <n v="34781.25"/>
    <s v="#202405093700002392"/>
    <n v="21.74"/>
    <n v="17.39"/>
    <n v="0"/>
    <n v="0.03"/>
    <n v="140"/>
    <n v="28.32"/>
    <n v="207.48"/>
    <n v="2024"/>
    <n v="5"/>
    <x v="1"/>
    <n v="2"/>
    <s v="02"/>
    <s v="202402"/>
    <s v="May-24"/>
    <n v="34573.769999999997"/>
    <n v="34.573769999999996"/>
  </r>
  <r>
    <d v="2024-05-09T00:00:00"/>
    <s v="OPT-CNXBAN-15-May-2024-48300-C-E-I"/>
    <s v="NSE"/>
    <s v="Buy"/>
    <n v="105"/>
    <n v="0"/>
    <n v="361"/>
    <n v="37905"/>
    <s v="#202405093700000908"/>
    <n v="0"/>
    <n v="18.95"/>
    <n v="0"/>
    <n v="0.05"/>
    <n v="140"/>
    <n v="28.6"/>
    <n v="187.6"/>
    <n v="2024"/>
    <n v="5"/>
    <x v="1"/>
    <n v="2"/>
    <s v="02"/>
    <s v="202402"/>
    <s v="May-24"/>
    <n v="-38092.6"/>
    <n v="-38.092599999999997"/>
  </r>
  <r>
    <d v="2024-05-15T00:00:00"/>
    <s v="OPT-CNXBAN-15-May-2024-48000-C-E-I"/>
    <s v="NSE"/>
    <s v="Sell"/>
    <n v="900"/>
    <n v="0"/>
    <n v="6.55"/>
    <n v="5895"/>
    <s v="#202405153700018923"/>
    <n v="3.99"/>
    <n v="2.95"/>
    <n v="0"/>
    <n v="0"/>
    <n v="1200"/>
    <n v="216.52"/>
    <n v="1423.46"/>
    <n v="2024"/>
    <n v="5"/>
    <x v="1"/>
    <n v="2"/>
    <s v="02"/>
    <s v="202402"/>
    <s v="May-24"/>
    <n v="4471.54"/>
    <n v="4.4715400000000001"/>
  </r>
  <r>
    <d v="2024-05-15T00:00:00"/>
    <s v="OPT-CNXBAN-15-May-2024-48000-C-E-I"/>
    <s v="NSE"/>
    <s v="Buy"/>
    <n v="900"/>
    <n v="0"/>
    <n v="12.15"/>
    <n v="10935"/>
    <s v="#202405153700015744"/>
    <n v="0"/>
    <n v="5.47"/>
    <n v="0"/>
    <n v="0.01"/>
    <n v="1200"/>
    <n v="216.98"/>
    <n v="1422.46"/>
    <n v="2024"/>
    <n v="5"/>
    <x v="1"/>
    <n v="2"/>
    <s v="02"/>
    <s v="202402"/>
    <s v="May-24"/>
    <n v="-12357.46"/>
    <n v="-12.35746"/>
  </r>
  <r>
    <d v="2024-05-28T00:00:00"/>
    <s v="OPT-CNXBAN-29-May-2024-49200-C-E-I"/>
    <s v="NSE"/>
    <s v="Sell"/>
    <n v="60"/>
    <n v="0"/>
    <n v="314.25"/>
    <n v="18855"/>
    <s v="#202405283700018918"/>
    <n v="12"/>
    <n v="9.43"/>
    <n v="0"/>
    <n v="0.02"/>
    <n v="80"/>
    <n v="16.100000000000001"/>
    <n v="117.55"/>
    <n v="2024"/>
    <n v="5"/>
    <x v="1"/>
    <n v="2"/>
    <s v="02"/>
    <s v="202402"/>
    <s v="May-24"/>
    <n v="18737.45"/>
    <n v="18.737449999999999"/>
  </r>
  <r>
    <d v="2024-05-28T00:00:00"/>
    <s v="OPT-CNXBAN-29-May-2024-49200-C-E-I"/>
    <s v="NSE"/>
    <s v="Buy"/>
    <n v="60"/>
    <n v="0"/>
    <n v="289.60000000000002"/>
    <n v="17376"/>
    <s v="#202405283700018833"/>
    <n v="0"/>
    <n v="8.69"/>
    <n v="1"/>
    <n v="0.02"/>
    <n v="80"/>
    <n v="15.96"/>
    <n v="105.67"/>
    <n v="2024"/>
    <n v="5"/>
    <x v="1"/>
    <n v="2"/>
    <s v="02"/>
    <s v="202402"/>
    <s v="May-24"/>
    <n v="-17481.669999999998"/>
    <n v="-17.481669999999998"/>
  </r>
  <r>
    <d v="2024-05-29T00:00:00"/>
    <s v="OPT-CNXBAN-29-May-2024-48400-P-E-I"/>
    <s v="NSE"/>
    <s v="Sell"/>
    <n v="510"/>
    <n v="0"/>
    <n v="33.25"/>
    <n v="16957.5"/>
    <s v="#202405293700006389"/>
    <n v="11.01"/>
    <n v="8.49"/>
    <n v="0"/>
    <n v="0.01"/>
    <n v="680"/>
    <n v="123.94"/>
    <n v="823.45"/>
    <n v="2024"/>
    <n v="5"/>
    <x v="1"/>
    <n v="2"/>
    <s v="02"/>
    <s v="202402"/>
    <s v="May-24"/>
    <n v="16134.05"/>
    <n v="16.134049999999998"/>
  </r>
  <r>
    <d v="2024-05-29T00:00:00"/>
    <s v="OPT-CNXBAN-29-May-2024-48400-P-E-I"/>
    <s v="NSE"/>
    <s v="Buy"/>
    <n v="510"/>
    <n v="0"/>
    <n v="29"/>
    <n v="14790"/>
    <s v="#202405293700004625"/>
    <n v="0"/>
    <n v="7.4"/>
    <n v="0"/>
    <n v="0.01"/>
    <n v="680"/>
    <n v="123.74"/>
    <n v="811.15"/>
    <n v="2024"/>
    <n v="5"/>
    <x v="1"/>
    <n v="2"/>
    <s v="02"/>
    <s v="202402"/>
    <s v="May-24"/>
    <n v="-15601.15"/>
    <n v="-15.601150000000001"/>
  </r>
  <r>
    <d v="2024-05-30T00:00:00"/>
    <s v="OPT-NIFTY-30-May-2024-22700-C-E-I"/>
    <s v="NSE"/>
    <s v="Sell"/>
    <n v="25"/>
    <n v="0"/>
    <n v="20.2"/>
    <n v="505"/>
    <s v="#202405303700011119"/>
    <n v="0.32"/>
    <n v="0.25"/>
    <n v="0"/>
    <n v="0"/>
    <n v="20"/>
    <n v="3.64"/>
    <n v="24.21"/>
    <n v="2024"/>
    <n v="5"/>
    <x v="1"/>
    <n v="2"/>
    <s v="02"/>
    <s v="202402"/>
    <s v="May-24"/>
    <n v="480.79"/>
    <n v="0.48079"/>
  </r>
  <r>
    <d v="2024-05-30T00:00:00"/>
    <s v="OPT-NIFTY-30-May-2024-22700-C-E-I"/>
    <s v="NSE"/>
    <s v="Sell"/>
    <n v="25"/>
    <n v="0"/>
    <n v="24.3"/>
    <n v="607.5"/>
    <s v="#202405303700009416"/>
    <n v="0.68"/>
    <n v="0.3"/>
    <n v="0"/>
    <n v="0"/>
    <n v="20"/>
    <n v="3.66"/>
    <n v="24.64"/>
    <n v="2024"/>
    <n v="5"/>
    <x v="1"/>
    <n v="2"/>
    <s v="02"/>
    <s v="202402"/>
    <s v="May-24"/>
    <n v="582.86"/>
    <n v="0.58286000000000004"/>
  </r>
  <r>
    <d v="2024-05-30T00:00:00"/>
    <s v="OPT-NIFTY-30-May-2024-22700-C-E-I"/>
    <s v="NSE"/>
    <s v="Buy"/>
    <n v="25"/>
    <n v="0"/>
    <n v="31.2"/>
    <n v="780"/>
    <s v="#202405303700006317"/>
    <n v="0"/>
    <n v="0.39"/>
    <n v="0"/>
    <n v="0"/>
    <n v="20"/>
    <n v="3.68"/>
    <n v="24.07"/>
    <n v="2024"/>
    <n v="5"/>
    <x v="1"/>
    <n v="2"/>
    <s v="02"/>
    <s v="202402"/>
    <s v="May-24"/>
    <n v="-804.07"/>
    <n v="-0.80407000000000006"/>
  </r>
  <r>
    <d v="2024-05-30T00:00:00"/>
    <s v="OPT-NIFTY-30-May-2024-22700-C-E-I"/>
    <s v="NSE"/>
    <s v="Buy"/>
    <n v="25"/>
    <n v="0"/>
    <n v="58.2"/>
    <n v="1455"/>
    <s v="#202405303700001910"/>
    <n v="0"/>
    <n v="0.73"/>
    <n v="0"/>
    <n v="0"/>
    <n v="20"/>
    <n v="3.74"/>
    <n v="24.47"/>
    <n v="2024"/>
    <n v="5"/>
    <x v="1"/>
    <n v="2"/>
    <s v="02"/>
    <s v="202402"/>
    <s v="May-24"/>
    <n v="-1479.47"/>
    <n v="-1.4794700000000001"/>
  </r>
  <r>
    <d v="2024-06-04T00:00:00"/>
    <s v="OPT-CNXBAN-05-Jun-2024-48500-P-E-I"/>
    <s v="NSE"/>
    <s v="Sell"/>
    <n v="75"/>
    <n v="0"/>
    <n v="710.25"/>
    <n v="53268.75"/>
    <s v="#202406043700012701"/>
    <n v="33"/>
    <n v="26.63"/>
    <n v="0"/>
    <n v="0.05"/>
    <n v="100"/>
    <n v="22.8"/>
    <n v="182.48"/>
    <n v="2024"/>
    <n v="6"/>
    <x v="1"/>
    <n v="3"/>
    <s v="03"/>
    <s v="202403"/>
    <s v="Jun-24"/>
    <n v="53086.27"/>
    <n v="53.086269999999999"/>
  </r>
  <r>
    <d v="2024-06-04T00:00:00"/>
    <s v="OPT-CNXBAN-05-Jun-2024-48500-P-E-I"/>
    <s v="NSE"/>
    <s v="Buy"/>
    <n v="60"/>
    <n v="0"/>
    <n v="520.5"/>
    <n v="31230"/>
    <s v="#202406043700005883"/>
    <n v="0"/>
    <n v="15.62"/>
    <n v="1"/>
    <n v="0.04"/>
    <n v="80"/>
    <n v="17.2"/>
    <n v="113.86"/>
    <n v="2024"/>
    <n v="6"/>
    <x v="1"/>
    <n v="3"/>
    <s v="03"/>
    <s v="202403"/>
    <s v="Jun-24"/>
    <n v="-31343.86"/>
    <n v="-31.343859999999999"/>
  </r>
  <r>
    <d v="2024-06-04T00:00:00"/>
    <s v="OPT-CNXBAN-05-Jun-2024-48500-P-E-I"/>
    <s v="NSE"/>
    <s v="Buy"/>
    <n v="15"/>
    <n v="0"/>
    <n v="482.65"/>
    <n v="7239.75"/>
    <s v="#202406043700002587"/>
    <n v="0"/>
    <n v="3.62"/>
    <n v="0"/>
    <n v="0.01"/>
    <n v="20"/>
    <n v="4.26"/>
    <n v="27.89"/>
    <n v="2024"/>
    <n v="6"/>
    <x v="1"/>
    <n v="3"/>
    <s v="03"/>
    <s v="202403"/>
    <s v="Jun-24"/>
    <n v="-7267.64"/>
    <n v="-7.2676400000000001"/>
  </r>
  <r>
    <d v="2024-06-05T00:00:00"/>
    <s v="OPT-CNXBAN-05-Jun-2024-47800-C-E-I"/>
    <s v="NSE"/>
    <s v="Sell"/>
    <n v="75"/>
    <n v="0"/>
    <n v="360.25"/>
    <n v="27018.75"/>
    <s v="#202406053700025024"/>
    <n v="17"/>
    <n v="13.51"/>
    <n v="0"/>
    <n v="0.03"/>
    <n v="100"/>
    <n v="20.440000000000001"/>
    <n v="150.97999999999999"/>
    <n v="2024"/>
    <n v="6"/>
    <x v="1"/>
    <n v="3"/>
    <s v="03"/>
    <s v="202403"/>
    <s v="Jun-24"/>
    <n v="26867.77"/>
    <n v="26.86777"/>
  </r>
  <r>
    <d v="2024-06-05T00:00:00"/>
    <s v="OPT-CNXBAN-05-Jun-2024-47800-C-E-I"/>
    <s v="NSE"/>
    <s v="Buy"/>
    <n v="75"/>
    <n v="0"/>
    <n v="311.64999999999998"/>
    <n v="23373.75"/>
    <s v="#202406053700017678"/>
    <n v="0"/>
    <n v="11.69"/>
    <n v="1"/>
    <n v="0.02"/>
    <n v="100"/>
    <n v="20.100000000000001"/>
    <n v="132.81"/>
    <n v="2024"/>
    <n v="6"/>
    <x v="1"/>
    <n v="3"/>
    <s v="03"/>
    <s v="202403"/>
    <s v="Jun-24"/>
    <n v="-23506.560000000001"/>
    <n v="-23.50656"/>
  </r>
  <r>
    <d v="2024-06-06T00:00:00"/>
    <s v="OPT-NIFTY-06-Jun-2024-22900-C-E-I"/>
    <s v="NSE"/>
    <s v="Sell"/>
    <n v="900"/>
    <n v="0"/>
    <n v="19.25"/>
    <n v="17325"/>
    <s v="#202406063700026553"/>
    <n v="10.82"/>
    <n v="8.66"/>
    <n v="0"/>
    <n v="0.01"/>
    <n v="720"/>
    <n v="131.16"/>
    <n v="870.65"/>
    <n v="2024"/>
    <n v="6"/>
    <x v="1"/>
    <n v="3"/>
    <s v="03"/>
    <s v="202403"/>
    <s v="Jun-24"/>
    <n v="16454.349999999999"/>
    <n v="16.454349999999998"/>
  </r>
  <r>
    <d v="2024-06-06T00:00:00"/>
    <s v="OPT-NIFTY-06-Jun-2024-22900-C-E-I"/>
    <s v="NSE"/>
    <s v="Buy"/>
    <n v="450"/>
    <n v="0"/>
    <n v="41.05"/>
    <n v="18472.5"/>
    <s v="#202406063700017792"/>
    <n v="0"/>
    <n v="9.24"/>
    <n v="1.29"/>
    <n v="0.02"/>
    <n v="360"/>
    <n v="66.459999999999994"/>
    <n v="437.01"/>
    <n v="2024"/>
    <n v="6"/>
    <x v="1"/>
    <n v="3"/>
    <s v="03"/>
    <s v="202403"/>
    <s v="Jun-24"/>
    <n v="-18909.509999999998"/>
    <n v="-18.909509999999997"/>
  </r>
  <r>
    <d v="2024-06-06T00:00:00"/>
    <s v="OPT-NIFTY-06-Jun-2024-22900-C-E-I"/>
    <s v="NSE"/>
    <s v="Buy"/>
    <n v="225"/>
    <n v="0"/>
    <n v="58.25"/>
    <n v="13106.25"/>
    <s v="#202406063700015166"/>
    <n v="0"/>
    <n v="6.56"/>
    <n v="0"/>
    <n v="0.01"/>
    <n v="180"/>
    <n v="33.58"/>
    <n v="220.15"/>
    <n v="2024"/>
    <n v="6"/>
    <x v="1"/>
    <n v="3"/>
    <s v="03"/>
    <s v="202403"/>
    <s v="Jun-24"/>
    <n v="-13326.4"/>
    <n v="-13.3264"/>
  </r>
  <r>
    <d v="2024-06-06T00:00:00"/>
    <s v="OPT-NIFTY-06-Jun-2024-22900-C-E-I"/>
    <s v="NSE"/>
    <s v="Buy"/>
    <n v="225"/>
    <n v="0"/>
    <n v="63.25"/>
    <n v="14231.25"/>
    <s v="#202406063700013681"/>
    <n v="0"/>
    <n v="7.12"/>
    <n v="0"/>
    <n v="0.01"/>
    <n v="180"/>
    <n v="33.68"/>
    <n v="220.81"/>
    <n v="2024"/>
    <n v="6"/>
    <x v="1"/>
    <n v="3"/>
    <s v="03"/>
    <s v="202403"/>
    <s v="Jun-24"/>
    <n v="-14452.06"/>
    <n v="-14.452059999999999"/>
  </r>
  <r>
    <d v="2024-06-06T00:00:00"/>
    <s v="OPT-CNXBAN-12-Jun-2024-49800-C-E-I"/>
    <s v="NSE"/>
    <s v="Sell"/>
    <n v="15"/>
    <n v="0"/>
    <n v="580"/>
    <n v="8700"/>
    <s v="#202406063700011347"/>
    <n v="5.44"/>
    <n v="4.3499999999999996"/>
    <n v="0"/>
    <n v="0.01"/>
    <n v="20"/>
    <n v="4.38"/>
    <n v="34.18"/>
    <n v="2024"/>
    <n v="6"/>
    <x v="1"/>
    <n v="3"/>
    <s v="03"/>
    <s v="202403"/>
    <s v="Jun-24"/>
    <n v="8665.82"/>
    <n v="8.6658200000000001"/>
  </r>
  <r>
    <d v="2024-06-06T00:00:00"/>
    <s v="OPT-CNXBAN-12-Jun-2024-49800-C-E-I"/>
    <s v="NSE"/>
    <s v="Buy"/>
    <n v="15"/>
    <n v="0"/>
    <n v="539.85"/>
    <n v="8097.75"/>
    <s v="#202406063700009153"/>
    <n v="0"/>
    <n v="4.05"/>
    <n v="0.24"/>
    <n v="0.01"/>
    <n v="20"/>
    <n v="4.34"/>
    <n v="28.64"/>
    <n v="2024"/>
    <n v="6"/>
    <x v="1"/>
    <n v="3"/>
    <s v="03"/>
    <s v="202403"/>
    <s v="Jun-24"/>
    <n v="-8126.39"/>
    <n v="-8.1263900000000007"/>
  </r>
  <r>
    <d v="2024-06-06T00:00:00"/>
    <s v="OPT-NIFTY-06-Jun-2024-22650-C-E-I"/>
    <s v="NSE"/>
    <s v="Sell"/>
    <n v="125"/>
    <n v="0"/>
    <n v="155.25"/>
    <n v="19406.25"/>
    <s v="#202406063700001912"/>
    <n v="11.73"/>
    <n v="9.6999999999999993"/>
    <n v="0"/>
    <n v="0.02"/>
    <n v="100"/>
    <n v="19.739999999999998"/>
    <n v="141.19"/>
    <n v="2024"/>
    <n v="6"/>
    <x v="1"/>
    <n v="3"/>
    <s v="03"/>
    <s v="202403"/>
    <s v="Jun-24"/>
    <n v="19265.060000000001"/>
    <n v="19.265060000000002"/>
  </r>
  <r>
    <d v="2024-06-06T00:00:00"/>
    <s v="OPT-NIFTY-06-Jun-2024-22650-C-E-I"/>
    <s v="NSE"/>
    <s v="Buy"/>
    <n v="125"/>
    <n v="0"/>
    <n v="125.17"/>
    <n v="15646.25"/>
    <s v="#202406063700001493"/>
    <n v="0"/>
    <n v="7.82"/>
    <n v="0.47"/>
    <n v="0.02"/>
    <n v="100"/>
    <n v="19.399999999999999"/>
    <n v="127.71"/>
    <n v="2024"/>
    <n v="6"/>
    <x v="1"/>
    <n v="3"/>
    <s v="03"/>
    <s v="202403"/>
    <s v="Jun-24"/>
    <n v="-15773.96"/>
    <n v="-15.773959999999999"/>
  </r>
  <r>
    <d v="2024-06-12T00:00:00"/>
    <s v="OPT-NIFTY-13-Jun-2024-23350-C-E-I"/>
    <s v="NSE"/>
    <s v="Sell"/>
    <n v="100"/>
    <n v="0"/>
    <n v="119.25"/>
    <n v="11925"/>
    <s v="#202406123700022328"/>
    <n v="7"/>
    <n v="5.96"/>
    <n v="0"/>
    <n v="0.01"/>
    <n v="80"/>
    <n v="15.46"/>
    <n v="108.43"/>
    <n v="2024"/>
    <n v="6"/>
    <x v="1"/>
    <n v="3"/>
    <s v="03"/>
    <s v="202403"/>
    <s v="Jun-24"/>
    <n v="11816.57"/>
    <n v="11.81657"/>
  </r>
  <r>
    <d v="2024-06-12T00:00:00"/>
    <s v="OPT-NIFTY-13-Jun-2024-23350-C-E-I"/>
    <s v="NSE"/>
    <s v="Buy"/>
    <n v="100"/>
    <n v="0"/>
    <n v="138.6"/>
    <n v="13860"/>
    <s v="#202406123700013173"/>
    <n v="0"/>
    <n v="6.93"/>
    <n v="0"/>
    <n v="0.01"/>
    <n v="80"/>
    <n v="15.64"/>
    <n v="102.58"/>
    <n v="2024"/>
    <n v="6"/>
    <x v="1"/>
    <n v="3"/>
    <s v="03"/>
    <s v="202403"/>
    <s v="Jun-24"/>
    <n v="-13962.58"/>
    <n v="-13.962579999999999"/>
  </r>
  <r>
    <d v="2024-06-13T00:00:00"/>
    <s v="OPT-CNXBAN-19-Jun-2024-50000-C-E-I"/>
    <s v="NSE"/>
    <s v="Sell"/>
    <n v="45"/>
    <n v="0"/>
    <n v="290.25"/>
    <n v="13061.25"/>
    <s v="#202406133700021077"/>
    <n v="7.78"/>
    <n v="6.53"/>
    <n v="0"/>
    <n v="0.01"/>
    <n v="60"/>
    <n v="11.98"/>
    <n v="86.3"/>
    <n v="2024"/>
    <n v="6"/>
    <x v="1"/>
    <n v="3"/>
    <s v="03"/>
    <s v="202403"/>
    <s v="Jun-24"/>
    <n v="12974.95"/>
    <n v="12.974950000000002"/>
  </r>
  <r>
    <d v="2024-06-13T00:00:00"/>
    <s v="OPT-CNXBAN-19-Jun-2024-50000-C-E-I"/>
    <s v="NSE"/>
    <s v="Buy"/>
    <n v="45"/>
    <n v="0"/>
    <n v="360.4"/>
    <n v="16218"/>
    <s v="#202406133700014581"/>
    <n v="0"/>
    <n v="8.11"/>
    <n v="0.7"/>
    <n v="0.02"/>
    <n v="60"/>
    <n v="12.26"/>
    <n v="81.09"/>
    <n v="2024"/>
    <n v="6"/>
    <x v="1"/>
    <n v="3"/>
    <s v="03"/>
    <s v="202403"/>
    <s v="Jun-24"/>
    <n v="-16299.09"/>
    <n v="-16.29909"/>
  </r>
  <r>
    <d v="2024-06-13T00:00:00"/>
    <s v="OPT-NIFTY-13-Jun-2024-23500-P-E-I"/>
    <s v="NSE"/>
    <s v="Sell"/>
    <n v="100"/>
    <n v="0"/>
    <n v="131.55000000000001"/>
    <n v="13155"/>
    <s v="#202406133700003896"/>
    <n v="8.2200000000000006"/>
    <n v="6.58"/>
    <n v="0"/>
    <n v="0.01"/>
    <n v="80"/>
    <n v="15.58"/>
    <n v="110.39"/>
    <n v="2024"/>
    <n v="6"/>
    <x v="1"/>
    <n v="3"/>
    <s v="03"/>
    <s v="202403"/>
    <s v="Jun-24"/>
    <n v="13044.61"/>
    <n v="13.04461"/>
  </r>
  <r>
    <d v="2024-06-13T00:00:00"/>
    <s v="OPT-NIFTY-13-Jun-2024-23500-P-E-I"/>
    <s v="NSE"/>
    <s v="Buy"/>
    <n v="100"/>
    <n v="0"/>
    <n v="100.19"/>
    <n v="10018.75"/>
    <s v="#202406133700001549"/>
    <n v="0"/>
    <n v="5.01"/>
    <n v="0.3"/>
    <n v="0.01"/>
    <n v="80"/>
    <n v="15.3"/>
    <n v="100.62"/>
    <n v="2024"/>
    <n v="6"/>
    <x v="1"/>
    <n v="3"/>
    <s v="03"/>
    <s v="202403"/>
    <s v="Jun-24"/>
    <n v="-10119.370000000001"/>
    <n v="-10.11937"/>
  </r>
  <r>
    <d v="2024-06-24T00:00:00"/>
    <s v="OPT-NIFSEL-24-Jun-2024-12100-P-E-I"/>
    <s v="NSE"/>
    <s v="Sell"/>
    <n v="150"/>
    <n v="0"/>
    <n v="9"/>
    <n v="1350"/>
    <s v="#202406243700014822"/>
    <n v="1"/>
    <n v="0.68"/>
    <n v="0"/>
    <n v="0"/>
    <n v="40"/>
    <n v="7.32"/>
    <n v="49"/>
    <n v="2024"/>
    <n v="6"/>
    <x v="1"/>
    <n v="3"/>
    <s v="03"/>
    <s v="202403"/>
    <s v="Jun-24"/>
    <n v="1301"/>
    <n v="1.3009999999999999"/>
  </r>
  <r>
    <d v="2024-06-24T00:00:00"/>
    <s v="OPT-NIFSEL-24-Jun-2024-12100-P-E-I"/>
    <s v="NSE"/>
    <s v="Buy"/>
    <n v="75"/>
    <n v="0"/>
    <n v="31.25"/>
    <n v="2343.75"/>
    <s v="#202406243700008253"/>
    <n v="0"/>
    <n v="1.17"/>
    <n v="0"/>
    <n v="0"/>
    <n v="20"/>
    <n v="3.82"/>
    <n v="24.99"/>
    <n v="2024"/>
    <n v="6"/>
    <x v="1"/>
    <n v="3"/>
    <s v="03"/>
    <s v="202403"/>
    <s v="Jun-24"/>
    <n v="-2368.7399999999998"/>
    <n v="-2.3687399999999998"/>
  </r>
  <r>
    <d v="2024-06-24T00:00:00"/>
    <s v="OPT-NIFSEL-24-Jun-2024-12100-P-E-I"/>
    <s v="NSE"/>
    <s v="Buy"/>
    <n v="75"/>
    <n v="0"/>
    <n v="70.3"/>
    <n v="5272.5"/>
    <s v="#202406243700002933"/>
    <n v="0"/>
    <n v="2.64"/>
    <n v="0"/>
    <n v="0.01"/>
    <n v="20"/>
    <n v="4.08"/>
    <n v="26.73"/>
    <n v="2024"/>
    <n v="6"/>
    <x v="1"/>
    <n v="3"/>
    <s v="03"/>
    <s v="202403"/>
    <s v="Jun-24"/>
    <n v="-5299.23"/>
    <n v="-5.2992299999999997"/>
  </r>
  <r>
    <d v="2024-07-02T00:00:00"/>
    <s v="OPT-CNXBAN-03-Jul-2024-52300-C-E-I"/>
    <s v="NSE"/>
    <s v="Sell"/>
    <n v="105"/>
    <n v="0"/>
    <n v="192.2"/>
    <n v="20181"/>
    <s v="#202407023700026525"/>
    <n v="12.62"/>
    <n v="10.09"/>
    <n v="0"/>
    <n v="0.02"/>
    <n v="140"/>
    <n v="27.02"/>
    <n v="189.75"/>
    <n v="2024"/>
    <n v="7"/>
    <x v="1"/>
    <n v="4"/>
    <s v="04"/>
    <s v="202404"/>
    <s v="Jul-24"/>
    <n v="19991.25"/>
    <n v="19.991250000000001"/>
  </r>
  <r>
    <d v="2024-07-02T00:00:00"/>
    <s v="OPT-CNXBAN-03-Jul-2024-52300-C-E-I"/>
    <s v="NSE"/>
    <s v="Buy"/>
    <n v="105"/>
    <n v="0"/>
    <n v="252"/>
    <n v="26460"/>
    <s v="#202407023700024978"/>
    <n v="0"/>
    <n v="13.23"/>
    <n v="0.4"/>
    <n v="0.03"/>
    <n v="140"/>
    <n v="27.58"/>
    <n v="181.24"/>
    <n v="2024"/>
    <n v="7"/>
    <x v="1"/>
    <n v="4"/>
    <s v="04"/>
    <s v="202404"/>
    <s v="Jul-24"/>
    <n v="-26641.24"/>
    <n v="-26.641240000000003"/>
  </r>
  <r>
    <d v="2024-07-02T00:00:00"/>
    <s v="OPT-CNXBAN-03-Jul-2024-52100-P-E-I"/>
    <s v="NSE"/>
    <s v="Sell"/>
    <n v="105"/>
    <n v="0"/>
    <n v="150"/>
    <n v="15750"/>
    <s v="#202407023700024661"/>
    <n v="9.39"/>
    <n v="7.88"/>
    <n v="0"/>
    <n v="0.02"/>
    <n v="140"/>
    <n v="26.62"/>
    <n v="183.91"/>
    <n v="2024"/>
    <n v="7"/>
    <x v="1"/>
    <n v="4"/>
    <s v="04"/>
    <s v="202404"/>
    <s v="Jul-24"/>
    <n v="15566.09"/>
    <n v="15.566090000000001"/>
  </r>
  <r>
    <d v="2024-07-02T00:00:00"/>
    <s v="OPT-CNXBAN-03-Jul-2024-52100-P-E-I"/>
    <s v="NSE"/>
    <s v="Buy"/>
    <n v="105"/>
    <n v="0"/>
    <n v="191"/>
    <n v="20055"/>
    <s v="#202407023700024209"/>
    <n v="0"/>
    <n v="10.029999999999999"/>
    <n v="0.6"/>
    <n v="0.02"/>
    <n v="140"/>
    <n v="27"/>
    <n v="177.65"/>
    <n v="2024"/>
    <n v="7"/>
    <x v="1"/>
    <n v="4"/>
    <s v="04"/>
    <s v="202404"/>
    <s v="Jul-24"/>
    <n v="-20232.650000000001"/>
    <n v="-20.232650000000003"/>
  </r>
  <r>
    <d v="2024-07-03T00:00:00"/>
    <s v="OPT-CNXBAN-03-Jul-2024-53000-P-E-I"/>
    <s v="NSE"/>
    <s v="Sell"/>
    <n v="900"/>
    <n v="0"/>
    <n v="27.25"/>
    <n v="24525"/>
    <s v="#202407033700026505"/>
    <n v="15.03"/>
    <n v="12.24"/>
    <n v="0"/>
    <n v="0"/>
    <n v="1200"/>
    <n v="218.26"/>
    <n v="1445.53"/>
    <n v="2024"/>
    <n v="7"/>
    <x v="1"/>
    <n v="4"/>
    <s v="04"/>
    <s v="202404"/>
    <s v="Jul-24"/>
    <n v="23079.47"/>
    <n v="23.079470000000001"/>
  </r>
  <r>
    <d v="2024-07-03T00:00:00"/>
    <s v="OPT-CNXBAN-03-Jul-2024-53000-P-E-I"/>
    <s v="NSE"/>
    <s v="Buy"/>
    <n v="900"/>
    <n v="0"/>
    <n v="22"/>
    <n v="19800"/>
    <s v="#202407033700026043"/>
    <n v="0"/>
    <n v="9.91"/>
    <n v="1"/>
    <n v="0.02"/>
    <n v="1200"/>
    <n v="217.8"/>
    <n v="1428.73"/>
    <n v="2024"/>
    <n v="7"/>
    <x v="1"/>
    <n v="4"/>
    <s v="04"/>
    <s v="202404"/>
    <s v="Jul-24"/>
    <n v="-21228.73"/>
    <n v="-21.228729999999999"/>
  </r>
  <r>
    <d v="2024-07-04T00:00:00"/>
    <s v="OPT-CNXBAN-10-Jul-2024-53100-P-E-I"/>
    <s v="NSE"/>
    <s v="Sell"/>
    <n v="120"/>
    <n v="0"/>
    <n v="547.29999999999995"/>
    <n v="65676"/>
    <s v="#202407043700011781"/>
    <n v="41"/>
    <n v="32.83"/>
    <n v="0"/>
    <n v="7.0000000000000007E-2"/>
    <n v="160"/>
    <n v="34.72"/>
    <n v="268.62"/>
    <n v="2024"/>
    <n v="7"/>
    <x v="1"/>
    <n v="4"/>
    <s v="04"/>
    <s v="202404"/>
    <s v="Jul-24"/>
    <n v="65407.38"/>
    <n v="65.407380000000003"/>
  </r>
  <r>
    <d v="2024-07-04T00:00:00"/>
    <s v="OPT-CNXBAN-10-Jul-2024-53100-P-E-I"/>
    <s v="NSE"/>
    <s v="Buy"/>
    <n v="60"/>
    <n v="0"/>
    <n v="384"/>
    <n v="23040"/>
    <s v="#202407043700005510"/>
    <n v="0"/>
    <n v="11.52"/>
    <n v="0"/>
    <n v="0.02"/>
    <n v="80"/>
    <n v="16.48"/>
    <n v="108.02"/>
    <n v="2024"/>
    <n v="7"/>
    <x v="1"/>
    <n v="4"/>
    <s v="04"/>
    <s v="202404"/>
    <s v="Jul-24"/>
    <n v="-23148.02"/>
    <n v="-23.148019999999999"/>
  </r>
  <r>
    <d v="2024-07-04T00:00:00"/>
    <s v="OPT-CNXBAN-10-Jul-2024-53100-P-E-I"/>
    <s v="NSE"/>
    <s v="Buy"/>
    <n v="60"/>
    <n v="0"/>
    <n v="473.2"/>
    <n v="28392"/>
    <s v="#202407043700001154"/>
    <n v="0"/>
    <n v="14.2"/>
    <n v="2"/>
    <n v="0.03"/>
    <n v="80"/>
    <n v="16.96"/>
    <n v="113.19"/>
    <n v="2024"/>
    <n v="7"/>
    <x v="1"/>
    <n v="4"/>
    <s v="04"/>
    <s v="202404"/>
    <s v="Jul-24"/>
    <n v="-28505.19"/>
    <n v="-28.505189999999999"/>
  </r>
  <r>
    <d v="2024-07-05T00:00:00"/>
    <s v="OPT-CNXBAN-10-Jul-2024-52500-C-E-I"/>
    <s v="NSE"/>
    <s v="Sell"/>
    <n v="75"/>
    <n v="0"/>
    <n v="394.25"/>
    <n v="29568.75"/>
    <s v="#202407053700014938"/>
    <n v="18"/>
    <n v="14.78"/>
    <n v="0"/>
    <n v="0.03"/>
    <n v="100"/>
    <n v="20.66"/>
    <n v="153.47"/>
    <n v="2024"/>
    <n v="7"/>
    <x v="1"/>
    <n v="4"/>
    <s v="04"/>
    <s v="202404"/>
    <s v="Jul-24"/>
    <n v="29415.279999999999"/>
    <n v="29.415279999999999"/>
  </r>
  <r>
    <d v="2024-07-05T00:00:00"/>
    <s v="OPT-CNXBAN-10-Jul-2024-52500-C-E-I"/>
    <s v="NSE"/>
    <s v="Buy"/>
    <n v="75"/>
    <n v="0"/>
    <n v="424.75"/>
    <n v="31856.25"/>
    <s v="#202407053700010353"/>
    <n v="0"/>
    <n v="15.93"/>
    <n v="1"/>
    <n v="0.04"/>
    <n v="100"/>
    <n v="20.88"/>
    <n v="137.85"/>
    <n v="2024"/>
    <n v="7"/>
    <x v="1"/>
    <n v="4"/>
    <s v="04"/>
    <s v="202404"/>
    <s v="Jul-24"/>
    <n v="-31994.1"/>
    <n v="-31.9941"/>
  </r>
  <r>
    <d v="2024-07-08T00:00:00"/>
    <s v="OPT-CNXBAN-10-Jul-2024-52600-C-E-I"/>
    <s v="NSE"/>
    <s v="Sell"/>
    <n v="45"/>
    <n v="0"/>
    <n v="279.25"/>
    <n v="12566.25"/>
    <s v="#202407083700006549"/>
    <n v="8"/>
    <n v="6.28"/>
    <n v="0"/>
    <n v="0.01"/>
    <n v="60"/>
    <n v="11.94"/>
    <n v="86.23"/>
    <n v="2024"/>
    <n v="7"/>
    <x v="1"/>
    <n v="4"/>
    <s v="04"/>
    <s v="202404"/>
    <s v="Jul-24"/>
    <n v="12480.02"/>
    <n v="12.48002"/>
  </r>
  <r>
    <d v="2024-07-08T00:00:00"/>
    <s v="OPT-CNXBAN-10-Jul-2024-52600-C-E-I"/>
    <s v="NSE"/>
    <s v="Buy"/>
    <n v="45"/>
    <n v="0"/>
    <n v="222"/>
    <n v="9990"/>
    <s v="#202407083700004851"/>
    <n v="0"/>
    <n v="5"/>
    <n v="0"/>
    <n v="0.01"/>
    <n v="60"/>
    <n v="11.7"/>
    <n v="76.709999999999994"/>
    <n v="2024"/>
    <n v="7"/>
    <x v="1"/>
    <n v="4"/>
    <s v="04"/>
    <s v="202404"/>
    <s v="Jul-24"/>
    <n v="-10066.709999999999"/>
    <n v="-10.066709999999999"/>
  </r>
  <r>
    <d v="2024-07-09T00:00:00"/>
    <s v="OPT-CNXBAN-10-Jul-2024-52600-P-E-I"/>
    <s v="NSE"/>
    <s v="Sell"/>
    <n v="30"/>
    <n v="0"/>
    <n v="218.25"/>
    <n v="6547.5"/>
    <s v="#202407093700011453"/>
    <n v="3.74"/>
    <n v="3.27"/>
    <n v="0"/>
    <n v="0.01"/>
    <n v="40"/>
    <n v="7.8"/>
    <n v="54.82"/>
    <n v="2024"/>
    <n v="7"/>
    <x v="1"/>
    <n v="4"/>
    <s v="04"/>
    <s v="202404"/>
    <s v="Jul-24"/>
    <n v="6492.68"/>
    <n v="6.49268"/>
  </r>
  <r>
    <d v="2024-07-09T00:00:00"/>
    <s v="OPT-NIFTY-11-Jul-2024-24300-C-E-I"/>
    <s v="NSE"/>
    <s v="Sell"/>
    <n v="125"/>
    <n v="0"/>
    <n v="156.9"/>
    <n v="19612.5"/>
    <s v="#202407093700011257"/>
    <n v="12.26"/>
    <n v="9.81"/>
    <n v="0"/>
    <n v="0.02"/>
    <n v="100"/>
    <n v="19.78"/>
    <n v="141.87"/>
    <n v="2024"/>
    <n v="7"/>
    <x v="1"/>
    <n v="4"/>
    <s v="04"/>
    <s v="202404"/>
    <s v="Jul-24"/>
    <n v="19470.63"/>
    <n v="19.47063"/>
  </r>
  <r>
    <d v="2024-07-09T00:00:00"/>
    <s v="OPT-CNXBAN-10-Jul-2024-52600-P-E-I"/>
    <s v="NSE"/>
    <s v="Buy"/>
    <n v="30"/>
    <n v="0"/>
    <n v="198.1"/>
    <n v="5943"/>
    <s v="#202407093700011156"/>
    <n v="0"/>
    <n v="2.97"/>
    <n v="0.18"/>
    <n v="0.01"/>
    <n v="40"/>
    <n v="7.74"/>
    <n v="50.9"/>
    <n v="2024"/>
    <n v="7"/>
    <x v="1"/>
    <n v="4"/>
    <s v="04"/>
    <s v="202404"/>
    <s v="Jul-24"/>
    <n v="-5993.9"/>
    <n v="-5.9939"/>
  </r>
  <r>
    <d v="2024-07-09T00:00:00"/>
    <s v="OPT-NIFTY-11-Jul-2024-24300-C-E-I"/>
    <s v="NSE"/>
    <s v="Buy"/>
    <n v="125"/>
    <n v="0"/>
    <n v="152.25"/>
    <n v="19031.25"/>
    <s v="#202407093700008695"/>
    <n v="0"/>
    <n v="9.52"/>
    <n v="0.82"/>
    <n v="0.02"/>
    <n v="100"/>
    <n v="19.7"/>
    <n v="130.06"/>
    <n v="2024"/>
    <n v="7"/>
    <x v="1"/>
    <n v="4"/>
    <s v="04"/>
    <s v="202404"/>
    <s v="Jul-24"/>
    <n v="-19161.310000000001"/>
    <n v="-19.16131"/>
  </r>
  <r>
    <d v="2024-07-10T00:00:00"/>
    <s v="OPT-CNXBAN-10-Jul-2024-52100-P-E-I"/>
    <s v="NSE"/>
    <s v="Sell"/>
    <n v="210"/>
    <n v="0"/>
    <n v="109"/>
    <n v="22890"/>
    <s v="#202407103700011144"/>
    <n v="14"/>
    <n v="11.45"/>
    <n v="0"/>
    <n v="0.03"/>
    <n v="280"/>
    <n v="52.48"/>
    <n v="357.96"/>
    <n v="2024"/>
    <n v="7"/>
    <x v="1"/>
    <n v="4"/>
    <s v="04"/>
    <s v="202404"/>
    <s v="Jul-24"/>
    <n v="22532.04"/>
    <n v="22.532040000000002"/>
  </r>
  <r>
    <d v="2024-07-10T00:00:00"/>
    <s v="OPT-CNXBAN-10-Jul-2024-52100-P-E-I"/>
    <s v="NSE"/>
    <s v="Buy"/>
    <n v="105"/>
    <n v="0"/>
    <n v="70.25"/>
    <n v="7376.25"/>
    <s v="#202407103700010063"/>
    <n v="0"/>
    <n v="3.69"/>
    <n v="1"/>
    <n v="0.01"/>
    <n v="140"/>
    <n v="25.86"/>
    <n v="170.56"/>
    <n v="2024"/>
    <n v="7"/>
    <x v="1"/>
    <n v="4"/>
    <s v="04"/>
    <s v="202404"/>
    <s v="Jul-24"/>
    <n v="-7546.81"/>
    <n v="-7.5468100000000007"/>
  </r>
  <r>
    <d v="2024-07-10T00:00:00"/>
    <s v="OPT-CNXBAN-10-Jul-2024-52100-P-E-I"/>
    <s v="NSE"/>
    <s v="Buy"/>
    <n v="105"/>
    <n v="0"/>
    <n v="90"/>
    <n v="9450"/>
    <s v="#202407103700009739"/>
    <n v="0"/>
    <n v="4.7300000000000004"/>
    <n v="0"/>
    <n v="0.01"/>
    <n v="140"/>
    <n v="26.06"/>
    <n v="170.8"/>
    <n v="2024"/>
    <n v="7"/>
    <x v="1"/>
    <n v="4"/>
    <s v="04"/>
    <s v="202404"/>
    <s v="Jul-24"/>
    <n v="-9620.7999999999993"/>
    <n v="-9.6207999999999991"/>
  </r>
  <r>
    <d v="2024-07-11T00:00:00"/>
    <s v="OPT-CNXBAN-16-Jul-2024-52100-P-E-I"/>
    <s v="NSE"/>
    <s v="Sell"/>
    <n v="60"/>
    <n v="0"/>
    <n v="445.25"/>
    <n v="26715"/>
    <s v="#202407113700008862"/>
    <n v="17"/>
    <n v="13.36"/>
    <n v="0"/>
    <n v="0.03"/>
    <n v="80"/>
    <n v="16.82"/>
    <n v="127.21"/>
    <n v="2024"/>
    <n v="7"/>
    <x v="1"/>
    <n v="4"/>
    <s v="04"/>
    <s v="202404"/>
    <s v="Jul-24"/>
    <n v="26587.79"/>
    <n v="26.587790000000002"/>
  </r>
  <r>
    <d v="2024-07-11T00:00:00"/>
    <s v="OPT-CNXBAN-16-Jul-2024-52100-P-E-I"/>
    <s v="NSE"/>
    <s v="Buy"/>
    <n v="60"/>
    <n v="0"/>
    <n v="305.25"/>
    <n v="18315"/>
    <s v="#202407113700003655"/>
    <n v="0"/>
    <n v="9.16"/>
    <n v="1"/>
    <n v="0.01"/>
    <n v="80"/>
    <n v="16.059999999999999"/>
    <n v="106.23"/>
    <n v="2024"/>
    <n v="7"/>
    <x v="1"/>
    <n v="4"/>
    <s v="04"/>
    <s v="202404"/>
    <s v="Jul-24"/>
    <n v="-18421.23"/>
    <n v="-18.421230000000001"/>
  </r>
  <r>
    <d v="2024-07-12T00:00:00"/>
    <s v="OPT-CNXBAN-16-Jul-2024-52600-P-E-I"/>
    <s v="NSE"/>
    <s v="Sell"/>
    <n v="75"/>
    <n v="0"/>
    <n v="346.25"/>
    <n v="25968.75"/>
    <s v="#202407123700015606"/>
    <n v="16"/>
    <n v="12.98"/>
    <n v="0"/>
    <n v="0.03"/>
    <n v="100"/>
    <n v="20.34"/>
    <n v="149.35"/>
    <n v="2024"/>
    <n v="7"/>
    <x v="1"/>
    <n v="4"/>
    <s v="04"/>
    <s v="202404"/>
    <s v="Jul-24"/>
    <n v="25819.4"/>
    <n v="25.819400000000002"/>
  </r>
  <r>
    <d v="2024-07-12T00:00:00"/>
    <s v="OPT-CNXBAN-16-Jul-2024-52600-P-E-I"/>
    <s v="NSE"/>
    <s v="Buy"/>
    <n v="75"/>
    <n v="0"/>
    <n v="326.05"/>
    <n v="24453.75"/>
    <s v="#202407123700013084"/>
    <n v="0"/>
    <n v="12.23"/>
    <n v="1"/>
    <n v="0.02"/>
    <n v="100"/>
    <n v="20.2"/>
    <n v="133.44999999999999"/>
    <n v="2024"/>
    <n v="7"/>
    <x v="1"/>
    <n v="4"/>
    <s v="04"/>
    <s v="202404"/>
    <s v="Jul-24"/>
    <n v="-24587.200000000001"/>
    <n v="-24.587199999999999"/>
  </r>
  <r>
    <d v="2024-07-15T00:00:00"/>
    <s v="OPT-CNXBAN-16-Jul-2024-52500-C-E-I"/>
    <s v="NSE"/>
    <s v="Sell"/>
    <n v="75"/>
    <n v="0"/>
    <n v="175.25"/>
    <n v="13143.75"/>
    <s v="#202407153700010258"/>
    <n v="8"/>
    <n v="6.57"/>
    <n v="0"/>
    <n v="0.01"/>
    <n v="100"/>
    <n v="19.18"/>
    <n v="133.76"/>
    <n v="2024"/>
    <n v="7"/>
    <x v="1"/>
    <n v="4"/>
    <s v="04"/>
    <s v="202404"/>
    <s v="Jul-24"/>
    <n v="13009.99"/>
    <n v="13.00999"/>
  </r>
  <r>
    <d v="2024-07-15T00:00:00"/>
    <s v="OPT-CNXBAN-16-Jul-2024-52500-C-E-I"/>
    <s v="NSE"/>
    <s v="Buy"/>
    <n v="15"/>
    <n v="0"/>
    <n v="140.25"/>
    <n v="2103.75"/>
    <s v="#202407153700004138"/>
    <n v="0"/>
    <n v="1.05"/>
    <n v="0"/>
    <n v="0"/>
    <n v="20"/>
    <n v="3.78"/>
    <n v="24.83"/>
    <n v="2024"/>
    <n v="7"/>
    <x v="1"/>
    <n v="4"/>
    <s v="04"/>
    <s v="202404"/>
    <s v="Jul-24"/>
    <n v="-2128.58"/>
    <n v="-2.1285799999999999"/>
  </r>
  <r>
    <d v="2024-07-15T00:00:00"/>
    <s v="OPT-CNXBAN-16-Jul-2024-52500-C-E-I"/>
    <s v="NSE"/>
    <s v="Buy"/>
    <n v="15"/>
    <n v="0"/>
    <n v="180"/>
    <n v="2700"/>
    <s v="#202407153700002786"/>
    <n v="0"/>
    <n v="1.35"/>
    <n v="0"/>
    <n v="0"/>
    <n v="20"/>
    <n v="3.84"/>
    <n v="25.19"/>
    <n v="2024"/>
    <n v="7"/>
    <x v="1"/>
    <n v="4"/>
    <s v="04"/>
    <s v="202404"/>
    <s v="Jul-24"/>
    <n v="-2725.19"/>
    <n v="-2.72519"/>
  </r>
  <r>
    <d v="2024-07-15T00:00:00"/>
    <s v="OPT-CNXBAN-16-Jul-2024-52500-C-E-I"/>
    <s v="NSE"/>
    <s v="Buy"/>
    <n v="45"/>
    <n v="0"/>
    <n v="216.5"/>
    <n v="9742.5"/>
    <s v="#202407153700002087"/>
    <n v="0"/>
    <n v="4.87"/>
    <n v="0"/>
    <n v="0.01"/>
    <n v="60"/>
    <n v="11.68"/>
    <n v="76.56"/>
    <n v="2024"/>
    <n v="7"/>
    <x v="1"/>
    <n v="4"/>
    <s v="04"/>
    <s v="202404"/>
    <s v="Jul-24"/>
    <n v="-9819.06"/>
    <n v="-9.8190600000000003"/>
  </r>
  <r>
    <d v="2024-07-16T00:00:00"/>
    <s v="OPT-CNXBAN-16-Jul-2024-52500-P-E-I"/>
    <s v="NSE"/>
    <s v="Sell"/>
    <n v="150"/>
    <n v="0"/>
    <n v="99.25"/>
    <n v="14887.5"/>
    <s v="#202407163700011252"/>
    <n v="8.81"/>
    <n v="7.44"/>
    <n v="0"/>
    <n v="0.01"/>
    <n v="200"/>
    <n v="37.340000000000003"/>
    <n v="253.6"/>
    <n v="2024"/>
    <n v="7"/>
    <x v="1"/>
    <n v="4"/>
    <s v="04"/>
    <s v="202404"/>
    <s v="Jul-24"/>
    <n v="14633.9"/>
    <n v="14.633899999999999"/>
  </r>
  <r>
    <d v="2024-07-16T00:00:00"/>
    <s v="OPT-CNXBAN-16-Jul-2024-52500-P-E-I"/>
    <s v="NSE"/>
    <s v="Buy"/>
    <n v="75"/>
    <n v="0"/>
    <n v="142.25"/>
    <n v="10668.75"/>
    <s v="#202407163700007196"/>
    <n v="0"/>
    <n v="5.33"/>
    <n v="0"/>
    <n v="0.01"/>
    <n v="100"/>
    <n v="18.96"/>
    <n v="124.3"/>
    <n v="2024"/>
    <n v="7"/>
    <x v="1"/>
    <n v="4"/>
    <s v="04"/>
    <s v="202404"/>
    <s v="Jul-24"/>
    <n v="-10793.05"/>
    <n v="-10.793049999999999"/>
  </r>
  <r>
    <d v="2024-07-16T00:00:00"/>
    <s v="OPT-CNXBAN-16-Jul-2024-52500-P-E-I"/>
    <s v="NSE"/>
    <s v="Buy"/>
    <n v="75"/>
    <n v="0"/>
    <n v="190"/>
    <n v="14250"/>
    <s v="#202407163700006591"/>
    <n v="0"/>
    <n v="7.13"/>
    <n v="0.37"/>
    <n v="0.01"/>
    <n v="100"/>
    <n v="19.28"/>
    <n v="126.79"/>
    <n v="2024"/>
    <n v="7"/>
    <x v="1"/>
    <n v="4"/>
    <s v="04"/>
    <s v="202404"/>
    <s v="Jul-24"/>
    <n v="-14376.79"/>
    <n v="-14.376790000000002"/>
  </r>
  <r>
    <d v="2024-07-16T00:00:00"/>
    <s v="OPT-CNXBAN-16-Jul-2024-52600-P-E-I"/>
    <s v="NSE"/>
    <s v="Sell"/>
    <n v="90"/>
    <n v="0"/>
    <n v="252.25"/>
    <n v="22702.5"/>
    <s v="#202407163700002279"/>
    <n v="14.18"/>
    <n v="11.35"/>
    <n v="0"/>
    <n v="0.02"/>
    <n v="120"/>
    <n v="23.64"/>
    <n v="169.19"/>
    <n v="2024"/>
    <n v="7"/>
    <x v="1"/>
    <n v="4"/>
    <s v="04"/>
    <s v="202404"/>
    <s v="Jul-24"/>
    <n v="22533.31"/>
    <n v="22.53331"/>
  </r>
  <r>
    <d v="2024-07-16T00:00:00"/>
    <s v="OPT-CNXBAN-16-Jul-2024-52600-P-E-I"/>
    <s v="NSE"/>
    <s v="Buy"/>
    <n v="90"/>
    <n v="0"/>
    <n v="232.05"/>
    <n v="20884.5"/>
    <s v="#202407163700002137"/>
    <n v="0"/>
    <n v="10.44"/>
    <n v="0.63"/>
    <n v="0.02"/>
    <n v="120"/>
    <n v="23.48"/>
    <n v="154.57"/>
    <n v="2024"/>
    <n v="7"/>
    <x v="1"/>
    <n v="4"/>
    <s v="04"/>
    <s v="202404"/>
    <s v="Jul-24"/>
    <n v="-21039.07"/>
    <n v="-21.039069999999999"/>
  </r>
  <r>
    <d v="2024-07-18T00:00:00"/>
    <s v="OPT-NIFTY-18-Jul-2024-24500-P-E-I"/>
    <s v="NSE"/>
    <s v="Sell"/>
    <n v="900"/>
    <n v="0"/>
    <n v="31"/>
    <n v="27900"/>
    <s v="#202407184500001624"/>
    <n v="17"/>
    <n v="13.95"/>
    <n v="0"/>
    <n v="0.03"/>
    <n v="720"/>
    <n v="132.12"/>
    <n v="883.1"/>
    <n v="2024"/>
    <n v="7"/>
    <x v="1"/>
    <n v="4"/>
    <s v="04"/>
    <s v="202404"/>
    <s v="Jul-24"/>
    <n v="27016.9"/>
    <n v="27.0169"/>
  </r>
  <r>
    <d v="2024-07-18T00:00:00"/>
    <s v="OPT-NIFTY-18-Jul-2024-24500-P-E-I"/>
    <s v="NSE"/>
    <s v="Buy"/>
    <n v="900"/>
    <n v="0"/>
    <n v="11"/>
    <n v="9900"/>
    <s v="#202407184500000398"/>
    <n v="0"/>
    <n v="4.96"/>
    <n v="0"/>
    <n v="0.01"/>
    <n v="720"/>
    <n v="130.5"/>
    <n v="855.47"/>
    <n v="2024"/>
    <n v="7"/>
    <x v="1"/>
    <n v="4"/>
    <s v="04"/>
    <s v="202404"/>
    <s v="Jul-24"/>
    <n v="-10755.47"/>
    <n v="-10.755469999999999"/>
  </r>
  <r>
    <d v="2024-07-19T00:00:00"/>
    <s v="OPT-NIFTY-25-Jul-2024-24600-P-E-I"/>
    <s v="NSE"/>
    <s v="Sell"/>
    <n v="75"/>
    <n v="0"/>
    <n v="246"/>
    <n v="18450"/>
    <s v="#202407193700016606"/>
    <n v="11.53"/>
    <n v="9.23"/>
    <n v="0"/>
    <n v="0.02"/>
    <n v="60"/>
    <n v="12.46"/>
    <n v="93.24"/>
    <n v="2024"/>
    <n v="7"/>
    <x v="1"/>
    <n v="4"/>
    <s v="04"/>
    <s v="202404"/>
    <s v="Jul-24"/>
    <n v="18356.759999999998"/>
    <n v="18.356759999999998"/>
  </r>
  <r>
    <d v="2024-07-19T00:00:00"/>
    <s v="OPT-CNXBAN-24-Jul-2024-52600-C-E-I"/>
    <s v="NSE"/>
    <s v="Sell"/>
    <n v="15"/>
    <n v="0"/>
    <n v="389.25"/>
    <n v="5838.75"/>
    <s v="#202407193700013431"/>
    <n v="3.47"/>
    <n v="2.92"/>
    <n v="0"/>
    <n v="0.01"/>
    <n v="20"/>
    <n v="4.12"/>
    <n v="30.52"/>
    <n v="2024"/>
    <n v="7"/>
    <x v="1"/>
    <n v="4"/>
    <s v="04"/>
    <s v="202404"/>
    <s v="Jul-24"/>
    <n v="5808.23"/>
    <n v="5.80823"/>
  </r>
  <r>
    <d v="2024-07-19T00:00:00"/>
    <s v="OPT-NIFTY-25-Jul-2024-24600-P-E-I"/>
    <s v="NSE"/>
    <s v="Buy"/>
    <n v="75"/>
    <n v="0"/>
    <n v="220"/>
    <n v="16500"/>
    <s v="#202407193700013322"/>
    <n v="0"/>
    <n v="8.25"/>
    <n v="0.82"/>
    <n v="0.02"/>
    <n v="60"/>
    <n v="12.28"/>
    <n v="81.37"/>
    <n v="2024"/>
    <n v="7"/>
    <x v="1"/>
    <n v="4"/>
    <s v="04"/>
    <s v="202404"/>
    <s v="Jul-24"/>
    <n v="-16581.37"/>
    <n v="-16.58137"/>
  </r>
  <r>
    <d v="2024-07-19T00:00:00"/>
    <s v="OPT-CNXBAN-24-Jul-2024-52600-C-E-I"/>
    <s v="NSE"/>
    <s v="Buy"/>
    <n v="15"/>
    <n v="0"/>
    <n v="411"/>
    <n v="6165"/>
    <s v="#202407193700011349"/>
    <n v="0"/>
    <n v="3.08"/>
    <n v="0.18"/>
    <n v="0.01"/>
    <n v="20"/>
    <n v="4.16"/>
    <n v="27.43"/>
    <n v="2024"/>
    <n v="7"/>
    <x v="1"/>
    <n v="4"/>
    <s v="04"/>
    <s v="202404"/>
    <s v="Jul-24"/>
    <n v="-6192.43"/>
    <n v="-6.1924299999999999"/>
  </r>
  <r>
    <d v="2024-07-22T00:00:00"/>
    <s v="OPT-NIFSEL-22-Jul-2024-12125-P-E-I"/>
    <s v="NSE"/>
    <s v="Sell"/>
    <n v="1800"/>
    <n v="0"/>
    <n v="2.6"/>
    <n v="4680"/>
    <s v="#202407223700012072"/>
    <n v="3"/>
    <n v="2.35"/>
    <n v="0"/>
    <n v="0"/>
    <n v="480"/>
    <n v="86.86"/>
    <n v="572.21"/>
    <n v="2024"/>
    <n v="7"/>
    <x v="1"/>
    <n v="4"/>
    <s v="04"/>
    <s v="202404"/>
    <s v="Jul-24"/>
    <n v="4107.79"/>
    <n v="4.1077899999999996"/>
  </r>
  <r>
    <d v="2024-07-22T00:00:00"/>
    <s v="OPT-NIFSEL-22-Jul-2024-12125-P-E-I"/>
    <s v="NSE"/>
    <s v="Buy"/>
    <n v="900"/>
    <n v="0"/>
    <n v="3"/>
    <n v="2700"/>
    <s v="#202407223700011357"/>
    <n v="0"/>
    <n v="1.35"/>
    <n v="0"/>
    <n v="0"/>
    <n v="240"/>
    <n v="43.44"/>
    <n v="284.79000000000002"/>
    <n v="2024"/>
    <n v="7"/>
    <x v="1"/>
    <n v="4"/>
    <s v="04"/>
    <s v="202404"/>
    <s v="Jul-24"/>
    <n v="-2984.79"/>
    <n v="-2.9847899999999998"/>
  </r>
  <r>
    <d v="2024-07-22T00:00:00"/>
    <s v="OPT-NIFSEL-22-Jul-2024-12125-P-E-I"/>
    <s v="NSE"/>
    <s v="Buy"/>
    <n v="900"/>
    <n v="0"/>
    <n v="6.7"/>
    <n v="6030"/>
    <s v="#202407223700007233"/>
    <n v="0"/>
    <n v="3.01"/>
    <n v="0"/>
    <n v="0"/>
    <n v="240"/>
    <n v="43.74"/>
    <n v="286.75"/>
    <n v="2024"/>
    <n v="7"/>
    <x v="1"/>
    <n v="4"/>
    <s v="04"/>
    <s v="202404"/>
    <s v="Jul-24"/>
    <n v="-6316.75"/>
    <n v="-6.3167499999999999"/>
  </r>
  <r>
    <d v="2024-07-23T00:00:00"/>
    <s v="OPT-CNXBAN-24-Jul-2024-52500-C-E-I"/>
    <s v="NSE"/>
    <s v="Buy"/>
    <n v="150"/>
    <n v="0"/>
    <n v="98.4"/>
    <n v="14759.25"/>
    <s v="#202407233700015906"/>
    <n v="0"/>
    <n v="7.38"/>
    <n v="1.38"/>
    <n v="0.01"/>
    <n v="200"/>
    <n v="37.340000000000003"/>
    <n v="246.11"/>
    <n v="2024"/>
    <n v="7"/>
    <x v="1"/>
    <n v="4"/>
    <s v="04"/>
    <s v="202404"/>
    <s v="Jul-24"/>
    <n v="-15005.36"/>
    <n v="-15.005360000000001"/>
  </r>
  <r>
    <d v="2024-07-23T00:00:00"/>
    <s v="OPT-CNXBAN-24-Jul-2024-52500-C-E-I"/>
    <s v="NSE"/>
    <s v="Buy"/>
    <n v="45"/>
    <n v="0"/>
    <n v="435.65"/>
    <n v="19604.25"/>
    <s v="#202407233700008621"/>
    <n v="0"/>
    <n v="9.8000000000000007"/>
    <n v="0"/>
    <n v="0.02"/>
    <n v="60"/>
    <n v="12.56"/>
    <n v="82.38"/>
    <n v="2024"/>
    <n v="7"/>
    <x v="1"/>
    <n v="4"/>
    <s v="04"/>
    <s v="202404"/>
    <s v="Jul-24"/>
    <n v="-19686.63"/>
    <n v="-19.686630000000001"/>
  </r>
  <r>
    <d v="2024-07-23T00:00:00"/>
    <s v="OPT-CNXBAN-24-Jul-2024-51500-P-E-I"/>
    <s v="NSE"/>
    <s v="Sell"/>
    <n v="75"/>
    <n v="0"/>
    <n v="195"/>
    <n v="14625"/>
    <s v="#202407233700007998"/>
    <n v="9"/>
    <n v="7.31"/>
    <n v="0"/>
    <n v="0.01"/>
    <n v="100"/>
    <n v="19.32"/>
    <n v="135.63999999999999"/>
    <n v="2024"/>
    <n v="7"/>
    <x v="1"/>
    <n v="4"/>
    <s v="04"/>
    <s v="202404"/>
    <s v="Jul-24"/>
    <n v="14489.36"/>
    <n v="14.489360000000001"/>
  </r>
  <r>
    <d v="2024-07-23T00:00:00"/>
    <s v="OPT-CNXBAN-24-Jul-2024-51500-P-E-I"/>
    <s v="NSE"/>
    <s v="Buy"/>
    <n v="75"/>
    <n v="0"/>
    <n v="275.98"/>
    <n v="20698.5"/>
    <s v="#202407233700002991"/>
    <n v="0"/>
    <n v="10.35"/>
    <n v="0.62"/>
    <n v="0.01"/>
    <n v="100"/>
    <n v="19.88"/>
    <n v="130.86000000000001"/>
    <n v="2024"/>
    <n v="7"/>
    <x v="1"/>
    <n v="4"/>
    <s v="04"/>
    <s v="202404"/>
    <s v="Jul-24"/>
    <n v="-20829.36"/>
    <n v="-20.829360000000001"/>
  </r>
  <r>
    <d v="2024-07-24T00:00:00"/>
    <s v="OPT-CNXBAN-24-Jul-2024-52500-C-E-I"/>
    <s v="NSE"/>
    <s v="Sell"/>
    <n v="195"/>
    <n v="0"/>
    <n v="8.75"/>
    <n v="1706.25"/>
    <s v="#202407243700012998"/>
    <n v="1.07"/>
    <n v="0.85"/>
    <n v="0"/>
    <n v="0"/>
    <n v="260"/>
    <n v="46.96"/>
    <n v="308.88"/>
    <n v="2024"/>
    <n v="7"/>
    <x v="1"/>
    <n v="4"/>
    <s v="04"/>
    <s v="202404"/>
    <s v="Jul-24"/>
    <n v="1397.37"/>
    <n v="1.39737"/>
  </r>
  <r>
    <d v="2024-07-24T00:00:00"/>
    <s v="OPT-CNXBAN-24-Jul-2024-52500-C-E-I"/>
    <s v="NSE"/>
    <s v="Sell"/>
    <n v="900"/>
    <n v="0"/>
    <n v="8.6999999999999993"/>
    <n v="7830"/>
    <s v="#202407243700012974"/>
    <n v="4.8899999999999997"/>
    <n v="3.92"/>
    <n v="0"/>
    <n v="0"/>
    <n v="1200"/>
    <n v="216.7"/>
    <n v="1425.51"/>
    <n v="2024"/>
    <n v="7"/>
    <x v="1"/>
    <n v="4"/>
    <s v="04"/>
    <s v="202404"/>
    <s v="Jul-24"/>
    <n v="6404.49"/>
    <n v="6.40449"/>
  </r>
  <r>
    <d v="2024-07-24T00:00:00"/>
    <s v="OPT-CNXBAN-24-Jul-2024-52500-C-E-I"/>
    <s v="NSE"/>
    <s v="Sell"/>
    <n v="900"/>
    <n v="0"/>
    <n v="8.75"/>
    <n v="7875"/>
    <s v="#202407243700012951"/>
    <n v="5.03"/>
    <n v="3.94"/>
    <n v="0"/>
    <n v="0"/>
    <n v="1200"/>
    <n v="216.72"/>
    <n v="1425.69"/>
    <n v="2024"/>
    <n v="7"/>
    <x v="1"/>
    <n v="4"/>
    <s v="04"/>
    <s v="202404"/>
    <s v="Jul-24"/>
    <n v="6449.3099999999995"/>
    <n v="6.4493099999999997"/>
  </r>
  <r>
    <d v="2024-07-24T00:00:00"/>
    <s v="OPT-CNXBAN-24-Jul-2024-52500-C-E-I"/>
    <s v="NSE"/>
    <s v="Buy"/>
    <n v="900"/>
    <n v="0"/>
    <n v="16.25"/>
    <n v="14625"/>
    <s v="#202407243700011697"/>
    <n v="0"/>
    <n v="7.32"/>
    <n v="0"/>
    <n v="0.02"/>
    <n v="1200"/>
    <n v="217.3"/>
    <n v="1424.64"/>
    <n v="2024"/>
    <n v="7"/>
    <x v="1"/>
    <n v="4"/>
    <s v="04"/>
    <s v="202404"/>
    <s v="Jul-24"/>
    <n v="-16049.64"/>
    <n v="-16.04964"/>
  </r>
  <r>
    <d v="2024-07-24T00:00:00"/>
    <s v="OPT-CNXBAN-24-Jul-2024-52500-C-E-I"/>
    <s v="NSE"/>
    <s v="Buy"/>
    <n v="900"/>
    <n v="0"/>
    <n v="21.25"/>
    <n v="19125"/>
    <s v="#202407243700001880"/>
    <n v="0"/>
    <n v="9.57"/>
    <n v="1"/>
    <n v="0.02"/>
    <n v="1200"/>
    <n v="217.74"/>
    <n v="1428.33"/>
    <n v="2024"/>
    <n v="7"/>
    <x v="1"/>
    <n v="4"/>
    <s v="04"/>
    <s v="202404"/>
    <s v="Jul-24"/>
    <n v="-20553.330000000002"/>
    <n v="-20.553330000000003"/>
  </r>
  <r>
    <d v="2024-08-07T00:00:00"/>
    <s v="OPT-CNXBAN-07-Aug-2024-50200-C-E-I"/>
    <s v="NSE"/>
    <s v="Sell"/>
    <n v="210"/>
    <n v="0"/>
    <n v="15.25"/>
    <n v="3202.5"/>
    <s v="#202408073700023365"/>
    <n v="2"/>
    <n v="1.6"/>
    <n v="0"/>
    <n v="0"/>
    <n v="280"/>
    <n v="50.68"/>
    <n v="334.28"/>
    <n v="2024"/>
    <n v="8"/>
    <x v="1"/>
    <n v="5"/>
    <s v="05"/>
    <s v="202405"/>
    <s v="Aug-24"/>
    <n v="2868.2200000000003"/>
    <n v="2.8682200000000004"/>
  </r>
  <r>
    <d v="2024-08-07T00:00:00"/>
    <s v="OPT-CNXBAN-07-Aug-2024-50200-C-E-I"/>
    <s v="NSE"/>
    <s v="Sell"/>
    <n v="900"/>
    <n v="0"/>
    <n v="15.25"/>
    <n v="13725"/>
    <s v="#202408073700023346"/>
    <n v="9"/>
    <n v="6.86"/>
    <n v="0"/>
    <n v="0.02"/>
    <n v="1200"/>
    <n v="217.24"/>
    <n v="1433.12"/>
    <n v="2024"/>
    <n v="8"/>
    <x v="1"/>
    <n v="5"/>
    <s v="05"/>
    <s v="202405"/>
    <s v="Aug-24"/>
    <n v="12291.880000000001"/>
    <n v="12.291880000000001"/>
  </r>
  <r>
    <d v="2024-08-07T00:00:00"/>
    <s v="OPT-CNXBAN-07-Aug-2024-50200-C-E-I"/>
    <s v="NSE"/>
    <s v="Buy"/>
    <n v="900"/>
    <n v="0"/>
    <n v="33.25"/>
    <n v="29925"/>
    <s v="#202408073700017198"/>
    <n v="0"/>
    <n v="14.97"/>
    <n v="2"/>
    <n v="0.02"/>
    <n v="1200"/>
    <n v="218.7"/>
    <n v="1435.69"/>
    <n v="2024"/>
    <n v="8"/>
    <x v="1"/>
    <n v="5"/>
    <s v="05"/>
    <s v="202405"/>
    <s v="Aug-24"/>
    <n v="-31360.69"/>
    <n v="-31.360689999999998"/>
  </r>
  <r>
    <d v="2024-08-07T00:00:00"/>
    <s v="OPT-CNXBAN-07-Aug-2024-50200-C-E-I"/>
    <s v="NSE"/>
    <s v="Buy"/>
    <n v="210"/>
    <n v="0"/>
    <n v="101.25"/>
    <n v="21262.5"/>
    <s v="#202408073700010955"/>
    <n v="0"/>
    <n v="10.63"/>
    <n v="0"/>
    <n v="0.02"/>
    <n v="280"/>
    <n v="52.32"/>
    <n v="342.97"/>
    <n v="2024"/>
    <n v="8"/>
    <x v="1"/>
    <n v="5"/>
    <s v="05"/>
    <s v="202405"/>
    <s v="Aug-24"/>
    <n v="-21605.47"/>
    <n v="-21.60547"/>
  </r>
  <r>
    <d v="2024-08-14T00:00:00"/>
    <s v="OPT-CNXBAN-14-Aug-2024-49600-C-E-I"/>
    <s v="NSE"/>
    <s v="Sell"/>
    <n v="150"/>
    <n v="0"/>
    <n v="185.25"/>
    <n v="27787.5"/>
    <s v="#202408143700013405"/>
    <n v="17"/>
    <n v="13.9"/>
    <n v="0"/>
    <n v="0.03"/>
    <n v="200"/>
    <n v="38.520000000000003"/>
    <n v="269.45"/>
    <n v="2024"/>
    <n v="8"/>
    <x v="1"/>
    <n v="5"/>
    <s v="05"/>
    <s v="202405"/>
    <s v="Aug-24"/>
    <n v="27518.05"/>
    <n v="27.518049999999999"/>
  </r>
  <r>
    <d v="2024-08-14T00:00:00"/>
    <s v="OPT-CNXBAN-14-Aug-2024-49600-C-E-I"/>
    <s v="NSE"/>
    <s v="Buy"/>
    <n v="75"/>
    <n v="0"/>
    <n v="145"/>
    <n v="10875"/>
    <s v="#202408143700012472"/>
    <n v="0"/>
    <n v="5.44"/>
    <n v="0"/>
    <n v="0.01"/>
    <n v="100"/>
    <n v="18.98"/>
    <n v="124.43"/>
    <n v="2024"/>
    <n v="8"/>
    <x v="1"/>
    <n v="5"/>
    <s v="05"/>
    <s v="202405"/>
    <s v="Aug-24"/>
    <n v="-10999.43"/>
    <n v="-10.99943"/>
  </r>
  <r>
    <d v="2024-08-14T00:00:00"/>
    <s v="OPT-CNXBAN-14-Aug-2024-49600-C-E-I"/>
    <s v="NSE"/>
    <s v="Buy"/>
    <n v="75"/>
    <n v="0"/>
    <n v="195"/>
    <n v="14625"/>
    <s v="#202408143700006914"/>
    <n v="0"/>
    <n v="7.31"/>
    <n v="1"/>
    <n v="0.01"/>
    <n v="100"/>
    <n v="19.32"/>
    <n v="127.64"/>
    <n v="2024"/>
    <n v="8"/>
    <x v="1"/>
    <n v="5"/>
    <s v="05"/>
    <s v="202405"/>
    <s v="Aug-24"/>
    <n v="-14752.64"/>
    <n v="-14.75264"/>
  </r>
  <r>
    <d v="2024-09-20T00:00:00"/>
    <s v="OPT-CNXBAN-25-Sep-2024-53400-P-E-I"/>
    <s v="NSE"/>
    <s v="Buy"/>
    <n v="15"/>
    <n v="0"/>
    <n v="244"/>
    <n v="3660"/>
    <s v="#202409203700028224"/>
    <n v="0"/>
    <n v="1.83"/>
    <n v="0"/>
    <n v="0"/>
    <n v="20"/>
    <n v="3.92"/>
    <n v="25.75"/>
    <n v="2024"/>
    <n v="9"/>
    <x v="1"/>
    <n v="6"/>
    <s v="06"/>
    <s v="202406"/>
    <s v="Sep-24"/>
    <n v="-3685.75"/>
    <n v="-3.6857500000000001"/>
  </r>
  <r>
    <d v="2024-09-20T00:00:00"/>
    <s v="OPT-CNXBAN-25-Sep-2024-53400-P-E-I"/>
    <s v="NSE"/>
    <s v="Buy"/>
    <n v="15"/>
    <n v="0"/>
    <n v="295.64999999999998"/>
    <n v="4434.75"/>
    <s v="#202409203700027816"/>
    <n v="0"/>
    <n v="2.2200000000000002"/>
    <n v="0"/>
    <n v="0"/>
    <n v="20"/>
    <n v="4"/>
    <n v="26.22"/>
    <n v="2024"/>
    <n v="9"/>
    <x v="1"/>
    <n v="6"/>
    <s v="06"/>
    <s v="202406"/>
    <s v="Sep-24"/>
    <n v="-4460.97"/>
    <n v="-4.4609700000000005"/>
  </r>
  <r>
    <d v="2024-09-20T00:00:00"/>
    <s v="OPT-CNXBAN-25-Sep-2024-53400-P-E-I"/>
    <s v="NSE"/>
    <s v="Buy"/>
    <n v="15"/>
    <n v="0"/>
    <n v="329.25"/>
    <n v="4938.75"/>
    <s v="#202409203700027257"/>
    <n v="0"/>
    <n v="2.4700000000000002"/>
    <n v="0.39"/>
    <n v="0"/>
    <n v="20"/>
    <n v="4.04"/>
    <n v="26.9"/>
    <n v="2024"/>
    <n v="9"/>
    <x v="1"/>
    <n v="6"/>
    <s v="06"/>
    <s v="202406"/>
    <s v="Sep-24"/>
    <n v="-4965.6499999999996"/>
    <n v="-4.9656499999999992"/>
  </r>
  <r>
    <d v="2024-09-20T00:00:00"/>
    <s v="OPT-CNXBAN-25-Sep-2024-53600-P-E-I"/>
    <s v="NSE"/>
    <s v="Sell"/>
    <n v="60"/>
    <n v="0"/>
    <n v="375.25"/>
    <n v="22515"/>
    <s v="#202409203700018721"/>
    <n v="14"/>
    <n v="11.26"/>
    <n v="0"/>
    <n v="0.02"/>
    <n v="80"/>
    <n v="16.440000000000001"/>
    <n v="121.72"/>
    <n v="2024"/>
    <n v="9"/>
    <x v="1"/>
    <n v="6"/>
    <s v="06"/>
    <s v="202406"/>
    <s v="Sep-24"/>
    <n v="22393.279999999999"/>
    <n v="22.393279999999997"/>
  </r>
  <r>
    <d v="2024-09-20T00:00:00"/>
    <s v="OPT-CNXBAN-25-Sep-2024-53600-P-E-I"/>
    <s v="NSE"/>
    <s v="Buy"/>
    <n v="60"/>
    <n v="0"/>
    <n v="345"/>
    <n v="20700"/>
    <s v="#202409203700017858"/>
    <n v="0"/>
    <n v="10.35"/>
    <n v="0.61"/>
    <n v="0.02"/>
    <n v="80"/>
    <n v="16.260000000000002"/>
    <n v="107.24"/>
    <n v="2024"/>
    <n v="9"/>
    <x v="1"/>
    <n v="6"/>
    <s v="06"/>
    <s v="202406"/>
    <s v="Sep-24"/>
    <n v="-20807.240000000002"/>
    <n v="-20.80724"/>
  </r>
  <r>
    <d v="2024-09-24T00:00:00"/>
    <s v="OPT-CNXBAN-25-Sep-2024-53400-P-E-I"/>
    <s v="NSE"/>
    <s v="Buy"/>
    <n v="210"/>
    <n v="0"/>
    <n v="25"/>
    <n v="5250"/>
    <s v="#202409243700019760"/>
    <n v="0"/>
    <n v="2.62"/>
    <n v="0"/>
    <n v="0"/>
    <n v="280"/>
    <n v="50.86"/>
    <n v="333.48"/>
    <n v="2024"/>
    <n v="9"/>
    <x v="1"/>
    <n v="6"/>
    <s v="06"/>
    <s v="202406"/>
    <s v="Sep-24"/>
    <n v="-5583.48"/>
    <n v="-5.5834799999999998"/>
  </r>
  <r>
    <d v="2024-09-24T00:00:00"/>
    <s v="OPT-CNXBAN-25-Sep-2024-53400-P-E-I"/>
    <s v="NSE"/>
    <s v="Buy"/>
    <n v="210"/>
    <n v="0"/>
    <n v="39.5"/>
    <n v="8295"/>
    <s v="#202409243700005081"/>
    <n v="0"/>
    <n v="4.1500000000000004"/>
    <n v="1"/>
    <n v="0.01"/>
    <n v="280"/>
    <n v="51.14"/>
    <n v="336.3"/>
    <n v="2024"/>
    <n v="9"/>
    <x v="1"/>
    <n v="6"/>
    <s v="06"/>
    <s v="202406"/>
    <s v="Sep-24"/>
    <n v="-8631.2999999999993"/>
    <n v="-8.6312999999999995"/>
  </r>
  <r>
    <d v="2024-09-24T00:00:00"/>
    <s v="OPT-CNXBAN-25-Sep-2024-53400-P-E-I"/>
    <s v="NSE"/>
    <s v="Buy"/>
    <n v="210"/>
    <n v="0"/>
    <n v="55.25"/>
    <n v="11602.5"/>
    <s v="#202409243700002217"/>
    <n v="0"/>
    <n v="5.8"/>
    <n v="0"/>
    <n v="0.01"/>
    <n v="280"/>
    <n v="51.46"/>
    <n v="337.27"/>
    <n v="2024"/>
    <n v="9"/>
    <x v="1"/>
    <n v="6"/>
    <s v="06"/>
    <s v="202406"/>
    <s v="Sep-24"/>
    <n v="-11939.77"/>
    <n v="-11.939770000000001"/>
  </r>
  <r>
    <d v="2024-09-25T00:00:00"/>
    <s v="OPT-CNXBAN-25-Sep-2024-53400-P-E-I"/>
    <s v="NSE"/>
    <s v="Sell"/>
    <n v="675"/>
    <n v="0"/>
    <n v="5"/>
    <n v="3375"/>
    <s v="#202409253700018335"/>
    <n v="2.0099999999999998"/>
    <n v="1.7"/>
    <n v="0"/>
    <n v="0"/>
    <n v="900"/>
    <n v="162.28"/>
    <n v="1065.99"/>
    <n v="2024"/>
    <n v="9"/>
    <x v="1"/>
    <n v="6"/>
    <s v="06"/>
    <s v="202406"/>
    <s v="Sep-24"/>
    <n v="2309.0100000000002"/>
    <n v="2.3090100000000002"/>
  </r>
  <r>
    <d v="2024-10-01T00:00:00"/>
    <s v="OPT-CNXBAN-01-Oct-2024-52600-P-E-I"/>
    <s v="NSE"/>
    <s v="Sell"/>
    <n v="900"/>
    <n v="0"/>
    <n v="5"/>
    <n v="4500"/>
    <s v="#202410013700016116"/>
    <n v="4.38"/>
    <n v="1.6"/>
    <n v="0"/>
    <n v="0"/>
    <n v="1200"/>
    <n v="216.3"/>
    <n v="1422.28"/>
    <n v="2024"/>
    <n v="10"/>
    <x v="1"/>
    <n v="7"/>
    <s v="07"/>
    <s v="202407"/>
    <s v="Oct-24"/>
    <n v="3077.7200000000003"/>
    <n v="3.0777200000000002"/>
  </r>
  <r>
    <d v="2024-10-01T00:00:00"/>
    <s v="OPT-CNXBAN-01-Oct-2024-52600-P-E-I"/>
    <s v="NSE"/>
    <s v="Sell"/>
    <n v="900"/>
    <n v="0"/>
    <n v="5"/>
    <n v="4500"/>
    <s v="#202410013700016095"/>
    <n v="4.5"/>
    <n v="1.6"/>
    <n v="0"/>
    <n v="0"/>
    <n v="1200"/>
    <n v="216.28"/>
    <n v="1422.38"/>
    <n v="2024"/>
    <n v="10"/>
    <x v="1"/>
    <n v="7"/>
    <s v="07"/>
    <s v="202407"/>
    <s v="Oct-24"/>
    <n v="3077.62"/>
    <n v="3.07762"/>
  </r>
  <r>
    <d v="2024-10-01T00:00:00"/>
    <s v="OPT-CNXBAN-01-Oct-2024-52600-P-E-I"/>
    <s v="NSE"/>
    <s v="Sell"/>
    <n v="900"/>
    <n v="0"/>
    <n v="5"/>
    <n v="4500"/>
    <s v="#202410013700016052"/>
    <n v="4.53"/>
    <n v="1.61"/>
    <n v="0"/>
    <n v="0"/>
    <n v="1200"/>
    <n v="216.28"/>
    <n v="1422.42"/>
    <n v="2024"/>
    <n v="10"/>
    <x v="1"/>
    <n v="7"/>
    <s v="07"/>
    <s v="202407"/>
    <s v="Oct-24"/>
    <n v="3077.58"/>
    <n v="3.0775799999999998"/>
  </r>
  <r>
    <d v="2024-10-01T00:00:00"/>
    <s v="OPT-CNXBAN-01-Oct-2024-52600-P-E-I"/>
    <s v="NSE"/>
    <s v="Sell"/>
    <n v="900"/>
    <n v="0"/>
    <n v="6.25"/>
    <n v="5625"/>
    <s v="#202410013700015064"/>
    <n v="5.63"/>
    <n v="2"/>
    <n v="0"/>
    <n v="0.01"/>
    <n v="1200"/>
    <n v="216.36"/>
    <n v="1424"/>
    <n v="2024"/>
    <n v="10"/>
    <x v="1"/>
    <n v="7"/>
    <s v="07"/>
    <s v="202407"/>
    <s v="Oct-24"/>
    <n v="4201"/>
    <n v="4.2009999999999996"/>
  </r>
  <r>
    <d v="2024-10-01T00:00:00"/>
    <s v="OPT-CNXBAN-01-Oct-2024-52600-P-E-I"/>
    <s v="NSE"/>
    <s v="Buy"/>
    <n v="900"/>
    <n v="0"/>
    <n v="10"/>
    <n v="9000"/>
    <s v="#202410013700014274"/>
    <n v="0"/>
    <n v="3.19"/>
    <n v="0"/>
    <n v="0"/>
    <n v="1200"/>
    <n v="216.58"/>
    <n v="1419.77"/>
    <n v="2024"/>
    <n v="10"/>
    <x v="1"/>
    <n v="7"/>
    <s v="07"/>
    <s v="202407"/>
    <s v="Oct-24"/>
    <n v="-10419.77"/>
    <n v="-10.41977"/>
  </r>
  <r>
    <d v="2024-10-01T00:00:00"/>
    <s v="OPT-CNXBAN-01-Oct-2024-52600-P-E-I"/>
    <s v="NSE"/>
    <s v="Buy"/>
    <n v="900"/>
    <n v="0"/>
    <n v="11"/>
    <n v="9900"/>
    <s v="#202410013700014076"/>
    <n v="0"/>
    <n v="3.52"/>
    <n v="0"/>
    <n v="0"/>
    <n v="1200"/>
    <n v="216.62"/>
    <n v="1420.14"/>
    <n v="2024"/>
    <n v="10"/>
    <x v="1"/>
    <n v="7"/>
    <s v="07"/>
    <s v="202407"/>
    <s v="Oct-24"/>
    <n v="-11320.14"/>
    <n v="-11.320139999999999"/>
  </r>
  <r>
    <d v="2024-10-01T00:00:00"/>
    <s v="OPT-CNXBAN-01-Oct-2024-52600-P-E-I"/>
    <s v="NSE"/>
    <s v="Buy"/>
    <n v="900"/>
    <n v="0"/>
    <n v="14.25"/>
    <n v="12825"/>
    <s v="#202410013700013040"/>
    <n v="0"/>
    <n v="4.57"/>
    <n v="0"/>
    <n v="0.01"/>
    <n v="1200"/>
    <n v="216.84"/>
    <n v="1421.42"/>
    <n v="2024"/>
    <n v="10"/>
    <x v="1"/>
    <n v="7"/>
    <s v="07"/>
    <s v="202407"/>
    <s v="Oct-24"/>
    <n v="-14246.42"/>
    <n v="-14.246420000000001"/>
  </r>
  <r>
    <d v="2024-10-01T00:00:00"/>
    <s v="OPT-CNXBAN-01-Oct-2024-52600-P-E-I"/>
    <s v="NSE"/>
    <s v="Buy"/>
    <n v="900"/>
    <n v="0"/>
    <n v="14"/>
    <n v="12600"/>
    <s v="#202410013700012956"/>
    <n v="0"/>
    <n v="4.4800000000000004"/>
    <n v="1"/>
    <n v="0.02"/>
    <n v="1200"/>
    <n v="216.82"/>
    <n v="1422.32"/>
    <n v="2024"/>
    <n v="10"/>
    <x v="1"/>
    <n v="7"/>
    <s v="07"/>
    <s v="202407"/>
    <s v="Oct-24"/>
    <n v="-14022.32"/>
    <n v="-14.022320000000001"/>
  </r>
  <r>
    <d v="2024-11-05T00:00:00"/>
    <s v="OPT-CNXBAN-06-Nov-2024-52000-C-E-I"/>
    <s v="NSE"/>
    <s v="Sell"/>
    <n v="210"/>
    <n v="0"/>
    <n v="119.25"/>
    <n v="25042.5"/>
    <s v="#202411053700010395"/>
    <n v="25"/>
    <n v="8.89"/>
    <n v="0"/>
    <n v="0.02"/>
    <n v="280"/>
    <n v="52"/>
    <n v="365.91"/>
    <n v="2024"/>
    <n v="11"/>
    <x v="1"/>
    <n v="8"/>
    <s v="08"/>
    <s v="202408"/>
    <s v="Nov-24"/>
    <n v="24676.59"/>
    <n v="24.676590000000001"/>
  </r>
  <r>
    <d v="2024-11-05T00:00:00"/>
    <s v="OPT-CNXBAN-06-Nov-2024-52000-C-E-I"/>
    <s v="NSE"/>
    <s v="Buy"/>
    <n v="210"/>
    <n v="0"/>
    <n v="89"/>
    <n v="18690"/>
    <s v="#202411053700010072"/>
    <n v="0"/>
    <n v="6.63"/>
    <n v="1"/>
    <n v="0.01"/>
    <n v="280"/>
    <n v="51.6"/>
    <n v="339.24"/>
    <n v="2024"/>
    <n v="11"/>
    <x v="1"/>
    <n v="8"/>
    <s v="08"/>
    <s v="202408"/>
    <s v="Nov-24"/>
    <n v="-19029.240000000002"/>
    <n v="-19.029240000000001"/>
  </r>
  <r>
    <d v="2024-11-06T00:00:00"/>
    <s v="OPT-CNXBAN-06-Nov-2024-53000-C-E-I"/>
    <s v="NSE"/>
    <s v="Sell"/>
    <n v="900"/>
    <n v="0"/>
    <n v="3.9"/>
    <n v="3510"/>
    <s v="#202411063700020506"/>
    <n v="3.59"/>
    <n v="1.25"/>
    <n v="0"/>
    <n v="0"/>
    <n v="1200"/>
    <n v="216.24"/>
    <n v="1421.08"/>
    <n v="2024"/>
    <n v="11"/>
    <x v="1"/>
    <n v="8"/>
    <s v="08"/>
    <s v="202408"/>
    <s v="Nov-24"/>
    <n v="2088.92"/>
    <n v="2.0889199999999999"/>
  </r>
  <r>
    <d v="2024-11-06T00:00:00"/>
    <s v="OPT-CNXBAN-06-Nov-2024-53000-C-E-I"/>
    <s v="NSE"/>
    <s v="Sell"/>
    <n v="900"/>
    <n v="0"/>
    <n v="2.4500000000000002"/>
    <n v="2205"/>
    <s v="#202411063700020488"/>
    <n v="2.2000000000000002"/>
    <n v="0.79"/>
    <n v="0"/>
    <n v="0"/>
    <n v="1200"/>
    <n v="216.14"/>
    <n v="1419.13"/>
    <n v="2024"/>
    <n v="11"/>
    <x v="1"/>
    <n v="8"/>
    <s v="08"/>
    <s v="202408"/>
    <s v="Nov-24"/>
    <n v="785.86999999999989"/>
    <n v="0.78586999999999985"/>
  </r>
  <r>
    <d v="2024-11-06T00:00:00"/>
    <s v="OPT-CNXBAN-06-Nov-2024-53000-C-E-I"/>
    <s v="NSE"/>
    <s v="Sell"/>
    <n v="900"/>
    <n v="0"/>
    <n v="2.4500000000000002"/>
    <n v="2205"/>
    <s v="#202411063700020450"/>
    <n v="2.21"/>
    <n v="0.78"/>
    <n v="0"/>
    <n v="0"/>
    <n v="1200"/>
    <n v="216.14"/>
    <n v="1419.13"/>
    <n v="2024"/>
    <n v="11"/>
    <x v="1"/>
    <n v="8"/>
    <s v="08"/>
    <s v="202408"/>
    <s v="Nov-24"/>
    <n v="785.86999999999989"/>
    <n v="0.78586999999999985"/>
  </r>
  <r>
    <d v="2024-11-06T00:00:00"/>
    <s v="OPT-CNXBAN-06-Nov-2024-53000-C-E-I"/>
    <s v="NSE"/>
    <s v="Buy"/>
    <n v="900"/>
    <n v="0"/>
    <n v="11.25"/>
    <n v="10125"/>
    <s v="#202411063700008941"/>
    <n v="0"/>
    <n v="3.6"/>
    <n v="0"/>
    <n v="0.01"/>
    <n v="1200"/>
    <n v="216.66"/>
    <n v="1420.27"/>
    <n v="2024"/>
    <n v="11"/>
    <x v="1"/>
    <n v="8"/>
    <s v="08"/>
    <s v="202408"/>
    <s v="Nov-24"/>
    <n v="-11545.27"/>
    <n v="-11.54527"/>
  </r>
  <r>
    <d v="2024-11-06T00:00:00"/>
    <s v="OPT-CNXBAN-06-Nov-2024-53000-C-E-I"/>
    <s v="NSE"/>
    <s v="Buy"/>
    <n v="900"/>
    <n v="0"/>
    <n v="20"/>
    <n v="18000"/>
    <s v="#202411063700005998"/>
    <n v="0"/>
    <n v="6.39"/>
    <n v="2"/>
    <n v="0.01"/>
    <n v="1200"/>
    <n v="217.16"/>
    <n v="1425.56"/>
    <n v="2024"/>
    <n v="11"/>
    <x v="1"/>
    <n v="8"/>
    <s v="08"/>
    <s v="202408"/>
    <s v="Nov-24"/>
    <n v="-19425.560000000001"/>
    <n v="-19.425560000000001"/>
  </r>
  <r>
    <d v="2024-11-06T00:00:00"/>
    <s v="OPT-CNXBAN-06-Nov-2024-53000-C-E-I"/>
    <s v="NSE"/>
    <s v="Buy"/>
    <n v="900"/>
    <n v="0"/>
    <n v="41.25"/>
    <n v="37125"/>
    <s v="#202411062500000737"/>
    <n v="0"/>
    <n v="13.2"/>
    <n v="0"/>
    <n v="0.04"/>
    <n v="1200"/>
    <n v="218.4"/>
    <n v="1431.64"/>
    <n v="2024"/>
    <n v="11"/>
    <x v="1"/>
    <n v="8"/>
    <s v="08"/>
    <s v="202408"/>
    <s v="Nov-24"/>
    <n v="-38556.639999999999"/>
    <n v="-38.556640000000002"/>
  </r>
  <r>
    <d v="2024-11-19T00:00:00"/>
    <s v="OPT-CNXBAN-27-Nov-2024-50000-P-E-I"/>
    <s v="NSE"/>
    <s v="Buy"/>
    <n v="15"/>
    <n v="0"/>
    <n v="200.8"/>
    <n v="3012"/>
    <s v="#202411193700022342"/>
    <n v="0"/>
    <n v="1.07"/>
    <n v="0"/>
    <n v="0"/>
    <n v="20"/>
    <n v="3.8"/>
    <n v="24.87"/>
    <n v="2024"/>
    <n v="11"/>
    <x v="1"/>
    <n v="8"/>
    <s v="08"/>
    <s v="202408"/>
    <s v="Nov-24"/>
    <n v="-3036.87"/>
    <n v="-3.03687"/>
  </r>
  <r>
    <d v="2024-11-21T00:00:00"/>
    <s v="OPT-CNXBAN-27-Nov-2024-49000-P-E-I"/>
    <s v="NSE"/>
    <s v="Buy"/>
    <n v="15"/>
    <n v="0"/>
    <n v="104"/>
    <n v="1560"/>
    <s v="#202411213700019130"/>
    <n v="0"/>
    <n v="0.55000000000000004"/>
    <n v="0"/>
    <n v="0"/>
    <n v="20"/>
    <n v="3.7"/>
    <n v="24.25"/>
    <n v="2024"/>
    <n v="11"/>
    <x v="1"/>
    <n v="8"/>
    <s v="08"/>
    <s v="202408"/>
    <s v="Nov-24"/>
    <n v="-1584.25"/>
    <n v="-1.5842499999999999"/>
  </r>
  <r>
    <d v="2024-11-21T00:00:00"/>
    <s v="OPT-NIFTY-21-Nov-2024-23300-C-E-I"/>
    <s v="NSE"/>
    <s v="Sell"/>
    <n v="50"/>
    <n v="0"/>
    <n v="52.25"/>
    <n v="2612.5"/>
    <s v="#202411213700010450"/>
    <n v="2.61"/>
    <n v="0.93"/>
    <n v="0"/>
    <n v="0"/>
    <n v="40"/>
    <n v="7.36"/>
    <n v="50.9"/>
    <n v="2024"/>
    <n v="11"/>
    <x v="1"/>
    <n v="8"/>
    <s v="08"/>
    <s v="202408"/>
    <s v="Nov-24"/>
    <n v="2561.6"/>
    <n v="2.5615999999999999"/>
  </r>
  <r>
    <d v="2024-11-21T00:00:00"/>
    <s v="OPT-NIFTY-21-Nov-2024-23300-C-E-I"/>
    <s v="NSE"/>
    <s v="Buy"/>
    <n v="25"/>
    <n v="0"/>
    <n v="31.8"/>
    <n v="795"/>
    <s v="#202411213700009633"/>
    <n v="0"/>
    <n v="0.28000000000000003"/>
    <n v="0"/>
    <n v="0"/>
    <n v="20"/>
    <n v="3.66"/>
    <n v="23.94"/>
    <n v="2024"/>
    <n v="11"/>
    <x v="1"/>
    <n v="8"/>
    <s v="08"/>
    <s v="202408"/>
    <s v="Nov-24"/>
    <n v="-818.94"/>
    <n v="-0.81894"/>
  </r>
  <r>
    <d v="2024-11-21T00:00:00"/>
    <s v="OPT-NIFTY-21-Nov-2024-23300-C-E-I"/>
    <s v="NSE"/>
    <s v="Buy"/>
    <n v="25"/>
    <n v="0"/>
    <n v="32.15"/>
    <n v="803.75"/>
    <s v="#202411213700009035"/>
    <n v="0"/>
    <n v="0.28999999999999998"/>
    <n v="0"/>
    <n v="0"/>
    <n v="20"/>
    <n v="3.66"/>
    <n v="23.95"/>
    <n v="2024"/>
    <n v="11"/>
    <x v="1"/>
    <n v="8"/>
    <s v="08"/>
    <s v="202408"/>
    <s v="Nov-24"/>
    <n v="-827.7"/>
    <n v="-0.82769999999999999"/>
  </r>
  <r>
    <d v="2024-11-21T00:00:00"/>
    <s v="OPT-CNXBAN-27-Nov-2024-50000-P-E-I"/>
    <s v="NSE"/>
    <s v="Sell"/>
    <n v="15"/>
    <n v="0"/>
    <n v="380.8"/>
    <n v="5712"/>
    <s v="#202411213700001653"/>
    <n v="5.39"/>
    <n v="2.0299999999999998"/>
    <n v="0"/>
    <n v="0.01"/>
    <n v="20"/>
    <n v="3.96"/>
    <n v="31.39"/>
    <n v="2024"/>
    <n v="11"/>
    <x v="1"/>
    <n v="8"/>
    <s v="08"/>
    <s v="202408"/>
    <s v="Nov-24"/>
    <n v="5680.61"/>
    <n v="5.6806099999999997"/>
  </r>
  <r>
    <d v="2024-11-26T00:00:00"/>
    <s v="OPT-CNXBAN-27-Nov-2024-49000-P-E-I"/>
    <s v="NSE"/>
    <s v="Sell"/>
    <n v="15"/>
    <n v="0"/>
    <n v="3.35"/>
    <n v="50.25"/>
    <s v="#202411263700019660"/>
    <n v="0"/>
    <n v="0.02"/>
    <n v="0"/>
    <n v="0"/>
    <n v="20"/>
    <n v="3.6"/>
    <n v="23.62"/>
    <n v="2024"/>
    <n v="11"/>
    <x v="1"/>
    <n v="8"/>
    <s v="08"/>
    <s v="202408"/>
    <s v="Nov-24"/>
    <n v="26.63"/>
    <n v="2.6629999999999997E-2"/>
  </r>
  <r>
    <d v="2024-11-29T00:00:00"/>
    <s v="OPT-CNXBAN-24-Dec-2024-49000-P-E-I"/>
    <s v="NSE"/>
    <s v="Buy"/>
    <n v="15"/>
    <n v="0"/>
    <n v="110"/>
    <n v="1650"/>
    <s v="#202411293700018464"/>
    <n v="0"/>
    <n v="0.59"/>
    <n v="0"/>
    <n v="0"/>
    <n v="20"/>
    <n v="3.7"/>
    <n v="24.29"/>
    <n v="2024"/>
    <n v="11"/>
    <x v="1"/>
    <n v="8"/>
    <s v="08"/>
    <s v="202408"/>
    <s v="Nov-24"/>
    <n v="-1674.29"/>
    <n v="-1.6742900000000001"/>
  </r>
  <r>
    <d v="2024-12-02T00:00:00"/>
    <s v="OPT-CNXBAN-24-Dec-2024-49000-P-E-I"/>
    <s v="NSE"/>
    <s v="Buy"/>
    <n v="45"/>
    <n v="0"/>
    <n v="131.1"/>
    <n v="5899.5"/>
    <s v="#202412023700007623"/>
    <n v="0"/>
    <n v="2.1"/>
    <n v="0"/>
    <n v="0.01"/>
    <n v="60"/>
    <n v="11.18"/>
    <n v="73.290000000000006"/>
    <n v="2024"/>
    <n v="12"/>
    <x v="1"/>
    <n v="9"/>
    <s v="09"/>
    <s v="202409"/>
    <s v="Dec-24"/>
    <n v="-5972.79"/>
    <n v="-5.9727899999999998"/>
  </r>
  <r>
    <d v="2024-12-03T00:00:00"/>
    <s v="OPT-NIFTY-05-Dec-2024-24400-P-E-I"/>
    <s v="NSE"/>
    <s v="Buy"/>
    <n v="100"/>
    <n v="0"/>
    <n v="121"/>
    <n v="12100"/>
    <s v="#202412033700009477"/>
    <n v="0"/>
    <n v="4.3"/>
    <n v="0"/>
    <n v="0.01"/>
    <n v="80"/>
    <n v="15.18"/>
    <n v="99.49"/>
    <n v="2024"/>
    <n v="12"/>
    <x v="1"/>
    <n v="9"/>
    <s v="09"/>
    <s v="202409"/>
    <s v="Dec-24"/>
    <n v="-12199.49"/>
    <n v="-12.199489999999999"/>
  </r>
  <r>
    <d v="2024-12-04T00:00:00"/>
    <s v="OPT-CNXBAN-24-Dec-2024-49000-P-E-I"/>
    <s v="NSE"/>
    <s v="Buy"/>
    <n v="210"/>
    <n v="0"/>
    <n v="61"/>
    <n v="12810"/>
    <s v="#202412043700012019"/>
    <n v="0"/>
    <n v="4.5599999999999996"/>
    <n v="0.38"/>
    <n v="0.01"/>
    <n v="280"/>
    <n v="51.22"/>
    <n v="336.17"/>
    <n v="2024"/>
    <n v="12"/>
    <x v="1"/>
    <n v="9"/>
    <s v="09"/>
    <s v="202409"/>
    <s v="Dec-24"/>
    <n v="-13146.17"/>
    <n v="-13.14617"/>
  </r>
  <r>
    <d v="2024-12-04T00:00:00"/>
    <s v="OPT-NIFTY-05-Dec-2024-24400-P-E-I"/>
    <s v="NSE"/>
    <s v="Sell"/>
    <n v="300"/>
    <n v="0"/>
    <n v="91.25"/>
    <n v="27375"/>
    <s v="#202412043700011560"/>
    <n v="27"/>
    <n v="9.73"/>
    <n v="0"/>
    <n v="0.03"/>
    <n v="240"/>
    <n v="44.96"/>
    <n v="321.72000000000003"/>
    <n v="2024"/>
    <n v="12"/>
    <x v="1"/>
    <n v="9"/>
    <s v="09"/>
    <s v="202409"/>
    <s v="Dec-24"/>
    <n v="27053.279999999999"/>
    <n v="27.053279999999997"/>
  </r>
  <r>
    <d v="2024-12-04T00:00:00"/>
    <s v="OPT-NIFTY-05-Dec-2024-24400-P-E-I"/>
    <s v="NSE"/>
    <s v="Buy"/>
    <n v="200"/>
    <n v="0"/>
    <n v="71.25"/>
    <n v="14250"/>
    <s v="#202412043700010215"/>
    <n v="0"/>
    <n v="5.08"/>
    <n v="0.62"/>
    <n v="0"/>
    <n v="160"/>
    <n v="29.68"/>
    <n v="195.38"/>
    <n v="2024"/>
    <n v="12"/>
    <x v="1"/>
    <n v="9"/>
    <s v="09"/>
    <s v="202409"/>
    <s v="Dec-24"/>
    <n v="-14445.38"/>
    <n v="-14.445379999999998"/>
  </r>
  <r>
    <d v="2024-12-06T00:00:00"/>
    <s v="OPT-NIFTY-12-Dec-2024-24350-P-E-I"/>
    <s v="NSE"/>
    <s v="Buy"/>
    <n v="150"/>
    <n v="0"/>
    <n v="70.8"/>
    <n v="10620"/>
    <s v="#202412063700007927"/>
    <n v="0"/>
    <n v="3.77"/>
    <n v="0"/>
    <n v="0.01"/>
    <n v="120"/>
    <n v="22.28"/>
    <n v="146.06"/>
    <n v="2024"/>
    <n v="12"/>
    <x v="1"/>
    <n v="9"/>
    <s v="09"/>
    <s v="202409"/>
    <s v="Dec-24"/>
    <n v="-10766.06"/>
    <n v="-10.76606"/>
  </r>
  <r>
    <d v="2024-12-06T00:00:00"/>
    <s v="OPT-NIFTY-12-Dec-2024-24350-P-E-I"/>
    <s v="NSE"/>
    <s v="Buy"/>
    <n v="100"/>
    <n v="0"/>
    <n v="90.1"/>
    <n v="9010"/>
    <s v="#202412063700004140"/>
    <n v="0"/>
    <n v="3.2"/>
    <n v="0"/>
    <n v="0.01"/>
    <n v="80"/>
    <n v="14.98"/>
    <n v="98.19"/>
    <n v="2024"/>
    <n v="12"/>
    <x v="1"/>
    <n v="9"/>
    <s v="09"/>
    <s v="202409"/>
    <s v="Dec-24"/>
    <n v="-9108.19"/>
    <n v="-9.1081900000000005"/>
  </r>
  <r>
    <d v="2024-12-06T00:00:00"/>
    <s v="OPT-NIFTY-12-Dec-2024-24350-P-E-I"/>
    <s v="NSE"/>
    <s v="Buy"/>
    <n v="250"/>
    <n v="0"/>
    <n v="101.25"/>
    <n v="25312.5"/>
    <s v="#202412063700002690"/>
    <n v="0"/>
    <n v="9"/>
    <n v="1"/>
    <n v="0.03"/>
    <n v="200"/>
    <n v="37.619999999999997"/>
    <n v="247.65"/>
    <n v="2024"/>
    <n v="12"/>
    <x v="1"/>
    <n v="9"/>
    <s v="09"/>
    <s v="202409"/>
    <s v="Dec-24"/>
    <n v="-25560.15"/>
    <n v="-25.56015"/>
  </r>
  <r>
    <d v="2024-12-09T00:00:00"/>
    <s v="OPT-NIFTY-12-Dec-2024-24700-P-E-I"/>
    <s v="NSE"/>
    <s v="Sell"/>
    <n v="500"/>
    <n v="0"/>
    <n v="205.25"/>
    <n v="102625"/>
    <s v="#202412093700015341"/>
    <n v="103.01"/>
    <n v="36.47"/>
    <n v="0"/>
    <n v="0.1"/>
    <n v="400"/>
    <n v="78.58"/>
    <n v="618.16"/>
    <n v="2024"/>
    <n v="12"/>
    <x v="1"/>
    <n v="9"/>
    <s v="09"/>
    <s v="202409"/>
    <s v="Dec-24"/>
    <n v="102006.84"/>
    <n v="102.00684"/>
  </r>
  <r>
    <d v="2024-12-09T00:00:00"/>
    <s v="OPT-NIFTY-12-Dec-2024-24700-P-E-I"/>
    <s v="NSE"/>
    <s v="Buy"/>
    <n v="500"/>
    <n v="0"/>
    <n v="174.55"/>
    <n v="87275"/>
    <s v="#202412093700010715"/>
    <n v="0"/>
    <n v="31.01"/>
    <n v="3"/>
    <n v="0.09"/>
    <n v="400"/>
    <n v="77.599999999999994"/>
    <n v="511.7"/>
    <n v="2024"/>
    <n v="12"/>
    <x v="1"/>
    <n v="9"/>
    <s v="09"/>
    <s v="202409"/>
    <s v="Dec-24"/>
    <n v="-87786.7"/>
    <n v="-87.786699999999996"/>
  </r>
  <r>
    <d v="2024-12-10T00:00:00"/>
    <s v="OPT-NIFTY-12-Dec-2024-24650-P-E-I"/>
    <s v="NSE"/>
    <s v="Sell"/>
    <n v="500"/>
    <n v="0"/>
    <n v="165"/>
    <n v="82500"/>
    <s v="#202412103700009401"/>
    <n v="83"/>
    <n v="29.31"/>
    <n v="0"/>
    <n v="0.08"/>
    <n v="400"/>
    <n v="77.3"/>
    <n v="589.69000000000005"/>
    <n v="2024"/>
    <n v="12"/>
    <x v="1"/>
    <n v="9"/>
    <s v="09"/>
    <s v="202409"/>
    <s v="Dec-24"/>
    <n v="81910.31"/>
    <n v="81.910309999999996"/>
  </r>
  <r>
    <d v="2024-12-10T00:00:00"/>
    <s v="OPT-NIFTY-12-Dec-2024-24650-P-E-I"/>
    <s v="NSE"/>
    <s v="Buy"/>
    <n v="500"/>
    <n v="0"/>
    <n v="151.25"/>
    <n v="75625"/>
    <s v="#202412103700001564"/>
    <n v="0"/>
    <n v="26.88"/>
    <n v="2"/>
    <n v="0.08"/>
    <n v="400"/>
    <n v="76.84"/>
    <n v="505.8"/>
    <n v="2024"/>
    <n v="12"/>
    <x v="1"/>
    <n v="9"/>
    <s v="09"/>
    <s v="202409"/>
    <s v="Dec-24"/>
    <n v="-76130.8"/>
    <n v="-76.130800000000008"/>
  </r>
  <r>
    <d v="2024-12-11T00:00:00"/>
    <s v="OPT-NIFTY-12-Dec-2024-24650-P-E-I"/>
    <s v="NSE"/>
    <s v="Sell"/>
    <n v="1000"/>
    <n v="0"/>
    <n v="69.06"/>
    <n v="69060"/>
    <s v="#202412113700016642"/>
    <n v="69.099999999999994"/>
    <n v="24.54"/>
    <n v="0"/>
    <n v="0.04"/>
    <n v="800"/>
    <n v="148.36000000000001"/>
    <n v="1042.04"/>
    <n v="2024"/>
    <n v="12"/>
    <x v="1"/>
    <n v="9"/>
    <s v="09"/>
    <s v="202409"/>
    <s v="Dec-24"/>
    <n v="68017.960000000006"/>
    <n v="68.017960000000002"/>
  </r>
  <r>
    <d v="2024-12-11T00:00:00"/>
    <s v="OPT-NIFTY-12-Dec-2024-24350-P-E-I"/>
    <s v="NSE"/>
    <s v="Sell"/>
    <n v="500"/>
    <n v="0"/>
    <n v="8.1"/>
    <n v="4050"/>
    <s v="#202412113700006420"/>
    <n v="4.05"/>
    <n v="1.44"/>
    <n v="0"/>
    <n v="0"/>
    <n v="400"/>
    <n v="72.260000000000005"/>
    <n v="477.75"/>
    <n v="2024"/>
    <n v="12"/>
    <x v="1"/>
    <n v="9"/>
    <s v="09"/>
    <s v="202409"/>
    <s v="Dec-24"/>
    <n v="3572.25"/>
    <n v="3.5722499999999999"/>
  </r>
  <r>
    <d v="2024-12-11T00:00:00"/>
    <s v="OPT-NIFTY-12-Dec-2024-24650-P-E-I"/>
    <s v="NSE"/>
    <s v="Buy"/>
    <n v="1000"/>
    <n v="0"/>
    <n v="101.25"/>
    <n v="101250"/>
    <s v="#202412113700004424"/>
    <n v="0"/>
    <n v="35.979999999999997"/>
    <n v="3"/>
    <n v="0.11"/>
    <n v="800"/>
    <n v="150.46"/>
    <n v="989.55"/>
    <n v="2024"/>
    <n v="12"/>
    <x v="1"/>
    <n v="9"/>
    <s v="09"/>
    <s v="202409"/>
    <s v="Dec-24"/>
    <n v="-102239.55"/>
    <n v="-102.23955000000001"/>
  </r>
  <r>
    <d v="2024-12-11T00:00:00"/>
    <s v="OPT-CNXBAN-24-Dec-2024-49000-P-E-I"/>
    <s v="NSE"/>
    <s v="Sell"/>
    <n v="270"/>
    <n v="0"/>
    <n v="21.1"/>
    <n v="5697"/>
    <s v="#202412113700000644"/>
    <n v="5.93"/>
    <n v="1.99"/>
    <n v="0"/>
    <n v="0"/>
    <n v="360"/>
    <n v="65.16"/>
    <n v="433.08"/>
    <n v="2024"/>
    <n v="12"/>
    <x v="1"/>
    <n v="9"/>
    <s v="09"/>
    <s v="202409"/>
    <s v="Dec-24"/>
    <n v="5263.92"/>
    <n v="5.2639199999999997"/>
  </r>
  <r>
    <d v="2024-12-13T00:00:00"/>
    <s v="OPT-NIFTY-19-Dec-2024-24650-C-E-I"/>
    <s v="NSE"/>
    <s v="Sell"/>
    <n v="200"/>
    <n v="0"/>
    <n v="215.25"/>
    <n v="43050"/>
    <s v="#202412133700021488"/>
    <n v="43.3"/>
    <n v="15.28"/>
    <n v="0"/>
    <n v="0.05"/>
    <n v="160"/>
    <n v="31.52"/>
    <n v="250.15"/>
    <n v="2024"/>
    <n v="12"/>
    <x v="1"/>
    <n v="9"/>
    <s v="09"/>
    <s v="202409"/>
    <s v="Dec-24"/>
    <n v="42799.85"/>
    <n v="42.799849999999999"/>
  </r>
  <r>
    <d v="2024-12-13T00:00:00"/>
    <s v="OPT-NIFTY-19-Dec-2024-24650-C-E-I"/>
    <s v="NSE"/>
    <s v="Buy"/>
    <n v="200"/>
    <n v="0"/>
    <n v="193.95"/>
    <n v="38790"/>
    <s v="#202412133700021055"/>
    <n v="0"/>
    <n v="13.78"/>
    <n v="0.8"/>
    <n v="0.03"/>
    <n v="160"/>
    <n v="31.28"/>
    <n v="205.89"/>
    <n v="2024"/>
    <n v="12"/>
    <x v="1"/>
    <n v="9"/>
    <s v="09"/>
    <s v="202409"/>
    <s v="Dec-24"/>
    <n v="-38995.89"/>
    <n v="-38.995890000000003"/>
  </r>
  <r>
    <d v="2024-12-13T00:00:00"/>
    <s v="OPT-NIFTY-19-Dec-2024-24550-C-E-I"/>
    <s v="NSE"/>
    <s v="Sell"/>
    <n v="100"/>
    <n v="0"/>
    <n v="241.65"/>
    <n v="24165"/>
    <s v="#202412133700018623"/>
    <n v="24.16"/>
    <n v="8.6"/>
    <n v="0"/>
    <n v="0.04"/>
    <n v="80"/>
    <n v="15.92"/>
    <n v="128.72"/>
    <n v="2024"/>
    <n v="12"/>
    <x v="1"/>
    <n v="9"/>
    <s v="09"/>
    <s v="202409"/>
    <s v="Dec-24"/>
    <n v="24036.28"/>
    <n v="24.036279999999998"/>
  </r>
  <r>
    <d v="2024-12-13T00:00:00"/>
    <s v="OPT-NIFTY-19-Dec-2024-24550-C-E-I"/>
    <s v="NSE"/>
    <s v="Buy"/>
    <n v="100"/>
    <n v="0"/>
    <n v="200.55"/>
    <n v="20055"/>
    <s v="#202412133700018408"/>
    <n v="0"/>
    <n v="7.13"/>
    <n v="0.6"/>
    <n v="0.02"/>
    <n v="80"/>
    <n v="15.68"/>
    <n v="103.43"/>
    <n v="2024"/>
    <n v="12"/>
    <x v="1"/>
    <n v="9"/>
    <s v="09"/>
    <s v="202409"/>
    <s v="Dec-24"/>
    <n v="-20158.43"/>
    <n v="-20.158429999999999"/>
  </r>
  <r>
    <d v="2024-12-13T00:00:00"/>
    <s v="OPT-NIFTY-19-Dec-2024-24500-P-E-I"/>
    <s v="NSE"/>
    <s v="Sell"/>
    <n v="100"/>
    <n v="0"/>
    <n v="215.25"/>
    <n v="21525"/>
    <s v="#202412133700001539"/>
    <n v="21.52"/>
    <n v="7.64"/>
    <n v="0"/>
    <n v="0.02"/>
    <n v="80"/>
    <n v="15.76"/>
    <n v="124.94"/>
    <n v="2024"/>
    <n v="12"/>
    <x v="1"/>
    <n v="9"/>
    <s v="09"/>
    <s v="202409"/>
    <s v="Dec-24"/>
    <n v="21400.06"/>
    <n v="21.40006"/>
  </r>
  <r>
    <d v="2024-12-13T00:00:00"/>
    <s v="OPT-NIFTY-19-Dec-2024-24500-P-E-I"/>
    <s v="NSE"/>
    <s v="Buy"/>
    <n v="100"/>
    <n v="0"/>
    <n v="201"/>
    <n v="20100"/>
    <s v="#202412133700001262"/>
    <n v="0"/>
    <n v="7.14"/>
    <n v="0.6"/>
    <n v="0.02"/>
    <n v="80"/>
    <n v="15.68"/>
    <n v="103.44"/>
    <n v="2024"/>
    <n v="12"/>
    <x v="1"/>
    <n v="9"/>
    <s v="09"/>
    <s v="202409"/>
    <s v="Dec-24"/>
    <n v="-20203.439999999999"/>
    <n v="-20.203439999999997"/>
  </r>
  <r>
    <d v="2024-12-16T00:00:00"/>
    <s v="OPT-NIFTY-19-Dec-2024-24700-P-E-I"/>
    <s v="NSE"/>
    <s v="Buy"/>
    <n v="200"/>
    <n v="0"/>
    <n v="175.25"/>
    <n v="35050"/>
    <s v="#202412163700016230"/>
    <n v="0"/>
    <n v="12.46"/>
    <n v="1.05"/>
    <n v="0.04"/>
    <n v="160"/>
    <n v="31.04"/>
    <n v="204.59"/>
    <n v="2024"/>
    <n v="12"/>
    <x v="1"/>
    <n v="9"/>
    <s v="09"/>
    <s v="202409"/>
    <s v="Dec-24"/>
    <n v="-35254.589999999997"/>
    <n v="-35.254589999999993"/>
  </r>
  <r>
    <d v="2024-12-16T00:00:00"/>
    <s v="OPT-NIFTY-19-Dec-2024-24600-P-E-I"/>
    <s v="NSE"/>
    <s v="Sell"/>
    <n v="250"/>
    <n v="0"/>
    <n v="162.25"/>
    <n v="40562.5"/>
    <s v="#202412163700011988"/>
    <n v="40.56"/>
    <n v="14.42"/>
    <n v="0"/>
    <n v="0.04"/>
    <n v="200"/>
    <n v="38.6"/>
    <n v="293.62"/>
    <n v="2024"/>
    <n v="12"/>
    <x v="1"/>
    <n v="9"/>
    <s v="09"/>
    <s v="202409"/>
    <s v="Dec-24"/>
    <n v="40268.879999999997"/>
    <n v="40.268879999999996"/>
  </r>
  <r>
    <d v="2024-12-16T00:00:00"/>
    <s v="OPT-NIFTY-19-Dec-2024-24600-P-E-I"/>
    <s v="NSE"/>
    <s v="Buy"/>
    <n v="250"/>
    <n v="0"/>
    <n v="151.25"/>
    <n v="37812.5"/>
    <s v="#202412163700009840"/>
    <n v="0"/>
    <n v="13.43"/>
    <n v="1.1299999999999999"/>
    <n v="0.04"/>
    <n v="200"/>
    <n v="38.42"/>
    <n v="253.02"/>
    <n v="2024"/>
    <n v="12"/>
    <x v="1"/>
    <n v="9"/>
    <s v="09"/>
    <s v="202409"/>
    <s v="Dec-24"/>
    <n v="-38065.519999999997"/>
    <n v="-38.065519999999999"/>
  </r>
  <r>
    <d v="2024-12-16T00:00:00"/>
    <s v="OPT-NIFTY-19-Dec-2024-24650-P-E-I"/>
    <s v="NSE"/>
    <s v="Sell"/>
    <n v="250"/>
    <n v="0"/>
    <n v="157"/>
    <n v="39250"/>
    <s v="#202412163700007081"/>
    <n v="39.26"/>
    <n v="13.94"/>
    <n v="0"/>
    <n v="0.04"/>
    <n v="200"/>
    <n v="38.520000000000003"/>
    <n v="291.76"/>
    <n v="2024"/>
    <n v="12"/>
    <x v="1"/>
    <n v="9"/>
    <s v="09"/>
    <s v="202409"/>
    <s v="Dec-24"/>
    <n v="38958.239999999998"/>
    <n v="38.958239999999996"/>
  </r>
  <r>
    <d v="2024-12-16T00:00:00"/>
    <s v="OPT-NIFTY-19-Dec-2024-24650-P-E-I"/>
    <s v="NSE"/>
    <s v="Buy"/>
    <n v="250"/>
    <n v="0"/>
    <n v="131.25"/>
    <n v="32812.5"/>
    <s v="#202412163700006128"/>
    <n v="0"/>
    <n v="11.66"/>
    <n v="0.98"/>
    <n v="0.03"/>
    <n v="200"/>
    <n v="38.119999999999997"/>
    <n v="250.79"/>
    <n v="2024"/>
    <n v="12"/>
    <x v="1"/>
    <n v="9"/>
    <s v="09"/>
    <s v="202409"/>
    <s v="Dec-24"/>
    <n v="-33063.29"/>
    <n v="-33.063290000000002"/>
  </r>
  <r>
    <d v="2024-12-16T00:00:00"/>
    <s v="OPT-NIFTY-19-Dec-2024-24350-P-E-I"/>
    <s v="NSE"/>
    <s v="Sell"/>
    <n v="1000"/>
    <n v="0"/>
    <n v="38.549999999999997"/>
    <n v="38550"/>
    <s v="#202412163700003620"/>
    <n v="38.19"/>
    <n v="13.69"/>
    <n v="0"/>
    <n v="0.03"/>
    <n v="800"/>
    <n v="146.46"/>
    <n v="998.37"/>
    <n v="2024"/>
    <n v="12"/>
    <x v="1"/>
    <n v="9"/>
    <s v="09"/>
    <s v="202409"/>
    <s v="Dec-24"/>
    <n v="37551.629999999997"/>
    <n v="37.551629999999996"/>
  </r>
  <r>
    <d v="2024-12-16T00:00:00"/>
    <s v="OPT-NIFTY-19-Dec-2024-24350-P-E-I"/>
    <s v="NSE"/>
    <s v="Buy"/>
    <n v="1000"/>
    <n v="0"/>
    <n v="48.05"/>
    <n v="48050"/>
    <s v="#202412163700003194"/>
    <n v="0"/>
    <n v="17.07"/>
    <n v="1.84"/>
    <n v="0.05"/>
    <n v="800"/>
    <n v="147.08000000000001"/>
    <n v="966.04"/>
    <n v="2024"/>
    <n v="12"/>
    <x v="1"/>
    <n v="9"/>
    <s v="09"/>
    <s v="202409"/>
    <s v="Dec-24"/>
    <n v="-49016.04"/>
    <n v="-49.016040000000004"/>
  </r>
  <r>
    <d v="2024-12-17T00:00:00"/>
    <s v="OPT-NIFTY-19-Dec-2024-24550-C-E-I"/>
    <s v="NSE"/>
    <s v="Sell"/>
    <n v="500"/>
    <n v="0"/>
    <n v="70.25"/>
    <n v="35125"/>
    <s v="#202412173700018637"/>
    <n v="35.14"/>
    <n v="12.46"/>
    <n v="0"/>
    <n v="0.02"/>
    <n v="400"/>
    <n v="74.28"/>
    <n v="521.9"/>
    <n v="2024"/>
    <n v="12"/>
    <x v="1"/>
    <n v="9"/>
    <s v="09"/>
    <s v="202409"/>
    <s v="Dec-24"/>
    <n v="34603.1"/>
    <n v="34.603099999999998"/>
  </r>
  <r>
    <d v="2024-12-17T00:00:00"/>
    <s v="OPT-NIFTY-19-Dec-2024-24550-C-E-I"/>
    <s v="NSE"/>
    <s v="Buy"/>
    <n v="500"/>
    <n v="0"/>
    <n v="99.45"/>
    <n v="49726.25"/>
    <s v="#202412173700015309"/>
    <n v="0"/>
    <n v="17.670000000000002"/>
    <n v="1.72"/>
    <n v="0.03"/>
    <n v="400"/>
    <n v="75.2"/>
    <n v="494.62"/>
    <n v="2024"/>
    <n v="12"/>
    <x v="1"/>
    <n v="9"/>
    <s v="09"/>
    <s v="202409"/>
    <s v="Dec-24"/>
    <n v="-50220.87"/>
    <n v="-50.220870000000005"/>
  </r>
  <r>
    <d v="2024-12-17T00:00:00"/>
    <s v="OPT-NIFTY-19-Dec-2024-24450-C-E-I"/>
    <s v="NSE"/>
    <s v="Sell"/>
    <n v="250"/>
    <n v="0"/>
    <n v="155.25"/>
    <n v="38812.5"/>
    <s v="#202412173700011243"/>
    <n v="38.81"/>
    <n v="13.79"/>
    <n v="0"/>
    <n v="0.03"/>
    <n v="200"/>
    <n v="38.479999999999997"/>
    <n v="291.11"/>
    <n v="2024"/>
    <n v="12"/>
    <x v="1"/>
    <n v="9"/>
    <s v="09"/>
    <s v="202409"/>
    <s v="Dec-24"/>
    <n v="38521.39"/>
    <n v="38.521389999999997"/>
  </r>
  <r>
    <d v="2024-12-17T00:00:00"/>
    <s v="OPT-NIFTY-19-Dec-2024-24450-C-E-I"/>
    <s v="NSE"/>
    <s v="Buy"/>
    <n v="50"/>
    <n v="0"/>
    <n v="168.2"/>
    <n v="8410"/>
    <s v="#202412173700009485"/>
    <n v="0"/>
    <n v="2.98"/>
    <n v="0"/>
    <n v="0"/>
    <n v="40"/>
    <n v="7.72"/>
    <n v="50.7"/>
    <n v="2024"/>
    <n v="12"/>
    <x v="1"/>
    <n v="9"/>
    <s v="09"/>
    <s v="202409"/>
    <s v="Dec-24"/>
    <n v="-8460.7000000000007"/>
    <n v="-8.460700000000001"/>
  </r>
  <r>
    <d v="2024-12-17T00:00:00"/>
    <s v="OPT-NIFTY-19-Dec-2024-24450-C-E-I"/>
    <s v="NSE"/>
    <s v="Buy"/>
    <n v="100"/>
    <n v="0"/>
    <n v="169.95"/>
    <n v="16995"/>
    <s v="#202412173700009159"/>
    <n v="0"/>
    <n v="6.04"/>
    <n v="1.28"/>
    <n v="0.02"/>
    <n v="80"/>
    <n v="15.5"/>
    <n v="102.84"/>
    <n v="2024"/>
    <n v="12"/>
    <x v="1"/>
    <n v="9"/>
    <s v="09"/>
    <s v="202409"/>
    <s v="Dec-24"/>
    <n v="-17097.84"/>
    <n v="-17.097840000000001"/>
  </r>
  <r>
    <d v="2024-12-17T00:00:00"/>
    <s v="OPT-NIFTY-19-Dec-2024-24450-C-E-I"/>
    <s v="NSE"/>
    <s v="Buy"/>
    <n v="100"/>
    <n v="0"/>
    <n v="171.25"/>
    <n v="17125"/>
    <s v="#202412173700009048"/>
    <n v="0"/>
    <n v="6.08"/>
    <n v="0"/>
    <n v="0.02"/>
    <n v="80"/>
    <n v="15.5"/>
    <n v="101.6"/>
    <n v="2024"/>
    <n v="12"/>
    <x v="1"/>
    <n v="9"/>
    <s v="09"/>
    <s v="202409"/>
    <s v="Dec-24"/>
    <n v="-17226.599999999999"/>
    <n v="-17.226599999999998"/>
  </r>
  <r>
    <d v="2024-12-17T00:00:00"/>
    <s v="OPT-NIFTY-19-Dec-2024-24700-P-E-I"/>
    <s v="NSE"/>
    <s v="Sell"/>
    <n v="200"/>
    <n v="0"/>
    <n v="205.05"/>
    <n v="41010"/>
    <s v="#202412173700001238"/>
    <n v="41.06"/>
    <n v="14.57"/>
    <n v="0"/>
    <n v="0.04"/>
    <n v="160"/>
    <n v="31.42"/>
    <n v="247.09"/>
    <n v="2024"/>
    <n v="12"/>
    <x v="1"/>
    <n v="9"/>
    <s v="09"/>
    <s v="202409"/>
    <s v="Dec-24"/>
    <n v="40762.910000000003"/>
    <n v="40.762910000000005"/>
  </r>
  <r>
    <d v="2024-12-18T00:00:00"/>
    <s v="OPT-NIFTY-19-Dec-2024-24150-P-E-I"/>
    <s v="NSE"/>
    <s v="Buy"/>
    <n v="500"/>
    <n v="0"/>
    <n v="75"/>
    <n v="37500"/>
    <s v="#202412183700014911"/>
    <n v="0"/>
    <n v="13.32"/>
    <n v="1.39"/>
    <n v="0.04"/>
    <n v="400"/>
    <n v="74.400000000000006"/>
    <n v="489.15"/>
    <n v="2024"/>
    <n v="12"/>
    <x v="1"/>
    <n v="9"/>
    <s v="09"/>
    <s v="202409"/>
    <s v="Dec-24"/>
    <n v="-37989.15"/>
    <n v="-37.989150000000002"/>
  </r>
  <r>
    <d v="2024-12-18T00:00:00"/>
    <s v="OPT-NIFTY-19-Dec-2024-24150-P-E-I"/>
    <s v="NSE"/>
    <s v="Buy"/>
    <n v="25"/>
    <n v="0"/>
    <n v="71"/>
    <n v="1775"/>
    <s v="#202412183700014869"/>
    <n v="0"/>
    <n v="0.63"/>
    <n v="0"/>
    <n v="0"/>
    <n v="20"/>
    <n v="3.72"/>
    <n v="24.35"/>
    <n v="2024"/>
    <n v="12"/>
    <x v="1"/>
    <n v="9"/>
    <s v="09"/>
    <s v="202409"/>
    <s v="Dec-24"/>
    <n v="-1799.35"/>
    <n v="-1.79935"/>
  </r>
  <r>
    <d v="2024-12-18T00:00:00"/>
    <s v="OPT-NIFTY-19-Dec-2024-24200-C-E-I"/>
    <s v="NSE"/>
    <s v="Sell"/>
    <n v="300"/>
    <n v="0"/>
    <n v="76"/>
    <n v="22800"/>
    <s v="#202412183700013252"/>
    <n v="23.18"/>
    <n v="8.1"/>
    <n v="0"/>
    <n v="0.03"/>
    <n v="240"/>
    <n v="44.66"/>
    <n v="315.97000000000003"/>
    <n v="2024"/>
    <n v="12"/>
    <x v="1"/>
    <n v="9"/>
    <s v="09"/>
    <s v="202409"/>
    <s v="Dec-24"/>
    <n v="22484.03"/>
    <n v="22.484029999999997"/>
  </r>
  <r>
    <d v="2024-12-18T00:00:00"/>
    <s v="OPT-NIFTY-19-Dec-2024-24200-C-E-I"/>
    <s v="NSE"/>
    <s v="Buy"/>
    <n v="100"/>
    <n v="0"/>
    <n v="95"/>
    <n v="9500"/>
    <s v="#202412183700013214"/>
    <n v="0"/>
    <n v="3.38"/>
    <n v="0.91"/>
    <n v="0.01"/>
    <n v="80"/>
    <n v="15.02"/>
    <n v="99.32"/>
    <n v="2024"/>
    <n v="12"/>
    <x v="1"/>
    <n v="9"/>
    <s v="09"/>
    <s v="202409"/>
    <s v="Dec-24"/>
    <n v="-9599.32"/>
    <n v="-9.5993200000000005"/>
  </r>
  <r>
    <d v="2024-12-18T00:00:00"/>
    <s v="OPT-NIFTY-19-Dec-2024-24200-C-E-I"/>
    <s v="NSE"/>
    <s v="Buy"/>
    <n v="100"/>
    <n v="0"/>
    <n v="99.3"/>
    <n v="9930"/>
    <s v="#202412183700013129"/>
    <n v="0"/>
    <n v="3.53"/>
    <n v="0"/>
    <n v="0.01"/>
    <n v="80"/>
    <n v="15.04"/>
    <n v="98.58"/>
    <n v="2024"/>
    <n v="12"/>
    <x v="1"/>
    <n v="9"/>
    <s v="09"/>
    <s v="202409"/>
    <s v="Dec-24"/>
    <n v="-10028.58"/>
    <n v="-10.02858"/>
  </r>
  <r>
    <d v="2024-12-18T00:00:00"/>
    <s v="OPT-NIFTY-19-Dec-2024-24200-C-E-I"/>
    <s v="NSE"/>
    <s v="Buy"/>
    <n v="100"/>
    <n v="0"/>
    <n v="108.66"/>
    <n v="10866.25"/>
    <s v="#202412183700012938"/>
    <n v="0"/>
    <n v="3.87"/>
    <n v="0"/>
    <n v="0.01"/>
    <n v="80"/>
    <n v="15.1"/>
    <n v="98.98"/>
    <n v="2024"/>
    <n v="12"/>
    <x v="1"/>
    <n v="9"/>
    <s v="09"/>
    <s v="202409"/>
    <s v="Dec-24"/>
    <n v="-10965.23"/>
    <n v="-10.96523"/>
  </r>
  <r>
    <d v="2024-12-18T00:00:00"/>
    <s v="OPT-ICIBAN-26-Dec-2024-1320-P-E-S"/>
    <s v="NSE"/>
    <s v="Sell"/>
    <n v="2100"/>
    <n v="0"/>
    <n v="13.25"/>
    <n v="27825"/>
    <s v="#202412183700001568"/>
    <n v="27.83"/>
    <n v="9.89"/>
    <n v="0"/>
    <n v="0.03"/>
    <n v="60"/>
    <n v="12.58"/>
    <n v="110.33"/>
    <n v="2024"/>
    <n v="12"/>
    <x v="1"/>
    <n v="9"/>
    <s v="09"/>
    <s v="202409"/>
    <s v="Dec-24"/>
    <n v="27714.67"/>
    <n v="27.714669999999998"/>
  </r>
  <r>
    <d v="2024-12-18T00:00:00"/>
    <s v="OPT-ICIBAN-26-Dec-2024-1320-P-E-S"/>
    <s v="NSE"/>
    <s v="Buy"/>
    <n v="2100"/>
    <n v="0"/>
    <n v="11.05"/>
    <n v="23205"/>
    <s v="#202412183700000937"/>
    <n v="0"/>
    <n v="8.25"/>
    <n v="0.7"/>
    <n v="0.03"/>
    <n v="60"/>
    <n v="12.3"/>
    <n v="81.28"/>
    <n v="2024"/>
    <n v="12"/>
    <x v="1"/>
    <n v="9"/>
    <s v="09"/>
    <s v="202409"/>
    <s v="Dec-24"/>
    <n v="-23286.28"/>
    <n v="-23.286279999999998"/>
  </r>
  <r>
    <d v="2024-12-19T00:00:00"/>
    <s v="OPT-ICIBAN-26-Dec-2024-1290-P-E-S"/>
    <s v="NSE"/>
    <s v="Sell"/>
    <n v="2100"/>
    <n v="0"/>
    <n v="16.25"/>
    <n v="34125"/>
    <s v="#202412193700021166"/>
    <n v="34.14"/>
    <n v="12.12"/>
    <n v="0"/>
    <n v="0.03"/>
    <n v="60"/>
    <n v="12.96"/>
    <n v="119.25"/>
    <n v="2024"/>
    <n v="12"/>
    <x v="1"/>
    <n v="9"/>
    <s v="09"/>
    <s v="202409"/>
    <s v="Dec-24"/>
    <n v="34005.75"/>
    <n v="34.005749999999999"/>
  </r>
  <r>
    <d v="2024-12-19T00:00:00"/>
    <s v="OPT-ICIBAN-26-Dec-2024-1290-P-E-S"/>
    <s v="NSE"/>
    <s v="Buy"/>
    <n v="1400"/>
    <n v="0"/>
    <n v="14.7"/>
    <n v="20580"/>
    <s v="#202412193700021008"/>
    <n v="0"/>
    <n v="7.31"/>
    <n v="0.92"/>
    <n v="0.02"/>
    <n v="40"/>
    <n v="8.52"/>
    <n v="56.77"/>
    <n v="2024"/>
    <n v="12"/>
    <x v="1"/>
    <n v="9"/>
    <s v="09"/>
    <s v="202409"/>
    <s v="Dec-24"/>
    <n v="-20636.77"/>
    <n v="-20.636770000000002"/>
  </r>
  <r>
    <d v="2024-12-19T00:00:00"/>
    <s v="OPT-ICIBAN-26-Dec-2024-1290-P-E-S"/>
    <s v="NSE"/>
    <s v="Buy"/>
    <n v="700"/>
    <n v="0"/>
    <n v="14.25"/>
    <n v="9975"/>
    <s v="#202412193700020177"/>
    <n v="0"/>
    <n v="3.54"/>
    <n v="0"/>
    <n v="0.01"/>
    <n v="20"/>
    <n v="4.24"/>
    <n v="27.79"/>
    <n v="2024"/>
    <n v="12"/>
    <x v="1"/>
    <n v="9"/>
    <s v="09"/>
    <s v="202409"/>
    <s v="Dec-24"/>
    <n v="-10002.790000000001"/>
    <n v="-10.002790000000001"/>
  </r>
  <r>
    <d v="2024-12-19T00:00:00"/>
    <s v="OPT-LTINFO-26-Dec-2024-6300-P-E-S"/>
    <s v="NSE"/>
    <s v="Sell"/>
    <n v="600"/>
    <n v="0"/>
    <n v="105.25"/>
    <n v="63150"/>
    <s v="#202412193700010102"/>
    <n v="63.16"/>
    <n v="22.44"/>
    <n v="0"/>
    <n v="0.06"/>
    <n v="80"/>
    <n v="18.440000000000001"/>
    <n v="184.1"/>
    <n v="2024"/>
    <n v="12"/>
    <x v="1"/>
    <n v="9"/>
    <s v="09"/>
    <s v="202409"/>
    <s v="Dec-24"/>
    <n v="62965.9"/>
    <n v="62.965900000000005"/>
  </r>
  <r>
    <d v="2024-12-19T00:00:00"/>
    <s v="OPT-LTINFO-26-Dec-2024-6300-P-E-S"/>
    <s v="NSE"/>
    <s v="Buy"/>
    <n v="600"/>
    <n v="0"/>
    <n v="99.7"/>
    <n v="59820"/>
    <s v="#202412193700009588"/>
    <n v="0"/>
    <n v="21.25"/>
    <n v="2.08"/>
    <n v="0.06"/>
    <n v="80"/>
    <n v="18.239999999999998"/>
    <n v="121.63"/>
    <n v="2024"/>
    <n v="12"/>
    <x v="1"/>
    <n v="9"/>
    <s v="09"/>
    <s v="202409"/>
    <s v="Dec-24"/>
    <n v="-59941.63"/>
    <n v="-59.941629999999996"/>
  </r>
  <r>
    <d v="2024-12-19T00:00:00"/>
    <s v="OPT-NIFTY-19-Dec-2024-24150-P-E-I"/>
    <s v="NSE"/>
    <s v="Sell"/>
    <n v="525"/>
    <n v="0"/>
    <n v="169.18"/>
    <n v="88820"/>
    <s v="#202412192500000280"/>
    <n v="88.72"/>
    <n v="31.55"/>
    <n v="0"/>
    <n v="0.09"/>
    <n v="420"/>
    <n v="81.3"/>
    <n v="621.66"/>
    <n v="2024"/>
    <n v="12"/>
    <x v="1"/>
    <n v="9"/>
    <s v="09"/>
    <s v="202409"/>
    <s v="Dec-24"/>
    <n v="88198.34"/>
    <n v="88.198340000000002"/>
  </r>
  <r>
    <d v="2024-12-20T00:00:00"/>
    <s v="OPT-NIFTY-26-Dec-2024-23850-C-E-I"/>
    <s v="NSE"/>
    <s v="Buy"/>
    <n v="100"/>
    <n v="0"/>
    <n v="105"/>
    <n v="10500"/>
    <s v="#202412203700021315"/>
    <n v="0"/>
    <n v="3.73"/>
    <n v="0"/>
    <n v="0.01"/>
    <n v="80"/>
    <n v="15.08"/>
    <n v="98.82"/>
    <n v="2024"/>
    <n v="12"/>
    <x v="1"/>
    <n v="9"/>
    <s v="09"/>
    <s v="202409"/>
    <s v="Dec-24"/>
    <n v="-10598.82"/>
    <n v="-10.59882"/>
  </r>
  <r>
    <d v="2024-12-20T00:00:00"/>
    <s v="OPT-NIFTY-26-Dec-2024-23850-C-E-I"/>
    <s v="NSE"/>
    <s v="Buy"/>
    <n v="200"/>
    <n v="0"/>
    <n v="141.25"/>
    <n v="28250"/>
    <s v="#202412203700016167"/>
    <n v="0"/>
    <n v="10.039999999999999"/>
    <n v="2"/>
    <n v="0.03"/>
    <n v="160"/>
    <n v="30.62"/>
    <n v="202.69"/>
    <n v="2024"/>
    <n v="12"/>
    <x v="1"/>
    <n v="9"/>
    <s v="09"/>
    <s v="202409"/>
    <s v="Dec-24"/>
    <n v="-28452.69"/>
    <n v="-28.452689999999997"/>
  </r>
  <r>
    <d v="2024-12-20T00:00:00"/>
    <s v="OPT-NIFTY-26-Dec-2024-23850-C-E-I"/>
    <s v="NSE"/>
    <s v="Buy"/>
    <n v="100"/>
    <n v="0"/>
    <n v="190.5"/>
    <n v="19050"/>
    <s v="#202412203700013661"/>
    <n v="0"/>
    <n v="6.77"/>
    <n v="0"/>
    <n v="0.02"/>
    <n v="80"/>
    <n v="15.62"/>
    <n v="102.41"/>
    <n v="2024"/>
    <n v="12"/>
    <x v="1"/>
    <n v="9"/>
    <s v="09"/>
    <s v="202409"/>
    <s v="Dec-24"/>
    <n v="-19152.41"/>
    <n v="-19.15241"/>
  </r>
  <r>
    <d v="2024-12-20T00:00:00"/>
    <s v="OPT-NIFTY-26-Dec-2024-23850-C-E-I"/>
    <s v="NSE"/>
    <s v="Buy"/>
    <n v="100"/>
    <n v="0"/>
    <n v="206.6"/>
    <n v="20660"/>
    <s v="#202412203700013103"/>
    <n v="0"/>
    <n v="7.35"/>
    <n v="0"/>
    <n v="0.03"/>
    <n v="80"/>
    <n v="15.74"/>
    <n v="103.12"/>
    <n v="2024"/>
    <n v="12"/>
    <x v="1"/>
    <n v="9"/>
    <s v="09"/>
    <s v="202409"/>
    <s v="Dec-24"/>
    <n v="-20763.12"/>
    <n v="-20.763120000000001"/>
  </r>
  <r>
    <d v="2024-12-23T00:00:00"/>
    <s v="OPT-ICIBAN-26-Dec-2024-1300-C-E-S"/>
    <s v="NSE"/>
    <s v="Sell"/>
    <n v="3500"/>
    <n v="0"/>
    <n v="6.1"/>
    <n v="21350"/>
    <s v="#202412233700012667"/>
    <n v="21.35"/>
    <n v="7.58"/>
    <n v="0"/>
    <n v="0.02"/>
    <n v="100"/>
    <n v="19.36"/>
    <n v="148.31"/>
    <n v="2024"/>
    <n v="12"/>
    <x v="1"/>
    <n v="9"/>
    <s v="09"/>
    <s v="202409"/>
    <s v="Dec-24"/>
    <n v="21201.69"/>
    <n v="21.201689999999999"/>
  </r>
  <r>
    <d v="2024-12-23T00:00:00"/>
    <s v="OPT-ICIBAN-26-Dec-2024-1300-C-E-S"/>
    <s v="NSE"/>
    <s v="Buy"/>
    <n v="3500"/>
    <n v="0"/>
    <n v="9.19"/>
    <n v="32165"/>
    <s v="#202412233700009108"/>
    <n v="0"/>
    <n v="11.44"/>
    <n v="1"/>
    <n v="0.04"/>
    <n v="100"/>
    <n v="20.079999999999998"/>
    <n v="132.56"/>
    <n v="2024"/>
    <n v="12"/>
    <x v="1"/>
    <n v="9"/>
    <s v="09"/>
    <s v="202409"/>
    <s v="Dec-24"/>
    <n v="-32297.56"/>
    <n v="-32.297560000000004"/>
  </r>
  <r>
    <d v="2024-12-23T00:00:00"/>
    <s v="OPT-NIFTY-26-Dec-2024-23850-C-E-I"/>
    <s v="NSE"/>
    <s v="Sell"/>
    <n v="500"/>
    <n v="0"/>
    <n v="72"/>
    <n v="36000"/>
    <s v="#202412233700005004"/>
    <n v="35.65"/>
    <n v="12.79"/>
    <n v="0"/>
    <n v="0.03"/>
    <n v="400"/>
    <n v="74.319999999999993"/>
    <n v="522.79"/>
    <n v="2024"/>
    <n v="12"/>
    <x v="1"/>
    <n v="9"/>
    <s v="09"/>
    <s v="202409"/>
    <s v="Dec-24"/>
    <n v="35477.21"/>
    <n v="35.477209999999999"/>
  </r>
  <r>
    <d v="2024-12-24T00:00:00"/>
    <s v="OPT-NIFTY-26-Dec-2024-23800-C-E-I"/>
    <s v="NSE"/>
    <s v="Sell"/>
    <n v="400"/>
    <n v="0"/>
    <n v="53.5"/>
    <n v="21400"/>
    <s v="#202412243700022529"/>
    <n v="21.41"/>
    <n v="7.6"/>
    <n v="0"/>
    <n v="0.02"/>
    <n v="320"/>
    <n v="58.98"/>
    <n v="408.01"/>
    <n v="2024"/>
    <n v="12"/>
    <x v="1"/>
    <n v="9"/>
    <s v="09"/>
    <s v="202409"/>
    <s v="Dec-24"/>
    <n v="20991.99"/>
    <n v="20.991990000000001"/>
  </r>
  <r>
    <d v="2024-12-24T00:00:00"/>
    <s v="OPT-NIFTY-26-Dec-2024-23800-C-E-I"/>
    <s v="NSE"/>
    <s v="Buy"/>
    <n v="100"/>
    <n v="0"/>
    <n v="58"/>
    <n v="5800"/>
    <s v="#202412243700019033"/>
    <n v="0"/>
    <n v="2.06"/>
    <n v="0"/>
    <n v="0.01"/>
    <n v="80"/>
    <n v="14.78"/>
    <n v="96.85"/>
    <n v="2024"/>
    <n v="12"/>
    <x v="1"/>
    <n v="9"/>
    <s v="09"/>
    <s v="202409"/>
    <s v="Dec-24"/>
    <n v="-5896.85"/>
    <n v="-5.8968500000000006"/>
  </r>
  <r>
    <d v="2024-12-24T00:00:00"/>
    <s v="OPT-NIFTY-26-Dec-2024-23800-C-E-I"/>
    <s v="NSE"/>
    <s v="Buy"/>
    <n v="100"/>
    <n v="0"/>
    <n v="70.8"/>
    <n v="7080"/>
    <s v="#202412243700018377"/>
    <n v="0"/>
    <n v="2.52"/>
    <n v="0.81"/>
    <n v="0.01"/>
    <n v="80"/>
    <n v="14.86"/>
    <n v="98.2"/>
    <n v="2024"/>
    <n v="12"/>
    <x v="1"/>
    <n v="9"/>
    <s v="09"/>
    <s v="202409"/>
    <s v="Dec-24"/>
    <n v="-7178.2"/>
    <n v="-7.1781999999999995"/>
  </r>
  <r>
    <d v="2024-12-24T00:00:00"/>
    <s v="OPT-NIFTY-26-Dec-2024-23800-C-E-I"/>
    <s v="NSE"/>
    <s v="Buy"/>
    <n v="50"/>
    <n v="0"/>
    <n v="71.25"/>
    <n v="3562.5"/>
    <s v="#202412243700017127"/>
    <n v="0"/>
    <n v="1.26"/>
    <n v="0"/>
    <n v="0"/>
    <n v="40"/>
    <n v="7.44"/>
    <n v="48.7"/>
    <n v="2024"/>
    <n v="12"/>
    <x v="1"/>
    <n v="9"/>
    <s v="09"/>
    <s v="202409"/>
    <s v="Dec-24"/>
    <n v="-3611.2"/>
    <n v="-3.6111999999999997"/>
  </r>
  <r>
    <d v="2024-12-24T00:00:00"/>
    <s v="OPT-NIFTY-26-Dec-2024-23800-C-E-I"/>
    <s v="NSE"/>
    <s v="Buy"/>
    <n v="50"/>
    <n v="0"/>
    <n v="78"/>
    <n v="3900"/>
    <s v="#202412243700016418"/>
    <n v="0"/>
    <n v="1.39"/>
    <n v="0"/>
    <n v="0"/>
    <n v="40"/>
    <n v="7.46"/>
    <n v="48.85"/>
    <n v="2024"/>
    <n v="12"/>
    <x v="1"/>
    <n v="9"/>
    <s v="09"/>
    <s v="202409"/>
    <s v="Dec-24"/>
    <n v="-3948.85"/>
    <n v="-3.9488499999999997"/>
  </r>
  <r>
    <d v="2024-12-24T00:00:00"/>
    <s v="OPT-NIFTY-26-Dec-2024-23800-C-E-I"/>
    <s v="NSE"/>
    <s v="Buy"/>
    <n v="100"/>
    <n v="0"/>
    <n v="89"/>
    <n v="8900"/>
    <s v="#202412243700015467"/>
    <n v="0"/>
    <n v="3.16"/>
    <n v="0"/>
    <n v="0.01"/>
    <n v="80"/>
    <n v="14.96"/>
    <n v="98.13"/>
    <n v="2024"/>
    <n v="12"/>
    <x v="1"/>
    <n v="9"/>
    <s v="09"/>
    <s v="202409"/>
    <s v="Dec-24"/>
    <n v="-8998.1299999999992"/>
    <n v="-8.9981299999999997"/>
  </r>
  <r>
    <d v="2024-12-24T00:00:00"/>
    <s v="OPT-NIFTY-26-Dec-2024-23800-P-E-I"/>
    <s v="NSE"/>
    <s v="Buy"/>
    <n v="25"/>
    <n v="0"/>
    <n v="60.45"/>
    <n v="1511.25"/>
    <s v="#202412243700009333"/>
    <n v="0"/>
    <n v="0.54"/>
    <n v="0"/>
    <n v="0"/>
    <n v="20"/>
    <n v="3.7"/>
    <n v="24.24"/>
    <n v="2024"/>
    <n v="12"/>
    <x v="1"/>
    <n v="9"/>
    <s v="09"/>
    <s v="202409"/>
    <s v="Dec-24"/>
    <n v="-1535.49"/>
    <n v="-1.53549"/>
  </r>
  <r>
    <d v="2024-12-24T00:00:00"/>
    <s v="OPT-NIFTY-26-Dec-2024-23800-P-E-I"/>
    <s v="NSE"/>
    <s v="Sell"/>
    <n v="100"/>
    <n v="0"/>
    <n v="73.25"/>
    <n v="7325"/>
    <s v="#202412243700008331"/>
    <n v="7.6"/>
    <n v="2.6"/>
    <n v="0"/>
    <n v="0"/>
    <n v="80"/>
    <n v="14.88"/>
    <n v="105.08"/>
    <n v="2024"/>
    <n v="12"/>
    <x v="1"/>
    <n v="9"/>
    <s v="09"/>
    <s v="202409"/>
    <s v="Dec-24"/>
    <n v="7219.92"/>
    <n v="7.2199200000000001"/>
  </r>
  <r>
    <d v="2024-12-24T00:00:00"/>
    <s v="OPT-NIFTY-26-Dec-2024-23800-P-E-I"/>
    <s v="NSE"/>
    <s v="Buy"/>
    <n v="75"/>
    <n v="0"/>
    <n v="63.95"/>
    <n v="4796.25"/>
    <s v="#202412243700008245"/>
    <n v="0"/>
    <n v="1.7"/>
    <n v="0.19"/>
    <n v="0"/>
    <n v="60"/>
    <n v="11.1"/>
    <n v="72.989999999999995"/>
    <n v="2024"/>
    <n v="12"/>
    <x v="1"/>
    <n v="9"/>
    <s v="09"/>
    <s v="202409"/>
    <s v="Dec-24"/>
    <n v="-4869.24"/>
    <n v="-4.8692399999999996"/>
  </r>
  <r>
    <d v="2024-12-26T00:00:00"/>
    <s v="OPT-NIFTY-26-Dec-2024-23700-P-E-I"/>
    <s v="NSE"/>
    <s v="Sell"/>
    <n v="500"/>
    <n v="0"/>
    <n v="16.149999999999999"/>
    <n v="8075"/>
    <s v="#202412263700015100"/>
    <n v="8.07"/>
    <n v="2.87"/>
    <n v="0"/>
    <n v="0.01"/>
    <n v="400"/>
    <n v="72.52"/>
    <n v="483.47"/>
    <n v="2024"/>
    <n v="12"/>
    <x v="1"/>
    <n v="9"/>
    <s v="09"/>
    <s v="202409"/>
    <s v="Dec-24"/>
    <n v="7591.53"/>
    <n v="7.5915299999999997"/>
  </r>
  <r>
    <d v="2024-12-26T00:00:00"/>
    <s v="OPT-NIFTY-26-Dec-2024-23700-P-E-I"/>
    <s v="NSE"/>
    <s v="Buy"/>
    <n v="200"/>
    <n v="0"/>
    <n v="10.85"/>
    <n v="2170"/>
    <s v="#202412263700013854"/>
    <n v="0"/>
    <n v="0.77"/>
    <n v="0.25"/>
    <n v="0"/>
    <n v="160"/>
    <n v="28.94"/>
    <n v="189.96"/>
    <n v="2024"/>
    <n v="12"/>
    <x v="1"/>
    <n v="9"/>
    <s v="09"/>
    <s v="202409"/>
    <s v="Dec-24"/>
    <n v="-2359.96"/>
    <n v="-2.3599600000000001"/>
  </r>
  <r>
    <d v="2024-12-26T00:00:00"/>
    <s v="OPT-NIFTY-26-Dec-2024-23700-P-E-I"/>
    <s v="NSE"/>
    <s v="Buy"/>
    <n v="100"/>
    <n v="0"/>
    <n v="11.85"/>
    <n v="1185"/>
    <s v="#202412263700011676"/>
    <n v="0"/>
    <n v="0.42"/>
    <n v="0"/>
    <n v="0"/>
    <n v="80"/>
    <n v="14.48"/>
    <n v="94.9"/>
    <n v="2024"/>
    <n v="12"/>
    <x v="1"/>
    <n v="9"/>
    <s v="09"/>
    <s v="202409"/>
    <s v="Dec-24"/>
    <n v="-1279.9000000000001"/>
    <n v="-1.2799"/>
  </r>
  <r>
    <d v="2024-12-26T00:00:00"/>
    <s v="OPT-NIFTY-26-Dec-2024-23700-P-E-I"/>
    <s v="NSE"/>
    <s v="Buy"/>
    <n v="100"/>
    <n v="0"/>
    <n v="12.7"/>
    <n v="1270"/>
    <s v="#202412263700010390"/>
    <n v="0"/>
    <n v="0.45"/>
    <n v="0"/>
    <n v="0"/>
    <n v="80"/>
    <n v="14.48"/>
    <n v="94.93"/>
    <n v="2024"/>
    <n v="12"/>
    <x v="1"/>
    <n v="9"/>
    <s v="09"/>
    <s v="202409"/>
    <s v="Dec-24"/>
    <n v="-1364.93"/>
    <n v="-1.36493"/>
  </r>
  <r>
    <d v="2024-12-26T00:00:00"/>
    <s v="OPT-NIFTY-26-Dec-2024-23700-P-E-I"/>
    <s v="NSE"/>
    <s v="Buy"/>
    <n v="50"/>
    <n v="0"/>
    <n v="17.3"/>
    <n v="865"/>
    <s v="#202412263700010114"/>
    <n v="0"/>
    <n v="0.31"/>
    <n v="0"/>
    <n v="0"/>
    <n v="40"/>
    <n v="7.26"/>
    <n v="47.57"/>
    <n v="2024"/>
    <n v="12"/>
    <x v="1"/>
    <n v="9"/>
    <s v="09"/>
    <s v="202409"/>
    <s v="Dec-24"/>
    <n v="-912.57"/>
    <n v="-0.9125700000000001"/>
  </r>
  <r>
    <d v="2024-12-26T00:00:00"/>
    <s v="OPT-NIFTY-26-Dec-2024-23700-P-E-I"/>
    <s v="NSE"/>
    <s v="Buy"/>
    <n v="50"/>
    <n v="0"/>
    <n v="21.75"/>
    <n v="1087.5"/>
    <s v="#202412263700009863"/>
    <n v="0"/>
    <n v="0.39"/>
    <n v="0"/>
    <n v="0"/>
    <n v="40"/>
    <n v="7.28"/>
    <n v="47.67"/>
    <n v="2024"/>
    <n v="12"/>
    <x v="1"/>
    <n v="9"/>
    <s v="09"/>
    <s v="202409"/>
    <s v="Dec-24"/>
    <n v="-1135.17"/>
    <n v="-1.13517"/>
  </r>
  <r>
    <d v="2024-12-26T00:00:00"/>
    <s v="OPT-NIFTY-26-Dec-2024-23700-P-E-I"/>
    <s v="NSE"/>
    <s v="Sell"/>
    <n v="50"/>
    <n v="0"/>
    <n v="44.25"/>
    <n v="2212.5"/>
    <s v="#202412263700008976"/>
    <n v="2.1"/>
    <n v="0.79"/>
    <n v="0"/>
    <n v="0"/>
    <n v="40"/>
    <n v="7.34"/>
    <n v="50.23"/>
    <n v="2024"/>
    <n v="12"/>
    <x v="1"/>
    <n v="9"/>
    <s v="09"/>
    <s v="202409"/>
    <s v="Dec-24"/>
    <n v="2162.27"/>
    <n v="2.1622699999999999"/>
  </r>
  <r>
    <d v="2024-12-26T00:00:00"/>
    <s v="OPT-NIFTY-26-Dec-2024-23700-P-E-I"/>
    <s v="NSE"/>
    <s v="Buy"/>
    <n v="50"/>
    <n v="0"/>
    <n v="33.9"/>
    <n v="1695"/>
    <s v="#202412263700008945"/>
    <n v="0"/>
    <n v="0.6"/>
    <n v="0"/>
    <n v="0"/>
    <n v="40"/>
    <n v="7.3"/>
    <n v="47.9"/>
    <n v="2024"/>
    <n v="12"/>
    <x v="1"/>
    <n v="9"/>
    <s v="09"/>
    <s v="202409"/>
    <s v="Dec-24"/>
    <n v="-1742.9"/>
    <n v="-1.7429000000000001"/>
  </r>
  <r>
    <d v="2024-12-26T00:00:00"/>
    <s v="OPT-NIFTY-26-Dec-2024-23850-P-E-I"/>
    <s v="NSE"/>
    <s v="Buy"/>
    <n v="25"/>
    <n v="0"/>
    <n v="123.65"/>
    <n v="3091.25"/>
    <s v="#202412263700007561"/>
    <n v="0"/>
    <n v="1.1000000000000001"/>
    <n v="0"/>
    <n v="0"/>
    <n v="20"/>
    <n v="3.8"/>
    <n v="24.9"/>
    <n v="2024"/>
    <n v="12"/>
    <x v="1"/>
    <n v="9"/>
    <s v="09"/>
    <s v="202409"/>
    <s v="Dec-24"/>
    <n v="-3116.15"/>
    <n v="-3.1161500000000002"/>
  </r>
  <r>
    <d v="2024-12-26T00:00:00"/>
    <s v="OPT-NIFTY-26-Dec-2024-23850-P-E-I"/>
    <s v="NSE"/>
    <s v="Sell"/>
    <n v="75"/>
    <n v="0"/>
    <n v="134.25"/>
    <n v="10068.75"/>
    <s v="#202412263700007406"/>
    <n v="10.07"/>
    <n v="3.58"/>
    <n v="0"/>
    <n v="0.01"/>
    <n v="60"/>
    <n v="11.44"/>
    <n v="85.1"/>
    <n v="2024"/>
    <n v="12"/>
    <x v="1"/>
    <n v="9"/>
    <s v="09"/>
    <s v="202409"/>
    <s v="Dec-24"/>
    <n v="9983.65"/>
    <n v="9.983649999999999"/>
  </r>
  <r>
    <d v="2024-12-26T00:00:00"/>
    <s v="OPT-NIFTY-26-Dec-2024-23850-P-E-I"/>
    <s v="NSE"/>
    <s v="Buy"/>
    <n v="25"/>
    <n v="0"/>
    <n v="111.95"/>
    <n v="2798.75"/>
    <s v="#202412263700007045"/>
    <n v="0"/>
    <n v="0.99"/>
    <n v="0"/>
    <n v="0"/>
    <n v="20"/>
    <n v="3.78"/>
    <n v="24.77"/>
    <n v="2024"/>
    <n v="12"/>
    <x v="1"/>
    <n v="9"/>
    <s v="09"/>
    <s v="202409"/>
    <s v="Dec-24"/>
    <n v="-2823.52"/>
    <n v="-2.8235199999999998"/>
  </r>
  <r>
    <d v="2024-12-26T00:00:00"/>
    <s v="OPT-NIFTY-26-Dec-2024-23850-P-E-I"/>
    <s v="NSE"/>
    <s v="Buy"/>
    <n v="25"/>
    <n v="0"/>
    <n v="120.15"/>
    <n v="3003.75"/>
    <s v="#202412263700006944"/>
    <n v="0"/>
    <n v="1.07"/>
    <n v="0"/>
    <n v="0"/>
    <n v="20"/>
    <n v="3.8"/>
    <n v="24.87"/>
    <n v="2024"/>
    <n v="12"/>
    <x v="1"/>
    <n v="9"/>
    <s v="09"/>
    <s v="202409"/>
    <s v="Dec-24"/>
    <n v="-3028.62"/>
    <n v="-3.0286200000000001"/>
  </r>
  <r>
    <d v="2024-12-26T00:00:00"/>
    <s v="OPT-NIFTY-26-Dec-2024-23850-P-E-I"/>
    <s v="NSE"/>
    <s v="Sell"/>
    <n v="100"/>
    <n v="0"/>
    <n v="77.55"/>
    <n v="7755"/>
    <s v="#202412263700005137"/>
    <n v="7.76"/>
    <n v="2.76"/>
    <n v="0"/>
    <n v="0.01"/>
    <n v="80"/>
    <n v="14.9"/>
    <n v="105.43"/>
    <n v="2024"/>
    <n v="12"/>
    <x v="1"/>
    <n v="9"/>
    <s v="09"/>
    <s v="202409"/>
    <s v="Dec-24"/>
    <n v="7649.57"/>
    <n v="7.6495699999999998"/>
  </r>
  <r>
    <d v="2024-12-26T00:00:00"/>
    <s v="OPT-NIFTY-26-Dec-2024-23850-P-E-I"/>
    <s v="NSE"/>
    <s v="Buy"/>
    <n v="100"/>
    <n v="0"/>
    <n v="70.25"/>
    <n v="7025"/>
    <s v="#202412263700005075"/>
    <n v="0"/>
    <n v="2.4900000000000002"/>
    <n v="0.75"/>
    <n v="0"/>
    <n v="80"/>
    <n v="14.86"/>
    <n v="98.1"/>
    <n v="2024"/>
    <n v="12"/>
    <x v="1"/>
    <n v="9"/>
    <s v="09"/>
    <s v="202409"/>
    <s v="Dec-24"/>
    <n v="-7123.1"/>
    <n v="-7.1231"/>
  </r>
  <r>
    <d v="2024-12-27T00:00:00"/>
    <s v="OPT-NIFTY-02-Jan-2025-23800-P-E-I"/>
    <s v="NSE"/>
    <s v="Sell"/>
    <n v="150"/>
    <n v="0"/>
    <n v="115"/>
    <n v="17250"/>
    <s v="#202412273700011712"/>
    <n v="17.739999999999998"/>
    <n v="6.13"/>
    <n v="0"/>
    <n v="0.02"/>
    <n v="40"/>
    <n v="8.3000000000000007"/>
    <n v="72.19"/>
    <n v="2024"/>
    <n v="12"/>
    <x v="1"/>
    <n v="9"/>
    <s v="09"/>
    <s v="202409"/>
    <s v="Dec-24"/>
    <n v="17177.810000000001"/>
    <n v="17.177810000000001"/>
  </r>
  <r>
    <d v="2024-12-27T00:00:00"/>
    <s v="OPT-NIFTY-02-Jan-2025-23800-P-E-I"/>
    <s v="NSE"/>
    <s v="Buy"/>
    <n v="150"/>
    <n v="0"/>
    <n v="106.55"/>
    <n v="15982.5"/>
    <s v="#202412273700007531"/>
    <n v="0"/>
    <n v="5.68"/>
    <n v="1"/>
    <n v="0.02"/>
    <n v="40"/>
    <n v="8.2200000000000006"/>
    <n v="54.92"/>
    <n v="2024"/>
    <n v="12"/>
    <x v="1"/>
    <n v="9"/>
    <s v="09"/>
    <s v="202409"/>
    <s v="Dec-24"/>
    <n v="-16037.42"/>
    <n v="-16.037420000000001"/>
  </r>
  <r>
    <d v="2024-12-27T00:00:00"/>
    <s v="OPT-NIFTY-02-Jan-2025-23800-P-E-I"/>
    <s v="NSE"/>
    <s v="Sell"/>
    <n v="150"/>
    <n v="0"/>
    <n v="101.75"/>
    <n v="15262.5"/>
    <s v="#202412273700005662"/>
    <n v="15.26"/>
    <n v="5.42"/>
    <n v="0"/>
    <n v="0.02"/>
    <n v="40"/>
    <n v="8.18"/>
    <n v="68.88"/>
    <n v="2024"/>
    <n v="12"/>
    <x v="1"/>
    <n v="9"/>
    <s v="09"/>
    <s v="202409"/>
    <s v="Dec-24"/>
    <n v="15193.62"/>
    <n v="15.193620000000001"/>
  </r>
  <r>
    <d v="2024-12-27T00:00:00"/>
    <s v="OPT-NIFTY-02-Jan-2025-23800-P-E-I"/>
    <s v="NSE"/>
    <s v="Buy"/>
    <n v="75"/>
    <n v="0"/>
    <n v="131.69999999999999"/>
    <n v="9877.5"/>
    <s v="#202412273700001345"/>
    <n v="0"/>
    <n v="3.51"/>
    <n v="0"/>
    <n v="0.01"/>
    <n v="20"/>
    <n v="4.24"/>
    <n v="27.76"/>
    <n v="2024"/>
    <n v="12"/>
    <x v="1"/>
    <n v="9"/>
    <s v="09"/>
    <s v="202409"/>
    <s v="Dec-24"/>
    <n v="-9905.26"/>
    <n v="-9.9052600000000002"/>
  </r>
  <r>
    <d v="2024-12-27T00:00:00"/>
    <s v="OPT-NIFTY-02-Jan-2025-23800-P-E-I"/>
    <s v="NSE"/>
    <s v="Buy"/>
    <n v="75"/>
    <n v="0"/>
    <n v="149.44999999999999"/>
    <n v="11208.75"/>
    <s v="#202412273700001191"/>
    <n v="0"/>
    <n v="3.98"/>
    <n v="0"/>
    <n v="0.01"/>
    <n v="20"/>
    <n v="4.32"/>
    <n v="28.31"/>
    <n v="2024"/>
    <n v="12"/>
    <x v="1"/>
    <n v="9"/>
    <s v="09"/>
    <s v="202409"/>
    <s v="Dec-24"/>
    <n v="-11237.06"/>
    <n v="-11.23706"/>
  </r>
  <r>
    <d v="2024-12-30T00:00:00"/>
    <s v="OPT-NIFTY-02-Jan-2025-23800-P-E-I"/>
    <s v="NSE"/>
    <s v="Sell"/>
    <n v="75"/>
    <n v="0"/>
    <n v="105.25"/>
    <n v="7893.75"/>
    <s v="#202412303700010121"/>
    <n v="7.89"/>
    <n v="2.8"/>
    <n v="0"/>
    <n v="0.01"/>
    <n v="20"/>
    <n v="4.0999999999999996"/>
    <n v="34.799999999999997"/>
    <n v="2024"/>
    <n v="12"/>
    <x v="1"/>
    <n v="9"/>
    <s v="09"/>
    <s v="202409"/>
    <s v="Dec-24"/>
    <n v="7858.95"/>
    <n v="7.8589500000000001"/>
  </r>
  <r>
    <d v="2024-12-30T00:00:00"/>
    <s v="OPT-NIFTY-02-Jan-2025-23800-P-E-I"/>
    <s v="NSE"/>
    <s v="Buy"/>
    <n v="75"/>
    <n v="0"/>
    <n v="85"/>
    <n v="6375"/>
    <s v="#202412303700009866"/>
    <n v="0"/>
    <n v="2.27"/>
    <n v="0"/>
    <n v="0.01"/>
    <n v="20"/>
    <n v="4.0199999999999996"/>
    <n v="26.3"/>
    <n v="2024"/>
    <n v="12"/>
    <x v="1"/>
    <n v="9"/>
    <s v="09"/>
    <s v="202409"/>
    <s v="Dec-24"/>
    <n v="-6401.3"/>
    <n v="-6.4013"/>
  </r>
  <r>
    <d v="2024-12-30T00:00:00"/>
    <s v="OPT-NIFTY-02-Jan-2025-23800-C-E-I"/>
    <s v="NSE"/>
    <s v="Sell"/>
    <n v="75"/>
    <n v="0"/>
    <n v="93.45"/>
    <n v="7008.75"/>
    <s v="#202412303700002104"/>
    <n v="7.11"/>
    <n v="2.4900000000000002"/>
    <n v="0"/>
    <n v="0.01"/>
    <n v="20"/>
    <n v="4.0599999999999996"/>
    <n v="33.67"/>
    <n v="2024"/>
    <n v="12"/>
    <x v="1"/>
    <n v="9"/>
    <s v="09"/>
    <s v="202409"/>
    <s v="Dec-24"/>
    <n v="6975.08"/>
    <n v="6.9750800000000002"/>
  </r>
  <r>
    <d v="2024-12-30T00:00:00"/>
    <s v="OPT-NIFTY-02-Jan-2025-23800-C-E-I"/>
    <s v="NSE"/>
    <s v="Buy"/>
    <n v="75"/>
    <n v="0"/>
    <n v="108.55"/>
    <n v="8141.25"/>
    <s v="#202412303700001524"/>
    <n v="0"/>
    <n v="2.89"/>
    <n v="0"/>
    <n v="0.01"/>
    <n v="20"/>
    <n v="4.12"/>
    <n v="27.02"/>
    <n v="2024"/>
    <n v="12"/>
    <x v="1"/>
    <n v="9"/>
    <s v="09"/>
    <s v="202409"/>
    <s v="Dec-24"/>
    <n v="-8168.27"/>
    <n v="-8.1682699999999997"/>
  </r>
  <r>
    <d v="2024-12-31T00:00:00"/>
    <s v="OPT-NIFTY-02-Jan-2025-23550-P-E-I"/>
    <s v="NSE"/>
    <s v="Buy"/>
    <n v="75"/>
    <n v="0"/>
    <n v="103"/>
    <n v="7725"/>
    <s v="#202412313700008524"/>
    <n v="0"/>
    <n v="2.74"/>
    <n v="0"/>
    <n v="0.01"/>
    <n v="20"/>
    <n v="4.0999999999999996"/>
    <n v="26.85"/>
    <n v="2024"/>
    <n v="12"/>
    <x v="1"/>
    <n v="9"/>
    <s v="09"/>
    <s v="202409"/>
    <s v="Dec-24"/>
    <n v="-7751.85"/>
    <n v="-7.7518500000000001"/>
  </r>
  <r>
    <d v="2024-12-31T00:00:00"/>
    <s v="OPT-NIFTY-02-Jan-2025-23550-P-E-I"/>
    <s v="NSE"/>
    <s v="Buy"/>
    <n v="75"/>
    <n v="0"/>
    <n v="108.9"/>
    <n v="8167.5"/>
    <s v="#202412313700008342"/>
    <n v="0"/>
    <n v="2.9"/>
    <n v="0"/>
    <n v="0.01"/>
    <n v="20"/>
    <n v="4.12"/>
    <n v="27.03"/>
    <n v="2024"/>
    <n v="12"/>
    <x v="1"/>
    <n v="9"/>
    <s v="09"/>
    <s v="202409"/>
    <s v="Dec-24"/>
    <n v="-8194.5300000000007"/>
    <n v="-8.1945300000000003"/>
  </r>
  <r>
    <d v="2024-12-31T00:00:00"/>
    <s v="OPT-NIFTY-02-Jan-2025-23550-P-E-I"/>
    <s v="NSE"/>
    <s v="Buy"/>
    <n v="75"/>
    <n v="0"/>
    <n v="126.25"/>
    <n v="9468.75"/>
    <s v="#202412313700007309"/>
    <n v="0"/>
    <n v="3.36"/>
    <n v="0.44"/>
    <n v="0.01"/>
    <n v="20"/>
    <n v="4.2"/>
    <n v="28.01"/>
    <n v="2024"/>
    <n v="12"/>
    <x v="1"/>
    <n v="9"/>
    <s v="09"/>
    <s v="202409"/>
    <s v="Dec-24"/>
    <n v="-9496.76"/>
    <n v="-9.4967600000000001"/>
  </r>
  <r>
    <d v="2024-12-31T00:00:00"/>
    <s v="OPT-NIFTY-02-Jan-2025-23550-C-E-I"/>
    <s v="NSE"/>
    <s v="Sell"/>
    <n v="75"/>
    <n v="0"/>
    <n v="129.25"/>
    <n v="9693.75"/>
    <s v="#202412313700004232"/>
    <n v="9.56"/>
    <n v="3.44"/>
    <n v="0"/>
    <n v="0.01"/>
    <n v="20"/>
    <n v="4.22"/>
    <n v="37.229999999999997"/>
    <n v="2024"/>
    <n v="12"/>
    <x v="1"/>
    <n v="9"/>
    <s v="09"/>
    <s v="202409"/>
    <s v="Dec-24"/>
    <n v="9656.52"/>
    <n v="9.6565200000000004"/>
  </r>
  <r>
    <d v="2024-12-31T00:00:00"/>
    <s v="OPT-NIFTY-02-Jan-2025-23550-C-E-I"/>
    <s v="NSE"/>
    <s v="Buy"/>
    <n v="75"/>
    <n v="0"/>
    <n v="122.25"/>
    <n v="9168.75"/>
    <s v="#202412313700004183"/>
    <n v="0"/>
    <n v="3.26"/>
    <n v="0"/>
    <n v="0.01"/>
    <n v="20"/>
    <n v="4.18"/>
    <n v="27.45"/>
    <n v="2024"/>
    <n v="12"/>
    <x v="1"/>
    <n v="9"/>
    <s v="09"/>
    <s v="202409"/>
    <s v="Dec-24"/>
    <n v="-9196.2000000000007"/>
    <n v="-9.196200000000001"/>
  </r>
  <r>
    <d v="2024-12-31T00:00:00"/>
    <s v="OPT-NIFTY-02-Jan-2025-23550-C-E-I"/>
    <s v="NSE"/>
    <s v="Sell"/>
    <n v="75"/>
    <n v="0"/>
    <n v="139.25"/>
    <n v="10443.75"/>
    <s v="#202412313700001647"/>
    <n v="10.44"/>
    <n v="3.71"/>
    <n v="0"/>
    <n v="0.01"/>
    <n v="20"/>
    <n v="4.26"/>
    <n v="38.42"/>
    <n v="2024"/>
    <n v="12"/>
    <x v="1"/>
    <n v="9"/>
    <s v="09"/>
    <s v="202409"/>
    <s v="Dec-24"/>
    <n v="10405.33"/>
    <n v="10.405329999999999"/>
  </r>
  <r>
    <d v="2024-12-31T00:00:00"/>
    <s v="OPT-NIFTY-02-Jan-2025-23550-C-E-I"/>
    <s v="NSE"/>
    <s v="Buy"/>
    <n v="75"/>
    <n v="0"/>
    <n v="127.2"/>
    <n v="9540"/>
    <s v="#202412313700001475"/>
    <n v="0"/>
    <n v="3.39"/>
    <n v="0.56000000000000005"/>
    <n v="0.01"/>
    <n v="20"/>
    <n v="4.22"/>
    <n v="28.18"/>
    <n v="2024"/>
    <n v="12"/>
    <x v="1"/>
    <n v="9"/>
    <s v="09"/>
    <s v="202409"/>
    <s v="Dec-24"/>
    <n v="-9568.18"/>
    <n v="-9.5681799999999999"/>
  </r>
  <r>
    <d v="2025-01-01T00:00:00"/>
    <s v="OPT-NIFTY-02-Jan-2025-23700-C-E-I"/>
    <s v="NSE"/>
    <s v="Sell"/>
    <n v="225"/>
    <n v="0"/>
    <n v="169.75"/>
    <n v="38193.75"/>
    <s v="#202501013700009702"/>
    <n v="38.19"/>
    <n v="13.57"/>
    <n v="0"/>
    <n v="0.04"/>
    <n v="60"/>
    <n v="13.24"/>
    <n v="125.04"/>
    <n v="2025"/>
    <n v="1"/>
    <x v="1"/>
    <n v="10"/>
    <n v="10"/>
    <s v="202410"/>
    <s v="Jan-25"/>
    <n v="38068.71"/>
    <n v="38.068709999999996"/>
  </r>
  <r>
    <d v="2025-01-01T00:00:00"/>
    <s v="OPT-NIFTY-02-Jan-2025-23700-C-E-I"/>
    <s v="NSE"/>
    <s v="Buy"/>
    <n v="225"/>
    <n v="0"/>
    <n v="160.25"/>
    <n v="36056.25"/>
    <s v="#202501013700009410"/>
    <n v="0"/>
    <n v="12.81"/>
    <n v="0.79"/>
    <n v="0.04"/>
    <n v="60"/>
    <n v="13.12"/>
    <n v="86.76"/>
    <n v="2025"/>
    <n v="1"/>
    <x v="1"/>
    <n v="10"/>
    <n v="10"/>
    <s v="202410"/>
    <s v="Jan-25"/>
    <n v="-36143.01"/>
    <n v="-36.143010000000004"/>
  </r>
  <r>
    <d v="2025-01-01T00:00:00"/>
    <s v="OPT-NIFTY-02-Jan-2025-23650-C-E-I"/>
    <s v="NSE"/>
    <s v="Sell"/>
    <n v="225"/>
    <n v="0"/>
    <n v="115.5"/>
    <n v="25987.5"/>
    <s v="#202501013700003215"/>
    <n v="25.99"/>
    <n v="9.23"/>
    <n v="0"/>
    <n v="0.03"/>
    <n v="60"/>
    <n v="12.46"/>
    <n v="107.71"/>
    <n v="2025"/>
    <n v="1"/>
    <x v="1"/>
    <n v="10"/>
    <n v="10"/>
    <s v="202410"/>
    <s v="Jan-25"/>
    <n v="25879.79"/>
    <n v="25.87979"/>
  </r>
  <r>
    <d v="2025-01-01T00:00:00"/>
    <s v="OPT-NIFTY-02-Jan-2025-23650-C-E-I"/>
    <s v="NSE"/>
    <s v="Buy"/>
    <n v="225"/>
    <n v="0"/>
    <n v="105.4"/>
    <n v="23715"/>
    <s v="#202501013700003149"/>
    <n v="0"/>
    <n v="8.43"/>
    <n v="0.71"/>
    <n v="0.02"/>
    <n v="60"/>
    <n v="12.32"/>
    <n v="81.48"/>
    <n v="2025"/>
    <n v="1"/>
    <x v="1"/>
    <n v="10"/>
    <n v="10"/>
    <s v="202410"/>
    <s v="Jan-25"/>
    <n v="-23796.48"/>
    <n v="-23.796479999999999"/>
  </r>
  <r>
    <d v="2025-01-01T00:00:00"/>
    <s v="OPT-NIFTY-02-Jan-2025-23650-P-E-I"/>
    <s v="NSE"/>
    <s v="Sell"/>
    <n v="150"/>
    <n v="0"/>
    <n v="120.15"/>
    <n v="18022.5"/>
    <s v="#202501013700001757"/>
    <n v="18.02"/>
    <n v="6.4"/>
    <n v="0"/>
    <n v="0.02"/>
    <n v="40"/>
    <n v="8.36"/>
    <n v="72.8"/>
    <n v="2025"/>
    <n v="1"/>
    <x v="1"/>
    <n v="10"/>
    <n v="10"/>
    <s v="202410"/>
    <s v="Jan-25"/>
    <n v="17949.7"/>
    <n v="17.9497"/>
  </r>
  <r>
    <d v="2025-01-01T00:00:00"/>
    <s v="OPT-NIFTY-02-Jan-2025-23650-P-E-I"/>
    <s v="NSE"/>
    <s v="Buy"/>
    <n v="75"/>
    <n v="0"/>
    <n v="110"/>
    <n v="8250"/>
    <s v="#202501013700001371"/>
    <n v="0"/>
    <n v="2.93"/>
    <n v="0.5"/>
    <n v="0.01"/>
    <n v="20"/>
    <n v="4.12"/>
    <n v="27.56"/>
    <n v="2025"/>
    <n v="1"/>
    <x v="1"/>
    <n v="10"/>
    <n v="10"/>
    <s v="202410"/>
    <s v="Jan-25"/>
    <n v="-8277.56"/>
    <n v="-8.2775599999999994"/>
  </r>
  <r>
    <d v="2025-01-01T00:00:00"/>
    <s v="OPT-NIFTY-02-Jan-2025-23650-P-E-I"/>
    <s v="NSE"/>
    <s v="Buy"/>
    <n v="75"/>
    <n v="0"/>
    <n v="113.4"/>
    <n v="8505"/>
    <s v="#202501013700001293"/>
    <n v="0"/>
    <n v="3.02"/>
    <n v="0"/>
    <n v="0.01"/>
    <n v="20"/>
    <n v="4.1399999999999997"/>
    <n v="27.17"/>
    <n v="2025"/>
    <n v="1"/>
    <x v="1"/>
    <n v="10"/>
    <n v="10"/>
    <s v="202410"/>
    <s v="Jan-25"/>
    <n v="-8532.17"/>
    <n v="-8.5321700000000007"/>
  </r>
  <r>
    <d v="2025-01-01T00:00:00"/>
    <s v="OPT-NIFTY-02-Jan-2025-23550-P-E-I"/>
    <s v="NSE"/>
    <s v="Sell"/>
    <n v="225"/>
    <n v="0"/>
    <n v="86"/>
    <n v="19350"/>
    <s v="#202501013700000301"/>
    <n v="19.8"/>
    <n v="6.87"/>
    <n v="0"/>
    <n v="0.02"/>
    <n v="60"/>
    <n v="12.04"/>
    <n v="98.73"/>
    <n v="2025"/>
    <n v="1"/>
    <x v="1"/>
    <n v="10"/>
    <n v="10"/>
    <s v="202410"/>
    <s v="Jan-25"/>
    <n v="19251.27"/>
    <n v="19.251270000000002"/>
  </r>
  <r>
    <d v="2025-01-02T00:00:00"/>
    <s v="OPT-NIFTY-02-Jan-2025-23800-P-E-I"/>
    <s v="NSE"/>
    <s v="Sell"/>
    <n v="300"/>
    <n v="0"/>
    <n v="37.35"/>
    <n v="11205"/>
    <s v="#202501023700009907"/>
    <n v="11.21"/>
    <n v="3.98"/>
    <n v="0"/>
    <n v="0.01"/>
    <n v="80"/>
    <n v="15.12"/>
    <n v="110.32"/>
    <n v="2025"/>
    <n v="1"/>
    <x v="1"/>
    <n v="10"/>
    <n v="10"/>
    <s v="202410"/>
    <s v="Jan-25"/>
    <n v="11094.68"/>
    <n v="11.09468"/>
  </r>
  <r>
    <d v="2025-01-02T00:00:00"/>
    <s v="OPT-NIFTY-02-Jan-2025-23800-P-E-I"/>
    <s v="NSE"/>
    <s v="Buy"/>
    <n v="300"/>
    <n v="0"/>
    <n v="61.25"/>
    <n v="18375"/>
    <s v="#202501023700006484"/>
    <n v="0"/>
    <n v="6.53"/>
    <n v="2"/>
    <n v="0.02"/>
    <n v="80"/>
    <n v="15.58"/>
    <n v="104.13"/>
    <n v="2025"/>
    <n v="1"/>
    <x v="1"/>
    <n v="10"/>
    <n v="10"/>
    <s v="202410"/>
    <s v="Jan-25"/>
    <n v="-18479.13"/>
    <n v="-18.479130000000001"/>
  </r>
  <r>
    <d v="2025-01-02T00:00:00"/>
    <s v="OPT-NIFTY-02-Jan-2025-23800-P-E-I"/>
    <s v="NSE"/>
    <s v="Sell"/>
    <n v="300"/>
    <n v="0"/>
    <n v="82.15"/>
    <n v="24645"/>
    <s v="#202501023700004522"/>
    <n v="24.79"/>
    <n v="8.76"/>
    <n v="0"/>
    <n v="0.03"/>
    <n v="80"/>
    <n v="16"/>
    <n v="129.58000000000001"/>
    <n v="2025"/>
    <n v="1"/>
    <x v="1"/>
    <n v="10"/>
    <n v="10"/>
    <s v="202410"/>
    <s v="Jan-25"/>
    <n v="24515.42"/>
    <n v="24.515419999999999"/>
  </r>
  <r>
    <d v="2025-01-02T00:00:00"/>
    <s v="OPT-NIFTY-02-Jan-2025-23800-P-E-I"/>
    <s v="NSE"/>
    <s v="Buy"/>
    <n v="75"/>
    <n v="0"/>
    <n v="114.2"/>
    <n v="8565"/>
    <s v="#202501023700002128"/>
    <n v="0"/>
    <n v="3.04"/>
    <n v="0"/>
    <n v="0.01"/>
    <n v="20"/>
    <n v="4.1399999999999997"/>
    <n v="27.19"/>
    <n v="2025"/>
    <n v="1"/>
    <x v="1"/>
    <n v="10"/>
    <n v="10"/>
    <s v="202410"/>
    <s v="Jan-25"/>
    <n v="-8592.19"/>
    <n v="-8.5921900000000004"/>
  </r>
  <r>
    <d v="2025-01-02T00:00:00"/>
    <s v="OPT-NIFTY-02-Jan-2025-23800-P-E-I"/>
    <s v="NSE"/>
    <s v="Buy"/>
    <n v="225"/>
    <n v="0"/>
    <n v="127.25"/>
    <n v="28631.25"/>
    <s v="#202501023700001889"/>
    <n v="0"/>
    <n v="10.17"/>
    <n v="0"/>
    <n v="0.03"/>
    <n v="60"/>
    <n v="12.64"/>
    <n v="82.84"/>
    <n v="2025"/>
    <n v="1"/>
    <x v="1"/>
    <n v="10"/>
    <n v="10"/>
    <s v="202410"/>
    <s v="Jan-25"/>
    <n v="-28714.09"/>
    <n v="-28.714089999999999"/>
  </r>
  <r>
    <d v="2025-01-07T00:00:00"/>
    <s v="OPT-NIFTY-09-Jan-2025-23050-P-E-I"/>
    <s v="NSE"/>
    <s v="Sell"/>
    <n v="75"/>
    <n v="0"/>
    <n v="20.25"/>
    <n v="1518.75"/>
    <s v="#202501073700004513"/>
    <n v="2"/>
    <n v="0.54"/>
    <n v="0"/>
    <n v="0"/>
    <n v="20"/>
    <n v="3.7"/>
    <n v="26.24"/>
    <n v="2025"/>
    <n v="1"/>
    <x v="1"/>
    <n v="10"/>
    <n v="10"/>
    <s v="202410"/>
    <s v="Jan-25"/>
    <n v="1492.51"/>
    <n v="1.49251"/>
  </r>
  <r>
    <d v="2025-01-07T00:00:00"/>
    <s v="OPT-NIFTY-09-Jan-2025-23050-P-E-I"/>
    <s v="NSE"/>
    <s v="Buy"/>
    <n v="75"/>
    <n v="0"/>
    <n v="14.25"/>
    <n v="1068.75"/>
    <s v="#202501073700003772"/>
    <n v="0"/>
    <n v="0.38"/>
    <n v="0"/>
    <n v="0"/>
    <n v="20"/>
    <n v="3.66"/>
    <n v="24.04"/>
    <n v="2025"/>
    <n v="1"/>
    <x v="1"/>
    <n v="10"/>
    <n v="10"/>
    <s v="202410"/>
    <s v="Jan-25"/>
    <n v="-1092.79"/>
    <n v="-1.0927899999999999"/>
  </r>
  <r>
    <d v="2025-01-08T00:00:00"/>
    <s v="OPT-NIFTY-09-Jan-2025-23050-P-E-I"/>
    <s v="NSE"/>
    <s v="Sell"/>
    <n v="450"/>
    <n v="0"/>
    <n v="2.4"/>
    <n v="1080"/>
    <s v="#202501083700023138"/>
    <n v="1"/>
    <n v="0.38"/>
    <n v="0"/>
    <n v="0"/>
    <n v="120"/>
    <n v="21.66"/>
    <n v="143.04"/>
    <n v="2025"/>
    <n v="1"/>
    <x v="1"/>
    <n v="10"/>
    <n v="10"/>
    <s v="202410"/>
    <s v="Jan-25"/>
    <n v="936.96"/>
    <n v="0.93696000000000002"/>
  </r>
  <r>
    <d v="2025-01-08T00:00:00"/>
    <s v="OPT-NIFTY-09-Jan-2025-23050-P-E-I"/>
    <s v="NSE"/>
    <s v="Buy"/>
    <n v="450"/>
    <n v="0"/>
    <n v="4.25"/>
    <n v="1912.5"/>
    <s v="#202501083700005951"/>
    <n v="0"/>
    <n v="0.68"/>
    <n v="0"/>
    <n v="0"/>
    <n v="120"/>
    <n v="21.72"/>
    <n v="142.4"/>
    <n v="2025"/>
    <n v="1"/>
    <x v="1"/>
    <n v="10"/>
    <n v="10"/>
    <s v="202410"/>
    <s v="Jan-25"/>
    <n v="-2054.9"/>
    <n v="-2.0548999999999999"/>
  </r>
  <r>
    <d v="2025-01-15T00:00:00"/>
    <s v="OPT-NIFTY-16-Jan-2025-23200-C-E-I"/>
    <s v="NSE"/>
    <s v="Sell"/>
    <n v="75"/>
    <n v="0"/>
    <n v="59.25"/>
    <n v="4443.75"/>
    <s v="#202501153700014989"/>
    <n v="4"/>
    <n v="1.58"/>
    <n v="0"/>
    <n v="0"/>
    <n v="20"/>
    <n v="3.88"/>
    <n v="29.46"/>
    <n v="2025"/>
    <n v="1"/>
    <x v="1"/>
    <n v="10"/>
    <n v="10"/>
    <s v="202410"/>
    <s v="Jan-25"/>
    <n v="4414.29"/>
    <n v="4.4142900000000003"/>
  </r>
  <r>
    <d v="2025-01-15T00:00:00"/>
    <s v="OPT-NIFTY-16-Jan-2025-23200-C-E-I"/>
    <s v="NSE"/>
    <s v="Buy"/>
    <n v="75"/>
    <n v="0"/>
    <n v="53.8"/>
    <n v="4035"/>
    <s v="#202501153700014377"/>
    <n v="0"/>
    <n v="1.43"/>
    <n v="0"/>
    <n v="0"/>
    <n v="20"/>
    <n v="3.86"/>
    <n v="25.29"/>
    <n v="2025"/>
    <n v="1"/>
    <x v="1"/>
    <n v="10"/>
    <n v="10"/>
    <s v="202410"/>
    <s v="Jan-25"/>
    <n v="-4060.29"/>
    <n v="-4.0602900000000002"/>
  </r>
  <r>
    <d v="2025-01-24T00:00:00"/>
    <s v="OPT-NIFTY-30-Jan-2025-23800-C-E-I"/>
    <s v="NSE"/>
    <s v="Buy"/>
    <n v="100"/>
    <n v="0"/>
    <n v="10"/>
    <n v="1000"/>
    <s v="#202501243700020422"/>
    <n v="0"/>
    <n v="0.36"/>
    <n v="0"/>
    <n v="0"/>
    <n v="80"/>
    <n v="14.46"/>
    <n v="94.82"/>
    <n v="2025"/>
    <n v="1"/>
    <x v="1"/>
    <n v="10"/>
    <n v="10"/>
    <s v="202410"/>
    <s v="Jan-25"/>
    <n v="-1094.82"/>
    <n v="-1.0948199999999999"/>
  </r>
  <r>
    <d v="2025-01-24T00:00:00"/>
    <s v="OPT-NIFTY-30-Jan-2025-23800-C-E-I"/>
    <s v="NSE"/>
    <s v="Buy"/>
    <n v="100"/>
    <n v="0"/>
    <n v="25.1"/>
    <n v="2510"/>
    <s v="#202501243700011763"/>
    <n v="0"/>
    <n v="0.89"/>
    <n v="0"/>
    <n v="0"/>
    <n v="80"/>
    <n v="14.56"/>
    <n v="95.45"/>
    <n v="2025"/>
    <n v="1"/>
    <x v="1"/>
    <n v="10"/>
    <n v="10"/>
    <s v="202410"/>
    <s v="Jan-25"/>
    <n v="-2605.4499999999998"/>
    <n v="-2.6054499999999998"/>
  </r>
  <r>
    <d v="2025-01-28T00:00:00"/>
    <s v="OPT-NIFTY-30-Jan-2025-23800-C-E-I"/>
    <s v="NSE"/>
    <s v="Sell"/>
    <n v="200"/>
    <n v="0"/>
    <n v="3.1"/>
    <n v="620"/>
    <s v="#202501283700003738"/>
    <n v="1"/>
    <n v="0.22"/>
    <n v="0"/>
    <n v="0"/>
    <n v="160"/>
    <n v="28.84"/>
    <n v="190.06"/>
    <n v="2025"/>
    <n v="1"/>
    <x v="1"/>
    <n v="10"/>
    <n v="10"/>
    <s v="202410"/>
    <s v="Jan-25"/>
    <n v="429.94"/>
    <n v="0.42993999999999999"/>
  </r>
  <r>
    <d v="2025-01-30T00:00:00"/>
    <s v="OPT-NIFTY-30-Jan-2025-23200-C-E-I"/>
    <s v="NSE"/>
    <s v="Sell"/>
    <n v="25"/>
    <n v="0"/>
    <n v="123.7"/>
    <n v="3092.5"/>
    <s v="#202501303700012285"/>
    <n v="3.09"/>
    <n v="1.1000000000000001"/>
    <n v="0"/>
    <n v="0"/>
    <n v="20"/>
    <n v="3.8"/>
    <n v="27.99"/>
    <n v="2025"/>
    <n v="1"/>
    <x v="1"/>
    <n v="10"/>
    <n v="10"/>
    <s v="202410"/>
    <s v="Jan-25"/>
    <n v="3064.51"/>
    <n v="3.0645100000000003"/>
  </r>
  <r>
    <d v="2025-01-30T00:00:00"/>
    <s v="OPT-NIFTY-30-Jan-2025-23200-C-E-I"/>
    <s v="NSE"/>
    <s v="Buy"/>
    <n v="25"/>
    <n v="0"/>
    <n v="95.75"/>
    <n v="2393.75"/>
    <s v="#202501303700011667"/>
    <n v="0"/>
    <n v="0.85"/>
    <n v="0"/>
    <n v="0"/>
    <n v="20"/>
    <n v="3.76"/>
    <n v="24.61"/>
    <n v="2025"/>
    <n v="1"/>
    <x v="1"/>
    <n v="10"/>
    <n v="10"/>
    <s v="202410"/>
    <s v="Jan-25"/>
    <n v="-2418.36"/>
    <n v="-2.4183600000000003"/>
  </r>
  <r>
    <d v="2025-01-30T00:00:00"/>
    <s v="OPT-NIFTY-30-Jan-2025-23200-C-E-I"/>
    <s v="NSE"/>
    <s v="Sell"/>
    <n v="100"/>
    <n v="0"/>
    <n v="115.25"/>
    <n v="11525"/>
    <s v="#202501303700005629"/>
    <n v="11.91"/>
    <n v="4.09"/>
    <n v="0"/>
    <n v="0.01"/>
    <n v="80"/>
    <n v="15.14"/>
    <n v="111.15"/>
    <n v="2025"/>
    <n v="1"/>
    <x v="1"/>
    <n v="10"/>
    <n v="10"/>
    <s v="202410"/>
    <s v="Jan-25"/>
    <n v="11413.85"/>
    <n v="11.41385"/>
  </r>
  <r>
    <d v="2025-01-30T00:00:00"/>
    <s v="OPT-NIFTY-30-Jan-2025-23200-C-E-I"/>
    <s v="NSE"/>
    <s v="Buy"/>
    <n v="100"/>
    <n v="0"/>
    <n v="103.16"/>
    <n v="10316.25"/>
    <s v="#202501303700002724"/>
    <n v="0"/>
    <n v="3.67"/>
    <n v="0"/>
    <n v="0.01"/>
    <n v="80"/>
    <n v="15.06"/>
    <n v="98.74"/>
    <n v="2025"/>
    <n v="1"/>
    <x v="1"/>
    <n v="10"/>
    <n v="10"/>
    <s v="202410"/>
    <s v="Jan-25"/>
    <n v="-10414.99"/>
    <n v="-10.41499"/>
  </r>
  <r>
    <d v="2025-01-31T00:00:00"/>
    <s v="OPT-NIFTY-06-Feb-2025-23450-C-E-I"/>
    <s v="NSE"/>
    <s v="Sell"/>
    <n v="75"/>
    <n v="0"/>
    <n v="307.25"/>
    <n v="23043.75"/>
    <s v="#202501313700014454"/>
    <n v="23.04"/>
    <n v="8.19"/>
    <n v="0"/>
    <n v="0.02"/>
    <n v="20"/>
    <n v="5.08"/>
    <n v="56.33"/>
    <n v="2025"/>
    <n v="1"/>
    <x v="1"/>
    <n v="10"/>
    <n v="10"/>
    <s v="202410"/>
    <s v="Jan-25"/>
    <n v="22987.42"/>
    <n v="22.987419999999997"/>
  </r>
  <r>
    <d v="2025-01-31T00:00:00"/>
    <s v="OPT-NIFTY-06-Feb-2025-23450-C-E-I"/>
    <s v="NSE"/>
    <s v="Buy"/>
    <n v="75"/>
    <n v="0"/>
    <n v="286"/>
    <n v="21450"/>
    <s v="#202501313700013663"/>
    <n v="0"/>
    <n v="7.62"/>
    <n v="0"/>
    <n v="0.02"/>
    <n v="20"/>
    <n v="4.9800000000000004"/>
    <n v="32.619999999999997"/>
    <n v="2025"/>
    <n v="1"/>
    <x v="1"/>
    <n v="10"/>
    <n v="10"/>
    <s v="202410"/>
    <s v="Jan-25"/>
    <n v="-21482.62"/>
    <n v="-21.482620000000001"/>
  </r>
  <r>
    <d v="2025-01-31T00:00:00"/>
    <s v="OPT-NIFTY-06-Feb-2025-23450-C-E-I"/>
    <s v="NSE"/>
    <s v="Sell"/>
    <n v="75"/>
    <n v="0"/>
    <n v="317.25"/>
    <n v="23793.75"/>
    <s v="#202501313700010076"/>
    <n v="23.79"/>
    <n v="8.4499999999999993"/>
    <n v="0"/>
    <n v="0.02"/>
    <n v="20"/>
    <n v="5.12"/>
    <n v="57.38"/>
    <n v="2025"/>
    <n v="1"/>
    <x v="1"/>
    <n v="10"/>
    <n v="10"/>
    <s v="202410"/>
    <s v="Jan-25"/>
    <n v="23736.37"/>
    <n v="23.736369999999997"/>
  </r>
  <r>
    <d v="2025-01-31T00:00:00"/>
    <s v="OPT-NIFTY-06-Feb-2025-23450-C-E-I"/>
    <s v="NSE"/>
    <s v="Buy"/>
    <n v="75"/>
    <n v="0"/>
    <n v="303.5"/>
    <n v="22762.5"/>
    <s v="#202501313700009811"/>
    <n v="0"/>
    <n v="8.09"/>
    <n v="1.33"/>
    <n v="0.02"/>
    <n v="20"/>
    <n v="5.0599999999999996"/>
    <n v="34.5"/>
    <n v="2025"/>
    <n v="1"/>
    <x v="1"/>
    <n v="10"/>
    <n v="10"/>
    <s v="202410"/>
    <s v="Jan-25"/>
    <n v="-22797"/>
    <n v="-22.797000000000001"/>
  </r>
  <r>
    <d v="2025-01-31T00:00:00"/>
    <s v="OPT-NIFTY-06-Feb-2025-23400-P-E-I"/>
    <s v="NSE"/>
    <s v="Sell"/>
    <n v="300"/>
    <n v="0"/>
    <n v="259.25"/>
    <n v="77775"/>
    <s v="#202501313700007943"/>
    <n v="77.77"/>
    <n v="27.64"/>
    <n v="0"/>
    <n v="0.08"/>
    <n v="80"/>
    <n v="19.38"/>
    <n v="204.87"/>
    <n v="2025"/>
    <n v="1"/>
    <x v="1"/>
    <n v="10"/>
    <n v="10"/>
    <s v="202410"/>
    <s v="Jan-25"/>
    <n v="77570.13"/>
    <n v="77.570130000000006"/>
  </r>
  <r>
    <d v="2025-01-31T00:00:00"/>
    <s v="OPT-NIFTY-06-Feb-2025-23400-P-E-I"/>
    <s v="NSE"/>
    <s v="Buy"/>
    <n v="150"/>
    <n v="0"/>
    <n v="246.25"/>
    <n v="36937.5"/>
    <s v="#202501313700007785"/>
    <n v="0"/>
    <n v="13.12"/>
    <n v="0"/>
    <n v="0.04"/>
    <n v="40"/>
    <n v="9.56"/>
    <n v="62.72"/>
    <n v="2025"/>
    <n v="1"/>
    <x v="1"/>
    <n v="10"/>
    <n v="10"/>
    <s v="202410"/>
    <s v="Jan-25"/>
    <n v="-37000.22"/>
    <n v="-37.000219999999999"/>
  </r>
  <r>
    <d v="2025-01-31T00:00:00"/>
    <s v="OPT-NIFTY-06-Feb-2025-23400-P-E-I"/>
    <s v="NSE"/>
    <s v="Buy"/>
    <n v="150"/>
    <n v="0"/>
    <n v="252.3"/>
    <n v="37845"/>
    <s v="#202501313700007702"/>
    <n v="0"/>
    <n v="13.45"/>
    <n v="3.67"/>
    <n v="0.04"/>
    <n v="40"/>
    <n v="9.6199999999999992"/>
    <n v="66.78"/>
    <n v="2025"/>
    <n v="1"/>
    <x v="1"/>
    <n v="10"/>
    <n v="10"/>
    <s v="202410"/>
    <s v="Jan-25"/>
    <n v="-37911.78"/>
    <n v="-37.91178"/>
  </r>
  <r>
    <d v="2025-01-31T00:00:00"/>
    <s v="OPT-NIFTY-06-Feb-2025-23400-P-E-I"/>
    <s v="NSE"/>
    <s v="Sell"/>
    <n v="150"/>
    <n v="0"/>
    <n v="247.5"/>
    <n v="37125"/>
    <s v="#202501313700007564"/>
    <n v="37.380000000000003"/>
    <n v="13.2"/>
    <n v="0"/>
    <n v="0.04"/>
    <n v="40"/>
    <n v="9.6"/>
    <n v="100.22"/>
    <n v="2025"/>
    <n v="1"/>
    <x v="1"/>
    <n v="10"/>
    <n v="10"/>
    <s v="202410"/>
    <s v="Jan-25"/>
    <n v="37024.78"/>
    <n v="37.02478"/>
  </r>
  <r>
    <d v="2025-01-31T00:00:00"/>
    <s v="OPT-NIFTY-06-Feb-2025-23400-P-E-I"/>
    <s v="NSE"/>
    <s v="Buy"/>
    <n v="75"/>
    <n v="0"/>
    <n v="242.1"/>
    <n v="18157.5"/>
    <s v="#202501313700006901"/>
    <n v="0"/>
    <n v="6.45"/>
    <n v="0"/>
    <n v="0.02"/>
    <n v="20"/>
    <n v="4.76"/>
    <n v="31.23"/>
    <n v="2025"/>
    <n v="1"/>
    <x v="1"/>
    <n v="10"/>
    <n v="10"/>
    <s v="202410"/>
    <s v="Jan-25"/>
    <n v="-18188.73"/>
    <n v="-18.18873"/>
  </r>
  <r>
    <d v="2025-01-31T00:00:00"/>
    <s v="OPT-NIFTY-06-Feb-2025-23400-P-E-I"/>
    <s v="NSE"/>
    <s v="Buy"/>
    <n v="75"/>
    <n v="0"/>
    <n v="251.25"/>
    <n v="18843.75"/>
    <s v="#202501313700006839"/>
    <n v="0"/>
    <n v="6.7"/>
    <n v="0"/>
    <n v="0.02"/>
    <n v="20"/>
    <n v="4.8"/>
    <n v="31.52"/>
    <n v="2025"/>
    <n v="1"/>
    <x v="1"/>
    <n v="10"/>
    <n v="10"/>
    <s v="202410"/>
    <s v="Jan-25"/>
    <n v="-18875.27"/>
    <n v="-18.87527"/>
  </r>
  <r>
    <d v="2025-02-01T00:00:00"/>
    <s v="OPT-NIFTY-06-Feb-2025-23600-C-E-I"/>
    <s v="NSE"/>
    <s v="Sell"/>
    <n v="300"/>
    <n v="0"/>
    <n v="103.8"/>
    <n v="31140"/>
    <s v="#202502013700022569"/>
    <n v="31"/>
    <n v="11.06"/>
    <n v="0"/>
    <n v="0.03"/>
    <n v="80"/>
    <n v="16.399999999999999"/>
    <n v="138.49"/>
    <n v="2025"/>
    <n v="2"/>
    <x v="1"/>
    <n v="11"/>
    <n v="11"/>
    <s v="202411"/>
    <s v="Feb-25"/>
    <n v="31001.51"/>
    <n v="31.00151"/>
  </r>
  <r>
    <d v="2025-02-01T00:00:00"/>
    <s v="OPT-NIFTY-06-Feb-2025-23600-C-E-I"/>
    <s v="NSE"/>
    <s v="Buy"/>
    <n v="75"/>
    <n v="0"/>
    <n v="215.3"/>
    <n v="16147.5"/>
    <s v="#202502013700009017"/>
    <n v="0"/>
    <n v="5.74"/>
    <n v="0"/>
    <n v="0.02"/>
    <n v="20"/>
    <n v="4.6399999999999997"/>
    <n v="30.4"/>
    <n v="2025"/>
    <n v="2"/>
    <x v="1"/>
    <n v="11"/>
    <n v="11"/>
    <s v="202411"/>
    <s v="Feb-25"/>
    <n v="-16177.9"/>
    <n v="-16.177900000000001"/>
  </r>
  <r>
    <d v="2025-02-01T00:00:00"/>
    <s v="OPT-NIFTY-06-Feb-2025-23600-C-E-I"/>
    <s v="NSE"/>
    <s v="Buy"/>
    <n v="75"/>
    <n v="0"/>
    <n v="241.45"/>
    <n v="18108.75"/>
    <s v="#202502013700008356"/>
    <n v="0"/>
    <n v="6.43"/>
    <n v="0"/>
    <n v="0.02"/>
    <n v="20"/>
    <n v="4.76"/>
    <n v="31.21"/>
    <n v="2025"/>
    <n v="2"/>
    <x v="1"/>
    <n v="11"/>
    <n v="11"/>
    <s v="202411"/>
    <s v="Feb-25"/>
    <n v="-18139.96"/>
    <n v="-18.139959999999999"/>
  </r>
  <r>
    <d v="2025-02-01T00:00:00"/>
    <s v="OPT-NIFTY-06-Feb-2025-23600-C-E-I"/>
    <s v="NSE"/>
    <s v="Buy"/>
    <n v="75"/>
    <n v="0"/>
    <n v="242.1"/>
    <n v="18157.5"/>
    <s v="#202502013700007399"/>
    <n v="0"/>
    <n v="6.45"/>
    <n v="0"/>
    <n v="0.02"/>
    <n v="20"/>
    <n v="4.76"/>
    <n v="31.23"/>
    <n v="2025"/>
    <n v="2"/>
    <x v="1"/>
    <n v="11"/>
    <n v="11"/>
    <s v="202411"/>
    <s v="Feb-25"/>
    <n v="-18188.73"/>
    <n v="-18.18873"/>
  </r>
  <r>
    <d v="2025-02-01T00:00:00"/>
    <s v="OPT-NIFTY-06-Feb-2025-23600-C-E-I"/>
    <s v="NSE"/>
    <s v="Buy"/>
    <n v="75"/>
    <n v="0"/>
    <n v="252"/>
    <n v="18900"/>
    <s v="#202502013700006973"/>
    <n v="0"/>
    <n v="6.72"/>
    <n v="2"/>
    <n v="0.02"/>
    <n v="20"/>
    <n v="4.82"/>
    <n v="33.56"/>
    <n v="2025"/>
    <n v="2"/>
    <x v="1"/>
    <n v="11"/>
    <n v="11"/>
    <s v="202411"/>
    <s v="Feb-25"/>
    <n v="-18933.560000000001"/>
    <n v="-18.93356"/>
  </r>
  <r>
    <d v="2025-02-03T00:00:00"/>
    <s v="OPT-NIFTY-06-Feb-2025-23300-C-E-I"/>
    <s v="NSE"/>
    <s v="Sell"/>
    <n v="150"/>
    <n v="0"/>
    <n v="169.95"/>
    <n v="25492.5"/>
    <s v="#202502033700012940"/>
    <n v="25"/>
    <n v="9.06"/>
    <n v="0"/>
    <n v="0.03"/>
    <n v="40"/>
    <n v="8.84"/>
    <n v="82.93"/>
    <n v="2025"/>
    <n v="2"/>
    <x v="1"/>
    <n v="11"/>
    <n v="11"/>
    <s v="202411"/>
    <s v="Feb-25"/>
    <n v="25409.57"/>
    <n v="25.409569999999999"/>
  </r>
  <r>
    <d v="2025-02-03T00:00:00"/>
    <s v="OPT-NIFTY-06-Feb-2025-23300-C-E-I"/>
    <s v="NSE"/>
    <s v="Buy"/>
    <n v="75"/>
    <n v="0"/>
    <n v="120.15"/>
    <n v="9011.25"/>
    <s v="#202502033700010414"/>
    <n v="0"/>
    <n v="3.2"/>
    <n v="0"/>
    <n v="0.01"/>
    <n v="20"/>
    <n v="4.18"/>
    <n v="27.39"/>
    <n v="2025"/>
    <n v="2"/>
    <x v="1"/>
    <n v="11"/>
    <n v="11"/>
    <s v="202411"/>
    <s v="Feb-25"/>
    <n v="-9038.64"/>
    <n v="-9.0386399999999991"/>
  </r>
  <r>
    <d v="2025-02-03T00:00:00"/>
    <s v="OPT-NIFTY-06-Feb-2025-23300-C-E-I"/>
    <s v="NSE"/>
    <s v="Buy"/>
    <n v="75"/>
    <n v="0"/>
    <n v="157.69999999999999"/>
    <n v="11827.5"/>
    <s v="#202502033700002244"/>
    <n v="0"/>
    <n v="4.2"/>
    <n v="1"/>
    <n v="0.01"/>
    <n v="20"/>
    <n v="4.3600000000000003"/>
    <n v="29.57"/>
    <n v="2025"/>
    <n v="2"/>
    <x v="1"/>
    <n v="11"/>
    <n v="11"/>
    <s v="202411"/>
    <s v="Feb-25"/>
    <n v="-11857.07"/>
    <n v="-11.85707"/>
  </r>
  <r>
    <d v="2025-02-04T00:00:00"/>
    <s v="OPT-NIFTY-06-Feb-2025-23700-P-E-I"/>
    <s v="NSE"/>
    <s v="Sell"/>
    <n v="150"/>
    <n v="0"/>
    <n v="169.25"/>
    <n v="25387.5"/>
    <s v="#202502043700016451"/>
    <n v="25.39"/>
    <n v="9.02"/>
    <n v="0"/>
    <n v="0.03"/>
    <n v="40"/>
    <n v="8.82"/>
    <n v="83.26"/>
    <n v="2025"/>
    <n v="2"/>
    <x v="1"/>
    <n v="11"/>
    <n v="11"/>
    <s v="202411"/>
    <s v="Feb-25"/>
    <n v="25304.240000000002"/>
    <n v="25.30424"/>
  </r>
  <r>
    <d v="2025-02-04T00:00:00"/>
    <s v="OPT-NIFTY-06-Feb-2025-23700-P-E-I"/>
    <s v="NSE"/>
    <s v="Buy"/>
    <n v="75"/>
    <n v="0"/>
    <n v="145.69999999999999"/>
    <n v="10927.5"/>
    <s v="#202502043700016083"/>
    <n v="0"/>
    <n v="3.88"/>
    <n v="0"/>
    <n v="0.01"/>
    <n v="20"/>
    <n v="4.3"/>
    <n v="28.19"/>
    <n v="2025"/>
    <n v="2"/>
    <x v="1"/>
    <n v="11"/>
    <n v="11"/>
    <s v="202411"/>
    <s v="Feb-25"/>
    <n v="-10955.69"/>
    <n v="-10.955690000000001"/>
  </r>
  <r>
    <d v="2025-02-04T00:00:00"/>
    <s v="OPT-NIFTY-06-Feb-2025-23700-P-E-I"/>
    <s v="NSE"/>
    <s v="Buy"/>
    <n v="75"/>
    <n v="0"/>
    <n v="157.69999999999999"/>
    <n v="11827.5"/>
    <s v="#202502043700015061"/>
    <n v="0"/>
    <n v="4.2"/>
    <n v="0.52"/>
    <n v="0.01"/>
    <n v="20"/>
    <n v="4.3600000000000003"/>
    <n v="29.09"/>
    <n v="2025"/>
    <n v="2"/>
    <x v="1"/>
    <n v="11"/>
    <n v="11"/>
    <s v="202411"/>
    <s v="Feb-25"/>
    <n v="-11856.59"/>
    <n v="-11.856590000000001"/>
  </r>
  <r>
    <d v="2025-02-04T00:00:00"/>
    <s v="OPT-NIFTY-06-Feb-2025-23350-P-E-I"/>
    <s v="NSE"/>
    <s v="Sell"/>
    <n v="75"/>
    <n v="0"/>
    <n v="72"/>
    <n v="5400"/>
    <s v="#202502043700005707"/>
    <n v="5.4"/>
    <n v="1.92"/>
    <n v="0"/>
    <n v="0.01"/>
    <n v="20"/>
    <n v="3.94"/>
    <n v="31.27"/>
    <n v="2025"/>
    <n v="2"/>
    <x v="1"/>
    <n v="11"/>
    <n v="11"/>
    <s v="202411"/>
    <s v="Feb-25"/>
    <n v="5368.73"/>
    <n v="5.3687299999999993"/>
  </r>
  <r>
    <d v="2025-02-04T00:00:00"/>
    <s v="OPT-NIFTY-06-Feb-2025-23600-P-E-I"/>
    <s v="NSE"/>
    <s v="Sell"/>
    <n v="75"/>
    <n v="0"/>
    <n v="169.75"/>
    <n v="12731.25"/>
    <s v="#202502043700005659"/>
    <n v="13.21"/>
    <n v="4.5199999999999996"/>
    <n v="0"/>
    <n v="0.01"/>
    <n v="20"/>
    <n v="4.42"/>
    <n v="42.16"/>
    <n v="2025"/>
    <n v="2"/>
    <x v="1"/>
    <n v="11"/>
    <n v="11"/>
    <s v="202411"/>
    <s v="Feb-25"/>
    <n v="12689.09"/>
    <n v="12.68909"/>
  </r>
  <r>
    <d v="2025-02-04T00:00:00"/>
    <s v="OPT-NIFTY-06-Feb-2025-23600-P-E-I"/>
    <s v="NSE"/>
    <s v="Buy"/>
    <n v="75"/>
    <n v="0"/>
    <n v="150.44999999999999"/>
    <n v="11283.75"/>
    <s v="#202502043700004836"/>
    <n v="0"/>
    <n v="4.01"/>
    <n v="0.34"/>
    <n v="0.01"/>
    <n v="20"/>
    <n v="4.32"/>
    <n v="28.68"/>
    <n v="2025"/>
    <n v="2"/>
    <x v="1"/>
    <n v="11"/>
    <n v="11"/>
    <s v="202411"/>
    <s v="Feb-25"/>
    <n v="-11312.43"/>
    <n v="-11.312430000000001"/>
  </r>
  <r>
    <d v="2025-02-04T00:00:00"/>
    <s v="OPT-NIFTY-06-Feb-2025-23350-P-E-I"/>
    <s v="NSE"/>
    <s v="Buy"/>
    <n v="75"/>
    <n v="0"/>
    <n v="61.25"/>
    <n v="4593.75"/>
    <s v="#202502043700002651"/>
    <n v="0"/>
    <n v="1.63"/>
    <n v="0.14000000000000001"/>
    <n v="0"/>
    <n v="20"/>
    <n v="3.9"/>
    <n v="25.67"/>
    <n v="2025"/>
    <n v="2"/>
    <x v="1"/>
    <n v="11"/>
    <n v="11"/>
    <s v="202411"/>
    <s v="Feb-25"/>
    <n v="-4619.42"/>
    <n v="-4.6194199999999999"/>
  </r>
  <r>
    <d v="2025-02-05T00:00:00"/>
    <s v="OPT-NIFTY-06-Feb-2025-23750-P-E-I"/>
    <s v="NSE"/>
    <s v="Sell"/>
    <n v="375"/>
    <n v="0"/>
    <n v="93.25"/>
    <n v="34968.75"/>
    <s v="#202502053700010640"/>
    <n v="35"/>
    <n v="12.42"/>
    <n v="0"/>
    <n v="0.03"/>
    <n v="100"/>
    <n v="20.239999999999998"/>
    <n v="167.69"/>
    <n v="2025"/>
    <n v="2"/>
    <x v="1"/>
    <n v="11"/>
    <n v="11"/>
    <s v="202411"/>
    <s v="Feb-25"/>
    <n v="34801.06"/>
    <n v="34.80106"/>
  </r>
  <r>
    <d v="2025-02-05T00:00:00"/>
    <s v="OPT-NIFTY-06-Feb-2025-23750-P-E-I"/>
    <s v="NSE"/>
    <s v="Buy"/>
    <n v="75"/>
    <n v="0"/>
    <n v="79.55"/>
    <n v="5966.25"/>
    <s v="#202502053700007071"/>
    <n v="0"/>
    <n v="2.12"/>
    <n v="0"/>
    <n v="0.01"/>
    <n v="20"/>
    <n v="3.98"/>
    <n v="26.11"/>
    <n v="2025"/>
    <n v="2"/>
    <x v="1"/>
    <n v="11"/>
    <n v="11"/>
    <s v="202411"/>
    <s v="Feb-25"/>
    <n v="-5992.36"/>
    <n v="-5.9923599999999997"/>
  </r>
  <r>
    <d v="2025-02-05T00:00:00"/>
    <s v="OPT-NIFTY-06-Feb-2025-23750-P-E-I"/>
    <s v="NSE"/>
    <s v="Buy"/>
    <n v="75"/>
    <n v="0"/>
    <n v="91.65"/>
    <n v="6873.75"/>
    <s v="#202502053700005846"/>
    <n v="0"/>
    <n v="2.44"/>
    <n v="0"/>
    <n v="0.01"/>
    <n v="20"/>
    <n v="4.04"/>
    <n v="26.49"/>
    <n v="2025"/>
    <n v="2"/>
    <x v="1"/>
    <n v="11"/>
    <n v="11"/>
    <s v="202411"/>
    <s v="Feb-25"/>
    <n v="-6900.24"/>
    <n v="-6.9002400000000002"/>
  </r>
  <r>
    <d v="2025-02-05T00:00:00"/>
    <s v="OPT-NIFTY-06-Feb-2025-23750-P-E-I"/>
    <s v="NSE"/>
    <s v="Buy"/>
    <n v="75"/>
    <n v="0"/>
    <n v="83"/>
    <n v="6225"/>
    <s v="#202502053700005009"/>
    <n v="0"/>
    <n v="2.21"/>
    <n v="0"/>
    <n v="0.01"/>
    <n v="20"/>
    <n v="4"/>
    <n v="26.22"/>
    <n v="2025"/>
    <n v="2"/>
    <x v="1"/>
    <n v="11"/>
    <n v="11"/>
    <s v="202411"/>
    <s v="Feb-25"/>
    <n v="-6251.22"/>
    <n v="-6.25122"/>
  </r>
  <r>
    <d v="2025-02-05T00:00:00"/>
    <s v="OPT-NIFTY-06-Feb-2025-23750-P-E-I"/>
    <s v="NSE"/>
    <s v="Buy"/>
    <n v="75"/>
    <n v="0"/>
    <n v="92.25"/>
    <n v="6918.75"/>
    <s v="#202502053700004932"/>
    <n v="0"/>
    <n v="2.46"/>
    <n v="1"/>
    <n v="0.01"/>
    <n v="20"/>
    <n v="4.04"/>
    <n v="27.51"/>
    <n v="2025"/>
    <n v="2"/>
    <x v="1"/>
    <n v="11"/>
    <n v="11"/>
    <s v="202411"/>
    <s v="Feb-25"/>
    <n v="-6946.26"/>
    <n v="-6.9462600000000005"/>
  </r>
  <r>
    <d v="2025-02-05T00:00:00"/>
    <s v="OPT-NIFTY-06-Feb-2025-23750-P-E-I"/>
    <s v="NSE"/>
    <s v="Buy"/>
    <n v="75"/>
    <n v="0"/>
    <n v="92"/>
    <n v="6900"/>
    <s v="#202502053700004768"/>
    <n v="0"/>
    <n v="2.4500000000000002"/>
    <n v="0"/>
    <n v="0.01"/>
    <n v="20"/>
    <n v="4.04"/>
    <n v="26.5"/>
    <n v="2025"/>
    <n v="2"/>
    <x v="1"/>
    <n v="11"/>
    <n v="11"/>
    <s v="202411"/>
    <s v="Feb-25"/>
    <n v="-6926.5"/>
    <n v="-6.9264999999999999"/>
  </r>
  <r>
    <d v="2025-02-06T00:00:00"/>
    <s v="OPT-NIFTY-06-Feb-2025-23650-C-E-I"/>
    <s v="NSE"/>
    <s v="Sell"/>
    <n v="750"/>
    <n v="0"/>
    <n v="8"/>
    <n v="6000"/>
    <s v="#202502063700012203"/>
    <n v="6"/>
    <n v="2.13"/>
    <n v="0"/>
    <n v="0"/>
    <n v="200"/>
    <n v="36.380000000000003"/>
    <n v="244.51"/>
    <n v="2025"/>
    <n v="2"/>
    <x v="1"/>
    <n v="11"/>
    <n v="11"/>
    <s v="202411"/>
    <s v="Feb-25"/>
    <n v="5755.49"/>
    <n v="5.75549"/>
  </r>
  <r>
    <d v="2025-02-06T00:00:00"/>
    <s v="OPT-NIFTY-06-Feb-2025-23650-C-E-I"/>
    <s v="NSE"/>
    <s v="Buy"/>
    <n v="750"/>
    <n v="0"/>
    <n v="13.7"/>
    <n v="10275"/>
    <s v="#202502063700009958"/>
    <n v="0"/>
    <n v="3.65"/>
    <n v="1"/>
    <n v="0.01"/>
    <n v="200"/>
    <n v="36.659999999999997"/>
    <n v="241.32"/>
    <n v="2025"/>
    <n v="2"/>
    <x v="1"/>
    <n v="11"/>
    <n v="11"/>
    <s v="202411"/>
    <s v="Feb-25"/>
    <n v="-10516.32"/>
    <n v="-10.51632"/>
  </r>
  <r>
    <d v="2025-02-06T00:00:00"/>
    <s v="OPT-NIFTY-06-Feb-2025-23650-C-E-I"/>
    <s v="NSE"/>
    <s v="Sell"/>
    <n v="600"/>
    <n v="0"/>
    <n v="22.25"/>
    <n v="13350"/>
    <s v="#202502063700007918"/>
    <n v="13.01"/>
    <n v="4.74"/>
    <n v="0"/>
    <n v="0.02"/>
    <n v="160"/>
    <n v="29.64"/>
    <n v="207.41"/>
    <n v="2025"/>
    <n v="2"/>
    <x v="1"/>
    <n v="11"/>
    <n v="11"/>
    <s v="202411"/>
    <s v="Feb-25"/>
    <n v="13142.59"/>
    <n v="13.14259"/>
  </r>
  <r>
    <d v="2025-02-06T00:00:00"/>
    <s v="OPT-NIFTY-06-Feb-2025-23650-C-E-I"/>
    <s v="NSE"/>
    <s v="Buy"/>
    <n v="300"/>
    <n v="0"/>
    <n v="26.25"/>
    <n v="7875"/>
    <s v="#202502063700007382"/>
    <n v="0"/>
    <n v="2.8"/>
    <n v="0"/>
    <n v="0.01"/>
    <n v="80"/>
    <n v="14.9"/>
    <n v="97.71"/>
    <n v="2025"/>
    <n v="2"/>
    <x v="1"/>
    <n v="11"/>
    <n v="11"/>
    <s v="202411"/>
    <s v="Feb-25"/>
    <n v="-7972.71"/>
    <n v="-7.9727100000000002"/>
  </r>
  <r>
    <d v="2025-02-06T00:00:00"/>
    <s v="OPT-NIFTY-06-Feb-2025-23650-C-E-I"/>
    <s v="NSE"/>
    <s v="Buy"/>
    <n v="300"/>
    <n v="0"/>
    <n v="31.5"/>
    <n v="9450"/>
    <s v="#202502063700006734"/>
    <n v="0"/>
    <n v="3.36"/>
    <n v="0"/>
    <n v="0"/>
    <n v="80"/>
    <n v="15.02"/>
    <n v="98.38"/>
    <n v="2025"/>
    <n v="2"/>
    <x v="1"/>
    <n v="11"/>
    <n v="11"/>
    <s v="202411"/>
    <s v="Feb-25"/>
    <n v="-9548.3799999999992"/>
    <n v="-9.5483799999999999"/>
  </r>
  <r>
    <d v="2025-02-07T00:00:00"/>
    <s v="OPT-NIFTY-13-Feb-2025-23750-C-E-I"/>
    <s v="NSE"/>
    <s v="Sell"/>
    <n v="150"/>
    <n v="0"/>
    <n v="62"/>
    <n v="9300"/>
    <s v="#202502073700015043"/>
    <n v="9.3000000000000007"/>
    <n v="3.3"/>
    <n v="0"/>
    <n v="0"/>
    <n v="40"/>
    <n v="7.8"/>
    <n v="60.4"/>
    <n v="2025"/>
    <n v="2"/>
    <x v="1"/>
    <n v="11"/>
    <n v="11"/>
    <s v="202411"/>
    <s v="Feb-25"/>
    <n v="9239.6"/>
    <n v="9.2396000000000011"/>
  </r>
  <r>
    <d v="2025-02-07T00:00:00"/>
    <s v="OPT-NIFTY-13-Feb-2025-23750-C-E-I"/>
    <s v="NSE"/>
    <s v="Buy"/>
    <n v="75"/>
    <n v="0"/>
    <n v="71.900000000000006"/>
    <n v="5392.5"/>
    <s v="#202502073700014524"/>
    <n v="0"/>
    <n v="1.92"/>
    <n v="0"/>
    <n v="0.01"/>
    <n v="20"/>
    <n v="3.94"/>
    <n v="25.87"/>
    <n v="2025"/>
    <n v="2"/>
    <x v="1"/>
    <n v="11"/>
    <n v="11"/>
    <s v="202411"/>
    <s v="Feb-25"/>
    <n v="-5418.37"/>
    <n v="-5.4183699999999995"/>
  </r>
  <r>
    <d v="2025-02-07T00:00:00"/>
    <s v="OPT-NIFTY-13-Feb-2025-23750-C-E-I"/>
    <s v="NSE"/>
    <s v="Buy"/>
    <n v="75"/>
    <n v="0"/>
    <n v="92.1"/>
    <n v="6907.5"/>
    <s v="#202502073700012222"/>
    <n v="0"/>
    <n v="2.4500000000000002"/>
    <n v="0"/>
    <n v="0.01"/>
    <n v="20"/>
    <n v="4.04"/>
    <n v="26.5"/>
    <n v="2025"/>
    <n v="2"/>
    <x v="1"/>
    <n v="11"/>
    <n v="11"/>
    <s v="202411"/>
    <s v="Feb-25"/>
    <n v="-6934"/>
    <n v="-6.9340000000000002"/>
  </r>
  <r>
    <d v="2025-02-07T00:00:00"/>
    <s v="OPT-NIFTY-13-Feb-2025-23550-P-E-I"/>
    <s v="NSE"/>
    <s v="Sell"/>
    <n v="150"/>
    <n v="0"/>
    <n v="116.25"/>
    <n v="17437.5"/>
    <s v="#202502073700010081"/>
    <n v="17.440000000000001"/>
    <n v="6.2"/>
    <n v="0"/>
    <n v="0.02"/>
    <n v="40"/>
    <n v="8.32"/>
    <n v="71.98"/>
    <n v="2025"/>
    <n v="2"/>
    <x v="1"/>
    <n v="11"/>
    <n v="11"/>
    <s v="202411"/>
    <s v="Feb-25"/>
    <n v="17365.52"/>
    <n v="17.36552"/>
  </r>
  <r>
    <d v="2025-02-07T00:00:00"/>
    <s v="OPT-NIFTY-13-Feb-2025-23550-P-E-I"/>
    <s v="NSE"/>
    <s v="Buy"/>
    <n v="150"/>
    <n v="0"/>
    <n v="96"/>
    <n v="14400"/>
    <s v="#202502073700009473"/>
    <n v="0"/>
    <n v="5.12"/>
    <n v="0.43"/>
    <n v="0.02"/>
    <n v="40"/>
    <n v="8.1199999999999992"/>
    <n v="53.69"/>
    <n v="2025"/>
    <n v="2"/>
    <x v="1"/>
    <n v="11"/>
    <n v="11"/>
    <s v="202411"/>
    <s v="Feb-25"/>
    <n v="-14453.69"/>
    <n v="-14.45369"/>
  </r>
  <r>
    <d v="2025-02-07T00:00:00"/>
    <s v="OPT-NIFTY-13-Feb-2025-23750-C-E-I"/>
    <s v="NSE"/>
    <s v="Sell"/>
    <n v="150"/>
    <n v="0"/>
    <n v="120"/>
    <n v="18000"/>
    <s v="#202502073700003436"/>
    <n v="18"/>
    <n v="6.4"/>
    <n v="0"/>
    <n v="0.02"/>
    <n v="40"/>
    <n v="8.36"/>
    <n v="72.78"/>
    <n v="2025"/>
    <n v="2"/>
    <x v="1"/>
    <n v="11"/>
    <n v="11"/>
    <s v="202411"/>
    <s v="Feb-25"/>
    <n v="17927.22"/>
    <n v="17.927220000000002"/>
  </r>
  <r>
    <d v="2025-02-07T00:00:00"/>
    <s v="OPT-NIFTY-13-Feb-2025-23750-C-E-I"/>
    <s v="NSE"/>
    <s v="Buy"/>
    <n v="150"/>
    <n v="0"/>
    <n v="133"/>
    <n v="19950"/>
    <s v="#202502073700002997"/>
    <n v="0"/>
    <n v="7.09"/>
    <n v="1.57"/>
    <n v="0.02"/>
    <n v="40"/>
    <n v="8.48"/>
    <n v="57.16"/>
    <n v="2025"/>
    <n v="2"/>
    <x v="1"/>
    <n v="11"/>
    <n v="11"/>
    <s v="202411"/>
    <s v="Feb-25"/>
    <n v="-20007.16"/>
    <n v="-20.007159999999999"/>
  </r>
  <r>
    <d v="2025-02-07T00:00:00"/>
    <s v="OPT-NIFTY-13-Feb-2025-23750-C-E-I"/>
    <s v="NSE"/>
    <s v="Sell"/>
    <n v="75"/>
    <n v="0"/>
    <n v="127.7"/>
    <n v="9577.5"/>
    <s v="#202502073700002641"/>
    <n v="9.26"/>
    <n v="3.4"/>
    <n v="0"/>
    <n v="0.01"/>
    <n v="20"/>
    <n v="4.22"/>
    <n v="36.89"/>
    <n v="2025"/>
    <n v="2"/>
    <x v="1"/>
    <n v="11"/>
    <n v="11"/>
    <s v="202411"/>
    <s v="Feb-25"/>
    <n v="9540.61"/>
    <n v="9.5406100000000009"/>
  </r>
  <r>
    <d v="2025-02-07T00:00:00"/>
    <s v="OPT-NIFTY-13-Feb-2025-23750-C-E-I"/>
    <s v="NSE"/>
    <s v="Buy"/>
    <n v="75"/>
    <n v="0"/>
    <n v="132.25"/>
    <n v="9918.75"/>
    <s v="#202502073700002307"/>
    <n v="0"/>
    <n v="3.52"/>
    <n v="0"/>
    <n v="0.01"/>
    <n v="20"/>
    <n v="4.24"/>
    <n v="27.77"/>
    <n v="2025"/>
    <n v="2"/>
    <x v="1"/>
    <n v="11"/>
    <n v="11"/>
    <s v="202411"/>
    <s v="Feb-25"/>
    <n v="-9946.52"/>
    <n v="-9.9465199999999996"/>
  </r>
  <r>
    <d v="2025-02-11T00:00:00"/>
    <s v="OPT-NIFTY-13-Feb-2025-23150-P-E-I"/>
    <s v="NSE"/>
    <s v="Sell"/>
    <n v="75"/>
    <n v="0"/>
    <n v="185.1"/>
    <n v="13882.5"/>
    <s v="#202502113700013444"/>
    <n v="14"/>
    <n v="4.93"/>
    <n v="0"/>
    <n v="0.01"/>
    <n v="20"/>
    <n v="4.4800000000000004"/>
    <n v="43.42"/>
    <n v="2025"/>
    <n v="2"/>
    <x v="1"/>
    <n v="11"/>
    <n v="11"/>
    <s v="202411"/>
    <s v="Feb-25"/>
    <n v="13839.08"/>
    <n v="13.839079999999999"/>
  </r>
  <r>
    <d v="2025-02-11T00:00:00"/>
    <s v="OPT-NIFTY-13-Feb-2025-23150-P-E-I"/>
    <s v="NSE"/>
    <s v="Buy"/>
    <n v="75"/>
    <n v="0"/>
    <n v="62.5"/>
    <n v="4687.5"/>
    <s v="#202502113700009822"/>
    <n v="0"/>
    <n v="1.67"/>
    <n v="0"/>
    <n v="0"/>
    <n v="20"/>
    <n v="3.9"/>
    <n v="25.57"/>
    <n v="2025"/>
    <n v="2"/>
    <x v="1"/>
    <n v="11"/>
    <n v="11"/>
    <s v="202411"/>
    <s v="Feb-25"/>
    <n v="-4713.07"/>
    <n v="-4.7130700000000001"/>
  </r>
  <r>
    <d v="2025-02-12T00:00:00"/>
    <s v="OPT-NIFTY-13-Feb-2025-23300-C-E-I"/>
    <s v="NSE"/>
    <s v="Buy"/>
    <n v="300"/>
    <n v="0"/>
    <n v="41.5"/>
    <n v="12450"/>
    <s v="#202502123700019547"/>
    <n v="0"/>
    <n v="4.42"/>
    <n v="0.18"/>
    <n v="0.01"/>
    <n v="80"/>
    <n v="15.2"/>
    <n v="99.81"/>
    <n v="2025"/>
    <n v="2"/>
    <x v="1"/>
    <n v="11"/>
    <n v="11"/>
    <s v="202411"/>
    <s v="Feb-25"/>
    <n v="-12549.81"/>
    <n v="-12.549809999999999"/>
  </r>
  <r>
    <d v="2025-02-12T00:00:00"/>
    <s v="OPT-NIFTY-13-Feb-2025-22950-P-E-I"/>
    <s v="NSE"/>
    <s v="Sell"/>
    <n v="150"/>
    <n v="0"/>
    <n v="35"/>
    <n v="5250"/>
    <s v="#202502123700019440"/>
    <n v="5.26"/>
    <n v="1.86"/>
    <n v="0"/>
    <n v="0"/>
    <n v="40"/>
    <n v="7.52"/>
    <n v="54.64"/>
    <n v="2025"/>
    <n v="2"/>
    <x v="1"/>
    <n v="11"/>
    <n v="11"/>
    <s v="202411"/>
    <s v="Feb-25"/>
    <n v="5195.3599999999997"/>
    <n v="5.19536"/>
  </r>
  <r>
    <d v="2025-02-12T00:00:00"/>
    <s v="OPT-NIFTY-13-Feb-2025-22950-P-E-I"/>
    <s v="NSE"/>
    <s v="Buy"/>
    <n v="75"/>
    <n v="0"/>
    <n v="65"/>
    <n v="4875"/>
    <s v="#202502123700015237"/>
    <n v="0"/>
    <n v="1.73"/>
    <n v="0"/>
    <n v="0"/>
    <n v="20"/>
    <n v="3.92"/>
    <n v="25.65"/>
    <n v="2025"/>
    <n v="2"/>
    <x v="1"/>
    <n v="11"/>
    <n v="11"/>
    <s v="202411"/>
    <s v="Feb-25"/>
    <n v="-4900.6499999999996"/>
    <n v="-4.9006499999999997"/>
  </r>
  <r>
    <d v="2025-02-12T00:00:00"/>
    <s v="OPT-NIFTY-13-Feb-2025-23050-C-E-I"/>
    <s v="NSE"/>
    <s v="Sell"/>
    <n v="75"/>
    <n v="0"/>
    <n v="120.35"/>
    <n v="9026.25"/>
    <s v="#202502123700015017"/>
    <n v="9.0299999999999994"/>
    <n v="3.21"/>
    <n v="0"/>
    <n v="0.01"/>
    <n v="20"/>
    <n v="4.18"/>
    <n v="36.43"/>
    <n v="2025"/>
    <n v="2"/>
    <x v="1"/>
    <n v="11"/>
    <n v="11"/>
    <s v="202411"/>
    <s v="Feb-25"/>
    <n v="8989.82"/>
    <n v="8.9898199999999999"/>
  </r>
  <r>
    <d v="2025-02-12T00:00:00"/>
    <s v="OPT-NIFTY-13-Feb-2025-23050-C-E-I"/>
    <s v="NSE"/>
    <s v="Buy"/>
    <n v="75"/>
    <n v="0"/>
    <n v="95.5"/>
    <n v="7162.5"/>
    <s v="#202502123700013613"/>
    <n v="0"/>
    <n v="2.54"/>
    <n v="0.21"/>
    <n v="0.01"/>
    <n v="20"/>
    <n v="4.0599999999999996"/>
    <n v="26.82"/>
    <n v="2025"/>
    <n v="2"/>
    <x v="1"/>
    <n v="11"/>
    <n v="11"/>
    <s v="202411"/>
    <s v="Feb-25"/>
    <n v="-7189.32"/>
    <n v="-7.1893199999999995"/>
  </r>
  <r>
    <d v="2025-02-12T00:00:00"/>
    <s v="OPT-NIFTY-13-Feb-2025-22950-P-E-I"/>
    <s v="NSE"/>
    <s v="Buy"/>
    <n v="75"/>
    <n v="0"/>
    <n v="101.25"/>
    <n v="7593.75"/>
    <s v="#202502123700012516"/>
    <n v="0"/>
    <n v="2.7"/>
    <n v="0.37"/>
    <n v="0.01"/>
    <n v="20"/>
    <n v="4.08"/>
    <n v="27.16"/>
    <n v="2025"/>
    <n v="2"/>
    <x v="1"/>
    <n v="11"/>
    <n v="11"/>
    <s v="202411"/>
    <s v="Feb-25"/>
    <n v="-7620.91"/>
    <n v="-7.6209100000000003"/>
  </r>
  <r>
    <d v="2025-02-12T00:00:00"/>
    <s v="OPT-NIFTY-13-Feb-2025-22850-C-E-I"/>
    <s v="NSE"/>
    <s v="Sell"/>
    <n v="75"/>
    <n v="0"/>
    <n v="127"/>
    <n v="9525"/>
    <s v="#202502123700007865"/>
    <n v="9.7200000000000006"/>
    <n v="3.38"/>
    <n v="0"/>
    <n v="0.01"/>
    <n v="20"/>
    <n v="4.22"/>
    <n v="37.33"/>
    <n v="2025"/>
    <n v="2"/>
    <x v="1"/>
    <n v="11"/>
    <n v="11"/>
    <s v="202411"/>
    <s v="Feb-25"/>
    <n v="9487.67"/>
    <n v="9.4876699999999996"/>
  </r>
  <r>
    <d v="2025-02-12T00:00:00"/>
    <s v="OPT-NIFTY-13-Feb-2025-22850-C-E-I"/>
    <s v="NSE"/>
    <s v="Buy"/>
    <n v="75"/>
    <n v="0"/>
    <n v="107.15"/>
    <n v="8036.25"/>
    <s v="#202502123700006341"/>
    <n v="0"/>
    <n v="2.86"/>
    <n v="0.24"/>
    <n v="0.01"/>
    <n v="20"/>
    <n v="4.12"/>
    <n v="27.23"/>
    <n v="2025"/>
    <n v="2"/>
    <x v="1"/>
    <n v="11"/>
    <n v="11"/>
    <s v="202411"/>
    <s v="Feb-25"/>
    <n v="-8063.48"/>
    <n v="-8.0634800000000002"/>
  </r>
  <r>
    <d v="2025-02-13T00:00:00"/>
    <s v="OPT-NIFTY-13-Feb-2025-23300-C-E-I"/>
    <s v="NSE"/>
    <s v="Sell"/>
    <n v="300"/>
    <n v="0"/>
    <n v="3.9"/>
    <n v="1170"/>
    <s v="#202502133700015608"/>
    <n v="1"/>
    <n v="0.42"/>
    <n v="0"/>
    <n v="0"/>
    <n v="80"/>
    <n v="14.48"/>
    <n v="95.9"/>
    <n v="2025"/>
    <n v="2"/>
    <x v="1"/>
    <n v="11"/>
    <n v="11"/>
    <s v="202411"/>
    <s v="Feb-25"/>
    <n v="1074.0999999999999"/>
    <n v="1.0740999999999998"/>
  </r>
  <r>
    <d v="2025-02-17T00:00:00"/>
    <s v="OPT-NIFTY-20-Feb-2025-23000-C-E-I"/>
    <s v="NSE"/>
    <s v="Sell"/>
    <n v="150"/>
    <n v="0"/>
    <n v="147.25"/>
    <n v="22087.5"/>
    <s v="#202502173700017869"/>
    <n v="22.09"/>
    <n v="7.85"/>
    <n v="0"/>
    <n v="0.02"/>
    <n v="40"/>
    <n v="8.6199999999999992"/>
    <n v="78.58"/>
    <n v="2025"/>
    <n v="2"/>
    <x v="1"/>
    <n v="11"/>
    <n v="11"/>
    <s v="202411"/>
    <s v="Feb-25"/>
    <n v="22008.92"/>
    <n v="22.00892"/>
  </r>
  <r>
    <d v="2025-02-17T00:00:00"/>
    <s v="OPT-NIFTY-20-Feb-2025-23000-C-E-I"/>
    <s v="NSE"/>
    <s v="Buy"/>
    <n v="150"/>
    <n v="0"/>
    <n v="142"/>
    <n v="21300"/>
    <s v="#202502173700017763"/>
    <n v="0"/>
    <n v="7.57"/>
    <n v="0"/>
    <n v="0.02"/>
    <n v="40"/>
    <n v="8.56"/>
    <n v="56.15"/>
    <n v="2025"/>
    <n v="2"/>
    <x v="1"/>
    <n v="11"/>
    <n v="11"/>
    <s v="202411"/>
    <s v="Feb-25"/>
    <n v="-21356.15"/>
    <n v="-21.356150000000003"/>
  </r>
  <r>
    <d v="2025-02-17T00:00:00"/>
    <s v="OPT-NIFTY-20-Feb-2025-23000-C-E-I"/>
    <s v="NSE"/>
    <s v="Sell"/>
    <n v="150"/>
    <n v="0"/>
    <n v="130"/>
    <n v="19500"/>
    <s v="#202502173700017102"/>
    <n v="19.5"/>
    <n v="6.93"/>
    <n v="0"/>
    <n v="0.02"/>
    <n v="40"/>
    <n v="8.4600000000000009"/>
    <n v="74.91"/>
    <n v="2025"/>
    <n v="2"/>
    <x v="1"/>
    <n v="11"/>
    <n v="11"/>
    <s v="202411"/>
    <s v="Feb-25"/>
    <n v="19425.09"/>
    <n v="19.425090000000001"/>
  </r>
  <r>
    <d v="2025-02-17T00:00:00"/>
    <s v="OPT-NIFTY-20-Feb-2025-23000-C-E-I"/>
    <s v="NSE"/>
    <s v="Buy"/>
    <n v="150"/>
    <n v="0"/>
    <n v="132.25"/>
    <n v="19837.5"/>
    <s v="#202502173700016857"/>
    <n v="0"/>
    <n v="7.05"/>
    <n v="1.73"/>
    <n v="0.02"/>
    <n v="40"/>
    <n v="8.48"/>
    <n v="57.28"/>
    <n v="2025"/>
    <n v="2"/>
    <x v="1"/>
    <n v="11"/>
    <n v="11"/>
    <s v="202411"/>
    <s v="Feb-25"/>
    <n v="-19894.78"/>
    <n v="-19.894779999999997"/>
  </r>
  <r>
    <d v="2025-02-17T00:00:00"/>
    <s v="OPT-NIFTY-20-Feb-2025-22900-P-E-I"/>
    <s v="NSE"/>
    <s v="Sell"/>
    <n v="75"/>
    <n v="0"/>
    <n v="179.25"/>
    <n v="13443.75"/>
    <s v="#202502173700011242"/>
    <n v="13.44"/>
    <n v="4.78"/>
    <n v="0"/>
    <n v="0.01"/>
    <n v="20"/>
    <n v="4.46"/>
    <n v="42.69"/>
    <n v="2025"/>
    <n v="2"/>
    <x v="1"/>
    <n v="11"/>
    <n v="11"/>
    <s v="202411"/>
    <s v="Feb-25"/>
    <n v="13401.06"/>
    <n v="13.401059999999999"/>
  </r>
  <r>
    <d v="2025-02-17T00:00:00"/>
    <s v="OPT-NIFTY-20-Feb-2025-22900-P-E-I"/>
    <s v="NSE"/>
    <s v="Buy"/>
    <n v="75"/>
    <n v="0"/>
    <n v="156.65"/>
    <n v="11748.75"/>
    <s v="#202502173700011022"/>
    <n v="0"/>
    <n v="4.17"/>
    <n v="0.35"/>
    <n v="0.01"/>
    <n v="20"/>
    <n v="4.3600000000000003"/>
    <n v="28.89"/>
    <n v="2025"/>
    <n v="2"/>
    <x v="1"/>
    <n v="11"/>
    <n v="11"/>
    <s v="202411"/>
    <s v="Feb-25"/>
    <n v="-11777.64"/>
    <n v="-11.77764"/>
  </r>
  <r>
    <d v="2025-02-17T00:00:00"/>
    <s v="OPT-NIFTY-20-Feb-2025-22900-C-E-I"/>
    <s v="NSE"/>
    <s v="Sell"/>
    <n v="75"/>
    <n v="0"/>
    <n v="159"/>
    <n v="11925"/>
    <s v="#202502173700010940"/>
    <n v="11.93"/>
    <n v="4.24"/>
    <n v="0"/>
    <n v="0.01"/>
    <n v="20"/>
    <n v="4.3600000000000003"/>
    <n v="40.54"/>
    <n v="2025"/>
    <n v="2"/>
    <x v="1"/>
    <n v="11"/>
    <n v="11"/>
    <s v="202411"/>
    <s v="Feb-25"/>
    <n v="11884.46"/>
    <n v="11.884459999999999"/>
  </r>
  <r>
    <d v="2025-02-17T00:00:00"/>
    <s v="OPT-NIFTY-20-Feb-2025-22900-C-E-I"/>
    <s v="NSE"/>
    <s v="Buy"/>
    <n v="75"/>
    <n v="0"/>
    <n v="178.7"/>
    <n v="13402.5"/>
    <s v="#202502173700010799"/>
    <n v="0"/>
    <n v="4.76"/>
    <n v="0.4"/>
    <n v="0.01"/>
    <n v="20"/>
    <n v="4.46"/>
    <n v="29.63"/>
    <n v="2025"/>
    <n v="2"/>
    <x v="1"/>
    <n v="11"/>
    <n v="11"/>
    <s v="202411"/>
    <s v="Feb-25"/>
    <n v="-13432.13"/>
    <n v="-13.432129999999999"/>
  </r>
  <r>
    <d v="2025-02-17T00:00:00"/>
    <s v="OPT-NIFTY-20-Feb-2025-22850-P-E-I"/>
    <s v="NSE"/>
    <s v="Sell"/>
    <n v="150"/>
    <n v="0"/>
    <n v="148.1"/>
    <n v="22215"/>
    <s v="#202502173700008838"/>
    <n v="22.56"/>
    <n v="7.89"/>
    <n v="0"/>
    <n v="0.02"/>
    <n v="40"/>
    <n v="8.6199999999999992"/>
    <n v="79.09"/>
    <n v="2025"/>
    <n v="2"/>
    <x v="1"/>
    <n v="11"/>
    <n v="11"/>
    <s v="202411"/>
    <s v="Feb-25"/>
    <n v="22135.91"/>
    <n v="22.135909999999999"/>
  </r>
  <r>
    <d v="2025-02-17T00:00:00"/>
    <s v="OPT-NIFTY-20-Feb-2025-22850-P-E-I"/>
    <s v="NSE"/>
    <s v="Buy"/>
    <n v="150"/>
    <n v="0"/>
    <n v="128"/>
    <n v="19200"/>
    <s v="#202502173700008426"/>
    <n v="0"/>
    <n v="6.82"/>
    <n v="1.1299999999999999"/>
    <n v="0.02"/>
    <n v="40"/>
    <n v="8.44"/>
    <n v="56.41"/>
    <n v="2025"/>
    <n v="2"/>
    <x v="1"/>
    <n v="11"/>
    <n v="11"/>
    <s v="202411"/>
    <s v="Feb-25"/>
    <n v="-19256.41"/>
    <n v="-19.256409999999999"/>
  </r>
  <r>
    <d v="2025-02-17T00:00:00"/>
    <s v="OPT-NIFTY-20-Feb-2025-22850-P-E-I"/>
    <s v="NSE"/>
    <s v="Sell"/>
    <n v="150"/>
    <n v="0"/>
    <n v="135.75"/>
    <n v="20362.5"/>
    <s v="#202502173700008311"/>
    <n v="20.36"/>
    <n v="7.24"/>
    <n v="0"/>
    <n v="0.02"/>
    <n v="40"/>
    <n v="8.52"/>
    <n v="76.14"/>
    <n v="2025"/>
    <n v="2"/>
    <x v="1"/>
    <n v="11"/>
    <n v="11"/>
    <s v="202411"/>
    <s v="Feb-25"/>
    <n v="20286.36"/>
    <n v="20.286360000000002"/>
  </r>
  <r>
    <d v="2025-02-17T00:00:00"/>
    <s v="OPT-NIFTY-20-Feb-2025-22850-P-E-I"/>
    <s v="NSE"/>
    <s v="Buy"/>
    <n v="150"/>
    <n v="0"/>
    <n v="122.65"/>
    <n v="18397.5"/>
    <s v="#202502173700008195"/>
    <n v="0"/>
    <n v="6.54"/>
    <n v="0"/>
    <n v="0.02"/>
    <n v="40"/>
    <n v="8.3800000000000008"/>
    <n v="54.94"/>
    <n v="2025"/>
    <n v="2"/>
    <x v="1"/>
    <n v="11"/>
    <n v="11"/>
    <s v="202411"/>
    <s v="Feb-25"/>
    <n v="-18452.439999999999"/>
    <n v="-18.452439999999999"/>
  </r>
  <r>
    <d v="2025-02-17T00:00:00"/>
    <s v="OPT-NIFTY-20-Feb-2025-22800-C-E-I"/>
    <s v="NSE"/>
    <s v="Sell"/>
    <n v="75"/>
    <n v="0"/>
    <n v="175"/>
    <n v="13125"/>
    <s v="#202502173700004814"/>
    <n v="13.13"/>
    <n v="4.66"/>
    <n v="0"/>
    <n v="0.01"/>
    <n v="20"/>
    <n v="4.4400000000000004"/>
    <n v="42.24"/>
    <n v="2025"/>
    <n v="2"/>
    <x v="1"/>
    <n v="11"/>
    <n v="11"/>
    <s v="202411"/>
    <s v="Feb-25"/>
    <n v="13082.76"/>
    <n v="13.08276"/>
  </r>
  <r>
    <d v="2025-02-17T00:00:00"/>
    <s v="OPT-NIFTY-20-Feb-2025-22800-C-E-I"/>
    <s v="NSE"/>
    <s v="Buy"/>
    <n v="75"/>
    <n v="0"/>
    <n v="173.95"/>
    <n v="13046.25"/>
    <s v="#202502173700004606"/>
    <n v="0"/>
    <n v="4.6399999999999997"/>
    <n v="0.39"/>
    <n v="0.01"/>
    <n v="20"/>
    <n v="4.4400000000000004"/>
    <n v="29.48"/>
    <n v="2025"/>
    <n v="2"/>
    <x v="1"/>
    <n v="11"/>
    <n v="11"/>
    <s v="202411"/>
    <s v="Feb-25"/>
    <n v="-13075.73"/>
    <n v="-13.07573"/>
  </r>
  <r>
    <d v="2025-02-18T00:00:00"/>
    <s v="OPT-NIFTY-20-Feb-2025-22950-C-E-I"/>
    <s v="NSE"/>
    <s v="Sell"/>
    <n v="225"/>
    <n v="0"/>
    <n v="121.35"/>
    <n v="27303.75"/>
    <s v="#202502183700014491"/>
    <n v="27.3"/>
    <n v="9.6999999999999993"/>
    <n v="0"/>
    <n v="0.03"/>
    <n v="60"/>
    <n v="12.54"/>
    <n v="109.57"/>
    <n v="2025"/>
    <n v="2"/>
    <x v="1"/>
    <n v="11"/>
    <n v="11"/>
    <s v="202411"/>
    <s v="Feb-25"/>
    <n v="27194.18"/>
    <n v="27.194179999999999"/>
  </r>
  <r>
    <d v="2025-02-18T00:00:00"/>
    <s v="OPT-NIFTY-20-Feb-2025-22950-C-E-I"/>
    <s v="NSE"/>
    <s v="Buy"/>
    <n v="75"/>
    <n v="0"/>
    <n v="115"/>
    <n v="8625"/>
    <s v="#202502183700014446"/>
    <n v="0"/>
    <n v="3.06"/>
    <n v="0"/>
    <n v="0.01"/>
    <n v="20"/>
    <n v="4.16"/>
    <n v="27.23"/>
    <n v="2025"/>
    <n v="2"/>
    <x v="1"/>
    <n v="11"/>
    <n v="11"/>
    <s v="202411"/>
    <s v="Feb-25"/>
    <n v="-8652.23"/>
    <n v="-8.6522299999999994"/>
  </r>
  <r>
    <d v="2025-02-18T00:00:00"/>
    <s v="OPT-NIFTY-20-Feb-2025-22950-C-E-I"/>
    <s v="NSE"/>
    <s v="Buy"/>
    <n v="75"/>
    <n v="0"/>
    <n v="119.25"/>
    <n v="8943.75"/>
    <s v="#202502183700014287"/>
    <n v="0"/>
    <n v="3.18"/>
    <n v="0"/>
    <n v="0.01"/>
    <n v="20"/>
    <n v="4.18"/>
    <n v="27.37"/>
    <n v="2025"/>
    <n v="2"/>
    <x v="1"/>
    <n v="11"/>
    <n v="11"/>
    <s v="202411"/>
    <s v="Feb-25"/>
    <n v="-8971.1200000000008"/>
    <n v="-8.9711200000000009"/>
  </r>
  <r>
    <d v="2025-02-18T00:00:00"/>
    <s v="OPT-NIFTY-20-Feb-2025-22950-C-E-I"/>
    <s v="NSE"/>
    <s v="Buy"/>
    <n v="75"/>
    <n v="0"/>
    <n v="120"/>
    <n v="9000"/>
    <s v="#202502183700014265"/>
    <n v="0"/>
    <n v="3.2"/>
    <n v="0"/>
    <n v="0.01"/>
    <n v="20"/>
    <n v="4.18"/>
    <n v="27.39"/>
    <n v="2025"/>
    <n v="2"/>
    <x v="1"/>
    <n v="11"/>
    <n v="11"/>
    <s v="202411"/>
    <s v="Feb-25"/>
    <n v="-9027.39"/>
    <n v="-9.0273899999999987"/>
  </r>
  <r>
    <d v="2025-02-18T00:00:00"/>
    <s v="OPT-NIFTY-20-Feb-2025-22850-P-E-I"/>
    <s v="NSE"/>
    <s v="Sell"/>
    <n v="150"/>
    <n v="0"/>
    <n v="129.1"/>
    <n v="19365"/>
    <s v="#202502183700010168"/>
    <n v="19.36"/>
    <n v="6.88"/>
    <n v="0"/>
    <n v="0.02"/>
    <n v="40"/>
    <n v="8.44"/>
    <n v="74.7"/>
    <n v="2025"/>
    <n v="2"/>
    <x v="1"/>
    <n v="11"/>
    <n v="11"/>
    <s v="202411"/>
    <s v="Feb-25"/>
    <n v="19290.3"/>
    <n v="19.290299999999998"/>
  </r>
  <r>
    <d v="2025-02-18T00:00:00"/>
    <s v="OPT-NIFTY-20-Feb-2025-22850-P-E-I"/>
    <s v="NSE"/>
    <s v="Buy"/>
    <n v="75"/>
    <n v="0"/>
    <n v="133"/>
    <n v="9975"/>
    <s v="#202502183700010049"/>
    <n v="0"/>
    <n v="3.54"/>
    <n v="0.59"/>
    <n v="0.01"/>
    <n v="20"/>
    <n v="4.24"/>
    <n v="28.38"/>
    <n v="2025"/>
    <n v="2"/>
    <x v="1"/>
    <n v="11"/>
    <n v="11"/>
    <s v="202411"/>
    <s v="Feb-25"/>
    <n v="-10003.379999999999"/>
    <n v="-10.00338"/>
  </r>
  <r>
    <d v="2025-02-18T00:00:00"/>
    <s v="OPT-NIFTY-20-Feb-2025-22850-P-E-I"/>
    <s v="NSE"/>
    <s v="Buy"/>
    <n v="75"/>
    <n v="0"/>
    <n v="131"/>
    <n v="9825"/>
    <s v="#202502183700009964"/>
    <n v="0"/>
    <n v="3.49"/>
    <n v="0"/>
    <n v="0.01"/>
    <n v="20"/>
    <n v="4.24"/>
    <n v="27.74"/>
    <n v="2025"/>
    <n v="2"/>
    <x v="1"/>
    <n v="11"/>
    <n v="11"/>
    <s v="202411"/>
    <s v="Feb-25"/>
    <n v="-9852.74"/>
    <n v="-9.8527399999999989"/>
  </r>
  <r>
    <d v="2025-02-18T00:00:00"/>
    <s v="OPT-NIFTY-20-Feb-2025-22850-C-E-I"/>
    <s v="NSE"/>
    <s v="Sell"/>
    <n v="150"/>
    <n v="0"/>
    <n v="159.25"/>
    <n v="23887.5"/>
    <s v="#202502183700007062"/>
    <n v="23.89"/>
    <n v="8.49"/>
    <n v="0"/>
    <n v="0.02"/>
    <n v="40"/>
    <n v="8.74"/>
    <n v="81.14"/>
    <n v="2025"/>
    <n v="2"/>
    <x v="1"/>
    <n v="11"/>
    <n v="11"/>
    <s v="202411"/>
    <s v="Feb-25"/>
    <n v="23806.36"/>
    <n v="23.806360000000002"/>
  </r>
  <r>
    <d v="2025-02-18T00:00:00"/>
    <s v="OPT-NIFTY-20-Feb-2025-22850-C-E-I"/>
    <s v="NSE"/>
    <s v="Buy"/>
    <n v="75"/>
    <n v="0"/>
    <n v="142.19999999999999"/>
    <n v="10665"/>
    <s v="#202502183700006742"/>
    <n v="0"/>
    <n v="3.79"/>
    <n v="0.65"/>
    <n v="0.01"/>
    <n v="20"/>
    <n v="4.28"/>
    <n v="28.73"/>
    <n v="2025"/>
    <n v="2"/>
    <x v="1"/>
    <n v="11"/>
    <n v="11"/>
    <s v="202411"/>
    <s v="Feb-25"/>
    <n v="-10693.73"/>
    <n v="-10.69373"/>
  </r>
  <r>
    <d v="2025-02-18T00:00:00"/>
    <s v="OPT-NIFTY-20-Feb-2025-22850-C-E-I"/>
    <s v="NSE"/>
    <s v="Buy"/>
    <n v="75"/>
    <n v="0"/>
    <n v="145.55000000000001"/>
    <n v="10916.25"/>
    <s v="#202502183700006724"/>
    <n v="0"/>
    <n v="3.88"/>
    <n v="0"/>
    <n v="0.01"/>
    <n v="20"/>
    <n v="4.3"/>
    <n v="28.19"/>
    <n v="2025"/>
    <n v="2"/>
    <x v="1"/>
    <n v="11"/>
    <n v="11"/>
    <s v="202411"/>
    <s v="Feb-25"/>
    <n v="-10944.44"/>
    <n v="-10.94444"/>
  </r>
  <r>
    <d v="2025-02-18T00:00:00"/>
    <s v="OPT-NIFTY-20-Feb-2025-22950-P-E-I"/>
    <s v="NSE"/>
    <s v="Sell"/>
    <n v="150"/>
    <n v="0"/>
    <n v="174.25"/>
    <n v="26137.5"/>
    <s v="#202502183700004846"/>
    <n v="26.14"/>
    <n v="9.2799999999999994"/>
    <n v="0"/>
    <n v="0.02"/>
    <n v="40"/>
    <n v="8.8800000000000008"/>
    <n v="84.32"/>
    <n v="2025"/>
    <n v="2"/>
    <x v="1"/>
    <n v="11"/>
    <n v="11"/>
    <s v="202411"/>
    <s v="Feb-25"/>
    <n v="26053.18"/>
    <n v="26.053180000000001"/>
  </r>
  <r>
    <d v="2025-02-18T00:00:00"/>
    <s v="OPT-NIFTY-20-Feb-2025-22950-P-E-I"/>
    <s v="NSE"/>
    <s v="Buy"/>
    <n v="150"/>
    <n v="0"/>
    <n v="154.25"/>
    <n v="23137.5"/>
    <s v="#202502183700004719"/>
    <n v="0"/>
    <n v="8.2200000000000006"/>
    <n v="0.69"/>
    <n v="0.02"/>
    <n v="40"/>
    <n v="8.68"/>
    <n v="57.61"/>
    <n v="2025"/>
    <n v="2"/>
    <x v="1"/>
    <n v="11"/>
    <n v="11"/>
    <s v="202411"/>
    <s v="Feb-25"/>
    <n v="-23195.11"/>
    <n v="-23.19511"/>
  </r>
  <r>
    <d v="2025-02-18T00:00:00"/>
    <s v="OPT-NIFTY-20-Feb-2025-22950-C-E-I"/>
    <s v="NSE"/>
    <s v="Sell"/>
    <n v="150"/>
    <n v="0"/>
    <n v="137"/>
    <n v="20550"/>
    <s v="#202502183700004414"/>
    <n v="20.69"/>
    <n v="7.3"/>
    <n v="0"/>
    <n v="0.02"/>
    <n v="40"/>
    <n v="8.52"/>
    <n v="76.53"/>
    <n v="2025"/>
    <n v="2"/>
    <x v="1"/>
    <n v="11"/>
    <n v="11"/>
    <s v="202411"/>
    <s v="Feb-25"/>
    <n v="20473.47"/>
    <n v="20.473470000000002"/>
  </r>
  <r>
    <d v="2025-02-18T00:00:00"/>
    <s v="OPT-NIFTY-20-Feb-2025-22950-C-E-I"/>
    <s v="NSE"/>
    <s v="Buy"/>
    <n v="150"/>
    <n v="0"/>
    <n v="142.19999999999999"/>
    <n v="21330"/>
    <s v="#202502183700004187"/>
    <n v="0"/>
    <n v="7.58"/>
    <n v="0"/>
    <n v="0.02"/>
    <n v="40"/>
    <n v="8.56"/>
    <n v="56.16"/>
    <n v="2025"/>
    <n v="2"/>
    <x v="1"/>
    <n v="11"/>
    <n v="11"/>
    <s v="202411"/>
    <s v="Feb-25"/>
    <n v="-21386.16"/>
    <n v="-21.38616"/>
  </r>
  <r>
    <d v="2025-02-18T00:00:00"/>
    <s v="OPT-NIFTY-20-Feb-2025-22950-C-E-I"/>
    <s v="NSE"/>
    <s v="Sell"/>
    <n v="150"/>
    <n v="0"/>
    <n v="137.44999999999999"/>
    <n v="20617.5"/>
    <s v="#202502183700003457"/>
    <n v="20.62"/>
    <n v="7.32"/>
    <n v="0"/>
    <n v="0.02"/>
    <n v="40"/>
    <n v="8.52"/>
    <n v="76.48"/>
    <n v="2025"/>
    <n v="2"/>
    <x v="1"/>
    <n v="11"/>
    <n v="11"/>
    <s v="202411"/>
    <s v="Feb-25"/>
    <n v="20541.02"/>
    <n v="20.54102"/>
  </r>
  <r>
    <d v="2025-02-18T00:00:00"/>
    <s v="OPT-NIFTY-20-Feb-2025-22950-C-E-I"/>
    <s v="NSE"/>
    <s v="Buy"/>
    <n v="75"/>
    <n v="0"/>
    <n v="129.80000000000001"/>
    <n v="9735"/>
    <s v="#202502183700002728"/>
    <n v="0"/>
    <n v="3.46"/>
    <n v="2.0699999999999998"/>
    <n v="0.01"/>
    <n v="20"/>
    <n v="4.22"/>
    <n v="29.76"/>
    <n v="2025"/>
    <n v="2"/>
    <x v="1"/>
    <n v="11"/>
    <n v="11"/>
    <s v="202411"/>
    <s v="Feb-25"/>
    <n v="-9764.76"/>
    <n v="-9.7647600000000008"/>
  </r>
  <r>
    <d v="2025-02-18T00:00:00"/>
    <s v="OPT-NIFTY-20-Feb-2025-22950-C-E-I"/>
    <s v="NSE"/>
    <s v="Buy"/>
    <n v="75"/>
    <n v="0"/>
    <n v="132.75"/>
    <n v="9956.25"/>
    <s v="#202502183700002653"/>
    <n v="0"/>
    <n v="3.54"/>
    <n v="0"/>
    <n v="0.01"/>
    <n v="20"/>
    <n v="4.24"/>
    <n v="27.79"/>
    <n v="2025"/>
    <n v="2"/>
    <x v="1"/>
    <n v="11"/>
    <n v="11"/>
    <s v="202411"/>
    <s v="Feb-25"/>
    <n v="-9984.0400000000009"/>
    <n v="-9.9840400000000002"/>
  </r>
  <r>
    <d v="2025-02-19T00:00:00"/>
    <s v="OPT-NIFTY-20-Feb-2025-22950-C-E-I"/>
    <s v="NSE"/>
    <s v="Sell"/>
    <n v="150"/>
    <n v="0"/>
    <n v="129.25"/>
    <n v="19387.5"/>
    <s v="#202502193700011444"/>
    <n v="19.39"/>
    <n v="6.89"/>
    <n v="0"/>
    <n v="0.02"/>
    <n v="40"/>
    <n v="8.44"/>
    <n v="74.739999999999995"/>
    <n v="2025"/>
    <n v="2"/>
    <x v="1"/>
    <n v="11"/>
    <n v="11"/>
    <s v="202411"/>
    <s v="Feb-25"/>
    <n v="19312.759999999998"/>
    <n v="19.312759999999997"/>
  </r>
  <r>
    <d v="2025-02-19T00:00:00"/>
    <s v="OPT-NIFTY-20-Feb-2025-22950-C-E-I"/>
    <s v="NSE"/>
    <s v="Buy"/>
    <n v="150"/>
    <n v="0"/>
    <n v="117"/>
    <n v="17550"/>
    <s v="#202502193700011259"/>
    <n v="0"/>
    <n v="6.24"/>
    <n v="0"/>
    <n v="0.02"/>
    <n v="40"/>
    <n v="8.32"/>
    <n v="54.58"/>
    <n v="2025"/>
    <n v="2"/>
    <x v="1"/>
    <n v="11"/>
    <n v="11"/>
    <s v="202411"/>
    <s v="Feb-25"/>
    <n v="-17604.580000000002"/>
    <n v="-17.604580000000002"/>
  </r>
  <r>
    <d v="2025-02-19T00:00:00"/>
    <s v="OPT-NIFTY-20-Feb-2025-22950-C-E-I"/>
    <s v="NSE"/>
    <s v="Sell"/>
    <n v="225"/>
    <n v="0"/>
    <n v="115.9"/>
    <n v="26077.5"/>
    <s v="#202502193700010832"/>
    <n v="26.08"/>
    <n v="9.27"/>
    <n v="0"/>
    <n v="0.03"/>
    <n v="60"/>
    <n v="12.48"/>
    <n v="107.86"/>
    <n v="2025"/>
    <n v="2"/>
    <x v="1"/>
    <n v="11"/>
    <n v="11"/>
    <s v="202411"/>
    <s v="Feb-25"/>
    <n v="25969.64"/>
    <n v="25.969639999999998"/>
  </r>
  <r>
    <d v="2025-02-19T00:00:00"/>
    <s v="OPT-NIFTY-20-Feb-2025-22950-C-E-I"/>
    <s v="NSE"/>
    <s v="Buy"/>
    <n v="225"/>
    <n v="0"/>
    <n v="110.25"/>
    <n v="24806.25"/>
    <s v="#202502193700010239"/>
    <n v="0"/>
    <n v="8.82"/>
    <n v="0"/>
    <n v="0.03"/>
    <n v="60"/>
    <n v="12.4"/>
    <n v="81.25"/>
    <n v="2025"/>
    <n v="2"/>
    <x v="1"/>
    <n v="11"/>
    <n v="11"/>
    <s v="202411"/>
    <s v="Feb-25"/>
    <n v="-24887.5"/>
    <n v="-24.887499999999999"/>
  </r>
  <r>
    <d v="2025-02-19T00:00:00"/>
    <s v="OPT-NIFTY-20-Feb-2025-22950-C-E-I"/>
    <s v="NSE"/>
    <s v="Sell"/>
    <n v="225"/>
    <n v="0"/>
    <n v="107.35"/>
    <n v="24153.75"/>
    <s v="#202502193700010144"/>
    <n v="24.15"/>
    <n v="8.58"/>
    <n v="0"/>
    <n v="0.02"/>
    <n v="60"/>
    <n v="12.34"/>
    <n v="105.09"/>
    <n v="2025"/>
    <n v="2"/>
    <x v="1"/>
    <n v="11"/>
    <n v="11"/>
    <s v="202411"/>
    <s v="Feb-25"/>
    <n v="24048.66"/>
    <n v="24.048659999999998"/>
  </r>
  <r>
    <d v="2025-02-19T00:00:00"/>
    <s v="OPT-NIFTY-20-Feb-2025-22950-C-E-I"/>
    <s v="NSE"/>
    <s v="Buy"/>
    <n v="75"/>
    <n v="0"/>
    <n v="112.55"/>
    <n v="8441.25"/>
    <s v="#202502193700010039"/>
    <n v="0"/>
    <n v="3"/>
    <n v="0"/>
    <n v="0.01"/>
    <n v="20"/>
    <n v="4.1399999999999997"/>
    <n v="27.15"/>
    <n v="2025"/>
    <n v="2"/>
    <x v="1"/>
    <n v="11"/>
    <n v="11"/>
    <s v="202411"/>
    <s v="Feb-25"/>
    <n v="-8468.4"/>
    <n v="-8.468399999999999"/>
  </r>
  <r>
    <d v="2025-02-19T00:00:00"/>
    <s v="OPT-NIFTY-20-Feb-2025-22950-C-E-I"/>
    <s v="NSE"/>
    <s v="Buy"/>
    <n v="150"/>
    <n v="0"/>
    <n v="118.95"/>
    <n v="17842.5"/>
    <s v="#202502193700009911"/>
    <n v="0"/>
    <n v="6.34"/>
    <n v="1.83"/>
    <n v="0.02"/>
    <n v="40"/>
    <n v="8.34"/>
    <n v="56.53"/>
    <n v="2025"/>
    <n v="2"/>
    <x v="1"/>
    <n v="11"/>
    <n v="11"/>
    <s v="202411"/>
    <s v="Feb-25"/>
    <n v="-17899.03"/>
    <n v="-17.89903"/>
  </r>
  <r>
    <d v="2025-02-19T00:00:00"/>
    <s v="OPT-NIFTY-20-Feb-2025-22950-P-E-I"/>
    <s v="NSE"/>
    <s v="Sell"/>
    <n v="225"/>
    <n v="0"/>
    <n v="90"/>
    <n v="20250"/>
    <s v="#202502193700009845"/>
    <n v="20.25"/>
    <n v="7.19"/>
    <n v="0"/>
    <n v="0.02"/>
    <n v="60"/>
    <n v="12.1"/>
    <n v="99.56"/>
    <n v="2025"/>
    <n v="2"/>
    <x v="1"/>
    <n v="11"/>
    <n v="11"/>
    <s v="202411"/>
    <s v="Feb-25"/>
    <n v="20150.439999999999"/>
    <n v="20.15044"/>
  </r>
  <r>
    <d v="2025-02-19T00:00:00"/>
    <s v="OPT-NIFTY-20-Feb-2025-22950-P-E-I"/>
    <s v="NSE"/>
    <s v="Buy"/>
    <n v="225"/>
    <n v="0"/>
    <n v="94"/>
    <n v="21150"/>
    <s v="#202502193700009713"/>
    <n v="0"/>
    <n v="7.51"/>
    <n v="0.63"/>
    <n v="0.02"/>
    <n v="60"/>
    <n v="12.16"/>
    <n v="80.319999999999993"/>
    <n v="2025"/>
    <n v="2"/>
    <x v="1"/>
    <n v="11"/>
    <n v="11"/>
    <s v="202411"/>
    <s v="Feb-25"/>
    <n v="-21230.32"/>
    <n v="-21.230319999999999"/>
  </r>
  <r>
    <d v="2025-02-19T00:00:00"/>
    <s v="OPT-NIFTY-20-Feb-2025-22900-C-E-I"/>
    <s v="NSE"/>
    <s v="Sell"/>
    <n v="150"/>
    <n v="0"/>
    <n v="139"/>
    <n v="20850"/>
    <s v="#202502193700003793"/>
    <n v="21.13"/>
    <n v="7.41"/>
    <n v="0"/>
    <n v="0.02"/>
    <n v="40"/>
    <n v="8.5399999999999991"/>
    <n v="77.099999999999994"/>
    <n v="2025"/>
    <n v="2"/>
    <x v="1"/>
    <n v="11"/>
    <n v="11"/>
    <s v="202411"/>
    <s v="Feb-25"/>
    <n v="20772.900000000001"/>
    <n v="20.7729"/>
  </r>
  <r>
    <d v="2025-02-19T00:00:00"/>
    <s v="OPT-NIFTY-20-Feb-2025-22900-C-E-I"/>
    <s v="NSE"/>
    <s v="Buy"/>
    <n v="150"/>
    <n v="0"/>
    <n v="120.55"/>
    <n v="18082.5"/>
    <s v="#202502193700003625"/>
    <n v="0"/>
    <n v="6.42"/>
    <n v="0.54"/>
    <n v="0.02"/>
    <n v="40"/>
    <n v="8.36"/>
    <n v="55.34"/>
    <n v="2025"/>
    <n v="2"/>
    <x v="1"/>
    <n v="11"/>
    <n v="11"/>
    <s v="202411"/>
    <s v="Feb-25"/>
    <n v="-18137.84"/>
    <n v="-18.137840000000001"/>
  </r>
  <r>
    <d v="2025-02-20T00:00:00"/>
    <s v="OPT-NIFTY-20-Feb-2025-22850-P-E-I"/>
    <s v="NSE"/>
    <s v="Sell"/>
    <n v="675"/>
    <n v="0"/>
    <n v="14.1"/>
    <n v="9517.5"/>
    <s v="#202502203700011276"/>
    <n v="9.52"/>
    <n v="3.38"/>
    <n v="0"/>
    <n v="0.01"/>
    <n v="180"/>
    <n v="33.020000000000003"/>
    <n v="225.93"/>
    <n v="2025"/>
    <n v="2"/>
    <x v="1"/>
    <n v="11"/>
    <n v="11"/>
    <s v="202411"/>
    <s v="Feb-25"/>
    <n v="9291.57"/>
    <n v="9.2915700000000001"/>
  </r>
  <r>
    <d v="2025-02-20T00:00:00"/>
    <s v="OPT-NIFTY-20-Feb-2025-22850-P-E-I"/>
    <s v="NSE"/>
    <s v="Buy"/>
    <n v="675"/>
    <n v="0"/>
    <n v="20.05"/>
    <n v="13533.75"/>
    <s v="#202502203700010856"/>
    <n v="0"/>
    <n v="4.8"/>
    <n v="1.08"/>
    <n v="0.01"/>
    <n v="180"/>
    <n v="33.28"/>
    <n v="219.17"/>
    <n v="2025"/>
    <n v="2"/>
    <x v="1"/>
    <n v="11"/>
    <n v="11"/>
    <s v="202411"/>
    <s v="Feb-25"/>
    <n v="-13752.92"/>
    <n v="-13.75292"/>
  </r>
  <r>
    <d v="2025-02-20T00:00:00"/>
    <s v="OPT-NIFTY-20-Feb-2025-22850-P-E-I"/>
    <s v="NSE"/>
    <s v="Sell"/>
    <n v="750"/>
    <n v="0"/>
    <n v="16"/>
    <n v="12000"/>
    <s v="#202502203700009964"/>
    <n v="12"/>
    <n v="4.2699999999999996"/>
    <n v="0"/>
    <n v="0"/>
    <n v="200"/>
    <n v="36.799999999999997"/>
    <n v="253.07"/>
    <n v="2025"/>
    <n v="2"/>
    <x v="1"/>
    <n v="11"/>
    <n v="11"/>
    <s v="202411"/>
    <s v="Feb-25"/>
    <n v="11746.93"/>
    <n v="11.746930000000001"/>
  </r>
  <r>
    <d v="2025-02-20T00:00:00"/>
    <s v="OPT-NIFTY-20-Feb-2025-22850-P-E-I"/>
    <s v="NSE"/>
    <s v="Buy"/>
    <n v="750"/>
    <n v="0"/>
    <n v="30.18"/>
    <n v="22631.25"/>
    <s v="#202502203700006754"/>
    <n v="0"/>
    <n v="8.0299999999999994"/>
    <n v="0"/>
    <n v="0.01"/>
    <n v="200"/>
    <n v="37.42"/>
    <n v="245.46"/>
    <n v="2025"/>
    <n v="2"/>
    <x v="1"/>
    <n v="11"/>
    <n v="11"/>
    <s v="202411"/>
    <s v="Feb-25"/>
    <n v="-22876.71"/>
    <n v="-22.876709999999999"/>
  </r>
  <r>
    <d v="2025-02-20T00:00:00"/>
    <s v="OPT-NIFTY-20-Feb-2025-22850-C-E-I"/>
    <s v="NSE"/>
    <s v="Sell"/>
    <n v="375"/>
    <n v="0"/>
    <n v="62"/>
    <n v="23250"/>
    <s v="#202502203700005523"/>
    <n v="23.48"/>
    <n v="8.25"/>
    <n v="0"/>
    <n v="0"/>
    <n v="100"/>
    <n v="19.5"/>
    <n v="151.22999999999999"/>
    <n v="2025"/>
    <n v="2"/>
    <x v="1"/>
    <n v="11"/>
    <n v="11"/>
    <s v="202411"/>
    <s v="Feb-25"/>
    <n v="23098.77"/>
    <n v="23.098770000000002"/>
  </r>
  <r>
    <d v="2025-02-20T00:00:00"/>
    <s v="OPT-NIFTY-20-Feb-2025-22850-C-E-I"/>
    <s v="NSE"/>
    <s v="Buy"/>
    <n v="75"/>
    <n v="0"/>
    <n v="50.8"/>
    <n v="3810"/>
    <s v="#202502203700003732"/>
    <n v="0"/>
    <n v="1.35"/>
    <n v="0"/>
    <n v="0"/>
    <n v="20"/>
    <n v="3.84"/>
    <n v="25.19"/>
    <n v="2025"/>
    <n v="2"/>
    <x v="1"/>
    <n v="11"/>
    <n v="11"/>
    <s v="202411"/>
    <s v="Feb-25"/>
    <n v="-3835.19"/>
    <n v="-3.8351899999999999"/>
  </r>
  <r>
    <d v="2025-02-20T00:00:00"/>
    <s v="OPT-NIFTY-20-Feb-2025-22850-C-E-I"/>
    <s v="NSE"/>
    <s v="Buy"/>
    <n v="75"/>
    <n v="0"/>
    <n v="83.6"/>
    <n v="6270"/>
    <s v="#202502203700003334"/>
    <n v="0"/>
    <n v="2.23"/>
    <n v="0"/>
    <n v="0.01"/>
    <n v="20"/>
    <n v="4"/>
    <n v="26.24"/>
    <n v="2025"/>
    <n v="2"/>
    <x v="1"/>
    <n v="11"/>
    <n v="11"/>
    <s v="202411"/>
    <s v="Feb-25"/>
    <n v="-6296.24"/>
    <n v="-6.2962400000000001"/>
  </r>
  <r>
    <d v="2025-02-20T00:00:00"/>
    <s v="OPT-NIFTY-20-Feb-2025-22850-C-E-I"/>
    <s v="NSE"/>
    <s v="Buy"/>
    <n v="225"/>
    <n v="0"/>
    <n v="91"/>
    <n v="20475"/>
    <s v="#202502203700003084"/>
    <n v="0"/>
    <n v="7.27"/>
    <n v="0.92"/>
    <n v="0.02"/>
    <n v="60"/>
    <n v="12.12"/>
    <n v="80.33"/>
    <n v="2025"/>
    <n v="2"/>
    <x v="1"/>
    <n v="11"/>
    <n v="11"/>
    <s v="202411"/>
    <s v="Feb-25"/>
    <n v="-20555.330000000002"/>
    <n v="-20.555330000000001"/>
  </r>
  <r>
    <d v="2025-02-25T00:00:00"/>
    <s v="OPT-NIFTY-27-Feb-2025-22600-C-E-I"/>
    <s v="NSE"/>
    <s v="Sell"/>
    <n v="75"/>
    <n v="0"/>
    <n v="50.25"/>
    <n v="3768.75"/>
    <s v="#202502253700008694"/>
    <n v="3.88"/>
    <n v="1.34"/>
    <n v="0"/>
    <n v="0"/>
    <n v="29"/>
    <n v="5.46"/>
    <n v="39.68"/>
    <n v="2025"/>
    <n v="2"/>
    <x v="1"/>
    <n v="11"/>
    <n v="11"/>
    <s v="202411"/>
    <s v="Feb-25"/>
    <n v="3729.07"/>
    <n v="3.7290700000000001"/>
  </r>
  <r>
    <d v="2025-02-25T00:00:00"/>
    <s v="OPT-NIFTY-27-Feb-2025-22600-C-E-I"/>
    <s v="NSE"/>
    <s v="Buy"/>
    <n v="75"/>
    <n v="0"/>
    <n v="68.25"/>
    <n v="5118.75"/>
    <s v="#202502253700006941"/>
    <n v="0"/>
    <n v="1.82"/>
    <n v="0"/>
    <n v="0.01"/>
    <n v="29"/>
    <n v="5.54"/>
    <n v="36.369999999999997"/>
    <n v="2025"/>
    <n v="2"/>
    <x v="1"/>
    <n v="11"/>
    <n v="11"/>
    <s v="202411"/>
    <s v="Feb-25"/>
    <n v="-5155.12"/>
    <n v="-5.1551200000000001"/>
  </r>
  <r>
    <d v="2025-02-25T00:00:00"/>
    <s v="OPT-NIFTY-27-Feb-2025-22600-P-E-I"/>
    <s v="NSE"/>
    <s v="Sell"/>
    <n v="75"/>
    <n v="0"/>
    <n v="68.25"/>
    <n v="5118.75"/>
    <s v="#202502253700006563"/>
    <n v="5.12"/>
    <n v="1.82"/>
    <n v="0"/>
    <n v="0.01"/>
    <n v="29"/>
    <n v="5.54"/>
    <n v="41.49"/>
    <n v="2025"/>
    <n v="2"/>
    <x v="1"/>
    <n v="11"/>
    <n v="11"/>
    <s v="202411"/>
    <s v="Feb-25"/>
    <n v="5077.26"/>
    <n v="5.0772599999999999"/>
  </r>
  <r>
    <d v="2025-02-25T00:00:00"/>
    <s v="OPT-NIFTY-27-Feb-2025-22600-P-E-I"/>
    <s v="NSE"/>
    <s v="Buy"/>
    <n v="75"/>
    <n v="0"/>
    <n v="70"/>
    <n v="5250"/>
    <s v="#202502253700006254"/>
    <n v="0"/>
    <n v="1.87"/>
    <n v="0"/>
    <n v="0.01"/>
    <n v="29"/>
    <n v="5.56"/>
    <n v="36.44"/>
    <n v="2025"/>
    <n v="2"/>
    <x v="1"/>
    <n v="11"/>
    <n v="11"/>
    <s v="202411"/>
    <s v="Feb-25"/>
    <n v="-5286.44"/>
    <n v="-5.2864399999999998"/>
  </r>
  <r>
    <d v="2025-02-27T00:00:00"/>
    <s v="OPT-NIFTY-27-Feb-2025-22550-P-E-I"/>
    <s v="NSE"/>
    <s v="Sell"/>
    <n v="750"/>
    <n v="0"/>
    <n v="24.25"/>
    <n v="18187.5"/>
    <s v="#202502273700011061"/>
    <n v="18"/>
    <n v="6.46"/>
    <n v="0"/>
    <n v="0.01"/>
    <n v="290"/>
    <n v="53.38"/>
    <n v="367.85"/>
    <n v="2025"/>
    <n v="2"/>
    <x v="1"/>
    <n v="11"/>
    <n v="11"/>
    <s v="202411"/>
    <s v="Feb-25"/>
    <n v="17819.650000000001"/>
    <n v="17.819650000000003"/>
  </r>
  <r>
    <d v="2025-02-27T00:00:00"/>
    <s v="OPT-NIFTY-27-Feb-2025-22550-P-E-I"/>
    <s v="NSE"/>
    <s v="Buy"/>
    <n v="150"/>
    <n v="0"/>
    <n v="15.25"/>
    <n v="2287.5"/>
    <s v="#202502273700008806"/>
    <n v="0"/>
    <n v="0.81"/>
    <n v="0"/>
    <n v="0"/>
    <n v="58"/>
    <n v="10.58"/>
    <n v="69.39"/>
    <n v="2025"/>
    <n v="2"/>
    <x v="1"/>
    <n v="11"/>
    <n v="11"/>
    <s v="202411"/>
    <s v="Feb-25"/>
    <n v="-2356.89"/>
    <n v="-2.3568899999999999"/>
  </r>
  <r>
    <d v="2025-02-27T00:00:00"/>
    <s v="OPT-NIFTY-27-Feb-2025-22550-P-E-I"/>
    <s v="NSE"/>
    <s v="Buy"/>
    <n v="150"/>
    <n v="0"/>
    <n v="17.05"/>
    <n v="2557.5"/>
    <s v="#202502273700008392"/>
    <n v="0"/>
    <n v="0.91"/>
    <n v="0"/>
    <n v="0"/>
    <n v="58"/>
    <n v="10.6"/>
    <n v="69.510000000000005"/>
    <n v="2025"/>
    <n v="2"/>
    <x v="1"/>
    <n v="11"/>
    <n v="11"/>
    <s v="202411"/>
    <s v="Feb-25"/>
    <n v="-2627.01"/>
    <n v="-2.6270100000000003"/>
  </r>
  <r>
    <d v="2025-02-27T00:00:00"/>
    <s v="OPT-NIFTY-27-Feb-2025-22550-P-E-I"/>
    <s v="NSE"/>
    <s v="Buy"/>
    <n v="150"/>
    <n v="0"/>
    <n v="20.149999999999999"/>
    <n v="3022.5"/>
    <s v="#202502273700008303"/>
    <n v="0"/>
    <n v="1.08"/>
    <n v="0"/>
    <n v="0"/>
    <n v="58"/>
    <n v="10.64"/>
    <n v="69.72"/>
    <n v="2025"/>
    <n v="2"/>
    <x v="1"/>
    <n v="11"/>
    <n v="11"/>
    <s v="202411"/>
    <s v="Feb-25"/>
    <n v="-3092.22"/>
    <n v="-3.0922199999999997"/>
  </r>
  <r>
    <d v="2025-02-27T00:00:00"/>
    <s v="OPT-NIFTY-27-Feb-2025-22550-P-E-I"/>
    <s v="NSE"/>
    <s v="Buy"/>
    <n v="75"/>
    <n v="0"/>
    <n v="24.25"/>
    <n v="1818.75"/>
    <s v="#202502273700005593"/>
    <n v="0"/>
    <n v="0.65"/>
    <n v="0"/>
    <n v="0"/>
    <n v="29"/>
    <n v="5.34"/>
    <n v="34.99"/>
    <n v="2025"/>
    <n v="2"/>
    <x v="1"/>
    <n v="11"/>
    <n v="11"/>
    <s v="202411"/>
    <s v="Feb-25"/>
    <n v="-1853.74"/>
    <n v="-1.8537399999999999"/>
  </r>
  <r>
    <d v="2025-02-27T00:00:00"/>
    <s v="OPT-NIFTY-27-Feb-2025-22550-P-E-I"/>
    <s v="NSE"/>
    <s v="Buy"/>
    <n v="75"/>
    <n v="0"/>
    <n v="24.25"/>
    <n v="1818.75"/>
    <s v="#202502273700005564"/>
    <n v="0"/>
    <n v="0.65"/>
    <n v="0"/>
    <n v="0"/>
    <n v="29"/>
    <n v="5.34"/>
    <n v="34.99"/>
    <n v="2025"/>
    <n v="2"/>
    <x v="1"/>
    <n v="11"/>
    <n v="11"/>
    <s v="202411"/>
    <s v="Feb-25"/>
    <n v="-1853.74"/>
    <n v="-1.8537399999999999"/>
  </r>
  <r>
    <d v="2025-02-27T00:00:00"/>
    <s v="OPT-NIFTY-27-Feb-2025-22550-P-E-I"/>
    <s v="NSE"/>
    <s v="Buy"/>
    <n v="75"/>
    <n v="0"/>
    <n v="24.15"/>
    <n v="1811.25"/>
    <s v="#202502273700005533"/>
    <n v="0"/>
    <n v="0.64"/>
    <n v="0"/>
    <n v="0"/>
    <n v="29"/>
    <n v="5.34"/>
    <n v="34.979999999999997"/>
    <n v="2025"/>
    <n v="2"/>
    <x v="1"/>
    <n v="11"/>
    <n v="11"/>
    <s v="202411"/>
    <s v="Feb-25"/>
    <n v="-1846.23"/>
    <n v="-1.84623"/>
  </r>
  <r>
    <d v="2025-02-27T00:00:00"/>
    <s v="OPT-NIFTY-27-Feb-2025-22550-P-E-I"/>
    <s v="NSE"/>
    <s v="Buy"/>
    <n v="75"/>
    <n v="0"/>
    <n v="25"/>
    <n v="1875"/>
    <s v="#202502273700005466"/>
    <n v="0"/>
    <n v="0.67"/>
    <n v="0"/>
    <n v="0"/>
    <n v="29"/>
    <n v="5.34"/>
    <n v="35.01"/>
    <n v="2025"/>
    <n v="2"/>
    <x v="1"/>
    <n v="11"/>
    <n v="11"/>
    <s v="202411"/>
    <s v="Feb-25"/>
    <n v="-1910.01"/>
    <n v="-1.91001"/>
  </r>
  <r>
    <d v="2025-02-28T00:00:00"/>
    <s v="OPT-NIFTY-06-Mar-2025-22300-C-E-I"/>
    <s v="NSE"/>
    <s v="Sell"/>
    <n v="450"/>
    <n v="0"/>
    <n v="90"/>
    <n v="40500"/>
    <s v="#202502283700019088"/>
    <n v="40.5"/>
    <n v="14.39"/>
    <n v="0"/>
    <n v="0.04"/>
    <n v="174"/>
    <n v="33.92"/>
    <n v="262.85000000000002"/>
    <n v="2025"/>
    <n v="2"/>
    <x v="1"/>
    <n v="11"/>
    <n v="11"/>
    <s v="202411"/>
    <s v="Feb-25"/>
    <n v="40237.15"/>
    <n v="40.23715"/>
  </r>
  <r>
    <d v="2025-02-28T00:00:00"/>
    <s v="OPT-NIFTY-06-Mar-2025-22300-C-E-I"/>
    <s v="NSE"/>
    <s v="Buy"/>
    <n v="450"/>
    <n v="0"/>
    <n v="107.95"/>
    <n v="48577.5"/>
    <s v="#202502283700017550"/>
    <n v="0"/>
    <n v="17.28"/>
    <n v="0"/>
    <n v="0.06"/>
    <n v="174"/>
    <n v="34.44"/>
    <n v="225.78"/>
    <n v="2025"/>
    <n v="2"/>
    <x v="1"/>
    <n v="11"/>
    <n v="11"/>
    <s v="202411"/>
    <s v="Feb-25"/>
    <n v="-48803.28"/>
    <n v="-48.803280000000001"/>
  </r>
  <r>
    <d v="2025-02-28T00:00:00"/>
    <s v="OPT-NIFTY-06-Mar-2025-22250-P-E-I"/>
    <s v="NSE"/>
    <s v="Sell"/>
    <n v="300"/>
    <n v="0"/>
    <n v="169.25"/>
    <n v="50775"/>
    <s v="#202502283700012945"/>
    <n v="50.65"/>
    <n v="18.04"/>
    <n v="0"/>
    <n v="0.05"/>
    <n v="116"/>
    <n v="24.14"/>
    <n v="208.88"/>
    <n v="2025"/>
    <n v="2"/>
    <x v="1"/>
    <n v="11"/>
    <n v="11"/>
    <s v="202411"/>
    <s v="Feb-25"/>
    <n v="50566.12"/>
    <n v="50.566120000000005"/>
  </r>
  <r>
    <d v="2025-02-28T00:00:00"/>
    <s v="OPT-NIFTY-06-Mar-2025-22250-P-E-I"/>
    <s v="NSE"/>
    <s v="Buy"/>
    <n v="300"/>
    <n v="0"/>
    <n v="148.71"/>
    <n v="44613.75"/>
    <s v="#202502283700011855"/>
    <n v="0"/>
    <n v="15.85"/>
    <n v="2.34"/>
    <n v="0.04"/>
    <n v="116"/>
    <n v="23.74"/>
    <n v="157.97"/>
    <n v="2025"/>
    <n v="2"/>
    <x v="1"/>
    <n v="11"/>
    <n v="11"/>
    <s v="202411"/>
    <s v="Feb-25"/>
    <n v="-44771.72"/>
    <n v="-44.771720000000002"/>
  </r>
  <r>
    <d v="2025-02-28T00:00:00"/>
    <s v="OPT-NIFTY-06-Mar-2025-22300-C-E-I"/>
    <s v="NSE"/>
    <s v="Sell"/>
    <n v="300"/>
    <n v="0"/>
    <n v="127.25"/>
    <n v="38175"/>
    <s v="#202502283700011136"/>
    <n v="38.18"/>
    <n v="13.56"/>
    <n v="0"/>
    <n v="0.04"/>
    <n v="116"/>
    <n v="23.32"/>
    <n v="191.1"/>
    <n v="2025"/>
    <n v="2"/>
    <x v="1"/>
    <n v="11"/>
    <n v="11"/>
    <s v="202411"/>
    <s v="Feb-25"/>
    <n v="37983.9"/>
    <n v="37.983899999999998"/>
  </r>
  <r>
    <d v="2025-02-28T00:00:00"/>
    <s v="OPT-NIFTY-06-Mar-2025-22300-C-E-I"/>
    <s v="NSE"/>
    <s v="Buy"/>
    <n v="300"/>
    <n v="0"/>
    <n v="126.25"/>
    <n v="37875"/>
    <s v="#202502283700010736"/>
    <n v="0"/>
    <n v="13.46"/>
    <n v="0"/>
    <n v="0.04"/>
    <n v="116"/>
    <n v="23.32"/>
    <n v="152.82"/>
    <n v="2025"/>
    <n v="2"/>
    <x v="1"/>
    <n v="11"/>
    <n v="11"/>
    <s v="202411"/>
    <s v="Feb-25"/>
    <n v="-38027.82"/>
    <n v="-38.027819999999998"/>
  </r>
  <r>
    <d v="2025-02-28T00:00:00"/>
    <s v="OPT-NIFTY-06-Mar-2025-22250-P-E-I"/>
    <s v="NSE"/>
    <s v="Sell"/>
    <n v="300"/>
    <n v="0"/>
    <n v="122.25"/>
    <n v="36675"/>
    <s v="#202502283700010363"/>
    <n v="36.68"/>
    <n v="13.03"/>
    <n v="0"/>
    <n v="0.04"/>
    <n v="116"/>
    <n v="23.22"/>
    <n v="188.97"/>
    <n v="2025"/>
    <n v="2"/>
    <x v="1"/>
    <n v="11"/>
    <n v="11"/>
    <s v="202411"/>
    <s v="Feb-25"/>
    <n v="36486.03"/>
    <n v="36.48603"/>
  </r>
  <r>
    <d v="2025-02-28T00:00:00"/>
    <s v="OPT-NIFTY-06-Mar-2025-22250-P-E-I"/>
    <s v="NSE"/>
    <s v="Buy"/>
    <n v="300"/>
    <n v="0"/>
    <n v="111.78"/>
    <n v="33532.5"/>
    <s v="#202502283700010184"/>
    <n v="0"/>
    <n v="11.92"/>
    <n v="0"/>
    <n v="0.04"/>
    <n v="116"/>
    <n v="23.04"/>
    <n v="151"/>
    <n v="2025"/>
    <n v="2"/>
    <x v="1"/>
    <n v="11"/>
    <n v="11"/>
    <s v="202411"/>
    <s v="Feb-25"/>
    <n v="-33683.5"/>
    <n v="-33.683500000000002"/>
  </r>
  <r>
    <d v="2025-02-28T00:00:00"/>
    <s v="OPT-NIFTY-06-Mar-2025-22300-C-E-I"/>
    <s v="NSE"/>
    <s v="Sell"/>
    <n v="375"/>
    <n v="0"/>
    <n v="128"/>
    <n v="48000"/>
    <s v="#202502283700010008"/>
    <n v="48"/>
    <n v="17.05"/>
    <n v="0"/>
    <n v="0.05"/>
    <n v="145"/>
    <n v="29.18"/>
    <n v="239.28"/>
    <n v="2025"/>
    <n v="2"/>
    <x v="1"/>
    <n v="11"/>
    <n v="11"/>
    <s v="202411"/>
    <s v="Feb-25"/>
    <n v="47760.72"/>
    <n v="47.760719999999999"/>
  </r>
  <r>
    <d v="2025-02-28T00:00:00"/>
    <s v="OPT-NIFTY-06-Mar-2025-22300-C-E-I"/>
    <s v="NSE"/>
    <s v="Buy"/>
    <n v="300"/>
    <n v="0"/>
    <n v="145.25"/>
    <n v="43575"/>
    <s v="#202502283700009540"/>
    <n v="0"/>
    <n v="15.48"/>
    <n v="4.66"/>
    <n v="0.04"/>
    <n v="116"/>
    <n v="23.68"/>
    <n v="159.86000000000001"/>
    <n v="2025"/>
    <n v="2"/>
    <x v="1"/>
    <n v="11"/>
    <n v="11"/>
    <s v="202411"/>
    <s v="Feb-25"/>
    <n v="-43734.86"/>
    <n v="-43.734859999999998"/>
  </r>
  <r>
    <d v="2025-02-28T00:00:00"/>
    <s v="OPT-NIFTY-06-Mar-2025-22300-C-E-I"/>
    <s v="NSE"/>
    <s v="Buy"/>
    <n v="75"/>
    <n v="0"/>
    <n v="205.2"/>
    <n v="15390"/>
    <s v="#202502283700001198"/>
    <n v="0"/>
    <n v="5.47"/>
    <n v="0"/>
    <n v="0.02"/>
    <n v="29"/>
    <n v="6.2"/>
    <n v="40.69"/>
    <n v="2025"/>
    <n v="2"/>
    <x v="1"/>
    <n v="11"/>
    <n v="11"/>
    <s v="202411"/>
    <s v="Feb-25"/>
    <n v="-15430.69"/>
    <n v="-15.43069"/>
  </r>
  <r>
    <d v="2025-03-03T00:00:00"/>
    <s v="OPT-NIFTY-06-Mar-2025-22250-P-E-I"/>
    <s v="NSE"/>
    <s v="Sell"/>
    <n v="75"/>
    <n v="0"/>
    <n v="174.25"/>
    <n v="13068.75"/>
    <s v="#202503033700018063"/>
    <n v="13.07"/>
    <n v="4.6399999999999997"/>
    <n v="0"/>
    <n v="0.01"/>
    <n v="29"/>
    <n v="6.06"/>
    <n v="52.78"/>
    <n v="2025"/>
    <n v="3"/>
    <x v="1"/>
    <n v="12"/>
    <n v="12"/>
    <s v="202412"/>
    <s v="Mar-25"/>
    <n v="13015.97"/>
    <n v="13.015969999999999"/>
  </r>
  <r>
    <d v="2025-03-03T00:00:00"/>
    <s v="OPT-NIFTY-06-Mar-2025-22250-P-E-I"/>
    <s v="NSE"/>
    <s v="Buy"/>
    <n v="75"/>
    <n v="0"/>
    <n v="152.5"/>
    <n v="11437.5"/>
    <s v="#202503033700014960"/>
    <n v="0"/>
    <n v="4.0599999999999996"/>
    <n v="0.34"/>
    <n v="0.01"/>
    <n v="29"/>
    <n v="5.96"/>
    <n v="39.369999999999997"/>
    <n v="2025"/>
    <n v="3"/>
    <x v="1"/>
    <n v="12"/>
    <n v="12"/>
    <s v="202412"/>
    <s v="Mar-25"/>
    <n v="-11476.87"/>
    <n v="-11.476870000000002"/>
  </r>
  <r>
    <d v="2025-03-03T00:00:00"/>
    <s v="OPT-NIFTY-06-Mar-2025-22250-C-E-I"/>
    <s v="NSE"/>
    <s v="Sell"/>
    <n v="300"/>
    <n v="0"/>
    <n v="51.25"/>
    <n v="15375"/>
    <s v="#202503033700010257"/>
    <n v="15.43"/>
    <n v="5.46"/>
    <n v="0"/>
    <n v="0.02"/>
    <n v="116"/>
    <n v="21.86"/>
    <n v="158.77000000000001"/>
    <n v="2025"/>
    <n v="3"/>
    <x v="1"/>
    <n v="12"/>
    <n v="12"/>
    <s v="202412"/>
    <s v="Mar-25"/>
    <n v="15216.23"/>
    <n v="15.216229999999999"/>
  </r>
  <r>
    <d v="2025-03-03T00:00:00"/>
    <s v="OPT-NIFTY-06-Mar-2025-22250-C-E-I"/>
    <s v="NSE"/>
    <s v="Buy"/>
    <n v="300"/>
    <n v="0"/>
    <n v="53.2"/>
    <n v="15960"/>
    <s v="#202503033700009522"/>
    <n v="0"/>
    <n v="5.67"/>
    <n v="0.66"/>
    <n v="0.02"/>
    <n v="116"/>
    <n v="21.9"/>
    <n v="144.25"/>
    <n v="2025"/>
    <n v="3"/>
    <x v="1"/>
    <n v="12"/>
    <n v="12"/>
    <s v="202412"/>
    <s v="Mar-25"/>
    <n v="-16104.25"/>
    <n v="-16.10425"/>
  </r>
  <r>
    <d v="2025-03-03T00:00:00"/>
    <s v="OPT-NIFTY-06-Mar-2025-22250-C-E-I"/>
    <s v="NSE"/>
    <s v="Sell"/>
    <n v="225"/>
    <n v="0"/>
    <n v="60"/>
    <n v="13500"/>
    <s v="#202503033700008507"/>
    <n v="13.5"/>
    <n v="4.8"/>
    <n v="0"/>
    <n v="0.01"/>
    <n v="87"/>
    <n v="16.52"/>
    <n v="121.83"/>
    <n v="2025"/>
    <n v="3"/>
    <x v="1"/>
    <n v="12"/>
    <n v="12"/>
    <s v="202412"/>
    <s v="Mar-25"/>
    <n v="13378.17"/>
    <n v="13.378170000000001"/>
  </r>
  <r>
    <d v="2025-03-03T00:00:00"/>
    <s v="OPT-NIFTY-06-Mar-2025-22250-C-E-I"/>
    <s v="NSE"/>
    <s v="Buy"/>
    <n v="75"/>
    <n v="0"/>
    <n v="65.25"/>
    <n v="4893.75"/>
    <s v="#202503033700005932"/>
    <n v="0"/>
    <n v="1.74"/>
    <n v="0"/>
    <n v="0"/>
    <n v="29"/>
    <n v="5.54"/>
    <n v="36.28"/>
    <n v="2025"/>
    <n v="3"/>
    <x v="1"/>
    <n v="12"/>
    <n v="12"/>
    <s v="202412"/>
    <s v="Mar-25"/>
    <n v="-4930.03"/>
    <n v="-4.9300299999999995"/>
  </r>
  <r>
    <d v="2025-03-03T00:00:00"/>
    <s v="OPT-NIFTY-06-Mar-2025-22250-C-E-I"/>
    <s v="NSE"/>
    <s v="Buy"/>
    <n v="75"/>
    <n v="0"/>
    <n v="63.35"/>
    <n v="4751.25"/>
    <s v="#202503033700005611"/>
    <n v="0"/>
    <n v="1.69"/>
    <n v="0"/>
    <n v="0"/>
    <n v="29"/>
    <n v="5.52"/>
    <n v="36.21"/>
    <n v="2025"/>
    <n v="3"/>
    <x v="1"/>
    <n v="12"/>
    <n v="12"/>
    <s v="202412"/>
    <s v="Mar-25"/>
    <n v="-4787.46"/>
    <n v="-4.7874600000000003"/>
  </r>
  <r>
    <d v="2025-03-03T00:00:00"/>
    <s v="OPT-NIFTY-06-Mar-2025-22250-C-E-I"/>
    <s v="NSE"/>
    <s v="Buy"/>
    <n v="75"/>
    <n v="0"/>
    <n v="109.6"/>
    <n v="8220"/>
    <s v="#202503033700003050"/>
    <n v="0"/>
    <n v="2.92"/>
    <n v="0"/>
    <n v="0.01"/>
    <n v="29"/>
    <n v="5.74"/>
    <n v="37.67"/>
    <n v="2025"/>
    <n v="3"/>
    <x v="1"/>
    <n v="12"/>
    <n v="12"/>
    <s v="202412"/>
    <s v="Mar-25"/>
    <n v="-8257.67"/>
    <n v="-8.257670000000001"/>
  </r>
  <r>
    <d v="2025-03-04T00:00:00"/>
    <s v="OPT-NIFTY-06-Mar-2025-22050-P-E-I"/>
    <s v="NSE"/>
    <s v="Sell"/>
    <n v="225"/>
    <n v="0"/>
    <n v="81.2"/>
    <n v="18270"/>
    <s v="#202503043700015279"/>
    <n v="18.32"/>
    <n v="6.49"/>
    <n v="0"/>
    <n v="0.02"/>
    <n v="87"/>
    <n v="16.84"/>
    <n v="128.66999999999999"/>
    <n v="2025"/>
    <n v="3"/>
    <x v="1"/>
    <n v="12"/>
    <n v="12"/>
    <s v="202412"/>
    <s v="Mar-25"/>
    <n v="18141.330000000002"/>
    <n v="18.141330000000004"/>
  </r>
  <r>
    <d v="2025-03-04T00:00:00"/>
    <s v="OPT-NIFTY-06-Mar-2025-22050-P-E-I"/>
    <s v="NSE"/>
    <s v="Buy"/>
    <n v="150"/>
    <n v="0"/>
    <n v="77.05"/>
    <n v="11557.5"/>
    <s v="#202503043700014966"/>
    <n v="0"/>
    <n v="4.0999999999999996"/>
    <n v="0.72"/>
    <n v="0.02"/>
    <n v="58"/>
    <n v="11.2"/>
    <n v="74.040000000000006"/>
    <n v="2025"/>
    <n v="3"/>
    <x v="1"/>
    <n v="12"/>
    <n v="12"/>
    <s v="202412"/>
    <s v="Mar-25"/>
    <n v="-11631.54"/>
    <n v="-11.631540000000001"/>
  </r>
  <r>
    <d v="2025-03-04T00:00:00"/>
    <s v="OPT-NIFTY-06-Mar-2025-22050-P-E-I"/>
    <s v="NSE"/>
    <s v="Buy"/>
    <n v="75"/>
    <n v="0"/>
    <n v="76"/>
    <n v="5700"/>
    <s v="#202503043700014950"/>
    <n v="0"/>
    <n v="2.0299999999999998"/>
    <n v="0"/>
    <n v="0.01"/>
    <n v="29"/>
    <n v="5.58"/>
    <n v="36.619999999999997"/>
    <n v="2025"/>
    <n v="3"/>
    <x v="1"/>
    <n v="12"/>
    <n v="12"/>
    <s v="202412"/>
    <s v="Mar-25"/>
    <n v="-5736.62"/>
    <n v="-5.7366200000000003"/>
  </r>
  <r>
    <d v="2025-03-04T00:00:00"/>
    <s v="OPT-NIFTY-06-Mar-2025-22250-C-E-I"/>
    <s v="NSE"/>
    <s v="Sell"/>
    <n v="300"/>
    <n v="0"/>
    <n v="42.25"/>
    <n v="12675"/>
    <s v="#202503043700003865"/>
    <n v="12.68"/>
    <n v="4.51"/>
    <n v="0"/>
    <n v="0.01"/>
    <n v="116"/>
    <n v="21.68"/>
    <n v="154.88"/>
    <n v="2025"/>
    <n v="3"/>
    <x v="1"/>
    <n v="12"/>
    <n v="12"/>
    <s v="202412"/>
    <s v="Mar-25"/>
    <n v="12520.12"/>
    <n v="12.52012"/>
  </r>
  <r>
    <d v="2025-03-04T00:00:00"/>
    <s v="OPT-NIFTY-06-Mar-2025-22250-C-E-I"/>
    <s v="NSE"/>
    <s v="Buy"/>
    <n v="300"/>
    <n v="0"/>
    <n v="31.25"/>
    <n v="9375"/>
    <s v="#202503043700002804"/>
    <n v="0"/>
    <n v="3.33"/>
    <n v="0.28000000000000003"/>
    <n v="0.01"/>
    <n v="116"/>
    <n v="21.48"/>
    <n v="141.1"/>
    <n v="2025"/>
    <n v="3"/>
    <x v="1"/>
    <n v="12"/>
    <n v="12"/>
    <s v="202412"/>
    <s v="Mar-25"/>
    <n v="-9516.1"/>
    <n v="-9.5160999999999998"/>
  </r>
  <r>
    <d v="2025-03-06T00:00:00"/>
    <s v="OPT-NIFTY-06-Mar-2025-22450-C-E-I"/>
    <s v="NSE"/>
    <s v="Sell"/>
    <n v="375"/>
    <n v="0"/>
    <n v="24.25"/>
    <n v="9093.75"/>
    <s v="#202503063700015441"/>
    <n v="9.09"/>
    <n v="3.23"/>
    <n v="0"/>
    <n v="0.01"/>
    <n v="145"/>
    <n v="26.68"/>
    <n v="184.01"/>
    <n v="2025"/>
    <n v="3"/>
    <x v="1"/>
    <n v="12"/>
    <n v="12"/>
    <s v="202412"/>
    <s v="Mar-25"/>
    <n v="8909.74"/>
    <n v="8.9097399999999993"/>
  </r>
  <r>
    <d v="2025-03-06T00:00:00"/>
    <s v="OPT-NIFTY-06-Mar-2025-22450-C-E-I"/>
    <s v="NSE"/>
    <s v="Buy"/>
    <n v="375"/>
    <n v="0"/>
    <n v="13.25"/>
    <n v="4968.75"/>
    <s v="#202503063700014454"/>
    <n v="0"/>
    <n v="1.77"/>
    <n v="0"/>
    <n v="0"/>
    <n v="145"/>
    <n v="26.42"/>
    <n v="173.19"/>
    <n v="2025"/>
    <n v="3"/>
    <x v="1"/>
    <n v="12"/>
    <n v="12"/>
    <s v="202412"/>
    <s v="Mar-25"/>
    <n v="-5141.9399999999996"/>
    <n v="-5.14194"/>
  </r>
  <r>
    <d v="2025-03-06T00:00:00"/>
    <s v="OPT-NIFTY-06-Mar-2025-22150-P-E-I"/>
    <s v="NSE"/>
    <s v="Sell"/>
    <n v="375"/>
    <n v="0"/>
    <n v="23.73"/>
    <n v="8898.75"/>
    <s v="#202503063700005686"/>
    <n v="8.91"/>
    <n v="3.16"/>
    <n v="0"/>
    <n v="0"/>
    <n v="145"/>
    <n v="26.66"/>
    <n v="183.73"/>
    <n v="2025"/>
    <n v="3"/>
    <x v="1"/>
    <n v="12"/>
    <n v="12"/>
    <s v="202412"/>
    <s v="Mar-25"/>
    <n v="8715.02"/>
    <n v="8.7150200000000009"/>
  </r>
  <r>
    <d v="2025-03-06T00:00:00"/>
    <s v="OPT-NIFTY-06-Mar-2025-22150-P-E-I"/>
    <s v="NSE"/>
    <s v="Buy"/>
    <n v="375"/>
    <n v="0"/>
    <n v="11.15"/>
    <n v="4181.25"/>
    <s v="#202503063700002621"/>
    <n v="0"/>
    <n v="1.49"/>
    <n v="0"/>
    <n v="0"/>
    <n v="145"/>
    <n v="26.36"/>
    <n v="172.85"/>
    <n v="2025"/>
    <n v="3"/>
    <x v="1"/>
    <n v="12"/>
    <n v="12"/>
    <s v="202412"/>
    <s v="Mar-25"/>
    <n v="-4354.1000000000004"/>
    <n v="-4.3541000000000007"/>
  </r>
  <r>
    <d v="2025-03-07T00:00:00"/>
    <s v="OPT-NIFTY-13-Mar-2025-22700-C-E-I"/>
    <s v="NSE"/>
    <s v="Sell"/>
    <n v="150"/>
    <n v="0"/>
    <n v="90.3"/>
    <n v="13545"/>
    <s v="#202503073700016083"/>
    <n v="13.55"/>
    <n v="4.8099999999999996"/>
    <n v="0"/>
    <n v="0.01"/>
    <n v="58"/>
    <n v="11.3"/>
    <n v="87.67"/>
    <n v="2025"/>
    <n v="3"/>
    <x v="1"/>
    <n v="12"/>
    <n v="12"/>
    <s v="202412"/>
    <s v="Mar-25"/>
    <n v="13457.33"/>
    <n v="13.457330000000001"/>
  </r>
  <r>
    <d v="2025-03-07T00:00:00"/>
    <s v="OPT-NIFTY-13-Mar-2025-22700-C-E-I"/>
    <s v="NSE"/>
    <s v="Buy"/>
    <n v="150"/>
    <n v="0"/>
    <n v="87.65"/>
    <n v="13147.5"/>
    <s v="#202503073700014311"/>
    <n v="0"/>
    <n v="4.67"/>
    <n v="1.55"/>
    <n v="0.01"/>
    <n v="58"/>
    <n v="11.28"/>
    <n v="75.510000000000005"/>
    <n v="2025"/>
    <n v="3"/>
    <x v="1"/>
    <n v="12"/>
    <n v="12"/>
    <s v="202412"/>
    <s v="Mar-25"/>
    <n v="-13223.01"/>
    <n v="-13.22301"/>
  </r>
  <r>
    <d v="2025-03-07T00:00:00"/>
    <s v="OPT-NIFTY-13-Mar-2025-22700-C-E-I"/>
    <s v="NSE"/>
    <s v="Sell"/>
    <n v="150"/>
    <n v="0"/>
    <n v="78.5"/>
    <n v="11775"/>
    <s v="#202503073700013258"/>
    <n v="11.78"/>
    <n v="4.18"/>
    <n v="0"/>
    <n v="0.01"/>
    <n v="58"/>
    <n v="11.2"/>
    <n v="85.17"/>
    <n v="2025"/>
    <n v="3"/>
    <x v="1"/>
    <n v="12"/>
    <n v="12"/>
    <s v="202412"/>
    <s v="Mar-25"/>
    <n v="11689.83"/>
    <n v="11.689830000000001"/>
  </r>
  <r>
    <d v="2025-03-07T00:00:00"/>
    <s v="OPT-NIFTY-13-Mar-2025-22700-C-E-I"/>
    <s v="NSE"/>
    <s v="Buy"/>
    <n v="75"/>
    <n v="0"/>
    <n v="103.35"/>
    <n v="7751.25"/>
    <s v="#202503073700008704"/>
    <n v="0"/>
    <n v="2.75"/>
    <n v="0"/>
    <n v="0.01"/>
    <n v="29"/>
    <n v="5.72"/>
    <n v="37.479999999999997"/>
    <n v="2025"/>
    <n v="3"/>
    <x v="1"/>
    <n v="12"/>
    <n v="12"/>
    <s v="202412"/>
    <s v="Mar-25"/>
    <n v="-7788.73"/>
    <n v="-7.7887299999999993"/>
  </r>
  <r>
    <d v="2025-03-07T00:00:00"/>
    <s v="OPT-NIFTY-13-Mar-2025-22700-C-E-I"/>
    <s v="NSE"/>
    <s v="Buy"/>
    <n v="75"/>
    <n v="0"/>
    <n v="102"/>
    <n v="7650"/>
    <s v="#202503073700008543"/>
    <n v="0"/>
    <n v="2.72"/>
    <n v="0"/>
    <n v="0.01"/>
    <n v="29"/>
    <n v="5.72"/>
    <n v="37.450000000000003"/>
    <n v="2025"/>
    <n v="3"/>
    <x v="1"/>
    <n v="12"/>
    <n v="12"/>
    <s v="202412"/>
    <s v="Mar-25"/>
    <n v="-7687.45"/>
    <n v="-7.6874500000000001"/>
  </r>
  <r>
    <d v="2025-03-07T00:00:00"/>
    <s v="OPT-NIFTY-13-Mar-2025-22700-C-E-I"/>
    <s v="NSE"/>
    <s v="Sell"/>
    <n v="75"/>
    <n v="0"/>
    <n v="105.7"/>
    <n v="7927.5"/>
    <s v="#202503073700007663"/>
    <n v="7.93"/>
    <n v="2.82"/>
    <n v="0"/>
    <n v="0.01"/>
    <n v="29"/>
    <n v="5.72"/>
    <n v="45.48"/>
    <n v="2025"/>
    <n v="3"/>
    <x v="1"/>
    <n v="12"/>
    <n v="12"/>
    <s v="202412"/>
    <s v="Mar-25"/>
    <n v="7882.02"/>
    <n v="7.8820200000000007"/>
  </r>
  <r>
    <d v="2025-03-07T00:00:00"/>
    <s v="OPT-NIFTY-13-Mar-2025-22700-C-E-I"/>
    <s v="NSE"/>
    <s v="Buy"/>
    <n v="75"/>
    <n v="0"/>
    <n v="110.05"/>
    <n v="8253.75"/>
    <s v="#202503073700007444"/>
    <n v="0"/>
    <n v="2.93"/>
    <n v="0"/>
    <n v="0.01"/>
    <n v="29"/>
    <n v="5.74"/>
    <n v="37.68"/>
    <n v="2025"/>
    <n v="3"/>
    <x v="1"/>
    <n v="12"/>
    <n v="12"/>
    <s v="202412"/>
    <s v="Mar-25"/>
    <n v="-8291.43"/>
    <n v="-8.2914300000000001"/>
  </r>
  <r>
    <d v="2025-03-07T00:00:00"/>
    <s v="OPT-NIFTY-13-Mar-2025-22350-P-E-I"/>
    <s v="NSE"/>
    <s v="Sell"/>
    <n v="150"/>
    <n v="0"/>
    <n v="54.68"/>
    <n v="8201.25"/>
    <s v="#202503073700007392"/>
    <n v="8"/>
    <n v="2.92"/>
    <n v="0"/>
    <n v="0"/>
    <n v="58"/>
    <n v="10.96"/>
    <n v="79.88"/>
    <n v="2025"/>
    <n v="3"/>
    <x v="1"/>
    <n v="12"/>
    <n v="12"/>
    <s v="202412"/>
    <s v="Mar-25"/>
    <n v="8121.37"/>
    <n v="8.1213700000000006"/>
  </r>
  <r>
    <d v="2025-03-07T00:00:00"/>
    <s v="OPT-NIFTY-13-Mar-2025-22350-P-E-I"/>
    <s v="NSE"/>
    <s v="Buy"/>
    <n v="150"/>
    <n v="0"/>
    <n v="58.8"/>
    <n v="8820"/>
    <s v="#202503073700007288"/>
    <n v="0"/>
    <n v="3.13"/>
    <n v="0.45"/>
    <n v="0.01"/>
    <n v="58"/>
    <n v="11"/>
    <n v="72.59"/>
    <n v="2025"/>
    <n v="3"/>
    <x v="1"/>
    <n v="12"/>
    <n v="12"/>
    <s v="202412"/>
    <s v="Mar-25"/>
    <n v="-8892.59"/>
    <n v="-8.8925900000000002"/>
  </r>
  <r>
    <d v="2025-03-07T00:00:00"/>
    <s v="OPT-NIFTY-13-Mar-2025-22700-C-E-I"/>
    <s v="NSE"/>
    <s v="Sell"/>
    <n v="150"/>
    <n v="0"/>
    <n v="98.75"/>
    <n v="14812.5"/>
    <s v="#202503073700005224"/>
    <n v="14.81"/>
    <n v="5.26"/>
    <n v="0"/>
    <n v="0.01"/>
    <n v="58"/>
    <n v="11.38"/>
    <n v="89.46"/>
    <n v="2025"/>
    <n v="3"/>
    <x v="1"/>
    <n v="12"/>
    <n v="12"/>
    <s v="202412"/>
    <s v="Mar-25"/>
    <n v="14723.04"/>
    <n v="14.723040000000001"/>
  </r>
  <r>
    <d v="2025-03-07T00:00:00"/>
    <s v="OPT-NIFTY-13-Mar-2025-22700-C-E-I"/>
    <s v="NSE"/>
    <s v="Buy"/>
    <n v="75"/>
    <n v="0"/>
    <n v="81.400000000000006"/>
    <n v="6105"/>
    <s v="#202503073700004640"/>
    <n v="0"/>
    <n v="2.17"/>
    <n v="0"/>
    <n v="0.01"/>
    <n v="29"/>
    <n v="5.62"/>
    <n v="36.799999999999997"/>
    <n v="2025"/>
    <n v="3"/>
    <x v="1"/>
    <n v="12"/>
    <n v="12"/>
    <s v="202412"/>
    <s v="Mar-25"/>
    <n v="-6141.8"/>
    <n v="-6.1417999999999999"/>
  </r>
  <r>
    <d v="2025-03-07T00:00:00"/>
    <s v="OPT-NIFTY-13-Mar-2025-22350-P-E-I"/>
    <s v="NSE"/>
    <s v="Sell"/>
    <n v="75"/>
    <n v="0"/>
    <n v="70.400000000000006"/>
    <n v="5280"/>
    <s v="#202503073700004603"/>
    <n v="5.28"/>
    <n v="1.88"/>
    <n v="0"/>
    <n v="0.01"/>
    <n v="29"/>
    <n v="5.56"/>
    <n v="41.73"/>
    <n v="2025"/>
    <n v="3"/>
    <x v="1"/>
    <n v="12"/>
    <n v="12"/>
    <s v="202412"/>
    <s v="Mar-25"/>
    <n v="5238.2700000000004"/>
    <n v="5.2382700000000009"/>
  </r>
  <r>
    <d v="2025-03-07T00:00:00"/>
    <s v="OPT-NIFTY-13-Mar-2025-22700-C-E-I"/>
    <s v="NSE"/>
    <s v="Buy"/>
    <n v="75"/>
    <n v="0"/>
    <n v="81.25"/>
    <n v="6093.75"/>
    <s v="#202503073700004565"/>
    <n v="0"/>
    <n v="2.17"/>
    <n v="0"/>
    <n v="0.01"/>
    <n v="29"/>
    <n v="5.62"/>
    <n v="36.799999999999997"/>
    <n v="2025"/>
    <n v="3"/>
    <x v="1"/>
    <n v="12"/>
    <n v="12"/>
    <s v="202412"/>
    <s v="Mar-25"/>
    <n v="-6130.55"/>
    <n v="-6.1305500000000004"/>
  </r>
  <r>
    <d v="2025-03-07T00:00:00"/>
    <s v="OPT-NIFTY-13-Mar-2025-22700-C-E-I"/>
    <s v="NSE"/>
    <s v="Sell"/>
    <n v="75"/>
    <n v="0"/>
    <n v="75.5"/>
    <n v="5662.5"/>
    <s v="#202503073700003607"/>
    <n v="5.66"/>
    <n v="2.0099999999999998"/>
    <n v="0"/>
    <n v="0.01"/>
    <n v="29"/>
    <n v="5.58"/>
    <n v="42.26"/>
    <n v="2025"/>
    <n v="3"/>
    <x v="1"/>
    <n v="12"/>
    <n v="12"/>
    <s v="202412"/>
    <s v="Mar-25"/>
    <n v="5620.24"/>
    <n v="5.6202399999999999"/>
  </r>
  <r>
    <d v="2025-03-07T00:00:00"/>
    <s v="OPT-NIFTY-13-Mar-2025-22350-P-E-I"/>
    <s v="NSE"/>
    <s v="Buy"/>
    <n v="75"/>
    <n v="0"/>
    <n v="81"/>
    <n v="6075"/>
    <s v="#202503073700003054"/>
    <n v="0"/>
    <n v="2.16"/>
    <n v="0"/>
    <n v="0.01"/>
    <n v="29"/>
    <n v="5.62"/>
    <n v="36.79"/>
    <n v="2025"/>
    <n v="3"/>
    <x v="1"/>
    <n v="12"/>
    <n v="12"/>
    <s v="202412"/>
    <s v="Mar-25"/>
    <n v="-6111.79"/>
    <n v="-6.1117900000000001"/>
  </r>
  <r>
    <d v="2025-03-07T00:00:00"/>
    <s v="OPT-NIFTY-13-Mar-2025-22700-C-E-I"/>
    <s v="NSE"/>
    <s v="Buy"/>
    <n v="75"/>
    <n v="0"/>
    <n v="89.5"/>
    <n v="6712.5"/>
    <s v="#202503073700002797"/>
    <n v="0"/>
    <n v="2.38"/>
    <n v="0"/>
    <n v="0.01"/>
    <n v="29"/>
    <n v="5.66"/>
    <n v="37.049999999999997"/>
    <n v="2025"/>
    <n v="3"/>
    <x v="1"/>
    <n v="12"/>
    <n v="12"/>
    <s v="202412"/>
    <s v="Mar-25"/>
    <n v="-6749.55"/>
    <n v="-6.7495500000000002"/>
  </r>
  <r>
    <d v="2025-03-11T00:00:00"/>
    <s v="OPT-NIFTY-13-Mar-2025-22450-P-E-I"/>
    <s v="NSE"/>
    <s v="Buy"/>
    <n v="75"/>
    <n v="0"/>
    <n v="127.15"/>
    <n v="9536.25"/>
    <s v="#202503113700007148"/>
    <n v="0"/>
    <n v="3.39"/>
    <n v="0"/>
    <n v="0.01"/>
    <n v="29"/>
    <n v="5.84"/>
    <n v="38.24"/>
    <n v="2025"/>
    <n v="3"/>
    <x v="1"/>
    <n v="12"/>
    <n v="12"/>
    <s v="202412"/>
    <s v="Mar-25"/>
    <n v="-9574.49"/>
    <n v="-9.5744899999999991"/>
  </r>
  <r>
    <d v="2025-03-12T00:00:00"/>
    <s v="OPT-NIFTY-13-Mar-2025-22350-C-E-I"/>
    <s v="NSE"/>
    <s v="Sell"/>
    <n v="300"/>
    <n v="0"/>
    <n v="72.25"/>
    <n v="21675"/>
    <s v="#202503123700014416"/>
    <n v="21.68"/>
    <n v="7.72"/>
    <n v="0"/>
    <n v="0.04"/>
    <n v="116"/>
    <n v="22.24"/>
    <n v="167.68"/>
    <n v="2025"/>
    <n v="3"/>
    <x v="1"/>
    <n v="12"/>
    <n v="12"/>
    <s v="202412"/>
    <s v="Mar-25"/>
    <n v="21507.32"/>
    <n v="21.50732"/>
  </r>
  <r>
    <d v="2025-03-12T00:00:00"/>
    <s v="OPT-NIFTY-13-Mar-2025-22350-C-E-I"/>
    <s v="NSE"/>
    <s v="Buy"/>
    <n v="300"/>
    <n v="0"/>
    <n v="79.5"/>
    <n v="23850"/>
    <s v="#202503123700014084"/>
    <n v="0"/>
    <n v="8.4700000000000006"/>
    <n v="0.72"/>
    <n v="0.02"/>
    <n v="116"/>
    <n v="22.4"/>
    <n v="147.61000000000001"/>
    <n v="2025"/>
    <n v="3"/>
    <x v="1"/>
    <n v="12"/>
    <n v="12"/>
    <s v="202412"/>
    <s v="Mar-25"/>
    <n v="-23997.61"/>
    <n v="-23.997610000000002"/>
  </r>
  <r>
    <d v="2025-03-12T00:00:00"/>
    <s v="OPT-NIFTY-13-Mar-2025-22450-P-E-I"/>
    <s v="NSE"/>
    <s v="Sell"/>
    <n v="75"/>
    <n v="0"/>
    <n v="147.25"/>
    <n v="11043.75"/>
    <s v="#202503123700011847"/>
    <n v="11.04"/>
    <n v="3.92"/>
    <n v="0"/>
    <n v="0.01"/>
    <n v="29"/>
    <n v="5.92"/>
    <n v="49.89"/>
    <n v="2025"/>
    <n v="3"/>
    <x v="1"/>
    <n v="12"/>
    <n v="12"/>
    <s v="202412"/>
    <s v="Mar-25"/>
    <n v="10993.86"/>
    <n v="10.99386"/>
  </r>
  <r>
    <d v="2025-03-12T00:00:00"/>
    <s v="OPT-NIFTY-13-Mar-2025-22350-P-E-I"/>
    <s v="NSE"/>
    <s v="Sell"/>
    <n v="525"/>
    <n v="0"/>
    <n v="59.25"/>
    <n v="31106.25"/>
    <s v="#202503123700006973"/>
    <n v="31.28"/>
    <n v="11.05"/>
    <n v="0"/>
    <n v="0.03"/>
    <n v="203"/>
    <n v="38.54"/>
    <n v="283.89999999999998"/>
    <n v="2025"/>
    <n v="3"/>
    <x v="1"/>
    <n v="12"/>
    <n v="12"/>
    <s v="202412"/>
    <s v="Mar-25"/>
    <n v="30822.35"/>
    <n v="30.82235"/>
  </r>
  <r>
    <d v="2025-03-12T00:00:00"/>
    <s v="OPT-NIFTY-13-Mar-2025-22350-P-E-I"/>
    <s v="NSE"/>
    <s v="Buy"/>
    <n v="525"/>
    <n v="0"/>
    <n v="50.25"/>
    <n v="26381.25"/>
    <s v="#202503123700002901"/>
    <n v="0"/>
    <n v="9.3699999999999992"/>
    <n v="1.28"/>
    <n v="0.02"/>
    <n v="203"/>
    <n v="38.22"/>
    <n v="251.89"/>
    <n v="2025"/>
    <n v="3"/>
    <x v="1"/>
    <n v="12"/>
    <n v="12"/>
    <s v="202412"/>
    <s v="Mar-25"/>
    <n v="-26633.14"/>
    <n v="-26.633140000000001"/>
  </r>
  <r>
    <d v="2025-03-17T00:00:00"/>
    <s v="OPT-NIFTY-20-Mar-2025-22500-P-E-I"/>
    <s v="NSE"/>
    <s v="Sell"/>
    <n v="75"/>
    <n v="0"/>
    <n v="101.75"/>
    <n v="7631.25"/>
    <s v="#202503173700016172"/>
    <n v="7.63"/>
    <n v="2.71"/>
    <n v="0"/>
    <n v="0.01"/>
    <n v="29"/>
    <n v="5.7"/>
    <n v="45.05"/>
    <n v="2025"/>
    <n v="3"/>
    <x v="1"/>
    <n v="12"/>
    <n v="12"/>
    <s v="202412"/>
    <s v="Mar-25"/>
    <n v="7586.2"/>
    <n v="7.5861999999999998"/>
  </r>
  <r>
    <d v="2025-03-17T00:00:00"/>
    <s v="OPT-NIFTY-20-Mar-2025-22500-P-E-I"/>
    <s v="NSE"/>
    <s v="Buy"/>
    <n v="75"/>
    <n v="0"/>
    <n v="104.55"/>
    <n v="7841.25"/>
    <s v="#202503173700015655"/>
    <n v="0"/>
    <n v="2.79"/>
    <n v="0"/>
    <n v="0.01"/>
    <n v="29"/>
    <n v="5.72"/>
    <n v="37.520000000000003"/>
    <n v="2025"/>
    <n v="3"/>
    <x v="1"/>
    <n v="12"/>
    <n v="12"/>
    <s v="202412"/>
    <s v="Mar-25"/>
    <n v="-7878.77"/>
    <n v="-7.8787700000000003"/>
  </r>
  <r>
    <d v="2025-03-17T00:00:00"/>
    <s v="OPT-NIFTY-20-Mar-2025-22500-P-E-I"/>
    <s v="NSE"/>
    <s v="Sell"/>
    <n v="75"/>
    <n v="0"/>
    <n v="105.25"/>
    <n v="7893.75"/>
    <s v="#202503173700006056"/>
    <n v="8.3699999999999992"/>
    <n v="2.8"/>
    <n v="0"/>
    <n v="0.01"/>
    <n v="29"/>
    <n v="5.72"/>
    <n v="45.9"/>
    <n v="2025"/>
    <n v="3"/>
    <x v="1"/>
    <n v="12"/>
    <n v="12"/>
    <s v="202412"/>
    <s v="Mar-25"/>
    <n v="7847.85"/>
    <n v="7.8478500000000002"/>
  </r>
  <r>
    <d v="2025-03-17T00:00:00"/>
    <s v="OPT-NIFTY-20-Mar-2025-22500-P-E-I"/>
    <s v="NSE"/>
    <s v="Buy"/>
    <n v="75"/>
    <n v="0"/>
    <n v="102.85"/>
    <n v="7713.75"/>
    <s v="#202503173700005581"/>
    <n v="0"/>
    <n v="2.74"/>
    <n v="0"/>
    <n v="0.01"/>
    <n v="29"/>
    <n v="5.72"/>
    <n v="37.47"/>
    <n v="2025"/>
    <n v="3"/>
    <x v="1"/>
    <n v="12"/>
    <n v="12"/>
    <s v="202412"/>
    <s v="Mar-25"/>
    <n v="-7751.22"/>
    <n v="-7.75122"/>
  </r>
  <r>
    <d v="2025-03-19T00:00:00"/>
    <s v="OPT-NIFTY-20-Mar-2025-22950-C-E-I"/>
    <s v="NSE"/>
    <s v="Sell"/>
    <n v="75"/>
    <n v="0"/>
    <n v="76.25"/>
    <n v="5718.75"/>
    <s v="#202503193700017435"/>
    <n v="6"/>
    <n v="2.0299999999999998"/>
    <n v="0"/>
    <n v="0.01"/>
    <n v="29"/>
    <n v="5.58"/>
    <n v="42.62"/>
    <n v="2025"/>
    <n v="3"/>
    <x v="1"/>
    <n v="12"/>
    <n v="12"/>
    <s v="202412"/>
    <s v="Mar-25"/>
    <n v="5676.13"/>
    <n v="5.6761299999999997"/>
  </r>
  <r>
    <d v="2025-03-19T00:00:00"/>
    <s v="OPT-NIFTY-20-Mar-2025-22950-C-E-I"/>
    <s v="NSE"/>
    <s v="Buy"/>
    <n v="75"/>
    <n v="0"/>
    <n v="65.7"/>
    <n v="4927.5"/>
    <s v="#202503193700017393"/>
    <n v="0"/>
    <n v="1.75"/>
    <n v="0"/>
    <n v="0"/>
    <n v="29"/>
    <n v="5.54"/>
    <n v="36.29"/>
    <n v="2025"/>
    <n v="3"/>
    <x v="1"/>
    <n v="12"/>
    <n v="12"/>
    <s v="202412"/>
    <s v="Mar-25"/>
    <n v="-4963.79"/>
    <n v="-4.9637900000000004"/>
  </r>
  <r>
    <d v="2025-03-20T00:00:00"/>
    <s v="OPT-NIFTY-20-Mar-2025-23100-C-E-I"/>
    <s v="NSE"/>
    <s v="Sell"/>
    <n v="300"/>
    <n v="0"/>
    <n v="26.75"/>
    <n v="8025"/>
    <s v="#202503203700016230"/>
    <n v="8"/>
    <n v="2.85"/>
    <n v="0"/>
    <n v="0.01"/>
    <n v="116"/>
    <n v="21.4"/>
    <n v="148.26"/>
    <n v="2025"/>
    <n v="3"/>
    <x v="1"/>
    <n v="12"/>
    <n v="12"/>
    <s v="202412"/>
    <s v="Mar-25"/>
    <n v="7876.74"/>
    <n v="7.8767399999999999"/>
  </r>
  <r>
    <d v="2025-03-20T00:00:00"/>
    <s v="OPT-NIFTY-20-Mar-2025-23100-C-E-I"/>
    <s v="NSE"/>
    <s v="Buy"/>
    <n v="75"/>
    <n v="0"/>
    <n v="14.15"/>
    <n v="1061.25"/>
    <s v="#202503203700014633"/>
    <n v="0"/>
    <n v="0.38"/>
    <n v="0"/>
    <n v="0"/>
    <n v="29"/>
    <n v="5.28"/>
    <n v="34.659999999999997"/>
    <n v="2025"/>
    <n v="3"/>
    <x v="1"/>
    <n v="12"/>
    <n v="12"/>
    <s v="202412"/>
    <s v="Mar-25"/>
    <n v="-1095.9100000000001"/>
    <n v="-1.0959100000000002"/>
  </r>
  <r>
    <d v="2025-03-20T00:00:00"/>
    <s v="OPT-NIFTY-20-Mar-2025-23100-C-E-I"/>
    <s v="NSE"/>
    <s v="Buy"/>
    <n v="225"/>
    <n v="0"/>
    <n v="17.25"/>
    <n v="3881.25"/>
    <s v="#202503203700014266"/>
    <n v="0"/>
    <n v="1.38"/>
    <n v="0"/>
    <n v="0"/>
    <n v="87"/>
    <n v="15.9"/>
    <n v="104.28"/>
    <n v="2025"/>
    <n v="3"/>
    <x v="1"/>
    <n v="12"/>
    <n v="12"/>
    <s v="202412"/>
    <s v="Mar-25"/>
    <n v="-3985.53"/>
    <n v="-3.9855300000000002"/>
  </r>
  <r>
    <d v="2025-03-26T00:00:00"/>
    <s v="OPT-NIFTY-27-Mar-2025-23450-P-E-I"/>
    <s v="NSE"/>
    <s v="Sell"/>
    <n v="75"/>
    <n v="0"/>
    <n v="49.25"/>
    <n v="3693.75"/>
    <s v="#202503263700018572"/>
    <n v="3.96"/>
    <n v="1.31"/>
    <n v="0"/>
    <n v="0"/>
    <n v="29"/>
    <n v="5.46"/>
    <n v="39.729999999999997"/>
    <n v="2025"/>
    <n v="3"/>
    <x v="1"/>
    <n v="12"/>
    <n v="12"/>
    <s v="202412"/>
    <s v="Mar-25"/>
    <n v="3654.02"/>
    <n v="3.65402"/>
  </r>
  <r>
    <d v="2025-03-26T00:00:00"/>
    <s v="OPT-NIFTY-27-Mar-2025-23450-P-E-I"/>
    <s v="NSE"/>
    <s v="Buy"/>
    <n v="75"/>
    <n v="0"/>
    <n v="41.1"/>
    <n v="3082.5"/>
    <s v="#202503263700018211"/>
    <n v="0"/>
    <n v="1.1000000000000001"/>
    <n v="0"/>
    <n v="0"/>
    <n v="29"/>
    <n v="5.42"/>
    <n v="35.520000000000003"/>
    <n v="2025"/>
    <n v="3"/>
    <x v="1"/>
    <n v="12"/>
    <n v="12"/>
    <s v="202412"/>
    <s v="Mar-25"/>
    <n v="-3118.02"/>
    <n v="-3.11802"/>
  </r>
  <r>
    <d v="2025-03-26T00:00:00"/>
    <s v="OPT-NIFTY-27-Mar-2025-23700-C-E-I"/>
    <s v="NSE"/>
    <s v="Sell"/>
    <n v="75"/>
    <n v="0"/>
    <n v="107.25"/>
    <n v="8043.75"/>
    <s v="#202503263700006640"/>
    <n v="8.0399999999999991"/>
    <n v="2.86"/>
    <n v="0"/>
    <n v="0.01"/>
    <n v="29"/>
    <n v="5.74"/>
    <n v="45.65"/>
    <n v="2025"/>
    <n v="3"/>
    <x v="1"/>
    <n v="12"/>
    <n v="12"/>
    <s v="202412"/>
    <s v="Mar-25"/>
    <n v="7998.1"/>
    <n v="7.9981"/>
  </r>
  <r>
    <d v="2025-03-26T00:00:00"/>
    <s v="OPT-NIFTY-27-Mar-2025-23700-C-E-I"/>
    <s v="NSE"/>
    <s v="Buy"/>
    <n v="75"/>
    <n v="0"/>
    <n v="87.9"/>
    <n v="6592.5"/>
    <s v="#202503263700005766"/>
    <n v="0"/>
    <n v="2.34"/>
    <n v="0"/>
    <n v="0.01"/>
    <n v="29"/>
    <n v="5.64"/>
    <n v="36.99"/>
    <n v="2025"/>
    <n v="3"/>
    <x v="1"/>
    <n v="12"/>
    <n v="12"/>
    <s v="202412"/>
    <s v="Mar-25"/>
    <n v="-6629.49"/>
    <n v="-6.6294899999999997"/>
  </r>
  <r>
    <d v="2025-03-27T00:00:00"/>
    <s v="OPT-NIFTY-27-Mar-2025-23650-C-E-I"/>
    <s v="NSE"/>
    <s v="Sell"/>
    <n v="525"/>
    <n v="0"/>
    <n v="5.25"/>
    <n v="2756.25"/>
    <s v="#202503273700015756"/>
    <n v="2.76"/>
    <n v="0.98"/>
    <n v="0"/>
    <n v="0"/>
    <n v="203"/>
    <n v="36.72"/>
    <n v="243.46"/>
    <n v="2025"/>
    <n v="3"/>
    <x v="1"/>
    <n v="12"/>
    <n v="12"/>
    <s v="202412"/>
    <s v="Mar-25"/>
    <n v="2512.79"/>
    <n v="2.5127899999999999"/>
  </r>
  <r>
    <d v="2025-03-27T00:00:00"/>
    <s v="OPT-NIFTY-27-Mar-2025-23650-C-E-I"/>
    <s v="NSE"/>
    <s v="Buy"/>
    <n v="75"/>
    <n v="0"/>
    <n v="15.15"/>
    <n v="1136.25"/>
    <s v="#202503273700012658"/>
    <n v="0"/>
    <n v="0.4"/>
    <n v="0"/>
    <n v="0"/>
    <n v="29"/>
    <n v="5.3"/>
    <n v="34.700000000000003"/>
    <n v="2025"/>
    <n v="3"/>
    <x v="1"/>
    <n v="12"/>
    <n v="12"/>
    <s v="202412"/>
    <s v="Mar-25"/>
    <n v="-1170.95"/>
    <n v="-1.1709499999999999"/>
  </r>
  <r>
    <d v="2025-03-27T00:00:00"/>
    <s v="OPT-NIFTY-27-Mar-2025-23650-C-E-I"/>
    <s v="NSE"/>
    <s v="Buy"/>
    <n v="450"/>
    <n v="0"/>
    <n v="16.600000000000001"/>
    <n v="7470"/>
    <s v="#202503273700012529"/>
    <n v="0"/>
    <n v="2.65"/>
    <n v="0"/>
    <n v="0.01"/>
    <n v="174"/>
    <n v="31.8"/>
    <n v="208.46"/>
    <n v="2025"/>
    <n v="3"/>
    <x v="1"/>
    <n v="12"/>
    <n v="12"/>
    <s v="202412"/>
    <s v="Mar-25"/>
    <n v="-7678.46"/>
    <n v="-7.6784600000000003"/>
  </r>
  <r>
    <d v="2025-03-27T00:00:00"/>
    <s v="OPT-NIFTY-27-Mar-2025-23550-C-E-I"/>
    <s v="NSE"/>
    <s v="Sell"/>
    <n v="75"/>
    <n v="0"/>
    <n v="83.65"/>
    <n v="6273.75"/>
    <s v="#202503273700006827"/>
    <n v="6.24"/>
    <n v="2.23"/>
    <n v="0"/>
    <n v="0.01"/>
    <n v="29"/>
    <n v="5.62"/>
    <n v="43.1"/>
    <n v="2025"/>
    <n v="3"/>
    <x v="1"/>
    <n v="12"/>
    <n v="12"/>
    <s v="202412"/>
    <s v="Mar-25"/>
    <n v="6230.65"/>
    <n v="6.2306499999999998"/>
  </r>
  <r>
    <d v="2025-03-27T00:00:00"/>
    <s v="OPT-NIFTY-27-Mar-2025-23550-C-E-I"/>
    <s v="NSE"/>
    <s v="Buy"/>
    <n v="75"/>
    <n v="0"/>
    <n v="65.8"/>
    <n v="4935"/>
    <s v="#202503273700006519"/>
    <n v="0"/>
    <n v="1.75"/>
    <n v="0"/>
    <n v="0"/>
    <n v="29"/>
    <n v="5.54"/>
    <n v="36.29"/>
    <n v="2025"/>
    <n v="3"/>
    <x v="1"/>
    <n v="12"/>
    <n v="12"/>
    <s v="202412"/>
    <s v="Mar-25"/>
    <n v="-4971.29"/>
    <n v="-4.9712899999999998"/>
  </r>
  <r>
    <d v="2025-03-28T00:00:00"/>
    <s v="OPT-NIFTY-03-Apr-2025-23250-P-E-I"/>
    <s v="NSE"/>
    <s v="Sell"/>
    <n v="150"/>
    <n v="0"/>
    <n v="39.25"/>
    <n v="5887.5"/>
    <s v="#202503283700008186"/>
    <n v="5.89"/>
    <n v="2.09"/>
    <n v="0"/>
    <n v="0.01"/>
    <n v="58"/>
    <n v="10.82"/>
    <n v="76.81"/>
    <n v="2025"/>
    <n v="3"/>
    <x v="1"/>
    <n v="12"/>
    <n v="12"/>
    <s v="202412"/>
    <s v="Mar-25"/>
    <n v="5810.69"/>
    <n v="5.8106899999999992"/>
  </r>
  <r>
    <d v="2025-03-28T00:00:00"/>
    <s v="OPT-NIFTY-03-Apr-2025-23250-P-E-I"/>
    <s v="NSE"/>
    <s v="Buy"/>
    <n v="150"/>
    <n v="0"/>
    <n v="33.450000000000003"/>
    <n v="5017.5"/>
    <s v="#202503283700008114"/>
    <n v="0"/>
    <n v="1.78"/>
    <n v="0"/>
    <n v="0.01"/>
    <n v="58"/>
    <n v="10.76"/>
    <n v="70.55"/>
    <n v="2025"/>
    <n v="3"/>
    <x v="1"/>
    <n v="12"/>
    <n v="12"/>
    <s v="202412"/>
    <s v="Mar-25"/>
    <n v="-5088.05"/>
    <n v="-5.08805"/>
  </r>
  <r>
    <d v="2025-03-28T00:00:00"/>
    <s v="OPT-NIFTY-03-Apr-2025-23250-P-E-I"/>
    <s v="NSE"/>
    <s v="Sell"/>
    <n v="75"/>
    <n v="0"/>
    <n v="40.5"/>
    <n v="3037.5"/>
    <s v="#202503283700006001"/>
    <n v="3.11"/>
    <n v="1.08"/>
    <n v="0"/>
    <n v="0"/>
    <n v="29"/>
    <n v="5.42"/>
    <n v="38.61"/>
    <n v="2025"/>
    <n v="3"/>
    <x v="1"/>
    <n v="12"/>
    <n v="12"/>
    <s v="202412"/>
    <s v="Mar-25"/>
    <n v="2998.89"/>
    <n v="2.9988899999999998"/>
  </r>
  <r>
    <d v="2025-03-28T00:00:00"/>
    <s v="OPT-NIFTY-03-Apr-2025-23250-P-E-I"/>
    <s v="NSE"/>
    <s v="Buy"/>
    <n v="75"/>
    <n v="0"/>
    <n v="42.5"/>
    <n v="3187.5"/>
    <s v="#202503283700001412"/>
    <n v="0"/>
    <n v="1.1299999999999999"/>
    <n v="0"/>
    <n v="0"/>
    <n v="29"/>
    <n v="5.42"/>
    <n v="35.549999999999997"/>
    <n v="2025"/>
    <n v="3"/>
    <x v="1"/>
    <n v="12"/>
    <n v="12"/>
    <s v="202412"/>
    <s v="Mar-25"/>
    <n v="-3223.05"/>
    <n v="-3.2230500000000002"/>
  </r>
  <r>
    <d v="2025-04-01T00:00:00"/>
    <s v="OPT-NIFTY-03-Apr-2025-22550-P-E-I"/>
    <s v="NSE"/>
    <s v="Buy"/>
    <n v="525"/>
    <n v="0"/>
    <n v="6.05"/>
    <n v="3176.25"/>
    <s v="#202504013700015773"/>
    <n v="0"/>
    <n v="1.1200000000000001"/>
    <n v="0.1"/>
    <n v="0"/>
    <n v="203"/>
    <n v="36.700000000000003"/>
    <n v="240.92"/>
    <n v="2025"/>
    <n v="4"/>
    <x v="2"/>
    <n v="1"/>
    <s v="01"/>
    <s v="202501"/>
    <s v="Apr-25"/>
    <n v="-3417.17"/>
    <n v="-3.41717"/>
  </r>
  <r>
    <d v="2025-04-01T00:00:00"/>
    <s v="OPT-NIFTY-03-Apr-2025-23500-P-E-I"/>
    <s v="NSE"/>
    <s v="Sell"/>
    <n v="450"/>
    <n v="0"/>
    <n v="136.30000000000001"/>
    <n v="61335"/>
    <s v="#202504013700006262"/>
    <n v="61.34"/>
    <n v="21.79"/>
    <n v="0"/>
    <n v="0.06"/>
    <n v="174"/>
    <n v="35.26"/>
    <n v="292.45"/>
    <n v="2025"/>
    <n v="4"/>
    <x v="2"/>
    <n v="1"/>
    <s v="01"/>
    <s v="202501"/>
    <s v="Apr-25"/>
    <n v="61042.55"/>
    <n v="61.042550000000006"/>
  </r>
  <r>
    <d v="2025-04-01T00:00:00"/>
    <s v="OPT-NIFTY-03-Apr-2025-23500-P-E-I"/>
    <s v="NSE"/>
    <s v="Buy"/>
    <n v="225"/>
    <n v="0"/>
    <n v="112.85"/>
    <n v="25391.25"/>
    <s v="#202504013700005299"/>
    <n v="0"/>
    <n v="9.02"/>
    <n v="0"/>
    <n v="0.03"/>
    <n v="87"/>
    <n v="17.28"/>
    <n v="113.33"/>
    <n v="2025"/>
    <n v="4"/>
    <x v="2"/>
    <n v="1"/>
    <s v="01"/>
    <s v="202501"/>
    <s v="Apr-25"/>
    <n v="-25504.58"/>
    <n v="-25.504580000000001"/>
  </r>
  <r>
    <d v="2025-04-01T00:00:00"/>
    <s v="OPT-NIFTY-03-Apr-2025-23500-P-E-I"/>
    <s v="NSE"/>
    <s v="Buy"/>
    <n v="225"/>
    <n v="0"/>
    <n v="104.6"/>
    <n v="23535"/>
    <s v="#202504013700004870"/>
    <n v="0"/>
    <n v="8.36"/>
    <n v="2.14"/>
    <n v="0.03"/>
    <n v="87"/>
    <n v="17.16"/>
    <n v="114.69"/>
    <n v="2025"/>
    <n v="4"/>
    <x v="2"/>
    <n v="1"/>
    <s v="01"/>
    <s v="202501"/>
    <s v="Apr-25"/>
    <n v="-23649.69"/>
    <n v="-23.64969"/>
  </r>
  <r>
    <d v="2025-04-01T00:00:00"/>
    <s v="OPT-NIFTY-03-Apr-2025-23500-P-E-I"/>
    <s v="NSE"/>
    <s v="Sell"/>
    <n v="225"/>
    <n v="0"/>
    <n v="92.3"/>
    <n v="20767.5"/>
    <s v="#202504013700004775"/>
    <n v="20.76"/>
    <n v="7.38"/>
    <n v="0"/>
    <n v="0.03"/>
    <n v="87"/>
    <n v="16.98"/>
    <n v="132.15"/>
    <n v="2025"/>
    <n v="4"/>
    <x v="2"/>
    <n v="1"/>
    <s v="01"/>
    <s v="202501"/>
    <s v="Apr-25"/>
    <n v="20635.349999999999"/>
    <n v="20.635349999999999"/>
  </r>
  <r>
    <d v="2025-04-01T00:00:00"/>
    <s v="OPT-NIFTY-03-Apr-2025-23500-P-E-I"/>
    <s v="NSE"/>
    <s v="Buy"/>
    <n v="225"/>
    <n v="0"/>
    <n v="95.3"/>
    <n v="21442.5"/>
    <s v="#202504013700004563"/>
    <n v="0"/>
    <n v="7.62"/>
    <n v="0"/>
    <n v="0.02"/>
    <n v="87"/>
    <n v="17.04"/>
    <n v="111.68"/>
    <n v="2025"/>
    <n v="4"/>
    <x v="2"/>
    <n v="1"/>
    <s v="01"/>
    <s v="202501"/>
    <s v="Apr-25"/>
    <n v="-21554.18"/>
    <n v="-21.554179999999999"/>
  </r>
  <r>
    <d v="2025-04-01T00:00:00"/>
    <s v="OPT-NIFTY-03-Apr-2025-23500-C-E-I"/>
    <s v="NSE"/>
    <s v="Sell"/>
    <n v="225"/>
    <n v="0"/>
    <n v="143.25"/>
    <n v="32231.25"/>
    <s v="#202504013700003041"/>
    <n v="31.9"/>
    <n v="11.45"/>
    <n v="0"/>
    <n v="0.03"/>
    <n v="87"/>
    <n v="17.72"/>
    <n v="148.1"/>
    <n v="2025"/>
    <n v="4"/>
    <x v="2"/>
    <n v="1"/>
    <s v="01"/>
    <s v="202501"/>
    <s v="Apr-25"/>
    <n v="32083.15"/>
    <n v="32.083150000000003"/>
  </r>
  <r>
    <d v="2025-04-01T00:00:00"/>
    <s v="OPT-NIFTY-03-Apr-2025-23500-C-E-I"/>
    <s v="NSE"/>
    <s v="Buy"/>
    <n v="225"/>
    <n v="0"/>
    <n v="112.75"/>
    <n v="25368.75"/>
    <s v="#202504013700002731"/>
    <n v="0"/>
    <n v="9"/>
    <n v="0.76"/>
    <n v="0.03"/>
    <n v="87"/>
    <n v="17.28"/>
    <n v="114.07"/>
    <n v="2025"/>
    <n v="4"/>
    <x v="2"/>
    <n v="1"/>
    <s v="01"/>
    <s v="202501"/>
    <s v="Apr-25"/>
    <n v="-25482.82"/>
    <n v="-25.48282"/>
  </r>
  <r>
    <d v="2025-04-02T00:00:00"/>
    <s v="OPT-NIFTY-03-Apr-2025-22550-P-E-I"/>
    <s v="NSE"/>
    <s v="Sell"/>
    <n v="525"/>
    <n v="0"/>
    <n v="3.5"/>
    <n v="1837.5"/>
    <s v="#202504023700014292"/>
    <n v="1.87"/>
    <n v="0.65"/>
    <n v="0"/>
    <n v="0"/>
    <n v="203"/>
    <n v="36.659999999999997"/>
    <n v="242.18"/>
    <n v="2025"/>
    <n v="4"/>
    <x v="2"/>
    <n v="1"/>
    <s v="01"/>
    <s v="202501"/>
    <s v="Apr-25"/>
    <n v="1595.32"/>
    <n v="1.5953199999999998"/>
  </r>
  <r>
    <d v="2025-04-02T00:00:00"/>
    <s v="OPT-NIFTY-03-Apr-2025-23150-P-E-I"/>
    <s v="NSE"/>
    <s v="Sell"/>
    <n v="1500"/>
    <n v="0"/>
    <n v="29"/>
    <n v="43500"/>
    <s v="#202504023700014277"/>
    <n v="43.5"/>
    <n v="15.46"/>
    <n v="0"/>
    <n v="0.04"/>
    <n v="580"/>
    <n v="107.2"/>
    <n v="746.2"/>
    <n v="2025"/>
    <n v="4"/>
    <x v="2"/>
    <n v="1"/>
    <s v="01"/>
    <s v="202501"/>
    <s v="Apr-25"/>
    <n v="42753.8"/>
    <n v="42.753800000000005"/>
  </r>
  <r>
    <d v="2025-04-02T00:00:00"/>
    <s v="OPT-NIFTY-03-Apr-2025-23150-P-E-I"/>
    <s v="NSE"/>
    <s v="Buy"/>
    <n v="750"/>
    <n v="0"/>
    <n v="51.66"/>
    <n v="38745"/>
    <s v="#202504023700006643"/>
    <n v="0"/>
    <n v="13.77"/>
    <n v="0"/>
    <n v="0.04"/>
    <n v="290"/>
    <n v="54.68"/>
    <n v="358.49"/>
    <n v="2025"/>
    <n v="4"/>
    <x v="2"/>
    <n v="1"/>
    <s v="01"/>
    <s v="202501"/>
    <s v="Apr-25"/>
    <n v="-39103.49"/>
    <n v="-39.103490000000001"/>
  </r>
  <r>
    <d v="2025-04-02T00:00:00"/>
    <s v="OPT-NIFTY-03-Apr-2025-23150-P-E-I"/>
    <s v="NSE"/>
    <s v="Buy"/>
    <n v="750"/>
    <n v="0"/>
    <n v="56.7"/>
    <n v="42525"/>
    <s v="#202504023700005458"/>
    <n v="0"/>
    <n v="15.11"/>
    <n v="5.17"/>
    <n v="0.04"/>
    <n v="290"/>
    <n v="54.94"/>
    <n v="365.26"/>
    <n v="2025"/>
    <n v="4"/>
    <x v="2"/>
    <n v="1"/>
    <s v="01"/>
    <s v="202501"/>
    <s v="Apr-25"/>
    <n v="-42890.26"/>
    <n v="-42.890260000000005"/>
  </r>
  <r>
    <d v="2025-04-02T00:00:00"/>
    <s v="OPT-NIFTY-03-Apr-2025-23150-P-E-I"/>
    <s v="NSE"/>
    <s v="Sell"/>
    <n v="1200"/>
    <n v="0"/>
    <n v="60.08"/>
    <n v="72097.5"/>
    <s v="#202504023700004964"/>
    <n v="72.11"/>
    <n v="25.6"/>
    <n v="0"/>
    <n v="0.06"/>
    <n v="464"/>
    <n v="88.12"/>
    <n v="649.89"/>
    <n v="2025"/>
    <n v="4"/>
    <x v="2"/>
    <n v="1"/>
    <s v="01"/>
    <s v="202501"/>
    <s v="Apr-25"/>
    <n v="71447.61"/>
    <n v="71.447609999999997"/>
  </r>
  <r>
    <d v="2025-04-02T00:00:00"/>
    <s v="OPT-NIFTY-03-Apr-2025-23150-P-E-I"/>
    <s v="NSE"/>
    <s v="Buy"/>
    <n v="300"/>
    <n v="0"/>
    <n v="52.85"/>
    <n v="15855"/>
    <s v="#202504023700003256"/>
    <n v="0"/>
    <n v="5.64"/>
    <n v="0"/>
    <n v="0.01"/>
    <n v="116"/>
    <n v="21.9"/>
    <n v="143.55000000000001"/>
    <n v="2025"/>
    <n v="4"/>
    <x v="2"/>
    <n v="1"/>
    <s v="01"/>
    <s v="202501"/>
    <s v="Apr-25"/>
    <n v="-15998.55"/>
    <n v="-15.99855"/>
  </r>
  <r>
    <d v="2025-04-02T00:00:00"/>
    <s v="OPT-NIFTY-03-Apr-2025-23150-P-E-I"/>
    <s v="NSE"/>
    <s v="Buy"/>
    <n v="300"/>
    <n v="0"/>
    <n v="58.1"/>
    <n v="17430"/>
    <s v="#202504023700002403"/>
    <n v="0"/>
    <n v="6.19"/>
    <n v="0"/>
    <n v="0.01"/>
    <n v="116"/>
    <n v="22"/>
    <n v="144.19999999999999"/>
    <n v="2025"/>
    <n v="4"/>
    <x v="2"/>
    <n v="1"/>
    <s v="01"/>
    <s v="202501"/>
    <s v="Apr-25"/>
    <n v="-17574.2"/>
    <n v="-17.574200000000001"/>
  </r>
  <r>
    <d v="2025-04-02T00:00:00"/>
    <s v="OPT-NIFTY-03-Apr-2025-23150-P-E-I"/>
    <s v="NSE"/>
    <s v="Buy"/>
    <n v="300"/>
    <n v="0"/>
    <n v="70.56"/>
    <n v="21168.75"/>
    <s v="#202504023700001891"/>
    <n v="0"/>
    <n v="7.52"/>
    <n v="0"/>
    <n v="0.03"/>
    <n v="116"/>
    <n v="22.24"/>
    <n v="145.79"/>
    <n v="2025"/>
    <n v="4"/>
    <x v="2"/>
    <n v="1"/>
    <s v="01"/>
    <s v="202501"/>
    <s v="Apr-25"/>
    <n v="-21314.54"/>
    <n v="-21.314540000000001"/>
  </r>
  <r>
    <d v="2025-04-02T00:00:00"/>
    <s v="OPT-NIFTY-03-Apr-2025-23150-P-E-I"/>
    <s v="NSE"/>
    <s v="Buy"/>
    <n v="300"/>
    <n v="0"/>
    <n v="88.15"/>
    <n v="26445"/>
    <s v="#202504023700001347"/>
    <n v="0"/>
    <n v="9.4"/>
    <n v="0"/>
    <n v="0.03"/>
    <n v="116"/>
    <n v="22.58"/>
    <n v="148.01"/>
    <n v="2025"/>
    <n v="4"/>
    <x v="2"/>
    <n v="1"/>
    <s v="01"/>
    <s v="202501"/>
    <s v="Apr-25"/>
    <n v="-26593.01"/>
    <n v="-26.59301"/>
  </r>
  <r>
    <d v="2025-04-02T00:00:00"/>
    <s v="OPT-NIFTY-03-Apr-2025-23250-C-E-I"/>
    <s v="NSE"/>
    <s v="Sell"/>
    <n v="300"/>
    <n v="0"/>
    <n v="85.1"/>
    <n v="25530"/>
    <s v="#202504023700001224"/>
    <n v="25.53"/>
    <n v="9.08"/>
    <n v="0"/>
    <n v="0.03"/>
    <n v="116"/>
    <n v="22.54"/>
    <n v="173.18"/>
    <n v="2025"/>
    <n v="4"/>
    <x v="2"/>
    <n v="1"/>
    <s v="01"/>
    <s v="202501"/>
    <s v="Apr-25"/>
    <n v="25356.82"/>
    <n v="25.356819999999999"/>
  </r>
  <r>
    <d v="2025-04-02T00:00:00"/>
    <s v="OPT-NIFTY-03-Apr-2025-23250-C-E-I"/>
    <s v="NSE"/>
    <s v="Buy"/>
    <n v="300"/>
    <n v="0"/>
    <n v="92.45"/>
    <n v="27735"/>
    <s v="#202504023700000692"/>
    <n v="0"/>
    <n v="9.85"/>
    <n v="0.83"/>
    <n v="0.03"/>
    <n v="116"/>
    <n v="22.64"/>
    <n v="149.35"/>
    <n v="2025"/>
    <n v="4"/>
    <x v="2"/>
    <n v="1"/>
    <s v="01"/>
    <s v="202501"/>
    <s v="Apr-25"/>
    <n v="-27884.35"/>
    <n v="-27.884349999999998"/>
  </r>
  <r>
    <d v="2025-04-03T00:00:00"/>
    <s v="OPT-NIFTY-03-Apr-2025-23300-P-E-I"/>
    <s v="NSE"/>
    <s v="Sell"/>
    <n v="75"/>
    <n v="0"/>
    <n v="44.45"/>
    <n v="3333.75"/>
    <s v="#202504033700018010"/>
    <n v="3.33"/>
    <n v="1.18"/>
    <n v="0"/>
    <n v="0"/>
    <n v="29"/>
    <n v="5.44"/>
    <n v="38.950000000000003"/>
    <n v="2025"/>
    <n v="4"/>
    <x v="2"/>
    <n v="1"/>
    <s v="01"/>
    <s v="202501"/>
    <s v="Apr-25"/>
    <n v="3294.8"/>
    <n v="3.2948000000000004"/>
  </r>
  <r>
    <d v="2025-04-03T00:00:00"/>
    <s v="OPT-NIFTY-03-Apr-2025-23300-P-E-I"/>
    <s v="NSE"/>
    <s v="Buy"/>
    <n v="75"/>
    <n v="0"/>
    <n v="45"/>
    <n v="3375"/>
    <s v="#202504033700017781"/>
    <n v="0"/>
    <n v="1.2"/>
    <n v="0"/>
    <n v="0"/>
    <n v="29"/>
    <n v="5.44"/>
    <n v="35.64"/>
    <n v="2025"/>
    <n v="4"/>
    <x v="2"/>
    <n v="1"/>
    <s v="01"/>
    <s v="202501"/>
    <s v="Apr-25"/>
    <n v="-3410.64"/>
    <n v="-3.4106399999999999"/>
  </r>
  <r>
    <d v="2025-04-03T00:00:00"/>
    <s v="OPT-NIFTY-03-Apr-2025-23300-P-E-I"/>
    <s v="NSE"/>
    <s v="Sell"/>
    <n v="75"/>
    <n v="0"/>
    <n v="47.85"/>
    <n v="3588.75"/>
    <s v="#202504033700016758"/>
    <n v="3.65"/>
    <n v="1.28"/>
    <n v="0"/>
    <n v="0"/>
    <n v="29"/>
    <n v="5.46"/>
    <n v="39.39"/>
    <n v="2025"/>
    <n v="4"/>
    <x v="2"/>
    <n v="1"/>
    <s v="01"/>
    <s v="202501"/>
    <s v="Apr-25"/>
    <n v="3549.36"/>
    <n v="3.5493600000000001"/>
  </r>
  <r>
    <d v="2025-04-03T00:00:00"/>
    <s v="OPT-NIFTY-03-Apr-2025-23300-P-E-I"/>
    <s v="NSE"/>
    <s v="Buy"/>
    <n v="75"/>
    <n v="0"/>
    <n v="49.05"/>
    <n v="3678.75"/>
    <s v="#202504033700015423"/>
    <n v="0"/>
    <n v="1.31"/>
    <n v="0"/>
    <n v="0"/>
    <n v="29"/>
    <n v="5.46"/>
    <n v="35.770000000000003"/>
    <n v="2025"/>
    <n v="4"/>
    <x v="2"/>
    <n v="1"/>
    <s v="01"/>
    <s v="202501"/>
    <s v="Apr-25"/>
    <n v="-3714.52"/>
    <n v="-3.7145199999999998"/>
  </r>
  <r>
    <d v="2025-04-03T00:00:00"/>
    <s v="OPT-NIFTY-03-Apr-2025-23300-P-E-I"/>
    <s v="NSE"/>
    <s v="Sell"/>
    <n v="300"/>
    <n v="0"/>
    <n v="47.75"/>
    <n v="14325"/>
    <s v="#202504033700014502"/>
    <n v="14.33"/>
    <n v="5.09"/>
    <n v="0"/>
    <n v="0.01"/>
    <n v="116"/>
    <n v="21.8"/>
    <n v="157.22999999999999"/>
    <n v="2025"/>
    <n v="4"/>
    <x v="2"/>
    <n v="1"/>
    <s v="01"/>
    <s v="202501"/>
    <s v="Apr-25"/>
    <n v="14167.77"/>
    <n v="14.167770000000001"/>
  </r>
  <r>
    <d v="2025-04-03T00:00:00"/>
    <s v="OPT-NIFTY-03-Apr-2025-23300-P-E-I"/>
    <s v="NSE"/>
    <s v="Buy"/>
    <n v="300"/>
    <n v="0"/>
    <n v="37.5"/>
    <n v="11250"/>
    <s v="#202504033700014083"/>
    <n v="0"/>
    <n v="4"/>
    <n v="0.76"/>
    <n v="0.01"/>
    <n v="116"/>
    <n v="21.6"/>
    <n v="142.37"/>
    <n v="2025"/>
    <n v="4"/>
    <x v="2"/>
    <n v="1"/>
    <s v="01"/>
    <s v="202501"/>
    <s v="Apr-25"/>
    <n v="-11392.37"/>
    <n v="-11.392370000000001"/>
  </r>
  <r>
    <d v="2025-04-03T00:00:00"/>
    <s v="OPT-STABAN-24-Apr-2025-770-P-E-S"/>
    <s v="NSE"/>
    <s v="Sell"/>
    <n v="750"/>
    <n v="0"/>
    <n v="10.25"/>
    <n v="7687.5"/>
    <s v="#202504033700013624"/>
    <n v="7.69"/>
    <n v="2.73"/>
    <n v="0"/>
    <n v="0.01"/>
    <n v="29"/>
    <n v="5.72"/>
    <n v="45.15"/>
    <n v="2025"/>
    <n v="4"/>
    <x v="2"/>
    <n v="1"/>
    <s v="01"/>
    <s v="202501"/>
    <s v="Apr-25"/>
    <n v="7642.35"/>
    <n v="7.6423500000000004"/>
  </r>
  <r>
    <d v="2025-04-03T00:00:00"/>
    <s v="OPT-STABAN-24-Apr-2025-770-P-E-S"/>
    <s v="NSE"/>
    <s v="Buy"/>
    <n v="750"/>
    <n v="0"/>
    <n v="10.45"/>
    <n v="7837.5"/>
    <s v="#202504033700010526"/>
    <n v="0"/>
    <n v="2.78"/>
    <n v="0.24"/>
    <n v="0.01"/>
    <n v="29"/>
    <n v="5.72"/>
    <n v="37.75"/>
    <n v="2025"/>
    <n v="4"/>
    <x v="2"/>
    <n v="1"/>
    <s v="01"/>
    <s v="202501"/>
    <s v="Apr-25"/>
    <n v="-7875.25"/>
    <n v="-7.8752500000000003"/>
  </r>
  <r>
    <d v="2025-04-04T00:00:00"/>
    <s v="OPT-NIFTY-09-Apr-2025-22900-C-E-I"/>
    <s v="NSE"/>
    <s v="Sell"/>
    <n v="75"/>
    <n v="0"/>
    <n v="112.45"/>
    <n v="8433.75"/>
    <s v="#202504043700018117"/>
    <n v="8.43"/>
    <n v="3"/>
    <n v="0"/>
    <n v="0.01"/>
    <n v="29"/>
    <n v="5.76"/>
    <n v="46.2"/>
    <n v="2025"/>
    <n v="4"/>
    <x v="2"/>
    <n v="1"/>
    <s v="01"/>
    <s v="202501"/>
    <s v="Apr-25"/>
    <n v="8387.5499999999993"/>
    <n v="8.3875499999999992"/>
  </r>
  <r>
    <d v="2025-04-04T00:00:00"/>
    <s v="OPT-NIFTY-09-Apr-2025-22900-C-E-I"/>
    <s v="NSE"/>
    <s v="Buy"/>
    <n v="75"/>
    <n v="0"/>
    <n v="114.25"/>
    <n v="8568.75"/>
    <s v="#202504043700018012"/>
    <n v="0"/>
    <n v="3.04"/>
    <n v="0.26"/>
    <n v="0.01"/>
    <n v="29"/>
    <n v="5.76"/>
    <n v="38.07"/>
    <n v="2025"/>
    <n v="4"/>
    <x v="2"/>
    <n v="1"/>
    <s v="01"/>
    <s v="202501"/>
    <s v="Apr-25"/>
    <n v="-8606.82"/>
    <n v="-8.606819999999999"/>
  </r>
  <r>
    <d v="2025-04-04T00:00:00"/>
    <s v="OPT-NIFTY-09-Apr-2025-22950-P-E-I"/>
    <s v="NSE"/>
    <s v="Sell"/>
    <n v="75"/>
    <n v="0"/>
    <n v="125.25"/>
    <n v="9393.75"/>
    <s v="#202504043700015765"/>
    <n v="9.39"/>
    <n v="3.34"/>
    <n v="0"/>
    <n v="0.01"/>
    <n v="29"/>
    <n v="5.82"/>
    <n v="47.56"/>
    <n v="2025"/>
    <n v="4"/>
    <x v="2"/>
    <n v="1"/>
    <s v="01"/>
    <s v="202501"/>
    <s v="Apr-25"/>
    <n v="9346.19"/>
    <n v="9.34619"/>
  </r>
  <r>
    <d v="2025-04-04T00:00:00"/>
    <s v="OPT-NIFTY-09-Apr-2025-22950-P-E-I"/>
    <s v="NSE"/>
    <s v="Sell"/>
    <n v="75"/>
    <n v="0"/>
    <n v="137.25"/>
    <n v="10293.75"/>
    <s v="#202504043700015164"/>
    <n v="10.29"/>
    <n v="3.66"/>
    <n v="0"/>
    <n v="0.01"/>
    <n v="29"/>
    <n v="5.88"/>
    <n v="48.84"/>
    <n v="2025"/>
    <n v="4"/>
    <x v="2"/>
    <n v="1"/>
    <s v="01"/>
    <s v="202501"/>
    <s v="Apr-25"/>
    <n v="10244.91"/>
    <n v="10.244909999999999"/>
  </r>
  <r>
    <d v="2025-04-04T00:00:00"/>
    <s v="OPT-NIFTY-09-Apr-2025-22950-P-E-I"/>
    <s v="NSE"/>
    <s v="Buy"/>
    <n v="75"/>
    <n v="0"/>
    <n v="119.15"/>
    <n v="8936.25"/>
    <s v="#202504043700014621"/>
    <n v="0"/>
    <n v="3.18"/>
    <n v="0"/>
    <n v="0.01"/>
    <n v="29"/>
    <n v="5.8"/>
    <n v="37.99"/>
    <n v="2025"/>
    <n v="4"/>
    <x v="2"/>
    <n v="1"/>
    <s v="01"/>
    <s v="202501"/>
    <s v="Apr-25"/>
    <n v="-8974.24"/>
    <n v="-8.97424"/>
  </r>
  <r>
    <d v="2025-04-04T00:00:00"/>
    <s v="OPT-NIFTY-09-Apr-2025-22950-P-E-I"/>
    <s v="NSE"/>
    <s v="Buy"/>
    <n v="75"/>
    <n v="0"/>
    <n v="133.94999999999999"/>
    <n v="10046.25"/>
    <s v="#202504043700013703"/>
    <n v="0"/>
    <n v="3.57"/>
    <n v="0"/>
    <n v="0.01"/>
    <n v="29"/>
    <n v="5.86"/>
    <n v="38.44"/>
    <n v="2025"/>
    <n v="4"/>
    <x v="2"/>
    <n v="1"/>
    <s v="01"/>
    <s v="202501"/>
    <s v="Apr-25"/>
    <n v="-10084.69"/>
    <n v="-10.08469"/>
  </r>
  <r>
    <d v="2025-04-04T00:00:00"/>
    <s v="OPT-NIFTY-09-Apr-2025-22950-P-E-I"/>
    <s v="NSE"/>
    <s v="Sell"/>
    <n v="75"/>
    <n v="0"/>
    <n v="127.25"/>
    <n v="9543.75"/>
    <s v="#202504043700013001"/>
    <n v="9.9"/>
    <n v="3.39"/>
    <n v="0"/>
    <n v="0.01"/>
    <n v="29"/>
    <n v="5.84"/>
    <n v="48.14"/>
    <n v="2025"/>
    <n v="4"/>
    <x v="2"/>
    <n v="1"/>
    <s v="01"/>
    <s v="202501"/>
    <s v="Apr-25"/>
    <n v="9495.61"/>
    <n v="9.495610000000001"/>
  </r>
  <r>
    <d v="2025-04-04T00:00:00"/>
    <s v="OPT-NIFTY-09-Apr-2025-22950-P-E-I"/>
    <s v="NSE"/>
    <s v="Buy"/>
    <n v="75"/>
    <n v="0"/>
    <n v="121.55"/>
    <n v="9116.25"/>
    <s v="#202504043700011423"/>
    <n v="0"/>
    <n v="3.24"/>
    <n v="0.46"/>
    <n v="0.01"/>
    <n v="29"/>
    <n v="5.8"/>
    <n v="38.51"/>
    <n v="2025"/>
    <n v="4"/>
    <x v="2"/>
    <n v="1"/>
    <s v="01"/>
    <s v="202501"/>
    <s v="Apr-25"/>
    <n v="-9154.76"/>
    <n v="-9.1547599999999996"/>
  </r>
  <r>
    <d v="2025-04-04T00:00:00"/>
    <s v="OPT-NIFTY-09-Apr-2025-23000-C-E-I"/>
    <s v="NSE"/>
    <s v="Sell"/>
    <n v="75"/>
    <n v="0"/>
    <n v="133.05000000000001"/>
    <n v="9978.75"/>
    <s v="#202504043700011100"/>
    <n v="9.98"/>
    <n v="3.55"/>
    <n v="0"/>
    <n v="0.01"/>
    <n v="29"/>
    <n v="5.86"/>
    <n v="48.4"/>
    <n v="2025"/>
    <n v="4"/>
    <x v="2"/>
    <n v="1"/>
    <s v="01"/>
    <s v="202501"/>
    <s v="Apr-25"/>
    <n v="9930.35"/>
    <n v="9.9303500000000007"/>
  </r>
  <r>
    <d v="2025-04-04T00:00:00"/>
    <s v="OPT-NIFTY-09-Apr-2025-23000-C-E-I"/>
    <s v="NSE"/>
    <s v="Buy"/>
    <n v="75"/>
    <n v="0"/>
    <n v="124.75"/>
    <n v="9356.25"/>
    <s v="#202504043700010497"/>
    <n v="0"/>
    <n v="3.32"/>
    <n v="0.28000000000000003"/>
    <n v="0.01"/>
    <n v="29"/>
    <n v="5.82"/>
    <n v="38.43"/>
    <n v="2025"/>
    <n v="4"/>
    <x v="2"/>
    <n v="1"/>
    <s v="01"/>
    <s v="202501"/>
    <s v="Apr-25"/>
    <n v="-9394.68"/>
    <n v="-9.394680000000001"/>
  </r>
  <r>
    <d v="2025-04-07T00:00:00"/>
    <s v="OPT-NIFTY-09-Apr-2025-21500-P-E-I"/>
    <s v="NSE"/>
    <s v="Sell"/>
    <n v="150"/>
    <n v="0"/>
    <n v="156.85"/>
    <n v="23527.5"/>
    <s v="#202504073700022063"/>
    <n v="23.24"/>
    <n v="8.36"/>
    <n v="0"/>
    <n v="0.02"/>
    <n v="58"/>
    <n v="11.94"/>
    <n v="101.56"/>
    <n v="2025"/>
    <n v="4"/>
    <x v="2"/>
    <n v="1"/>
    <s v="01"/>
    <s v="202501"/>
    <s v="Apr-25"/>
    <n v="23425.94"/>
    <n v="23.425939999999997"/>
  </r>
  <r>
    <d v="2025-04-07T00:00:00"/>
    <s v="OPT-NIFTY-09-Apr-2025-21500-P-E-I"/>
    <s v="NSE"/>
    <s v="Buy"/>
    <n v="75"/>
    <n v="0"/>
    <n v="142.80000000000001"/>
    <n v="10710"/>
    <s v="#202504073700021653"/>
    <n v="0"/>
    <n v="3.81"/>
    <n v="0"/>
    <n v="0.01"/>
    <n v="29"/>
    <n v="5.9"/>
    <n v="38.72"/>
    <n v="2025"/>
    <n v="4"/>
    <x v="2"/>
    <n v="1"/>
    <s v="01"/>
    <s v="202501"/>
    <s v="Apr-25"/>
    <n v="-10748.72"/>
    <n v="-10.748719999999999"/>
  </r>
  <r>
    <d v="2025-04-07T00:00:00"/>
    <s v="OPT-NIFTY-09-Apr-2025-22850-C-E-I"/>
    <s v="NSE"/>
    <s v="Sell"/>
    <n v="525"/>
    <n v="0"/>
    <n v="24.15"/>
    <n v="12678.75"/>
    <s v="#202504073700021629"/>
    <n v="12.67"/>
    <n v="4.51"/>
    <n v="0"/>
    <n v="0.01"/>
    <n v="203"/>
    <n v="37.36"/>
    <n v="257.55"/>
    <n v="2025"/>
    <n v="4"/>
    <x v="2"/>
    <n v="1"/>
    <s v="01"/>
    <s v="202501"/>
    <s v="Apr-25"/>
    <n v="12421.2"/>
    <n v="12.421200000000001"/>
  </r>
  <r>
    <d v="2025-04-07T00:00:00"/>
    <s v="OPT-NIFTY-09-Apr-2025-22850-C-E-I"/>
    <s v="NSE"/>
    <s v="Buy"/>
    <n v="525"/>
    <n v="0"/>
    <n v="25.04"/>
    <n v="13147.5"/>
    <s v="#202504073700021511"/>
    <n v="0"/>
    <n v="4.68"/>
    <n v="1.02"/>
    <n v="0.01"/>
    <n v="203"/>
    <n v="37.380000000000003"/>
    <n v="246.09"/>
    <n v="2025"/>
    <n v="4"/>
    <x v="2"/>
    <n v="1"/>
    <s v="01"/>
    <s v="202501"/>
    <s v="Apr-25"/>
    <n v="-13393.59"/>
    <n v="-13.39359"/>
  </r>
  <r>
    <d v="2025-04-07T00:00:00"/>
    <s v="OPT-NIFTY-09-Apr-2025-21500-P-E-I"/>
    <s v="NSE"/>
    <s v="Buy"/>
    <n v="75"/>
    <n v="0"/>
    <n v="160.25"/>
    <n v="12018.75"/>
    <s v="#202504073700020729"/>
    <n v="0"/>
    <n v="4.2699999999999996"/>
    <n v="0"/>
    <n v="0.01"/>
    <n v="29"/>
    <n v="6"/>
    <n v="39.28"/>
    <n v="2025"/>
    <n v="4"/>
    <x v="2"/>
    <n v="1"/>
    <s v="01"/>
    <s v="202501"/>
    <s v="Apr-25"/>
    <n v="-12058.03"/>
    <n v="-12.05803"/>
  </r>
  <r>
    <d v="2025-04-07T00:00:00"/>
    <s v="OPT-NIFTY-09-Apr-2025-21500-P-E-I"/>
    <s v="NSE"/>
    <s v="Sell"/>
    <n v="75"/>
    <n v="0"/>
    <n v="139.44999999999999"/>
    <n v="10458.75"/>
    <s v="#202504073700007675"/>
    <n v="10.46"/>
    <n v="3.72"/>
    <n v="0"/>
    <n v="0.01"/>
    <n v="29"/>
    <n v="5.9"/>
    <n v="49.09"/>
    <n v="2025"/>
    <n v="4"/>
    <x v="2"/>
    <n v="1"/>
    <s v="01"/>
    <s v="202501"/>
    <s v="Apr-25"/>
    <n v="10409.66"/>
    <n v="10.409660000000001"/>
  </r>
  <r>
    <d v="2025-04-07T00:00:00"/>
    <s v="OPT-NIFTY-09-Apr-2025-21500-P-E-I"/>
    <s v="NSE"/>
    <s v="Buy"/>
    <n v="75"/>
    <n v="0"/>
    <n v="131.69999999999999"/>
    <n v="9877.5"/>
    <s v="#202504073700007635"/>
    <n v="0"/>
    <n v="3.51"/>
    <n v="0.98"/>
    <n v="0.01"/>
    <n v="29"/>
    <n v="5.86"/>
    <n v="39.36"/>
    <n v="2025"/>
    <n v="4"/>
    <x v="2"/>
    <n v="1"/>
    <s v="01"/>
    <s v="202501"/>
    <s v="Apr-25"/>
    <n v="-9916.86"/>
    <n v="-9.9168599999999998"/>
  </r>
  <r>
    <d v="2025-04-07T00:00:00"/>
    <s v="OPT-NIFTY-09-Apr-2025-22850-C-E-I"/>
    <s v="NSE"/>
    <s v="Sell"/>
    <n v="525"/>
    <n v="0"/>
    <n v="26.1"/>
    <n v="13702.5"/>
    <s v="#202504073700004058"/>
    <n v="13.72"/>
    <n v="4.8899999999999997"/>
    <n v="0"/>
    <n v="0"/>
    <n v="203"/>
    <n v="37.4"/>
    <n v="259.01"/>
    <n v="2025"/>
    <n v="4"/>
    <x v="2"/>
    <n v="1"/>
    <s v="01"/>
    <s v="202501"/>
    <s v="Apr-25"/>
    <n v="13443.49"/>
    <n v="13.443490000000001"/>
  </r>
  <r>
    <d v="2025-04-07T00:00:00"/>
    <s v="OPT-NIFTY-09-Apr-2025-22850-C-E-I"/>
    <s v="NSE"/>
    <s v="Sell"/>
    <n v="525"/>
    <n v="0"/>
    <n v="37.950000000000003"/>
    <n v="19923.75"/>
    <s v="#202504073700003414"/>
    <n v="19.93"/>
    <n v="7.07"/>
    <n v="0"/>
    <n v="0.02"/>
    <n v="203"/>
    <n v="37.799999999999997"/>
    <n v="267.82"/>
    <n v="2025"/>
    <n v="4"/>
    <x v="2"/>
    <n v="1"/>
    <s v="01"/>
    <s v="202501"/>
    <s v="Apr-25"/>
    <n v="19655.93"/>
    <n v="19.655930000000001"/>
  </r>
  <r>
    <d v="2025-04-07T00:00:00"/>
    <s v="OPT-NIFTY-09-Apr-2025-22850-C-E-I"/>
    <s v="NSE"/>
    <s v="Buy"/>
    <n v="525"/>
    <n v="0"/>
    <n v="18.25"/>
    <n v="9581.25"/>
    <s v="#202504073700001225"/>
    <n v="0"/>
    <n v="3.41"/>
    <n v="0"/>
    <n v="0.01"/>
    <n v="203"/>
    <n v="37.14"/>
    <n v="243.56"/>
    <n v="2025"/>
    <n v="4"/>
    <x v="2"/>
    <n v="1"/>
    <s v="01"/>
    <s v="202501"/>
    <s v="Apr-25"/>
    <n v="-9824.81"/>
    <n v="-9.8248099999999994"/>
  </r>
  <r>
    <d v="2025-04-07T00:00:00"/>
    <s v="OPT-NIFTY-09-Apr-2025-22850-C-E-I"/>
    <s v="NSE"/>
    <s v="Buy"/>
    <n v="525"/>
    <n v="0"/>
    <n v="33.26"/>
    <n v="17463.75"/>
    <s v="#202504073700000705"/>
    <n v="0"/>
    <n v="6.22"/>
    <n v="0"/>
    <n v="0"/>
    <n v="203"/>
    <n v="37.659999999999997"/>
    <n v="246.88"/>
    <n v="2025"/>
    <n v="4"/>
    <x v="2"/>
    <n v="1"/>
    <s v="01"/>
    <s v="202501"/>
    <s v="Apr-25"/>
    <n v="-17710.63"/>
    <n v="-17.710630000000002"/>
  </r>
  <r>
    <d v="2025-04-08T00:00:00"/>
    <s v="OPT-NIFTY-09-Apr-2025-22350-P-E-I"/>
    <s v="NSE"/>
    <s v="Sell"/>
    <n v="75"/>
    <n v="0"/>
    <n v="86.7"/>
    <n v="6502.5"/>
    <s v="#202504083700022230"/>
    <n v="6.5"/>
    <n v="2.31"/>
    <n v="0"/>
    <n v="0.01"/>
    <n v="29"/>
    <n v="5.64"/>
    <n v="43.46"/>
    <n v="2025"/>
    <n v="4"/>
    <x v="2"/>
    <n v="1"/>
    <s v="01"/>
    <s v="202501"/>
    <s v="Apr-25"/>
    <n v="6459.04"/>
    <n v="6.4590399999999999"/>
  </r>
  <r>
    <d v="2025-04-08T00:00:00"/>
    <s v="OPT-NIFTY-09-Apr-2025-22350-P-E-I"/>
    <s v="NSE"/>
    <s v="Buy"/>
    <n v="75"/>
    <n v="0"/>
    <n v="92.25"/>
    <n v="6918.75"/>
    <s v="#202504083700022105"/>
    <n v="0"/>
    <n v="2.46"/>
    <n v="0"/>
    <n v="0.01"/>
    <n v="29"/>
    <n v="5.66"/>
    <n v="37.130000000000003"/>
    <n v="2025"/>
    <n v="4"/>
    <x v="2"/>
    <n v="1"/>
    <s v="01"/>
    <s v="202501"/>
    <s v="Apr-25"/>
    <n v="-6955.88"/>
    <n v="-6.9558800000000005"/>
  </r>
  <r>
    <d v="2025-04-08T00:00:00"/>
    <s v="OPT-NIFTY-09-Apr-2025-22650-C-E-I"/>
    <s v="NSE"/>
    <s v="Sell"/>
    <n v="75"/>
    <n v="0"/>
    <n v="139.69999999999999"/>
    <n v="10477.5"/>
    <s v="#202504083700021049"/>
    <n v="10.48"/>
    <n v="3.72"/>
    <n v="0"/>
    <n v="0.01"/>
    <n v="29"/>
    <n v="5.9"/>
    <n v="49.11"/>
    <n v="2025"/>
    <n v="4"/>
    <x v="2"/>
    <n v="1"/>
    <s v="01"/>
    <s v="202501"/>
    <s v="Apr-25"/>
    <n v="10428.39"/>
    <n v="10.42839"/>
  </r>
  <r>
    <d v="2025-04-08T00:00:00"/>
    <s v="OPT-NIFTY-09-Apr-2025-22650-C-E-I"/>
    <s v="NSE"/>
    <s v="Buy"/>
    <n v="75"/>
    <n v="0"/>
    <n v="122.7"/>
    <n v="9202.5"/>
    <s v="#202504083700021012"/>
    <n v="0"/>
    <n v="3.27"/>
    <n v="0.28000000000000003"/>
    <n v="0.01"/>
    <n v="29"/>
    <n v="5.82"/>
    <n v="38.380000000000003"/>
    <n v="2025"/>
    <n v="4"/>
    <x v="2"/>
    <n v="1"/>
    <s v="01"/>
    <s v="202501"/>
    <s v="Apr-25"/>
    <n v="-9240.8799999999992"/>
    <n v="-9.2408799999999989"/>
  </r>
  <r>
    <d v="2025-04-08T00:00:00"/>
    <s v="OPT-NIFTY-09-Apr-2025-22350-P-E-I"/>
    <s v="NSE"/>
    <s v="Sell"/>
    <n v="75"/>
    <n v="0"/>
    <n v="131.25"/>
    <n v="9843.75"/>
    <s v="#202504083700019683"/>
    <n v="9.84"/>
    <n v="3.5"/>
    <n v="0"/>
    <n v="0.01"/>
    <n v="29"/>
    <n v="5.86"/>
    <n v="48.21"/>
    <n v="2025"/>
    <n v="4"/>
    <x v="2"/>
    <n v="1"/>
    <s v="01"/>
    <s v="202501"/>
    <s v="Apr-25"/>
    <n v="9795.5400000000009"/>
    <n v="9.7955400000000008"/>
  </r>
  <r>
    <d v="2025-04-08T00:00:00"/>
    <s v="OPT-NIFTY-09-Apr-2025-22350-P-E-I"/>
    <s v="NSE"/>
    <s v="Buy"/>
    <n v="75"/>
    <n v="0"/>
    <n v="101.25"/>
    <n v="7593.75"/>
    <s v="#202504083700019480"/>
    <n v="0"/>
    <n v="2.7"/>
    <n v="0"/>
    <n v="0.01"/>
    <n v="29"/>
    <n v="5.7"/>
    <n v="37.409999999999997"/>
    <n v="2025"/>
    <n v="4"/>
    <x v="2"/>
    <n v="1"/>
    <s v="01"/>
    <s v="202501"/>
    <s v="Apr-25"/>
    <n v="-7631.16"/>
    <n v="-7.6311599999999995"/>
  </r>
  <r>
    <d v="2025-04-08T00:00:00"/>
    <s v="OPT-NIFTY-09-Apr-2025-22350-P-E-I"/>
    <s v="NSE"/>
    <s v="Sell"/>
    <n v="75"/>
    <n v="0"/>
    <n v="98.65"/>
    <n v="7398.75"/>
    <s v="#202504083700016818"/>
    <n v="7.4"/>
    <n v="2.63"/>
    <n v="0"/>
    <n v="0.01"/>
    <n v="29"/>
    <n v="5.7"/>
    <n v="44.74"/>
    <n v="2025"/>
    <n v="4"/>
    <x v="2"/>
    <n v="1"/>
    <s v="01"/>
    <s v="202501"/>
    <s v="Apr-25"/>
    <n v="7354.01"/>
    <n v="7.3540100000000006"/>
  </r>
  <r>
    <d v="2025-04-08T00:00:00"/>
    <s v="OPT-NIFTY-09-Apr-2025-22350-P-E-I"/>
    <s v="NSE"/>
    <s v="Buy"/>
    <n v="75"/>
    <n v="0"/>
    <n v="102.1"/>
    <n v="7657.5"/>
    <s v="#202504083700016377"/>
    <n v="0"/>
    <n v="2.72"/>
    <n v="0"/>
    <n v="0.01"/>
    <n v="29"/>
    <n v="5.72"/>
    <n v="37.450000000000003"/>
    <n v="2025"/>
    <n v="4"/>
    <x v="2"/>
    <n v="1"/>
    <s v="01"/>
    <s v="202501"/>
    <s v="Apr-25"/>
    <n v="-7694.95"/>
    <n v="-7.6949499999999995"/>
  </r>
  <r>
    <d v="2025-04-08T00:00:00"/>
    <s v="OPT-NIFTY-09-Apr-2025-22350-P-E-I"/>
    <s v="NSE"/>
    <s v="Sell"/>
    <n v="75"/>
    <n v="0"/>
    <n v="90.1"/>
    <n v="6757.5"/>
    <s v="#202504083700015587"/>
    <n v="6.76"/>
    <n v="2.4"/>
    <n v="0"/>
    <n v="0.01"/>
    <n v="29"/>
    <n v="5.66"/>
    <n v="43.83"/>
    <n v="2025"/>
    <n v="4"/>
    <x v="2"/>
    <n v="1"/>
    <s v="01"/>
    <s v="202501"/>
    <s v="Apr-25"/>
    <n v="6713.67"/>
    <n v="6.7136700000000005"/>
  </r>
  <r>
    <d v="2025-04-08T00:00:00"/>
    <s v="OPT-NIFTY-09-Apr-2025-22350-P-E-I"/>
    <s v="NSE"/>
    <s v="Buy"/>
    <n v="75"/>
    <n v="0"/>
    <n v="160.25"/>
    <n v="12018.75"/>
    <s v="#202504083700013472"/>
    <n v="0"/>
    <n v="4.2699999999999996"/>
    <n v="0"/>
    <n v="0.01"/>
    <n v="29"/>
    <n v="6"/>
    <n v="39.28"/>
    <n v="2025"/>
    <n v="4"/>
    <x v="2"/>
    <n v="1"/>
    <s v="01"/>
    <s v="202501"/>
    <s v="Apr-25"/>
    <n v="-12058.03"/>
    <n v="-12.05803"/>
  </r>
  <r>
    <d v="2025-04-08T00:00:00"/>
    <s v="OPT-NIFTY-09-Apr-2025-22350-C-E-I"/>
    <s v="NSE"/>
    <s v="Sell"/>
    <n v="75"/>
    <n v="0"/>
    <n v="228.5"/>
    <n v="17137.5"/>
    <s v="#202504083700012620"/>
    <n v="17.14"/>
    <n v="6.09"/>
    <n v="0"/>
    <n v="0.02"/>
    <n v="29"/>
    <n v="6.32"/>
    <n v="58.57"/>
    <n v="2025"/>
    <n v="4"/>
    <x v="2"/>
    <n v="1"/>
    <s v="01"/>
    <s v="202501"/>
    <s v="Apr-25"/>
    <n v="17078.93"/>
    <n v="17.07893"/>
  </r>
  <r>
    <d v="2025-04-08T00:00:00"/>
    <s v="OPT-NIFTY-09-Apr-2025-22350-C-E-I"/>
    <s v="NSE"/>
    <s v="Buy"/>
    <n v="75"/>
    <n v="0"/>
    <n v="215.85"/>
    <n v="16188.75"/>
    <s v="#202504083700011844"/>
    <n v="0"/>
    <n v="5.75"/>
    <n v="0.83"/>
    <n v="0.02"/>
    <n v="29"/>
    <n v="6.26"/>
    <n v="41.86"/>
    <n v="2025"/>
    <n v="4"/>
    <x v="2"/>
    <n v="1"/>
    <s v="01"/>
    <s v="202501"/>
    <s v="Apr-25"/>
    <n v="-16230.61"/>
    <n v="-16.230610000000002"/>
  </r>
  <r>
    <d v="2025-04-08T00:00:00"/>
    <s v="OPT-NIFTY-09-Apr-2025-22350-P-E-I"/>
    <s v="NSE"/>
    <s v="Sell"/>
    <n v="75"/>
    <n v="0"/>
    <n v="149.80000000000001"/>
    <n v="11235"/>
    <s v="#202504083700011365"/>
    <n v="11.24"/>
    <n v="3.99"/>
    <n v="0"/>
    <n v="0.01"/>
    <n v="29"/>
    <n v="5.94"/>
    <n v="50.18"/>
    <n v="2025"/>
    <n v="4"/>
    <x v="2"/>
    <n v="1"/>
    <s v="01"/>
    <s v="202501"/>
    <s v="Apr-25"/>
    <n v="11184.82"/>
    <n v="11.18482"/>
  </r>
  <r>
    <d v="2025-04-08T00:00:00"/>
    <s v="OPT-NIFTY-09-Apr-2025-22350-P-E-I"/>
    <s v="NSE"/>
    <s v="Buy"/>
    <n v="75"/>
    <n v="0"/>
    <n v="138.5"/>
    <n v="10387.5"/>
    <s v="#202504083700011344"/>
    <n v="0"/>
    <n v="3.69"/>
    <n v="0.89"/>
    <n v="0.01"/>
    <n v="29"/>
    <n v="5.88"/>
    <n v="39.47"/>
    <n v="2025"/>
    <n v="4"/>
    <x v="2"/>
    <n v="1"/>
    <s v="01"/>
    <s v="202501"/>
    <s v="Apr-25"/>
    <n v="-10426.969999999999"/>
    <n v="-10.426969999999999"/>
  </r>
  <r>
    <d v="2025-04-08T00:00:00"/>
    <s v="OPT-NIFTY-09-Apr-2025-22350-C-E-I"/>
    <s v="NSE"/>
    <s v="Sell"/>
    <n v="75"/>
    <n v="0"/>
    <n v="167.95"/>
    <n v="12596.25"/>
    <s v="#202504083700009580"/>
    <n v="12.65"/>
    <n v="4.4800000000000004"/>
    <n v="0"/>
    <n v="0.01"/>
    <n v="29"/>
    <n v="6.02"/>
    <n v="52.16"/>
    <n v="2025"/>
    <n v="4"/>
    <x v="2"/>
    <n v="1"/>
    <s v="01"/>
    <s v="202501"/>
    <s v="Apr-25"/>
    <n v="12544.09"/>
    <n v="12.544090000000001"/>
  </r>
  <r>
    <d v="2025-04-08T00:00:00"/>
    <s v="OPT-NIFTY-09-Apr-2025-22350-C-E-I"/>
    <s v="NSE"/>
    <s v="Buy"/>
    <n v="75"/>
    <n v="0"/>
    <n v="154.19999999999999"/>
    <n v="11565"/>
    <s v="#202504083700009315"/>
    <n v="0"/>
    <n v="4.1100000000000003"/>
    <n v="0"/>
    <n v="0.01"/>
    <n v="29"/>
    <n v="5.96"/>
    <n v="39.08"/>
    <n v="2025"/>
    <n v="4"/>
    <x v="2"/>
    <n v="1"/>
    <s v="01"/>
    <s v="202501"/>
    <s v="Apr-25"/>
    <n v="-11604.08"/>
    <n v="-11.60408"/>
  </r>
  <r>
    <d v="2025-04-09T00:00:00"/>
    <s v="OPT-NIFTY-09-Apr-2025-22400-P-E-I"/>
    <s v="NSE"/>
    <s v="Sell"/>
    <n v="900"/>
    <n v="0"/>
    <n v="4.1500000000000004"/>
    <n v="3735"/>
    <s v="#202504093700020424"/>
    <n v="3.74"/>
    <n v="1.32"/>
    <n v="0"/>
    <n v="0"/>
    <n v="348"/>
    <n v="62.88"/>
    <n v="415.94"/>
    <n v="2025"/>
    <n v="4"/>
    <x v="2"/>
    <n v="1"/>
    <s v="01"/>
    <s v="202501"/>
    <s v="Apr-25"/>
    <n v="3319.06"/>
    <n v="3.3190599999999999"/>
  </r>
  <r>
    <d v="2025-04-09T00:00:00"/>
    <s v="OPT-NIFTY-09-Apr-2025-22400-P-E-I"/>
    <s v="NSE"/>
    <s v="Buy"/>
    <n v="450"/>
    <n v="0"/>
    <n v="8.75"/>
    <n v="3937.5"/>
    <s v="#202504093700017156"/>
    <n v="0"/>
    <n v="1.4"/>
    <n v="0.55000000000000004"/>
    <n v="0"/>
    <n v="174"/>
    <n v="31.58"/>
    <n v="207.53"/>
    <n v="2025"/>
    <n v="4"/>
    <x v="2"/>
    <n v="1"/>
    <s v="01"/>
    <s v="202501"/>
    <s v="Apr-25"/>
    <n v="-4145.03"/>
    <n v="-4.1450299999999993"/>
  </r>
  <r>
    <d v="2025-04-09T00:00:00"/>
    <s v="OPT-NIFTY-09-Apr-2025-22500-C-E-I"/>
    <s v="NSE"/>
    <s v="Sell"/>
    <n v="750"/>
    <n v="0"/>
    <n v="7.25"/>
    <n v="5437.5"/>
    <s v="#202504093700017088"/>
    <n v="5.44"/>
    <n v="1.93"/>
    <n v="0"/>
    <n v="0.01"/>
    <n v="290"/>
    <n v="52.54"/>
    <n v="349.92"/>
    <n v="2025"/>
    <n v="4"/>
    <x v="2"/>
    <n v="1"/>
    <s v="01"/>
    <s v="202501"/>
    <s v="Apr-25"/>
    <n v="5087.58"/>
    <n v="5.08758"/>
  </r>
  <r>
    <d v="2025-04-09T00:00:00"/>
    <s v="OPT-NIFTY-09-Apr-2025-22500-C-E-I"/>
    <s v="NSE"/>
    <s v="Buy"/>
    <n v="750"/>
    <n v="0"/>
    <n v="9.6"/>
    <n v="7200"/>
    <s v="#202504093700017000"/>
    <n v="0"/>
    <n v="2.5499999999999998"/>
    <n v="0.22"/>
    <n v="0"/>
    <n v="290"/>
    <n v="52.66"/>
    <n v="345.43"/>
    <n v="2025"/>
    <n v="4"/>
    <x v="2"/>
    <n v="1"/>
    <s v="01"/>
    <s v="202501"/>
    <s v="Apr-25"/>
    <n v="-7545.43"/>
    <n v="-7.5454300000000005"/>
  </r>
  <r>
    <d v="2025-04-09T00:00:00"/>
    <s v="OPT-NIFTY-09-Apr-2025-22400-P-E-I"/>
    <s v="NSE"/>
    <s v="Buy"/>
    <n v="75"/>
    <n v="0"/>
    <n v="9.25"/>
    <n v="693.75"/>
    <s v="#202504093700016598"/>
    <n v="0"/>
    <n v="0.25"/>
    <n v="0"/>
    <n v="0"/>
    <n v="29"/>
    <n v="5.26"/>
    <n v="34.51"/>
    <n v="2025"/>
    <n v="4"/>
    <x v="2"/>
    <n v="1"/>
    <s v="01"/>
    <s v="202501"/>
    <s v="Apr-25"/>
    <n v="-728.26"/>
    <n v="-0.72826000000000002"/>
  </r>
  <r>
    <d v="2025-04-09T00:00:00"/>
    <s v="OPT-NIFTY-09-Apr-2025-22400-P-E-I"/>
    <s v="NSE"/>
    <s v="Buy"/>
    <n v="75"/>
    <n v="0"/>
    <n v="13.15"/>
    <n v="986.25"/>
    <s v="#202504093700015487"/>
    <n v="0"/>
    <n v="0.35"/>
    <n v="0"/>
    <n v="0"/>
    <n v="29"/>
    <n v="5.28"/>
    <n v="34.630000000000003"/>
    <n v="2025"/>
    <n v="4"/>
    <x v="2"/>
    <n v="1"/>
    <s v="01"/>
    <s v="202501"/>
    <s v="Apr-25"/>
    <n v="-1020.88"/>
    <n v="-1.02088"/>
  </r>
  <r>
    <d v="2025-04-09T00:00:00"/>
    <s v="OPT-NIFTY-09-Apr-2025-22400-P-E-I"/>
    <s v="NSE"/>
    <s v="Buy"/>
    <n v="75"/>
    <n v="0"/>
    <n v="19.3"/>
    <n v="1447.5"/>
    <s v="#202504093700014578"/>
    <n v="0"/>
    <n v="0.51"/>
    <n v="0"/>
    <n v="0"/>
    <n v="29"/>
    <n v="5.32"/>
    <n v="34.83"/>
    <n v="2025"/>
    <n v="4"/>
    <x v="2"/>
    <n v="1"/>
    <s v="01"/>
    <s v="202501"/>
    <s v="Apr-25"/>
    <n v="-1482.33"/>
    <n v="-1.4823299999999999"/>
  </r>
  <r>
    <d v="2025-04-09T00:00:00"/>
    <s v="OPT-NIFTY-09-Apr-2025-22400-C-E-I"/>
    <s v="NSE"/>
    <s v="Sell"/>
    <n v="75"/>
    <n v="0"/>
    <n v="28.15"/>
    <n v="2111.25"/>
    <s v="#202504093700014289"/>
    <n v="2.11"/>
    <n v="0.75"/>
    <n v="0"/>
    <n v="0"/>
    <n v="29"/>
    <n v="5.36"/>
    <n v="37.22"/>
    <n v="2025"/>
    <n v="4"/>
    <x v="2"/>
    <n v="1"/>
    <s v="01"/>
    <s v="202501"/>
    <s v="Apr-25"/>
    <n v="2074.0300000000002"/>
    <n v="2.07403"/>
  </r>
  <r>
    <d v="2025-04-09T00:00:00"/>
    <s v="OPT-NIFTY-09-Apr-2025-22400-C-E-I"/>
    <s v="NSE"/>
    <s v="Buy"/>
    <n v="75"/>
    <n v="0"/>
    <n v="32.200000000000003"/>
    <n v="2415"/>
    <s v="#202504093700014210"/>
    <n v="0"/>
    <n v="0.86"/>
    <n v="0"/>
    <n v="0"/>
    <n v="29"/>
    <n v="5.38"/>
    <n v="35.24"/>
    <n v="2025"/>
    <n v="4"/>
    <x v="2"/>
    <n v="1"/>
    <s v="01"/>
    <s v="202501"/>
    <s v="Apr-25"/>
    <n v="-2450.2399999999998"/>
    <n v="-2.45024"/>
  </r>
  <r>
    <d v="2025-04-09T00:00:00"/>
    <s v="OPT-NIFTY-09-Apr-2025-22400-P-E-I"/>
    <s v="NSE"/>
    <s v="Buy"/>
    <n v="75"/>
    <n v="0"/>
    <n v="23.4"/>
    <n v="1755"/>
    <s v="#202504093700013953"/>
    <n v="0"/>
    <n v="0.62"/>
    <n v="0"/>
    <n v="0"/>
    <n v="29"/>
    <n v="5.34"/>
    <n v="34.96"/>
    <n v="2025"/>
    <n v="4"/>
    <x v="2"/>
    <n v="1"/>
    <s v="01"/>
    <s v="202501"/>
    <s v="Apr-25"/>
    <n v="-1789.96"/>
    <n v="-1.78996"/>
  </r>
  <r>
    <d v="2025-04-09T00:00:00"/>
    <s v="OPT-NIFTY-09-Apr-2025-22400-P-E-I"/>
    <s v="NSE"/>
    <s v="Buy"/>
    <n v="75"/>
    <n v="0"/>
    <n v="28.15"/>
    <n v="2111.25"/>
    <s v="#202504093700012838"/>
    <n v="0"/>
    <n v="0.75"/>
    <n v="0"/>
    <n v="0"/>
    <n v="29"/>
    <n v="5.36"/>
    <n v="35.11"/>
    <n v="2025"/>
    <n v="4"/>
    <x v="2"/>
    <n v="1"/>
    <s v="01"/>
    <s v="202501"/>
    <s v="Apr-25"/>
    <n v="-2146.36"/>
    <n v="-2.14636"/>
  </r>
  <r>
    <d v="2025-04-09T00:00:00"/>
    <s v="OPT-NIFTY-09-Apr-2025-22400-P-E-I"/>
    <s v="NSE"/>
    <s v="Buy"/>
    <n v="75"/>
    <n v="0"/>
    <n v="69.05"/>
    <n v="5178.75"/>
    <s v="#202504093700008064"/>
    <n v="0"/>
    <n v="1.84"/>
    <n v="0"/>
    <n v="0.01"/>
    <n v="29"/>
    <n v="5.56"/>
    <n v="36.409999999999997"/>
    <n v="2025"/>
    <n v="4"/>
    <x v="2"/>
    <n v="1"/>
    <s v="01"/>
    <s v="202501"/>
    <s v="Apr-25"/>
    <n v="-5215.16"/>
    <n v="-5.21516"/>
  </r>
  <r>
    <d v="2025-04-09T00:00:00"/>
    <s v="OPT-NIFTY-09-Apr-2025-22400-C-E-I"/>
    <s v="NSE"/>
    <s v="Sell"/>
    <n v="75"/>
    <n v="0"/>
    <n v="83.25"/>
    <n v="6243.75"/>
    <s v="#202504093700007105"/>
    <n v="6.24"/>
    <n v="2.2200000000000002"/>
    <n v="0"/>
    <n v="0.01"/>
    <n v="29"/>
    <n v="5.62"/>
    <n v="43.09"/>
    <n v="2025"/>
    <n v="4"/>
    <x v="2"/>
    <n v="1"/>
    <s v="01"/>
    <s v="202501"/>
    <s v="Apr-25"/>
    <n v="6200.66"/>
    <n v="6.2006600000000001"/>
  </r>
  <r>
    <d v="2025-04-09T00:00:00"/>
    <s v="OPT-NIFTY-09-Apr-2025-22400-C-E-I"/>
    <s v="NSE"/>
    <s v="Buy"/>
    <n v="75"/>
    <n v="0"/>
    <n v="68.099999999999994"/>
    <n v="5107.5"/>
    <s v="#202504093700006957"/>
    <n v="0"/>
    <n v="1.81"/>
    <n v="0.23"/>
    <n v="0.01"/>
    <n v="29"/>
    <n v="5.54"/>
    <n v="36.590000000000003"/>
    <n v="2025"/>
    <n v="4"/>
    <x v="2"/>
    <n v="1"/>
    <s v="01"/>
    <s v="202501"/>
    <s v="Apr-25"/>
    <n v="-5144.09"/>
    <n v="-5.1440900000000003"/>
  </r>
  <r>
    <d v="2025-04-09T00:00:00"/>
    <s v="OPT-NIFTY-09-Apr-2025-22400-P-E-I"/>
    <s v="NSE"/>
    <s v="Sell"/>
    <n v="75"/>
    <n v="0"/>
    <n v="81"/>
    <n v="6075"/>
    <s v="#202504093700006425"/>
    <n v="6.47"/>
    <n v="2.16"/>
    <n v="0"/>
    <n v="0.01"/>
    <n v="29"/>
    <n v="5.62"/>
    <n v="43.26"/>
    <n v="2025"/>
    <n v="4"/>
    <x v="2"/>
    <n v="1"/>
    <s v="01"/>
    <s v="202501"/>
    <s v="Apr-25"/>
    <n v="6031.74"/>
    <n v="6.0317400000000001"/>
  </r>
  <r>
    <d v="2025-04-09T00:00:00"/>
    <s v="OPT-NIFTY-09-Apr-2025-22400-P-E-I"/>
    <s v="NSE"/>
    <s v="Buy"/>
    <n v="75"/>
    <n v="0"/>
    <n v="83.3"/>
    <n v="6247.5"/>
    <s v="#202504093700006200"/>
    <n v="0"/>
    <n v="2.2200000000000002"/>
    <n v="0"/>
    <n v="0.01"/>
    <n v="29"/>
    <n v="5.62"/>
    <n v="36.85"/>
    <n v="2025"/>
    <n v="4"/>
    <x v="2"/>
    <n v="1"/>
    <s v="01"/>
    <s v="202501"/>
    <s v="Apr-25"/>
    <n v="-6284.35"/>
    <n v="-6.2843500000000008"/>
  </r>
  <r>
    <d v="2025-04-15T00:00:00"/>
    <s v="OPT-NIFTY-17-Apr-2025-22750-P-E-I"/>
    <s v="NSE"/>
    <s v="Sell"/>
    <n v="150"/>
    <n v="0"/>
    <n v="17.7"/>
    <n v="2655"/>
    <s v="#202504153700004658"/>
    <n v="3"/>
    <n v="0.94"/>
    <n v="0"/>
    <n v="0"/>
    <n v="58"/>
    <n v="10.6"/>
    <n v="72.540000000000006"/>
    <n v="2025"/>
    <n v="4"/>
    <x v="2"/>
    <n v="1"/>
    <s v="01"/>
    <s v="202501"/>
    <s v="Apr-25"/>
    <n v="2582.46"/>
    <n v="2.5824600000000002"/>
  </r>
  <r>
    <d v="2025-04-15T00:00:00"/>
    <s v="OPT-NIFTY-17-Apr-2025-22750-P-E-I"/>
    <s v="NSE"/>
    <s v="Buy"/>
    <n v="75"/>
    <n v="0"/>
    <n v="23"/>
    <n v="1725"/>
    <s v="#202504153700003201"/>
    <n v="0"/>
    <n v="0.61"/>
    <n v="0"/>
    <n v="0"/>
    <n v="29"/>
    <n v="5.32"/>
    <n v="34.93"/>
    <n v="2025"/>
    <n v="4"/>
    <x v="2"/>
    <n v="1"/>
    <s v="01"/>
    <s v="202501"/>
    <s v="Apr-25"/>
    <n v="-1759.93"/>
    <n v="-1.75993"/>
  </r>
  <r>
    <d v="2025-04-15T00:00:00"/>
    <s v="OPT-NIFTY-17-Apr-2025-22750-P-E-I"/>
    <s v="NSE"/>
    <s v="Buy"/>
    <n v="75"/>
    <n v="0"/>
    <n v="23.5"/>
    <n v="1762.5"/>
    <s v="#202504153700003067"/>
    <n v="0"/>
    <n v="0.63"/>
    <n v="0"/>
    <n v="0"/>
    <n v="29"/>
    <n v="5.34"/>
    <n v="34.97"/>
    <n v="2025"/>
    <n v="4"/>
    <x v="2"/>
    <n v="1"/>
    <s v="01"/>
    <s v="202501"/>
    <s v="Apr-25"/>
    <n v="-1797.47"/>
    <n v="-1.7974700000000001"/>
  </r>
  <r>
    <d v="2025-05-02T00:00:00"/>
    <s v="OPT-NIFTY-08-May-2025-24350-P-E-I"/>
    <s v="NSE"/>
    <s v="Sell"/>
    <n v="150"/>
    <n v="0"/>
    <n v="145.80000000000001"/>
    <n v="21870"/>
    <s v="#202505023700019488"/>
    <n v="21.87"/>
    <n v="7.77"/>
    <n v="0"/>
    <n v="0.02"/>
    <n v="58"/>
    <n v="11.84"/>
    <n v="99.5"/>
    <n v="2025"/>
    <n v="5"/>
    <x v="2"/>
    <n v="2"/>
    <s v="02"/>
    <s v="202502"/>
    <s v="May-25"/>
    <n v="21770.5"/>
    <n v="21.770499999999998"/>
  </r>
  <r>
    <d v="2025-05-02T00:00:00"/>
    <s v="OPT-NIFTY-08-May-2025-24350-P-E-I"/>
    <s v="NSE"/>
    <s v="Buy"/>
    <n v="150"/>
    <n v="0"/>
    <n v="152.69999999999999"/>
    <n v="22905"/>
    <s v="#202505023700019371"/>
    <n v="0"/>
    <n v="8.14"/>
    <n v="2.44"/>
    <n v="0.02"/>
    <n v="58"/>
    <n v="11.92"/>
    <n v="80.52"/>
    <n v="2025"/>
    <n v="5"/>
    <x v="2"/>
    <n v="2"/>
    <s v="02"/>
    <s v="202502"/>
    <s v="May-25"/>
    <n v="-22985.52"/>
    <n v="-22.985520000000001"/>
  </r>
  <r>
    <d v="2025-05-02T00:00:00"/>
    <s v="OPT-NIFTY-08-May-2025-24350-P-E-I"/>
    <s v="NSE"/>
    <s v="Sell"/>
    <n v="75"/>
    <n v="0"/>
    <n v="146.9"/>
    <n v="11017.5"/>
    <s v="#202505023700019299"/>
    <n v="11.02"/>
    <n v="3.91"/>
    <n v="0"/>
    <n v="0.01"/>
    <n v="29"/>
    <n v="5.92"/>
    <n v="49.86"/>
    <n v="2025"/>
    <n v="5"/>
    <x v="2"/>
    <n v="2"/>
    <s v="02"/>
    <s v="202502"/>
    <s v="May-25"/>
    <n v="10967.64"/>
    <n v="10.967639999999999"/>
  </r>
  <r>
    <d v="2025-05-02T00:00:00"/>
    <s v="OPT-NIFTY-08-May-2025-24350-P-E-I"/>
    <s v="NSE"/>
    <s v="Buy"/>
    <n v="75"/>
    <n v="0"/>
    <n v="156.44999999999999"/>
    <n v="11733.75"/>
    <s v="#202505023700019157"/>
    <n v="0"/>
    <n v="4.17"/>
    <n v="0"/>
    <n v="0.01"/>
    <n v="29"/>
    <n v="5.98"/>
    <n v="39.159999999999997"/>
    <n v="2025"/>
    <n v="5"/>
    <x v="2"/>
    <n v="2"/>
    <s v="02"/>
    <s v="202502"/>
    <s v="May-25"/>
    <n v="-11772.91"/>
    <n v="-11.77291"/>
  </r>
  <r>
    <d v="2025-05-02T00:00:00"/>
    <s v="OPT-NIFTY-08-May-2025-24300-P-E-I"/>
    <s v="NSE"/>
    <s v="Sell"/>
    <n v="150"/>
    <n v="0"/>
    <n v="209.15"/>
    <n v="31372.5"/>
    <s v="#202505023700017315"/>
    <n v="31.37"/>
    <n v="11.15"/>
    <n v="0"/>
    <n v="0.03"/>
    <n v="58"/>
    <n v="12.46"/>
    <n v="113.01"/>
    <n v="2025"/>
    <n v="5"/>
    <x v="2"/>
    <n v="2"/>
    <s v="02"/>
    <s v="202502"/>
    <s v="May-25"/>
    <n v="31259.49"/>
    <n v="31.259490000000003"/>
  </r>
  <r>
    <d v="2025-05-02T00:00:00"/>
    <s v="OPT-NIFTY-08-May-2025-24300-P-E-I"/>
    <s v="NSE"/>
    <s v="Buy"/>
    <n v="75"/>
    <n v="0"/>
    <n v="203"/>
    <n v="15225"/>
    <s v="#202505023700017303"/>
    <n v="0"/>
    <n v="5.41"/>
    <n v="0"/>
    <n v="0.02"/>
    <n v="29"/>
    <n v="6.2"/>
    <n v="40.630000000000003"/>
    <n v="2025"/>
    <n v="5"/>
    <x v="2"/>
    <n v="2"/>
    <s v="02"/>
    <s v="202502"/>
    <s v="May-25"/>
    <n v="-15265.63"/>
    <n v="-15.26563"/>
  </r>
  <r>
    <d v="2025-05-02T00:00:00"/>
    <s v="OPT-NIFTY-08-May-2025-24300-P-E-I"/>
    <s v="NSE"/>
    <s v="Buy"/>
    <n v="75"/>
    <n v="0"/>
    <n v="199.6"/>
    <n v="14970"/>
    <s v="#202505023700017225"/>
    <n v="0"/>
    <n v="5.32"/>
    <n v="0.91"/>
    <n v="0.01"/>
    <n v="29"/>
    <n v="6.18"/>
    <n v="41.42"/>
    <n v="2025"/>
    <n v="5"/>
    <x v="2"/>
    <n v="2"/>
    <s v="02"/>
    <s v="202502"/>
    <s v="May-25"/>
    <n v="-15011.42"/>
    <n v="-15.011419999999999"/>
  </r>
  <r>
    <d v="2025-05-02T00:00:00"/>
    <s v="OPT-NIFTY-08-May-2025-24350-P-E-I"/>
    <s v="NSE"/>
    <s v="Sell"/>
    <n v="150"/>
    <n v="0"/>
    <n v="217.25"/>
    <n v="32587.5"/>
    <s v="#202505023700014773"/>
    <n v="32.58"/>
    <n v="11.58"/>
    <n v="0"/>
    <n v="0.04"/>
    <n v="58"/>
    <n v="12.52"/>
    <n v="114.72"/>
    <n v="2025"/>
    <n v="5"/>
    <x v="2"/>
    <n v="2"/>
    <s v="02"/>
    <s v="202502"/>
    <s v="May-25"/>
    <n v="32472.78"/>
    <n v="32.47278"/>
  </r>
  <r>
    <d v="2025-05-02T00:00:00"/>
    <s v="OPT-NIFTY-08-May-2025-24350-P-E-I"/>
    <s v="NSE"/>
    <s v="Buy"/>
    <n v="150"/>
    <n v="0"/>
    <n v="204"/>
    <n v="30600"/>
    <s v="#202505023700014462"/>
    <n v="0"/>
    <n v="10.88"/>
    <n v="0"/>
    <n v="0.04"/>
    <n v="58"/>
    <n v="12.4"/>
    <n v="81.319999999999993"/>
    <n v="2025"/>
    <n v="5"/>
    <x v="2"/>
    <n v="2"/>
    <s v="02"/>
    <s v="202502"/>
    <s v="May-25"/>
    <n v="-30681.32"/>
    <n v="-30.681319999999999"/>
  </r>
  <r>
    <d v="2025-05-02T00:00:00"/>
    <s v="OPT-NIFTY-08-May-2025-24450-P-E-I"/>
    <s v="NSE"/>
    <s v="Sell"/>
    <n v="150"/>
    <n v="0"/>
    <n v="215.45"/>
    <n v="32317.5"/>
    <s v="#202505023700012079"/>
    <n v="32.32"/>
    <n v="11.48"/>
    <n v="0"/>
    <n v="0.04"/>
    <n v="58"/>
    <n v="12.52"/>
    <n v="114.36"/>
    <n v="2025"/>
    <n v="5"/>
    <x v="2"/>
    <n v="2"/>
    <s v="02"/>
    <s v="202502"/>
    <s v="May-25"/>
    <n v="32203.14"/>
    <n v="32.203139999999998"/>
  </r>
  <r>
    <d v="2025-05-02T00:00:00"/>
    <s v="OPT-NIFTY-08-May-2025-24450-P-E-I"/>
    <s v="NSE"/>
    <s v="Buy"/>
    <n v="150"/>
    <n v="0"/>
    <n v="203.3"/>
    <n v="30495"/>
    <s v="#202505023700011548"/>
    <n v="0"/>
    <n v="10.84"/>
    <n v="0"/>
    <n v="0.04"/>
    <n v="58"/>
    <n v="12.4"/>
    <n v="81.28"/>
    <n v="2025"/>
    <n v="5"/>
    <x v="2"/>
    <n v="2"/>
    <s v="02"/>
    <s v="202502"/>
    <s v="May-25"/>
    <n v="-30576.28"/>
    <n v="-30.576280000000001"/>
  </r>
  <r>
    <d v="2025-05-02T00:00:00"/>
    <s v="OPT-NIFTY-08-May-2025-24500-P-E-I"/>
    <s v="NSE"/>
    <s v="Sell"/>
    <n v="75"/>
    <n v="0"/>
    <n v="204.55"/>
    <n v="15341.25"/>
    <s v="#202505023700011205"/>
    <n v="15.34"/>
    <n v="5.45"/>
    <n v="0"/>
    <n v="0.02"/>
    <n v="29"/>
    <n v="6.2"/>
    <n v="56.01"/>
    <n v="2025"/>
    <n v="5"/>
    <x v="2"/>
    <n v="2"/>
    <s v="02"/>
    <s v="202502"/>
    <s v="May-25"/>
    <n v="15285.24"/>
    <n v="15.28524"/>
  </r>
  <r>
    <d v="2025-05-02T00:00:00"/>
    <s v="OPT-NIFTY-08-May-2025-24500-P-E-I"/>
    <s v="NSE"/>
    <s v="Buy"/>
    <n v="75"/>
    <n v="0"/>
    <n v="202.1"/>
    <n v="15157.5"/>
    <s v="#202505023700010749"/>
    <n v="0"/>
    <n v="5.39"/>
    <n v="0.45"/>
    <n v="0.02"/>
    <n v="29"/>
    <n v="6.2"/>
    <n v="41.06"/>
    <n v="2025"/>
    <n v="5"/>
    <x v="2"/>
    <n v="2"/>
    <s v="02"/>
    <s v="202502"/>
    <s v="May-25"/>
    <n v="-15198.56"/>
    <n v="-15.198559999999999"/>
  </r>
  <r>
    <d v="2025-05-02T00:00:00"/>
    <s v="OPT-NIFTY-08-May-2025-24450-P-E-I"/>
    <s v="NSE"/>
    <s v="Sell"/>
    <n v="75"/>
    <n v="0"/>
    <n v="159.25"/>
    <n v="11943.75"/>
    <s v="#202505023700008123"/>
    <n v="11.94"/>
    <n v="4.24"/>
    <n v="0"/>
    <n v="0.01"/>
    <n v="29"/>
    <n v="5.98"/>
    <n v="51.17"/>
    <n v="2025"/>
    <n v="5"/>
    <x v="2"/>
    <n v="2"/>
    <s v="02"/>
    <s v="202502"/>
    <s v="May-25"/>
    <n v="11892.58"/>
    <n v="11.892580000000001"/>
  </r>
  <r>
    <d v="2025-05-02T00:00:00"/>
    <s v="OPT-NIFTY-08-May-2025-24450-P-E-I"/>
    <s v="NSE"/>
    <s v="Buy"/>
    <n v="75"/>
    <n v="0"/>
    <n v="151.25"/>
    <n v="11343.75"/>
    <s v="#202505023700008095"/>
    <n v="0"/>
    <n v="4.03"/>
    <n v="1.26"/>
    <n v="0.01"/>
    <n v="29"/>
    <n v="5.94"/>
    <n v="40.24"/>
    <n v="2025"/>
    <n v="5"/>
    <x v="2"/>
    <n v="2"/>
    <s v="02"/>
    <s v="202502"/>
    <s v="May-25"/>
    <n v="-11383.99"/>
    <n v="-11.383989999999999"/>
  </r>
  <r>
    <d v="2025-05-02T00:00:00"/>
    <s v="OPT-NIFTY-08-May-2025-24450-C-E-I"/>
    <s v="NSE"/>
    <s v="Sell"/>
    <n v="150"/>
    <n v="0"/>
    <n v="227.25"/>
    <n v="34087.5"/>
    <s v="#202505023700002386"/>
    <n v="34.549999999999997"/>
    <n v="12.11"/>
    <n v="0"/>
    <n v="0.03"/>
    <n v="58"/>
    <n v="12.62"/>
    <n v="117.31"/>
    <n v="2025"/>
    <n v="5"/>
    <x v="2"/>
    <n v="2"/>
    <s v="02"/>
    <s v="202502"/>
    <s v="May-25"/>
    <n v="33970.19"/>
    <n v="33.970190000000002"/>
  </r>
  <r>
    <d v="2025-05-02T00:00:00"/>
    <s v="OPT-NIFTY-08-May-2025-24450-C-E-I"/>
    <s v="NSE"/>
    <s v="Buy"/>
    <n v="150"/>
    <n v="0"/>
    <n v="208.78"/>
    <n v="31316.25"/>
    <s v="#202505023700002229"/>
    <n v="0"/>
    <n v="11.12"/>
    <n v="0.94"/>
    <n v="0.04"/>
    <n v="58"/>
    <n v="12.44"/>
    <n v="82.54"/>
    <n v="2025"/>
    <n v="5"/>
    <x v="2"/>
    <n v="2"/>
    <s v="02"/>
    <s v="202502"/>
    <s v="May-25"/>
    <n v="-31398.79"/>
    <n v="-31.398790000000002"/>
  </r>
  <r>
    <d v="2025-05-07T00:00:00"/>
    <s v="OPT-NIFTY-08-May-2025-24300-C-E-I"/>
    <s v="NSE"/>
    <s v="Sell"/>
    <n v="150"/>
    <n v="0"/>
    <n v="103.45"/>
    <n v="15517.5"/>
    <s v="#202505073700009231"/>
    <n v="15.52"/>
    <n v="5.51"/>
    <n v="0"/>
    <n v="0.02"/>
    <n v="58"/>
    <n v="11.44"/>
    <n v="90.49"/>
    <n v="2025"/>
    <n v="5"/>
    <x v="2"/>
    <n v="2"/>
    <s v="02"/>
    <s v="202502"/>
    <s v="May-25"/>
    <n v="15427.01"/>
    <n v="15.427010000000001"/>
  </r>
  <r>
    <d v="2025-05-07T00:00:00"/>
    <s v="OPT-NIFTY-08-May-2025-24300-C-E-I"/>
    <s v="NSE"/>
    <s v="Buy"/>
    <n v="150"/>
    <n v="0"/>
    <n v="99.75"/>
    <n v="14962.5"/>
    <s v="#202505073700009114"/>
    <n v="0"/>
    <n v="5.32"/>
    <n v="0"/>
    <n v="0.01"/>
    <n v="58"/>
    <n v="11.4"/>
    <n v="74.73"/>
    <n v="2025"/>
    <n v="5"/>
    <x v="2"/>
    <n v="2"/>
    <s v="02"/>
    <s v="202502"/>
    <s v="May-25"/>
    <n v="-15037.23"/>
    <n v="-15.037229999999999"/>
  </r>
  <r>
    <d v="2025-05-07T00:00:00"/>
    <s v="OPT-NIFTY-08-May-2025-24300-C-E-I"/>
    <s v="NSE"/>
    <s v="Sell"/>
    <n v="150"/>
    <n v="0"/>
    <n v="91.4"/>
    <n v="13710"/>
    <s v="#202505073700009035"/>
    <n v="13.72"/>
    <n v="4.88"/>
    <n v="0"/>
    <n v="0.02"/>
    <n v="58"/>
    <n v="11.32"/>
    <n v="87.94"/>
    <n v="2025"/>
    <n v="5"/>
    <x v="2"/>
    <n v="2"/>
    <s v="02"/>
    <s v="202502"/>
    <s v="May-25"/>
    <n v="13622.06"/>
    <n v="13.622059999999999"/>
  </r>
  <r>
    <d v="2025-05-07T00:00:00"/>
    <s v="OPT-NIFTY-08-May-2025-24300-C-E-I"/>
    <s v="NSE"/>
    <s v="Buy"/>
    <n v="150"/>
    <n v="0"/>
    <n v="91.6"/>
    <n v="13740"/>
    <s v="#202505073700008527"/>
    <n v="0"/>
    <n v="4.88"/>
    <n v="1"/>
    <n v="0.01"/>
    <n v="58"/>
    <n v="11.32"/>
    <n v="75.209999999999994"/>
    <n v="2025"/>
    <n v="5"/>
    <x v="2"/>
    <n v="2"/>
    <s v="02"/>
    <s v="202502"/>
    <s v="May-25"/>
    <n v="-13815.21"/>
    <n v="-13.815209999999999"/>
  </r>
  <r>
    <d v="2025-05-07T00:00:00"/>
    <s v="OPT-NIFTY-08-May-2025-24300-C-E-I"/>
    <s v="NSE"/>
    <s v="Sell"/>
    <n v="150"/>
    <n v="0"/>
    <n v="78.05"/>
    <n v="11707.5"/>
    <s v="#202505073700008461"/>
    <n v="11.77"/>
    <n v="4.16"/>
    <n v="0"/>
    <n v="0.02"/>
    <n v="58"/>
    <n v="11.2"/>
    <n v="85.15"/>
    <n v="2025"/>
    <n v="5"/>
    <x v="2"/>
    <n v="2"/>
    <s v="02"/>
    <s v="202502"/>
    <s v="May-25"/>
    <n v="11622.35"/>
    <n v="11.622350000000001"/>
  </r>
  <r>
    <d v="2025-05-07T00:00:00"/>
    <s v="OPT-NIFTY-08-May-2025-24300-C-E-I"/>
    <s v="NSE"/>
    <s v="Buy"/>
    <n v="75"/>
    <n v="0"/>
    <n v="85.2"/>
    <n v="6390"/>
    <s v="#202505073700007600"/>
    <n v="0"/>
    <n v="2.27"/>
    <n v="0"/>
    <n v="0.01"/>
    <n v="29"/>
    <n v="5.64"/>
    <n v="36.92"/>
    <n v="2025"/>
    <n v="5"/>
    <x v="2"/>
    <n v="2"/>
    <s v="02"/>
    <s v="202502"/>
    <s v="May-25"/>
    <n v="-6426.92"/>
    <n v="-6.42692"/>
  </r>
  <r>
    <d v="2025-05-07T00:00:00"/>
    <s v="OPT-NIFTY-08-May-2025-24300-C-E-I"/>
    <s v="NSE"/>
    <s v="Buy"/>
    <n v="75"/>
    <n v="0"/>
    <n v="118"/>
    <n v="8850"/>
    <s v="#202505073700006263"/>
    <n v="0"/>
    <n v="3.14"/>
    <n v="0"/>
    <n v="0.01"/>
    <n v="29"/>
    <n v="5.78"/>
    <n v="37.93"/>
    <n v="2025"/>
    <n v="5"/>
    <x v="2"/>
    <n v="2"/>
    <s v="02"/>
    <s v="202502"/>
    <s v="May-25"/>
    <n v="-8887.93"/>
    <n v="-8.8879300000000008"/>
  </r>
  <r>
    <d v="2025-05-08T00:00:00"/>
    <s v="OPT-NIFTY-08-May-2025-24400-P-E-I"/>
    <s v="NSE"/>
    <s v="Sell"/>
    <n v="225"/>
    <n v="0"/>
    <n v="10.199999999999999"/>
    <n v="2295"/>
    <s v="#202505083700011713"/>
    <n v="2.2999999999999998"/>
    <n v="0.81"/>
    <n v="0"/>
    <n v="0"/>
    <n v="87"/>
    <n v="15.8"/>
    <n v="105.91"/>
    <n v="2025"/>
    <n v="5"/>
    <x v="2"/>
    <n v="2"/>
    <s v="02"/>
    <s v="202502"/>
    <s v="May-25"/>
    <n v="2189.09"/>
    <n v="2.1890900000000002"/>
  </r>
  <r>
    <d v="2025-05-08T00:00:00"/>
    <s v="OPT-NIFTY-08-May-2025-24400-P-E-I"/>
    <s v="NSE"/>
    <s v="Buy"/>
    <n v="225"/>
    <n v="0"/>
    <n v="11.65"/>
    <n v="2621.25"/>
    <s v="#202505083700011579"/>
    <n v="0"/>
    <n v="0.93"/>
    <n v="0"/>
    <n v="0"/>
    <n v="87"/>
    <n v="15.82"/>
    <n v="103.75"/>
    <n v="2025"/>
    <n v="5"/>
    <x v="2"/>
    <n v="2"/>
    <s v="02"/>
    <s v="202502"/>
    <s v="May-25"/>
    <n v="-2725"/>
    <n v="-2.7250000000000001"/>
  </r>
  <r>
    <d v="2025-05-08T00:00:00"/>
    <s v="OPT-NIFTY-08-May-2025-24400-P-E-I"/>
    <s v="NSE"/>
    <s v="Sell"/>
    <n v="300"/>
    <n v="0"/>
    <n v="11.35"/>
    <n v="3405"/>
    <s v="#202505083700010422"/>
    <n v="3.7"/>
    <n v="1.2"/>
    <n v="0"/>
    <n v="0"/>
    <n v="116"/>
    <n v="21.1"/>
    <n v="142"/>
    <n v="2025"/>
    <n v="5"/>
    <x v="2"/>
    <n v="2"/>
    <s v="02"/>
    <s v="202502"/>
    <s v="May-25"/>
    <n v="3263"/>
    <n v="3.2629999999999999"/>
  </r>
  <r>
    <d v="2025-05-08T00:00:00"/>
    <s v="OPT-NIFTY-08-May-2025-24400-P-E-I"/>
    <s v="NSE"/>
    <s v="Buy"/>
    <n v="75"/>
    <n v="0"/>
    <n v="16.350000000000001"/>
    <n v="1226.25"/>
    <s v="#202505083700009329"/>
    <n v="0"/>
    <n v="0.44"/>
    <n v="0"/>
    <n v="0"/>
    <n v="29"/>
    <n v="5.3"/>
    <n v="34.74"/>
    <n v="2025"/>
    <n v="5"/>
    <x v="2"/>
    <n v="2"/>
    <s v="02"/>
    <s v="202502"/>
    <s v="May-25"/>
    <n v="-1260.99"/>
    <n v="-1.2609900000000001"/>
  </r>
  <r>
    <d v="2025-05-08T00:00:00"/>
    <s v="OPT-NIFTY-08-May-2025-24400-P-E-I"/>
    <s v="NSE"/>
    <s v="Buy"/>
    <n v="75"/>
    <n v="0"/>
    <n v="24.85"/>
    <n v="1863.75"/>
    <s v="#202505083700007209"/>
    <n v="0"/>
    <n v="0.66"/>
    <n v="0"/>
    <n v="0"/>
    <n v="29"/>
    <n v="5.34"/>
    <n v="35"/>
    <n v="2025"/>
    <n v="5"/>
    <x v="2"/>
    <n v="2"/>
    <s v="02"/>
    <s v="202502"/>
    <s v="May-25"/>
    <n v="-1898.75"/>
    <n v="-1.8987499999999999"/>
  </r>
  <r>
    <d v="2025-05-08T00:00:00"/>
    <s v="OPT-NIFTY-08-May-2025-24400-P-E-I"/>
    <s v="NSE"/>
    <s v="Buy"/>
    <n v="150"/>
    <n v="0"/>
    <n v="37.450000000000003"/>
    <n v="5617.5"/>
    <s v="#202505083700006575"/>
    <n v="0"/>
    <n v="2"/>
    <n v="0"/>
    <n v="0.01"/>
    <n v="58"/>
    <n v="10.8"/>
    <n v="70.81"/>
    <n v="2025"/>
    <n v="5"/>
    <x v="2"/>
    <n v="2"/>
    <s v="02"/>
    <s v="202502"/>
    <s v="May-25"/>
    <n v="-5688.31"/>
    <n v="-5.6883100000000004"/>
  </r>
  <r>
    <d v="2025-05-15T00:00:00"/>
    <s v="OPT-NIFTY-15-May-2025-24650-P-E-I"/>
    <s v="NSE"/>
    <s v="Sell"/>
    <n v="750"/>
    <n v="0"/>
    <n v="16.25"/>
    <n v="12187.5"/>
    <s v="#202505153700021703"/>
    <n v="12.19"/>
    <n v="4.33"/>
    <n v="0"/>
    <n v="0.01"/>
    <n v="290"/>
    <n v="52.98"/>
    <n v="359.51"/>
    <n v="2025"/>
    <n v="5"/>
    <x v="2"/>
    <n v="2"/>
    <s v="02"/>
    <s v="202502"/>
    <s v="May-25"/>
    <n v="11827.99"/>
    <n v="11.82799"/>
  </r>
  <r>
    <d v="2025-05-15T00:00:00"/>
    <s v="OPT-NIFTY-15-May-2025-24650-P-E-I"/>
    <s v="NSE"/>
    <s v="Buy"/>
    <n v="750"/>
    <n v="0"/>
    <n v="21.25"/>
    <n v="15937.5"/>
    <s v="#202505153700020609"/>
    <n v="0"/>
    <n v="5.67"/>
    <n v="1.74"/>
    <n v="0.02"/>
    <n v="290"/>
    <n v="53.24"/>
    <n v="350.67"/>
    <n v="2025"/>
    <n v="5"/>
    <x v="2"/>
    <n v="2"/>
    <s v="02"/>
    <s v="202502"/>
    <s v="May-25"/>
    <n v="-16288.17"/>
    <n v="-16.288170000000001"/>
  </r>
  <r>
    <d v="2025-05-15T00:00:00"/>
    <s v="OPT-NIFTY-15-May-2025-24650-P-E-I"/>
    <s v="NSE"/>
    <s v="Sell"/>
    <n v="300"/>
    <n v="0"/>
    <n v="18.850000000000001"/>
    <n v="5655"/>
    <s v="#202505153700020206"/>
    <n v="5.65"/>
    <n v="2"/>
    <n v="0"/>
    <n v="0"/>
    <n v="116"/>
    <n v="21.26"/>
    <n v="144.91"/>
    <n v="2025"/>
    <n v="5"/>
    <x v="2"/>
    <n v="2"/>
    <s v="02"/>
    <s v="202502"/>
    <s v="May-25"/>
    <n v="5510.09"/>
    <n v="5.5100899999999999"/>
  </r>
  <r>
    <d v="2025-05-15T00:00:00"/>
    <s v="OPT-NIFTY-15-May-2025-24650-P-E-I"/>
    <s v="NSE"/>
    <s v="Buy"/>
    <n v="150"/>
    <n v="0"/>
    <n v="38.25"/>
    <n v="5737.5"/>
    <s v="#202505153700019566"/>
    <n v="0"/>
    <n v="2.04"/>
    <n v="0"/>
    <n v="0.01"/>
    <n v="58"/>
    <n v="10.8"/>
    <n v="70.849999999999994"/>
    <n v="2025"/>
    <n v="5"/>
    <x v="2"/>
    <n v="2"/>
    <s v="02"/>
    <s v="202502"/>
    <s v="May-25"/>
    <n v="-5808.35"/>
    <n v="-5.8083500000000008"/>
  </r>
  <r>
    <d v="2025-05-15T00:00:00"/>
    <s v="OPT-NIFTY-15-May-2025-24650-P-E-I"/>
    <s v="NSE"/>
    <s v="Buy"/>
    <n v="150"/>
    <n v="0"/>
    <n v="81"/>
    <n v="12150"/>
    <s v="#202505153700017843"/>
    <n v="0"/>
    <n v="4.32"/>
    <n v="0"/>
    <n v="0.01"/>
    <n v="58"/>
    <n v="11.22"/>
    <n v="73.55"/>
    <n v="2025"/>
    <n v="5"/>
    <x v="2"/>
    <n v="2"/>
    <s v="02"/>
    <s v="202502"/>
    <s v="May-25"/>
    <n v="-12223.55"/>
    <n v="-12.223549999999999"/>
  </r>
  <r>
    <d v="2025-05-15T00:00:00"/>
    <s v="OPT-NIFTY-15-May-2025-24650-P-E-I"/>
    <s v="NSE"/>
    <s v="Sell"/>
    <n v="150"/>
    <n v="0"/>
    <n v="95.25"/>
    <n v="14287.5"/>
    <s v="#202505153700016785"/>
    <n v="14.29"/>
    <n v="5.08"/>
    <n v="0"/>
    <n v="0.01"/>
    <n v="58"/>
    <n v="11.36"/>
    <n v="88.74"/>
    <n v="2025"/>
    <n v="5"/>
    <x v="2"/>
    <n v="2"/>
    <s v="02"/>
    <s v="202502"/>
    <s v="May-25"/>
    <n v="14198.76"/>
    <n v="14.19876"/>
  </r>
  <r>
    <d v="2025-05-15T00:00:00"/>
    <s v="OPT-NIFTY-15-May-2025-24650-P-E-I"/>
    <s v="NSE"/>
    <s v="Buy"/>
    <n v="75"/>
    <n v="0"/>
    <n v="73"/>
    <n v="5475"/>
    <s v="#202505153700016057"/>
    <n v="0"/>
    <n v="1.95"/>
    <n v="0"/>
    <n v="0.01"/>
    <n v="29"/>
    <n v="5.58"/>
    <n v="36.54"/>
    <n v="2025"/>
    <n v="5"/>
    <x v="2"/>
    <n v="2"/>
    <s v="02"/>
    <s v="202502"/>
    <s v="May-25"/>
    <n v="-5511.54"/>
    <n v="-5.5115400000000001"/>
  </r>
  <r>
    <d v="2025-05-15T00:00:00"/>
    <s v="OPT-NIFTY-15-May-2025-24650-P-E-I"/>
    <s v="NSE"/>
    <s v="Buy"/>
    <n v="75"/>
    <n v="0"/>
    <n v="99.2"/>
    <n v="7440"/>
    <s v="#202505153700015627"/>
    <n v="0"/>
    <n v="2.64"/>
    <n v="0"/>
    <n v="0.01"/>
    <n v="29"/>
    <n v="5.7"/>
    <n v="37.35"/>
    <n v="2025"/>
    <n v="5"/>
    <x v="2"/>
    <n v="2"/>
    <s v="02"/>
    <s v="202502"/>
    <s v="May-25"/>
    <n v="-7477.35"/>
    <n v="-7.4773500000000004"/>
  </r>
  <r>
    <d v="2025-05-15T00:00:00"/>
    <s v="OPT-NIFTY-15-May-2025-24550-C-E-I"/>
    <s v="NSE"/>
    <s v="Sell"/>
    <n v="75"/>
    <n v="0"/>
    <n v="131.5"/>
    <n v="9862.5"/>
    <s v="#202505153700014098"/>
    <n v="9.8699999999999992"/>
    <n v="3.5"/>
    <n v="0"/>
    <n v="0.01"/>
    <n v="29"/>
    <n v="5.86"/>
    <n v="48.24"/>
    <n v="2025"/>
    <n v="5"/>
    <x v="2"/>
    <n v="2"/>
    <s v="02"/>
    <s v="202502"/>
    <s v="May-25"/>
    <n v="9814.26"/>
    <n v="9.8142600000000009"/>
  </r>
  <r>
    <d v="2025-05-15T00:00:00"/>
    <s v="OPT-NIFTY-15-May-2025-24550-C-E-I"/>
    <s v="NSE"/>
    <s v="Buy"/>
    <n v="75"/>
    <n v="0"/>
    <n v="114.9"/>
    <n v="8617.5"/>
    <s v="#202505153700012471"/>
    <n v="0"/>
    <n v="3.06"/>
    <n v="0.26"/>
    <n v="0.01"/>
    <n v="29"/>
    <n v="5.78"/>
    <n v="38.11"/>
    <n v="2025"/>
    <n v="5"/>
    <x v="2"/>
    <n v="2"/>
    <s v="02"/>
    <s v="202502"/>
    <s v="May-25"/>
    <n v="-8655.61"/>
    <n v="-8.6556100000000011"/>
  </r>
  <r>
    <d v="2025-05-21T00:00:00"/>
    <s v="OPT-NIFTY-22-May-2025-24750-P-E-I"/>
    <s v="NSE"/>
    <s v="Sell"/>
    <n v="150"/>
    <n v="0"/>
    <n v="77.349999999999994"/>
    <n v="11602.5"/>
    <s v="#202505213700006174"/>
    <n v="12"/>
    <n v="4.12"/>
    <n v="0"/>
    <n v="0.01"/>
    <n v="58"/>
    <n v="11.18"/>
    <n v="85.31"/>
    <n v="2025"/>
    <n v="5"/>
    <x v="2"/>
    <n v="2"/>
    <s v="02"/>
    <s v="202502"/>
    <s v="May-25"/>
    <n v="11517.19"/>
    <n v="11.517190000000001"/>
  </r>
  <r>
    <d v="2025-05-21T00:00:00"/>
    <s v="OPT-NIFTY-22-May-2025-24750-P-E-I"/>
    <s v="NSE"/>
    <s v="Buy"/>
    <n v="150"/>
    <n v="0"/>
    <n v="125.6"/>
    <n v="18840"/>
    <s v="#202505213700000977"/>
    <n v="0"/>
    <n v="6.69"/>
    <n v="1"/>
    <n v="0.02"/>
    <n v="58"/>
    <n v="11.64"/>
    <n v="77.349999999999994"/>
    <n v="2025"/>
    <n v="5"/>
    <x v="2"/>
    <n v="2"/>
    <s v="02"/>
    <s v="202502"/>
    <s v="May-25"/>
    <n v="-18917.349999999999"/>
    <n v="-18.917349999999999"/>
  </r>
  <r>
    <d v="2025-05-23T00:00:00"/>
    <s v="OPT-NIFTY-29-May-2025-24050-P-E-I"/>
    <s v="NSE"/>
    <s v="Buy"/>
    <n v="75"/>
    <n v="0"/>
    <n v="24.65"/>
    <n v="1848.75"/>
    <s v="#202505233700005571"/>
    <n v="0"/>
    <n v="0.66"/>
    <n v="0"/>
    <n v="0"/>
    <n v="29"/>
    <n v="5.34"/>
    <n v="35"/>
    <n v="2025"/>
    <n v="5"/>
    <x v="2"/>
    <n v="2"/>
    <s v="02"/>
    <s v="202502"/>
    <s v="May-25"/>
    <n v="-1883.75"/>
    <n v="-1.88375"/>
  </r>
  <r>
    <d v="2025-05-29T00:00:00"/>
    <s v="OPT-NIFTY-29-May-2025-24750-C-E-I"/>
    <s v="NSE"/>
    <s v="Sell"/>
    <n v="150"/>
    <n v="0"/>
    <n v="29.25"/>
    <n v="4387.5"/>
    <s v="#202505293700021886"/>
    <n v="4.38"/>
    <n v="1.56"/>
    <n v="0"/>
    <n v="0"/>
    <n v="58"/>
    <n v="10.72"/>
    <n v="74.66"/>
    <n v="2025"/>
    <n v="5"/>
    <x v="2"/>
    <n v="2"/>
    <s v="02"/>
    <s v="202502"/>
    <s v="May-25"/>
    <n v="4312.84"/>
    <n v="4.3128400000000005"/>
  </r>
  <r>
    <d v="2025-05-29T00:00:00"/>
    <s v="OPT-NIFTY-29-May-2025-24750-C-E-I"/>
    <s v="NSE"/>
    <s v="Buy"/>
    <n v="150"/>
    <n v="0"/>
    <n v="28.15"/>
    <n v="4222.5"/>
    <s v="#202505293700021784"/>
    <n v="0"/>
    <n v="1.5"/>
    <n v="0"/>
    <n v="0"/>
    <n v="58"/>
    <n v="10.72"/>
    <n v="70.22"/>
    <n v="2025"/>
    <n v="5"/>
    <x v="2"/>
    <n v="2"/>
    <s v="02"/>
    <s v="202502"/>
    <s v="May-25"/>
    <n v="-4292.72"/>
    <n v="-4.2927200000000001"/>
  </r>
  <r>
    <d v="2025-05-29T00:00:00"/>
    <s v="OPT-NIFTY-29-May-2025-24050-P-E-I"/>
    <s v="NSE"/>
    <s v="Sell"/>
    <n v="75"/>
    <n v="0"/>
    <n v="1.5"/>
    <n v="112.5"/>
    <s v="#202505293700001341"/>
    <n v="0.61"/>
    <n v="0.04"/>
    <n v="0"/>
    <n v="0"/>
    <n v="29"/>
    <n v="5.22"/>
    <n v="34.869999999999997"/>
    <n v="2025"/>
    <n v="5"/>
    <x v="2"/>
    <n v="2"/>
    <s v="02"/>
    <s v="202502"/>
    <s v="May-25"/>
    <n v="77.63"/>
    <n v="7.7629999999999991E-2"/>
  </r>
  <r>
    <d v="2025-06-05T00:00:00"/>
    <s v="OPT-NIFTY-05-Jun-2025-24850-C-E-I"/>
    <s v="NSE"/>
    <s v="Sell"/>
    <n v="150"/>
    <n v="0"/>
    <n v="5"/>
    <n v="750"/>
    <s v="#202506053700024913"/>
    <n v="1"/>
    <n v="0.27"/>
    <n v="0"/>
    <n v="0"/>
    <n v="58"/>
    <n v="10.48"/>
    <n v="69.75"/>
    <n v="2025"/>
    <n v="6"/>
    <x v="2"/>
    <n v="3"/>
    <s v="03"/>
    <s v="202503"/>
    <s v="Jun-25"/>
    <n v="680.25"/>
    <n v="0.68025000000000002"/>
  </r>
  <r>
    <d v="2025-06-05T00:00:00"/>
    <s v="OPT-NIFTY-05-Jun-2025-24850-C-E-I"/>
    <s v="NSE"/>
    <s v="Buy"/>
    <n v="150"/>
    <n v="0"/>
    <n v="22"/>
    <n v="3300"/>
    <s v="#202506053700018371"/>
    <n v="0"/>
    <n v="1.17"/>
    <n v="0"/>
    <n v="0"/>
    <n v="58"/>
    <n v="10.66"/>
    <n v="69.83"/>
    <n v="2025"/>
    <n v="6"/>
    <x v="2"/>
    <n v="3"/>
    <s v="03"/>
    <s v="202503"/>
    <s v="Jun-25"/>
    <n v="-3369.83"/>
    <n v="-3.3698299999999999"/>
  </r>
  <r>
    <d v="2025-07-04T00:00:00"/>
    <s v="OPT-NIFTY-10-Jul-2025-25400-P-E-I"/>
    <s v="NSE"/>
    <s v="Sell"/>
    <n v="375"/>
    <n v="0"/>
    <n v="152.25"/>
    <n v="57093.75"/>
    <s v="#202507043700010841"/>
    <n v="56.97"/>
    <n v="20.28"/>
    <n v="0"/>
    <n v="0.05"/>
    <n v="145"/>
    <n v="29.76"/>
    <n v="252.06"/>
    <n v="2025"/>
    <n v="7"/>
    <x v="2"/>
    <n v="4"/>
    <s v="04"/>
    <s v="202504"/>
    <s v="Jul-25"/>
    <n v="56841.69"/>
    <n v="56.84169"/>
  </r>
  <r>
    <d v="2025-07-04T00:00:00"/>
    <s v="OPT-NIFTY-10-Jul-2025-25400-P-E-I"/>
    <s v="NSE"/>
    <s v="Buy"/>
    <n v="375"/>
    <n v="0"/>
    <n v="157.1"/>
    <n v="58912.5"/>
    <s v="#202507043700010716"/>
    <n v="0"/>
    <n v="20.94"/>
    <n v="3"/>
    <n v="0.06"/>
    <n v="145"/>
    <n v="29.88"/>
    <n v="198.88"/>
    <n v="2025"/>
    <n v="7"/>
    <x v="2"/>
    <n v="4"/>
    <s v="04"/>
    <s v="202504"/>
    <s v="Jul-25"/>
    <n v="-59111.38"/>
    <n v="-59.111379999999997"/>
  </r>
  <r>
    <d v="2025-07-04T00:00:00"/>
    <s v="OPT-NIFTY-10-Jul-2025-25400-P-E-I"/>
    <s v="NSE"/>
    <s v="Sell"/>
    <n v="300"/>
    <n v="0"/>
    <n v="153.44999999999999"/>
    <n v="46035"/>
    <s v="#202507043700010648"/>
    <n v="46.04"/>
    <n v="16.36"/>
    <n v="0"/>
    <n v="0.04"/>
    <n v="116"/>
    <n v="23.84"/>
    <n v="202.28"/>
    <n v="2025"/>
    <n v="7"/>
    <x v="2"/>
    <n v="4"/>
    <s v="04"/>
    <s v="202504"/>
    <s v="Jul-25"/>
    <n v="45832.72"/>
    <n v="45.832720000000002"/>
  </r>
  <r>
    <d v="2025-07-04T00:00:00"/>
    <s v="OPT-NIFTY-10-Jul-2025-25400-P-E-I"/>
    <s v="NSE"/>
    <s v="Buy"/>
    <n v="300"/>
    <n v="0"/>
    <n v="157.69999999999999"/>
    <n v="47310"/>
    <s v="#202507043700010535"/>
    <n v="0"/>
    <n v="16.8"/>
    <n v="0"/>
    <n v="0.04"/>
    <n v="116"/>
    <n v="23.92"/>
    <n v="156.76"/>
    <n v="2025"/>
    <n v="7"/>
    <x v="2"/>
    <n v="4"/>
    <s v="04"/>
    <s v="202504"/>
    <s v="Jul-25"/>
    <n v="-47466.76"/>
    <n v="-47.466760000000001"/>
  </r>
  <r>
    <d v="2025-08-12T00:00:00"/>
    <s v="OPT-NIFTY-14-Aug-2025-24700-C-E-I"/>
    <s v="NSE"/>
    <s v="Sell"/>
    <n v="450"/>
    <n v="0"/>
    <n v="59.65"/>
    <n v="26842.5"/>
    <s v="#202508123700012255"/>
    <n v="27"/>
    <n v="9.5399999999999991"/>
    <n v="0"/>
    <n v="0.02"/>
    <n v="174"/>
    <n v="33.04"/>
    <n v="243.6"/>
    <n v="2025"/>
    <n v="8"/>
    <x v="2"/>
    <n v="5"/>
    <s v="05"/>
    <s v="202505"/>
    <s v="Aug-25"/>
    <n v="26598.9"/>
    <n v="26.5989"/>
  </r>
  <r>
    <d v="2025-08-12T00:00:00"/>
    <s v="OPT-NIFTY-14-Aug-2025-24700-C-E-I"/>
    <s v="NSE"/>
    <s v="Buy"/>
    <n v="225"/>
    <n v="0"/>
    <n v="44.3"/>
    <n v="9967.5"/>
    <s v="#202508123700010646"/>
    <n v="0"/>
    <n v="3.54"/>
    <n v="0"/>
    <n v="0.01"/>
    <n v="87"/>
    <n v="16.3"/>
    <n v="106.85"/>
    <n v="2025"/>
    <n v="8"/>
    <x v="2"/>
    <n v="5"/>
    <s v="05"/>
    <s v="202505"/>
    <s v="Aug-25"/>
    <n v="-10074.35"/>
    <n v="-10.074350000000001"/>
  </r>
  <r>
    <d v="2025-08-12T00:00:00"/>
    <s v="OPT-NIFTY-14-Aug-2025-24700-C-E-I"/>
    <s v="NSE"/>
    <s v="Buy"/>
    <n v="150"/>
    <n v="0"/>
    <n v="66.05"/>
    <n v="9907.5"/>
    <s v="#202508123700006900"/>
    <n v="0"/>
    <n v="3.52"/>
    <n v="1"/>
    <n v="0.01"/>
    <n v="58"/>
    <n v="11.08"/>
    <n v="73.61"/>
    <n v="2025"/>
    <n v="8"/>
    <x v="2"/>
    <n v="5"/>
    <s v="05"/>
    <s v="202505"/>
    <s v="Aug-25"/>
    <n v="-9981.11"/>
    <n v="-9.981110000000001"/>
  </r>
  <r>
    <d v="2025-08-12T00:00:00"/>
    <s v="OPT-NIFTY-14-Aug-2025-24700-C-E-I"/>
    <s v="NSE"/>
    <s v="Buy"/>
    <n v="75"/>
    <n v="0"/>
    <n v="82.3"/>
    <n v="6172.5"/>
    <s v="#202508123700006526"/>
    <n v="0"/>
    <n v="2.19"/>
    <n v="0"/>
    <n v="0.01"/>
    <n v="29"/>
    <n v="5.62"/>
    <n v="36.82"/>
    <n v="2025"/>
    <n v="8"/>
    <x v="2"/>
    <n v="5"/>
    <s v="05"/>
    <s v="202505"/>
    <s v="Aug-25"/>
    <n v="-6209.32"/>
    <n v="-6.20932"/>
  </r>
  <r>
    <d v="2025-08-21T00:00:00"/>
    <s v="OPT-NIFTY-21-Aug-2025-25150-C-E-I"/>
    <s v="NSE"/>
    <s v="Sell"/>
    <n v="900"/>
    <n v="0"/>
    <n v="4.1500000000000004"/>
    <n v="3735"/>
    <s v="#202508213700018813"/>
    <n v="3.73"/>
    <n v="1.33"/>
    <n v="0"/>
    <n v="0"/>
    <n v="348"/>
    <n v="62.88"/>
    <n v="415.94"/>
    <n v="2025"/>
    <n v="8"/>
    <x v="2"/>
    <n v="5"/>
    <s v="05"/>
    <s v="202505"/>
    <s v="Aug-25"/>
    <n v="3319.06"/>
    <n v="3.3190599999999999"/>
  </r>
  <r>
    <d v="2025-08-21T00:00:00"/>
    <s v="OPT-NIFTY-21-Aug-2025-25150-C-E-I"/>
    <s v="NSE"/>
    <s v="Sell"/>
    <n v="1500"/>
    <n v="0"/>
    <n v="3.8"/>
    <n v="5700"/>
    <s v="#202508213700018369"/>
    <n v="5.72"/>
    <n v="2.02"/>
    <n v="0"/>
    <n v="0"/>
    <n v="580"/>
    <n v="104.76"/>
    <n v="692.5"/>
    <n v="2025"/>
    <n v="8"/>
    <x v="2"/>
    <n v="5"/>
    <s v="05"/>
    <s v="202505"/>
    <s v="Aug-25"/>
    <n v="5007.5"/>
    <n v="5.0075000000000003"/>
  </r>
  <r>
    <d v="2025-08-21T00:00:00"/>
    <s v="OPT-NIFTY-21-Aug-2025-25150-C-E-I"/>
    <s v="NSE"/>
    <s v="Sell"/>
    <n v="450"/>
    <n v="0"/>
    <n v="3.8"/>
    <n v="1710"/>
    <s v="#202508213700018285"/>
    <n v="1.71"/>
    <n v="0.61"/>
    <n v="0"/>
    <n v="0"/>
    <n v="174"/>
    <n v="31.42"/>
    <n v="207.74"/>
    <n v="2025"/>
    <n v="8"/>
    <x v="2"/>
    <n v="5"/>
    <s v="05"/>
    <s v="202505"/>
    <s v="Aug-25"/>
    <n v="1502.26"/>
    <n v="1.5022599999999999"/>
  </r>
  <r>
    <d v="2025-08-21T00:00:00"/>
    <s v="OPT-NIFTY-21-Aug-2025-25150-C-E-I"/>
    <s v="NSE"/>
    <s v="Sell"/>
    <n v="150"/>
    <n v="0"/>
    <n v="12.05"/>
    <n v="1807.5"/>
    <s v="#202508213700016581"/>
    <n v="1.86"/>
    <n v="0.64"/>
    <n v="0"/>
    <n v="0"/>
    <n v="58"/>
    <n v="10.56"/>
    <n v="71.06"/>
    <n v="2025"/>
    <n v="8"/>
    <x v="2"/>
    <n v="5"/>
    <s v="05"/>
    <s v="202505"/>
    <s v="Aug-25"/>
    <n v="1736.44"/>
    <n v="1.73644"/>
  </r>
  <r>
    <d v="2025-08-21T00:00:00"/>
    <s v="OPT-NIFTY-21-Aug-2025-25150-C-E-I"/>
    <s v="NSE"/>
    <s v="Buy"/>
    <n v="1500"/>
    <n v="0"/>
    <n v="9.9"/>
    <n v="14850"/>
    <s v="#202508213700016277"/>
    <n v="0"/>
    <n v="5.28"/>
    <n v="1"/>
    <n v="0.01"/>
    <n v="580"/>
    <n v="105.36"/>
    <n v="691.65"/>
    <n v="2025"/>
    <n v="8"/>
    <x v="2"/>
    <n v="5"/>
    <s v="05"/>
    <s v="202505"/>
    <s v="Aug-25"/>
    <n v="-15541.65"/>
    <n v="-15.541649999999999"/>
  </r>
  <r>
    <d v="2025-08-21T00:00:00"/>
    <s v="OPT-NIFTY-21-Aug-2025-25150-C-E-I"/>
    <s v="NSE"/>
    <s v="Buy"/>
    <n v="750"/>
    <n v="0"/>
    <n v="14.69"/>
    <n v="11017.5"/>
    <s v="#202508213700015714"/>
    <n v="0"/>
    <n v="3.91"/>
    <n v="0"/>
    <n v="0.01"/>
    <n v="290"/>
    <n v="52.92"/>
    <n v="346.84"/>
    <n v="2025"/>
    <n v="8"/>
    <x v="2"/>
    <n v="5"/>
    <s v="05"/>
    <s v="202505"/>
    <s v="Aug-25"/>
    <n v="-11364.34"/>
    <n v="-11.36434"/>
  </r>
  <r>
    <d v="2025-08-21T00:00:00"/>
    <s v="OPT-NIFTY-21-Aug-2025-25150-C-E-I"/>
    <s v="NSE"/>
    <s v="Buy"/>
    <n v="750"/>
    <n v="0"/>
    <n v="13.45"/>
    <n v="10087.5"/>
    <s v="#202508213700015673"/>
    <n v="0"/>
    <n v="3.58"/>
    <n v="0"/>
    <n v="0.01"/>
    <n v="290"/>
    <n v="52.84"/>
    <n v="346.43"/>
    <n v="2025"/>
    <n v="8"/>
    <x v="2"/>
    <n v="5"/>
    <s v="05"/>
    <s v="202505"/>
    <s v="Aug-25"/>
    <n v="-10433.93"/>
    <n v="-10.43393"/>
  </r>
  <r>
    <d v="2025-08-28T00:00:00"/>
    <s v="OPT-NIFTY-28-Aug-2025-24500-P-E-I"/>
    <s v="NSE"/>
    <s v="Sell"/>
    <n v="1200"/>
    <n v="0"/>
    <n v="17.649999999999999"/>
    <n v="21180"/>
    <s v="#202508283700020082"/>
    <n v="21.55"/>
    <n v="7.53"/>
    <n v="0"/>
    <n v="0.02"/>
    <n v="464"/>
    <n v="84.88"/>
    <n v="577.98"/>
    <n v="2025"/>
    <n v="8"/>
    <x v="2"/>
    <n v="5"/>
    <s v="05"/>
    <s v="202505"/>
    <s v="Aug-25"/>
    <n v="20602.02"/>
    <n v="20.60202"/>
  </r>
  <r>
    <d v="2025-08-28T00:00:00"/>
    <s v="OPT-NIFTY-28-Aug-2025-24500-P-E-I"/>
    <s v="NSE"/>
    <s v="Buy"/>
    <n v="600"/>
    <n v="0"/>
    <n v="8.25"/>
    <n v="4950"/>
    <s v="#202508283700019428"/>
    <n v="0"/>
    <n v="1.76"/>
    <n v="0.32"/>
    <n v="0"/>
    <n v="232"/>
    <n v="42.08"/>
    <n v="276.16000000000003"/>
    <n v="2025"/>
    <n v="8"/>
    <x v="2"/>
    <n v="5"/>
    <s v="05"/>
    <s v="202505"/>
    <s v="Aug-25"/>
    <n v="-5226.16"/>
    <n v="-5.2261600000000001"/>
  </r>
  <r>
    <d v="2025-08-28T00:00:00"/>
    <s v="OPT-NIFTY-28-Aug-2025-24500-P-E-I"/>
    <s v="NSE"/>
    <s v="Buy"/>
    <n v="600"/>
    <n v="0"/>
    <n v="9.6"/>
    <n v="5760"/>
    <s v="#202508283700018912"/>
    <n v="0"/>
    <n v="2.0499999999999998"/>
    <n v="0"/>
    <n v="0"/>
    <n v="232"/>
    <n v="42.12"/>
    <n v="276.17"/>
    <n v="2025"/>
    <n v="8"/>
    <x v="2"/>
    <n v="5"/>
    <s v="05"/>
    <s v="202505"/>
    <s v="Aug-25"/>
    <n v="-6036.17"/>
    <n v="-6.0361700000000003"/>
  </r>
  <r>
    <d v="2025-08-28T00:00:00"/>
    <s v="OPT-NIFTY-28-Aug-2025-24550-C-E-I"/>
    <s v="NSE"/>
    <s v="Sell"/>
    <n v="675"/>
    <n v="0"/>
    <n v="49.55"/>
    <n v="33446.25"/>
    <s v="#202508283700005256"/>
    <n v="33.450000000000003"/>
    <n v="11.88"/>
    <n v="0"/>
    <n v="0.03"/>
    <n v="261"/>
    <n v="49.14"/>
    <n v="355.5"/>
    <n v="2025"/>
    <n v="8"/>
    <x v="2"/>
    <n v="5"/>
    <s v="05"/>
    <s v="202505"/>
    <s v="Aug-25"/>
    <n v="33090.75"/>
    <n v="33.09075"/>
  </r>
  <r>
    <d v="2025-08-28T00:00:00"/>
    <s v="OPT-NIFTY-28-Aug-2025-24550-C-E-I"/>
    <s v="NSE"/>
    <s v="Buy"/>
    <n v="675"/>
    <n v="0"/>
    <n v="40.07"/>
    <n v="27048.75"/>
    <s v="#202508283700004752"/>
    <n v="0"/>
    <n v="9.6199999999999992"/>
    <n v="0.68"/>
    <n v="0.01"/>
    <n v="261"/>
    <n v="48.76"/>
    <n v="320.07"/>
    <n v="2025"/>
    <n v="8"/>
    <x v="2"/>
    <n v="5"/>
    <s v="05"/>
    <s v="202505"/>
    <s v="Aug-25"/>
    <n v="-27368.82"/>
    <n v="-27.368819999999999"/>
  </r>
  <r>
    <d v="2025-09-02T00:00:00"/>
    <s v="OPT-NIFTY-02-Sep-2025-24700-P-E-I"/>
    <s v="NSE"/>
    <s v="Sell"/>
    <n v="750"/>
    <n v="0"/>
    <n v="40.25"/>
    <n v="30187.5"/>
    <s v="#202509023700019020"/>
    <n v="30"/>
    <n v="10.73"/>
    <n v="0"/>
    <n v="0.03"/>
    <n v="290"/>
    <n v="54.14"/>
    <n v="384.9"/>
    <n v="2025"/>
    <n v="9"/>
    <x v="2"/>
    <n v="6"/>
    <s v="06"/>
    <s v="202506"/>
    <s v="Sep-25"/>
    <n v="29802.6"/>
    <n v="29.802599999999998"/>
  </r>
  <r>
    <d v="2025-09-02T00:00:00"/>
    <s v="OPT-NIFTY-02-Sep-2025-24700-P-E-I"/>
    <s v="NSE"/>
    <s v="Buy"/>
    <n v="375"/>
    <n v="0"/>
    <n v="24.25"/>
    <n v="9093.75"/>
    <s v="#202509023700018759"/>
    <n v="0"/>
    <n v="3.23"/>
    <n v="1"/>
    <n v="0.01"/>
    <n v="145"/>
    <n v="26.68"/>
    <n v="175.92"/>
    <n v="2025"/>
    <n v="9"/>
    <x v="2"/>
    <n v="6"/>
    <s v="06"/>
    <s v="202506"/>
    <s v="Sep-25"/>
    <n v="-9269.67"/>
    <n v="-9.2696699999999996"/>
  </r>
  <r>
    <d v="2025-09-02T00:00:00"/>
    <s v="OPT-NIFTY-02-Sep-2025-24700-P-E-I"/>
    <s v="NSE"/>
    <s v="Buy"/>
    <n v="375"/>
    <n v="0"/>
    <n v="24.5"/>
    <n v="9187.5"/>
    <s v="#202509023700018665"/>
    <n v="0"/>
    <n v="3.26"/>
    <n v="0"/>
    <n v="0.01"/>
    <n v="145"/>
    <n v="26.7"/>
    <n v="174.97"/>
    <n v="2025"/>
    <n v="9"/>
    <x v="2"/>
    <n v="6"/>
    <s v="06"/>
    <s v="202506"/>
    <s v="Sep-25"/>
    <n v="-9362.4699999999993"/>
    <n v="-9.3624700000000001"/>
  </r>
  <r>
    <d v="2025-09-03T00:00:00"/>
    <s v="OPT-NIFTY-09-Sep-2025-24650-P-E-I"/>
    <s v="NSE"/>
    <s v="Sell"/>
    <n v="375"/>
    <n v="0"/>
    <n v="94.8"/>
    <n v="35550"/>
    <s v="#202509033700015732"/>
    <n v="35.69"/>
    <n v="12.63"/>
    <n v="0"/>
    <n v="0.03"/>
    <n v="145"/>
    <n v="28.4"/>
    <n v="221.75"/>
    <n v="2025"/>
    <n v="9"/>
    <x v="2"/>
    <n v="6"/>
    <s v="06"/>
    <s v="202506"/>
    <s v="Sep-25"/>
    <n v="35328.25"/>
    <n v="35.328249999999997"/>
  </r>
  <r>
    <d v="2025-09-03T00:00:00"/>
    <s v="OPT-NIFTY-09-Sep-2025-24650-P-E-I"/>
    <s v="NSE"/>
    <s v="Buy"/>
    <n v="375"/>
    <n v="0"/>
    <n v="97.15"/>
    <n v="36431.25"/>
    <s v="#202509033700015506"/>
    <n v="0"/>
    <n v="12.95"/>
    <n v="3"/>
    <n v="0.04"/>
    <n v="145"/>
    <n v="28.44"/>
    <n v="189.43"/>
    <n v="2025"/>
    <n v="9"/>
    <x v="2"/>
    <n v="6"/>
    <s v="06"/>
    <s v="202506"/>
    <s v="Sep-25"/>
    <n v="-36620.68"/>
    <n v="-36.62068"/>
  </r>
  <r>
    <d v="2025-09-03T00:00:00"/>
    <s v="OPT-NIFTY-09-Sep-2025-24650-P-E-I"/>
    <s v="NSE"/>
    <s v="Sell"/>
    <n v="300"/>
    <n v="0"/>
    <n v="94.33"/>
    <n v="28297.5"/>
    <s v="#202509033700014916"/>
    <n v="28.3"/>
    <n v="10.06"/>
    <n v="0"/>
    <n v="0.02"/>
    <n v="116"/>
    <n v="22.68"/>
    <n v="177.06"/>
    <n v="2025"/>
    <n v="9"/>
    <x v="2"/>
    <n v="6"/>
    <s v="06"/>
    <s v="202506"/>
    <s v="Sep-25"/>
    <n v="28120.44"/>
    <n v="28.120439999999999"/>
  </r>
  <r>
    <d v="2025-09-03T00:00:00"/>
    <s v="OPT-NIFTY-09-Sep-2025-24650-P-E-I"/>
    <s v="NSE"/>
    <s v="Buy"/>
    <n v="300"/>
    <n v="0"/>
    <n v="97.45"/>
    <n v="29235"/>
    <s v="#202509033700014826"/>
    <n v="0"/>
    <n v="10.38"/>
    <n v="0"/>
    <n v="0.02"/>
    <n v="116"/>
    <n v="22.76"/>
    <n v="149.16"/>
    <n v="2025"/>
    <n v="9"/>
    <x v="2"/>
    <n v="6"/>
    <s v="06"/>
    <s v="202506"/>
    <s v="Sep-25"/>
    <n v="-29384.16"/>
    <n v="-29.384160000000001"/>
  </r>
  <r>
    <d v="2025-09-03T00:00:00"/>
    <s v="OPT-NIFTY-09-Sep-2025-24650-P-E-I"/>
    <s v="NSE"/>
    <s v="Sell"/>
    <n v="300"/>
    <n v="0"/>
    <n v="94.6"/>
    <n v="28380"/>
    <s v="#202509033700014620"/>
    <n v="28.39"/>
    <n v="10.08"/>
    <n v="0"/>
    <n v="0.03"/>
    <n v="116"/>
    <n v="22.7"/>
    <n v="177.2"/>
    <n v="2025"/>
    <n v="9"/>
    <x v="2"/>
    <n v="6"/>
    <s v="06"/>
    <s v="202506"/>
    <s v="Sep-25"/>
    <n v="28202.799999999999"/>
    <n v="28.2028"/>
  </r>
  <r>
    <d v="2025-09-03T00:00:00"/>
    <s v="OPT-NIFTY-09-Sep-2025-24650-P-E-I"/>
    <s v="NSE"/>
    <s v="Buy"/>
    <n v="300"/>
    <n v="0"/>
    <n v="97.55"/>
    <n v="29265"/>
    <s v="#202509033700014568"/>
    <n v="0"/>
    <n v="10.4"/>
    <n v="0"/>
    <n v="0.04"/>
    <n v="116"/>
    <n v="22.72"/>
    <n v="149.16"/>
    <n v="2025"/>
    <n v="9"/>
    <x v="2"/>
    <n v="6"/>
    <s v="06"/>
    <s v="202506"/>
    <s v="Sep-25"/>
    <n v="-29414.16"/>
    <n v="-29.414159999999999"/>
  </r>
  <r>
    <d v="2025-09-03T00:00:00"/>
    <s v="OPT-NIFTY-09-Sep-2025-24650-P-E-I"/>
    <s v="NSE"/>
    <s v="Sell"/>
    <n v="150"/>
    <n v="0"/>
    <n v="97.58"/>
    <n v="14636.25"/>
    <s v="#202509033700014210"/>
    <n v="14.64"/>
    <n v="5.2"/>
    <n v="0"/>
    <n v="0.02"/>
    <n v="58"/>
    <n v="11.36"/>
    <n v="89.22"/>
    <n v="2025"/>
    <n v="9"/>
    <x v="2"/>
    <n v="6"/>
    <s v="06"/>
    <s v="202506"/>
    <s v="Sep-25"/>
    <n v="14547.03"/>
    <n v="14.547030000000001"/>
  </r>
  <r>
    <d v="2025-09-03T00:00:00"/>
    <s v="OPT-NIFTY-09-Sep-2025-24650-P-E-I"/>
    <s v="NSE"/>
    <s v="Buy"/>
    <n v="75"/>
    <n v="0"/>
    <n v="101.8"/>
    <n v="7635"/>
    <s v="#202509033700014113"/>
    <n v="0"/>
    <n v="2.71"/>
    <n v="0"/>
    <n v="0.01"/>
    <n v="29"/>
    <n v="5.7"/>
    <n v="37.42"/>
    <n v="2025"/>
    <n v="9"/>
    <x v="2"/>
    <n v="6"/>
    <s v="06"/>
    <s v="202506"/>
    <s v="Sep-25"/>
    <n v="-7672.42"/>
    <n v="-7.6724199999999998"/>
  </r>
  <r>
    <d v="2025-09-03T00:00:00"/>
    <s v="OPT-NIFTY-09-Sep-2025-24650-P-E-I"/>
    <s v="NSE"/>
    <s v="Buy"/>
    <n v="75"/>
    <n v="0"/>
    <n v="102.65"/>
    <n v="7698.75"/>
    <s v="#202509033700014091"/>
    <n v="0"/>
    <n v="2.74"/>
    <n v="0"/>
    <n v="0.01"/>
    <n v="29"/>
    <n v="5.72"/>
    <n v="37.47"/>
    <n v="2025"/>
    <n v="9"/>
    <x v="2"/>
    <n v="6"/>
    <s v="06"/>
    <s v="202506"/>
    <s v="Sep-25"/>
    <n v="-7736.22"/>
    <n v="-7.7362200000000003"/>
  </r>
  <r>
    <d v="2025-09-04T00:00:00"/>
    <s v="OPT-NIFTY-09-Sep-2025-24700-P-E-I"/>
    <s v="NSE"/>
    <s v="Sell"/>
    <n v="900"/>
    <n v="0"/>
    <n v="63.25"/>
    <n v="56925"/>
    <s v="#202509043700015846"/>
    <n v="56.93"/>
    <n v="20.23"/>
    <n v="0"/>
    <n v="0.05"/>
    <n v="348"/>
    <n v="66.28"/>
    <n v="491.49"/>
    <n v="2025"/>
    <n v="9"/>
    <x v="2"/>
    <n v="6"/>
    <s v="06"/>
    <s v="202506"/>
    <s v="Sep-25"/>
    <n v="56433.51"/>
    <n v="56.433510000000005"/>
  </r>
  <r>
    <d v="2025-09-04T00:00:00"/>
    <s v="OPT-NIFTY-09-Sep-2025-24700-P-E-I"/>
    <s v="NSE"/>
    <s v="Buy"/>
    <n v="450"/>
    <n v="0"/>
    <n v="49.05"/>
    <n v="22072.5"/>
    <s v="#202509043700014255"/>
    <n v="0"/>
    <n v="7.84"/>
    <n v="1.08"/>
    <n v="0.02"/>
    <n v="174"/>
    <n v="32.74"/>
    <n v="215.68"/>
    <n v="2025"/>
    <n v="9"/>
    <x v="2"/>
    <n v="6"/>
    <s v="06"/>
    <s v="202506"/>
    <s v="Sep-25"/>
    <n v="-22288.18"/>
    <n v="-22.288180000000001"/>
  </r>
  <r>
    <d v="2025-09-04T00:00:00"/>
    <s v="OPT-NIFTY-09-Sep-2025-24700-P-E-I"/>
    <s v="NSE"/>
    <s v="Buy"/>
    <n v="450"/>
    <n v="0"/>
    <n v="52.35"/>
    <n v="23557.5"/>
    <s v="#202509043700014101"/>
    <n v="0"/>
    <n v="8.35"/>
    <n v="0"/>
    <n v="0.01"/>
    <n v="174"/>
    <n v="32.86"/>
    <n v="215.22"/>
    <n v="2025"/>
    <n v="9"/>
    <x v="2"/>
    <n v="6"/>
    <s v="06"/>
    <s v="202506"/>
    <s v="Sep-25"/>
    <n v="-23772.720000000001"/>
    <n v="-23.77272"/>
  </r>
  <r>
    <d v="2025-09-04T00:00:00"/>
    <s v="OPT-NIFTY-09-Sep-2025-24650-P-E-I"/>
    <s v="NSE"/>
    <s v="Sell"/>
    <n v="750"/>
    <n v="0"/>
    <n v="39.950000000000003"/>
    <n v="29962.5"/>
    <s v="#202509043700011561"/>
    <n v="30.08"/>
    <n v="10.64"/>
    <n v="0"/>
    <n v="0.03"/>
    <n v="290"/>
    <n v="54.14"/>
    <n v="384.89"/>
    <n v="2025"/>
    <n v="9"/>
    <x v="2"/>
    <n v="6"/>
    <s v="06"/>
    <s v="202506"/>
    <s v="Sep-25"/>
    <n v="29577.61"/>
    <n v="29.57761"/>
  </r>
  <r>
    <d v="2025-09-04T00:00:00"/>
    <s v="OPT-NIFTY-09-Sep-2025-24650-P-E-I"/>
    <s v="NSE"/>
    <s v="Buy"/>
    <n v="375"/>
    <n v="0"/>
    <n v="40.450000000000003"/>
    <n v="15168.75"/>
    <s v="#202509043700011524"/>
    <n v="0"/>
    <n v="5.39"/>
    <n v="0.92"/>
    <n v="0.01"/>
    <n v="145"/>
    <n v="27.08"/>
    <n v="178.4"/>
    <n v="2025"/>
    <n v="9"/>
    <x v="2"/>
    <n v="6"/>
    <s v="06"/>
    <s v="202506"/>
    <s v="Sep-25"/>
    <n v="-15347.15"/>
    <n v="-15.347149999999999"/>
  </r>
  <r>
    <d v="2025-09-04T00:00:00"/>
    <s v="OPT-NIFTY-09-Sep-2025-24650-P-E-I"/>
    <s v="NSE"/>
    <s v="Buy"/>
    <n v="225"/>
    <n v="0"/>
    <n v="41.55"/>
    <n v="9348.75"/>
    <s v="#202509043700011379"/>
    <n v="0"/>
    <n v="3.32"/>
    <n v="0"/>
    <n v="0.01"/>
    <n v="87"/>
    <n v="16.260000000000002"/>
    <n v="106.59"/>
    <n v="2025"/>
    <n v="9"/>
    <x v="2"/>
    <n v="6"/>
    <s v="06"/>
    <s v="202506"/>
    <s v="Sep-25"/>
    <n v="-9455.34"/>
    <n v="-9.4553399999999996"/>
  </r>
  <r>
    <d v="2025-09-04T00:00:00"/>
    <s v="OPT-NIFTY-09-Sep-2025-24650-P-E-I"/>
    <s v="NSE"/>
    <s v="Buy"/>
    <n v="150"/>
    <n v="0"/>
    <n v="41"/>
    <n v="6150"/>
    <s v="#202509043700011274"/>
    <n v="0"/>
    <n v="2.19"/>
    <n v="0"/>
    <n v="0.01"/>
    <n v="58"/>
    <n v="10.84"/>
    <n v="71.040000000000006"/>
    <n v="2025"/>
    <n v="9"/>
    <x v="2"/>
    <n v="6"/>
    <s v="06"/>
    <s v="202506"/>
    <s v="Sep-25"/>
    <n v="-6221.04"/>
    <n v="-6.2210400000000003"/>
  </r>
  <r>
    <d v="2025-09-05T00:00:00"/>
    <s v="OPT-NIFTY-09-Sep-2025-24700-C-E-I"/>
    <s v="NSE"/>
    <s v="Sell"/>
    <n v="150"/>
    <n v="0"/>
    <n v="139.25"/>
    <n v="20887.5"/>
    <s v="#202509053700018058"/>
    <n v="20.89"/>
    <n v="7.42"/>
    <n v="0"/>
    <n v="0.02"/>
    <n v="58"/>
    <n v="11.78"/>
    <n v="98.11"/>
    <n v="2025"/>
    <n v="9"/>
    <x v="2"/>
    <n v="6"/>
    <s v="06"/>
    <s v="202506"/>
    <s v="Sep-25"/>
    <n v="20789.39"/>
    <n v="20.789390000000001"/>
  </r>
  <r>
    <d v="2025-09-05T00:00:00"/>
    <s v="OPT-NIFTY-09-Sep-2025-24700-C-E-I"/>
    <s v="NSE"/>
    <s v="Buy"/>
    <n v="150"/>
    <n v="0"/>
    <n v="132.19999999999999"/>
    <n v="19830"/>
    <s v="#202509053700017968"/>
    <n v="0"/>
    <n v="7.04"/>
    <n v="0.59"/>
    <n v="0.02"/>
    <n v="58"/>
    <n v="11.72"/>
    <n v="77.37"/>
    <n v="2025"/>
    <n v="9"/>
    <x v="2"/>
    <n v="6"/>
    <s v="06"/>
    <s v="202506"/>
    <s v="Sep-25"/>
    <n v="-19907.37"/>
    <n v="-19.90737"/>
  </r>
  <r>
    <d v="2025-09-05T00:00:00"/>
    <s v="OPT-NIFTY-09-Sep-2025-24650-P-E-I"/>
    <s v="NSE"/>
    <s v="Sell"/>
    <n v="975"/>
    <n v="0"/>
    <n v="69.45"/>
    <n v="67713.75"/>
    <s v="#202509053700011778"/>
    <n v="68.12"/>
    <n v="24.05"/>
    <n v="0"/>
    <n v="7.0000000000000007E-2"/>
    <n v="377"/>
    <n v="72.2"/>
    <n v="541.44000000000005"/>
    <n v="2025"/>
    <n v="9"/>
    <x v="2"/>
    <n v="6"/>
    <s v="06"/>
    <s v="202506"/>
    <s v="Sep-25"/>
    <n v="67172.31"/>
    <n v="67.172309999999996"/>
  </r>
  <r>
    <d v="2025-09-05T00:00:00"/>
    <s v="OPT-NIFTY-09-Sep-2025-24650-P-E-I"/>
    <s v="NSE"/>
    <s v="Buy"/>
    <n v="225"/>
    <n v="0"/>
    <n v="60.9"/>
    <n v="13702.5"/>
    <s v="#202509053700011699"/>
    <n v="0"/>
    <n v="4.87"/>
    <n v="0"/>
    <n v="0.01"/>
    <n v="87"/>
    <n v="16.54"/>
    <n v="108.42"/>
    <n v="2025"/>
    <n v="9"/>
    <x v="2"/>
    <n v="6"/>
    <s v="06"/>
    <s v="202506"/>
    <s v="Sep-25"/>
    <n v="-13810.92"/>
    <n v="-13.810919999999999"/>
  </r>
  <r>
    <d v="2025-09-05T00:00:00"/>
    <s v="OPT-NIFTY-09-Sep-2025-24650-P-E-I"/>
    <s v="NSE"/>
    <s v="Buy"/>
    <n v="300"/>
    <n v="0"/>
    <n v="63.8"/>
    <n v="19140"/>
    <s v="#202509053700011568"/>
    <n v="0"/>
    <n v="6.8"/>
    <n v="0"/>
    <n v="0"/>
    <n v="116"/>
    <n v="22.08"/>
    <n v="144.88"/>
    <n v="2025"/>
    <n v="9"/>
    <x v="2"/>
    <n v="6"/>
    <s v="06"/>
    <s v="202506"/>
    <s v="Sep-25"/>
    <n v="-19284.88"/>
    <n v="-19.284880000000001"/>
  </r>
  <r>
    <d v="2025-09-05T00:00:00"/>
    <s v="OPT-NIFTY-09-Sep-2025-24650-P-E-I"/>
    <s v="NSE"/>
    <s v="Buy"/>
    <n v="450"/>
    <n v="0"/>
    <n v="68.3"/>
    <n v="30735"/>
    <s v="#202509053700010806"/>
    <n v="0"/>
    <n v="10.92"/>
    <n v="2.41"/>
    <n v="0.04"/>
    <n v="174"/>
    <n v="33.28"/>
    <n v="220.65"/>
    <n v="2025"/>
    <n v="9"/>
    <x v="2"/>
    <n v="6"/>
    <s v="06"/>
    <s v="202506"/>
    <s v="Sep-25"/>
    <n v="-30955.65"/>
    <n v="-30.955650000000002"/>
  </r>
  <r>
    <d v="2025-09-08T00:00:00"/>
    <s v="OPT-NIFTY-09-Sep-2025-24750-P-E-I"/>
    <s v="NSE"/>
    <s v="Sell"/>
    <n v="975"/>
    <n v="0"/>
    <n v="18.25"/>
    <n v="17793.75"/>
    <s v="#202509083700033845"/>
    <n v="17.809999999999999"/>
    <n v="6.33"/>
    <n v="0"/>
    <n v="0.02"/>
    <n v="377"/>
    <n v="69.02"/>
    <n v="470.18"/>
    <n v="2025"/>
    <n v="9"/>
    <x v="2"/>
    <n v="6"/>
    <s v="06"/>
    <s v="202506"/>
    <s v="Sep-25"/>
    <n v="17323.57"/>
    <n v="17.32357"/>
  </r>
  <r>
    <d v="2025-09-08T00:00:00"/>
    <s v="OPT-NIFTY-09-Sep-2025-24750-P-E-I"/>
    <s v="NSE"/>
    <s v="Sell"/>
    <n v="75"/>
    <n v="0"/>
    <n v="21.95"/>
    <n v="1646.25"/>
    <s v="#202509083700029705"/>
    <n v="1.65"/>
    <n v="0.57999999999999996"/>
    <n v="0"/>
    <n v="0"/>
    <n v="29"/>
    <n v="5.32"/>
    <n v="36.549999999999997"/>
    <n v="2025"/>
    <n v="9"/>
    <x v="2"/>
    <n v="6"/>
    <s v="06"/>
    <s v="202506"/>
    <s v="Sep-25"/>
    <n v="1609.7"/>
    <n v="1.6097000000000001"/>
  </r>
  <r>
    <d v="2025-09-08T00:00:00"/>
    <s v="OPT-NIFTY-09-Sep-2025-24750-P-E-I"/>
    <s v="NSE"/>
    <s v="Sell"/>
    <n v="150"/>
    <n v="0"/>
    <n v="20.95"/>
    <n v="3142.5"/>
    <s v="#202509083700029191"/>
    <n v="3.14"/>
    <n v="1.1200000000000001"/>
    <n v="0"/>
    <n v="0"/>
    <n v="58"/>
    <n v="10.64"/>
    <n v="72.900000000000006"/>
    <n v="2025"/>
    <n v="9"/>
    <x v="2"/>
    <n v="6"/>
    <s v="06"/>
    <s v="202506"/>
    <s v="Sep-25"/>
    <n v="3069.6"/>
    <n v="3.0695999999999999"/>
  </r>
  <r>
    <d v="2025-09-08T00:00:00"/>
    <s v="OPT-NIFTY-09-Sep-2025-24750-P-E-I"/>
    <s v="NSE"/>
    <s v="Sell"/>
    <n v="150"/>
    <n v="0"/>
    <n v="19.95"/>
    <n v="2992.5"/>
    <s v="#202509083700029135"/>
    <n v="2.99"/>
    <n v="1.06"/>
    <n v="0"/>
    <n v="0"/>
    <n v="58"/>
    <n v="10.64"/>
    <n v="72.69"/>
    <n v="2025"/>
    <n v="9"/>
    <x v="2"/>
    <n v="6"/>
    <s v="06"/>
    <s v="202506"/>
    <s v="Sep-25"/>
    <n v="2919.81"/>
    <n v="2.91981"/>
  </r>
  <r>
    <d v="2025-09-08T00:00:00"/>
    <s v="OPT-NIFTY-09-Sep-2025-24750-P-E-I"/>
    <s v="NSE"/>
    <s v="Buy"/>
    <n v="450"/>
    <n v="0"/>
    <n v="30.4"/>
    <n v="13680"/>
    <s v="#202509083700016674"/>
    <n v="0"/>
    <n v="4.8600000000000003"/>
    <n v="0"/>
    <n v="0.01"/>
    <n v="174"/>
    <n v="32.200000000000003"/>
    <n v="211.07"/>
    <n v="2025"/>
    <n v="9"/>
    <x v="2"/>
    <n v="6"/>
    <s v="06"/>
    <s v="202506"/>
    <s v="Sep-25"/>
    <n v="-13891.07"/>
    <n v="-13.891069999999999"/>
  </r>
  <r>
    <d v="2025-09-08T00:00:00"/>
    <s v="OPT-NIFTY-09-Sep-2025-24750-P-E-I"/>
    <s v="NSE"/>
    <s v="Buy"/>
    <n v="450"/>
    <n v="0"/>
    <n v="31.9"/>
    <n v="14355"/>
    <s v="#202509083700016156"/>
    <n v="0"/>
    <n v="5.0999999999999996"/>
    <n v="2"/>
    <n v="0.01"/>
    <n v="174"/>
    <n v="32.24"/>
    <n v="213.35"/>
    <n v="2025"/>
    <n v="9"/>
    <x v="2"/>
    <n v="6"/>
    <s v="06"/>
    <s v="202506"/>
    <s v="Sep-25"/>
    <n v="-14568.35"/>
    <n v="-14.568350000000001"/>
  </r>
  <r>
    <d v="2025-09-08T00:00:00"/>
    <s v="OPT-NIFTY-09-Sep-2025-24750-P-E-I"/>
    <s v="NSE"/>
    <s v="Buy"/>
    <n v="450"/>
    <n v="0"/>
    <n v="41.05"/>
    <n v="18472.5"/>
    <s v="#202509083700014695"/>
    <n v="0"/>
    <n v="6.56"/>
    <n v="0"/>
    <n v="0.02"/>
    <n v="174"/>
    <n v="32.5"/>
    <n v="213.08"/>
    <n v="2025"/>
    <n v="9"/>
    <x v="2"/>
    <n v="6"/>
    <s v="06"/>
    <s v="202506"/>
    <s v="Sep-25"/>
    <n v="-18685.580000000002"/>
    <n v="-18.685580000000002"/>
  </r>
  <r>
    <d v="2025-09-08T00:00:00"/>
    <s v="OPT-NIFTY-09-Sep-2025-24750-P-E-I"/>
    <s v="NSE"/>
    <s v="Sell"/>
    <n v="900"/>
    <n v="0"/>
    <n v="37.950000000000003"/>
    <n v="34155"/>
    <s v="#202509083700011120"/>
    <n v="34.42"/>
    <n v="12.14"/>
    <n v="0"/>
    <n v="0.03"/>
    <n v="348"/>
    <n v="64.84"/>
    <n v="459.43"/>
    <n v="2025"/>
    <n v="9"/>
    <x v="2"/>
    <n v="6"/>
    <s v="06"/>
    <s v="202506"/>
    <s v="Sep-25"/>
    <n v="33695.57"/>
    <n v="33.695569999999996"/>
  </r>
  <r>
    <d v="2025-09-08T00:00:00"/>
    <s v="OPT-NIFTY-09-Sep-2025-24750-P-E-I"/>
    <s v="NSE"/>
    <s v="Buy"/>
    <n v="450"/>
    <n v="0"/>
    <n v="34.950000000000003"/>
    <n v="15727.5"/>
    <s v="#202509083700010728"/>
    <n v="0"/>
    <n v="5.58"/>
    <n v="0"/>
    <n v="0.02"/>
    <n v="174"/>
    <n v="32.32"/>
    <n v="211.92"/>
    <n v="2025"/>
    <n v="9"/>
    <x v="2"/>
    <n v="6"/>
    <s v="06"/>
    <s v="202506"/>
    <s v="Sep-25"/>
    <n v="-15939.42"/>
    <n v="-15.93942"/>
  </r>
  <r>
    <d v="2025-09-08T00:00:00"/>
    <s v="OPT-NIFTY-09-Sep-2025-24750-P-E-I"/>
    <s v="NSE"/>
    <s v="Buy"/>
    <n v="450"/>
    <n v="0"/>
    <n v="38.65"/>
    <n v="17392.5"/>
    <s v="#202509083700010231"/>
    <n v="0"/>
    <n v="6.18"/>
    <n v="0"/>
    <n v="0.01"/>
    <n v="174"/>
    <n v="32.42"/>
    <n v="212.61"/>
    <n v="2025"/>
    <n v="9"/>
    <x v="2"/>
    <n v="6"/>
    <s v="06"/>
    <s v="202506"/>
    <s v="Sep-25"/>
    <n v="-17605.11"/>
    <n v="-17.60511"/>
  </r>
  <r>
    <d v="2025-09-09T00:00:00"/>
    <s v="OPT-NIFTY-09-Sep-2025-24750-P-E-I"/>
    <s v="NSE"/>
    <s v="Sell"/>
    <n v="900"/>
    <n v="0"/>
    <n v="3.45"/>
    <n v="3105"/>
    <s v="#202509093700032000"/>
    <n v="3.11"/>
    <n v="1.1000000000000001"/>
    <n v="0"/>
    <n v="0"/>
    <n v="348"/>
    <n v="62.84"/>
    <n v="415.05"/>
    <n v="2025"/>
    <n v="9"/>
    <x v="2"/>
    <n v="6"/>
    <s v="06"/>
    <s v="202506"/>
    <s v="Sep-25"/>
    <n v="2689.95"/>
    <n v="2.6899499999999996"/>
  </r>
  <r>
    <d v="2025-09-09T00:00:00"/>
    <s v="OPT-NIFTY-09-Sep-2025-24750-P-E-I"/>
    <s v="NSE"/>
    <s v="Sell"/>
    <n v="1500"/>
    <n v="0"/>
    <n v="3.65"/>
    <n v="5475"/>
    <s v="#202509093700031951"/>
    <n v="5.48"/>
    <n v="1.95"/>
    <n v="0"/>
    <n v="0.01"/>
    <n v="580"/>
    <n v="104.76"/>
    <n v="692.2"/>
    <n v="2025"/>
    <n v="9"/>
    <x v="2"/>
    <n v="6"/>
    <s v="06"/>
    <s v="202506"/>
    <s v="Sep-25"/>
    <n v="4782.8"/>
    <n v="4.7827999999999999"/>
  </r>
  <r>
    <d v="2025-09-09T00:00:00"/>
    <s v="OPT-NIFTY-09-Sep-2025-24750-P-E-I"/>
    <s v="NSE"/>
    <s v="Sell"/>
    <n v="1500"/>
    <n v="0"/>
    <n v="3.3"/>
    <n v="4950"/>
    <s v="#202509093700031817"/>
    <n v="4.95"/>
    <n v="1.76"/>
    <n v="0"/>
    <n v="0"/>
    <n v="580"/>
    <n v="104.72"/>
    <n v="691.43"/>
    <n v="2025"/>
    <n v="9"/>
    <x v="2"/>
    <n v="6"/>
    <s v="06"/>
    <s v="202506"/>
    <s v="Sep-25"/>
    <n v="4258.57"/>
    <n v="4.2585699999999997"/>
  </r>
  <r>
    <d v="2025-09-09T00:00:00"/>
    <s v="OPT-NIFTY-09-Sep-2025-24750-P-E-I"/>
    <s v="NSE"/>
    <s v="Sell"/>
    <n v="1500"/>
    <n v="0"/>
    <n v="3.4"/>
    <n v="5100"/>
    <s v="#202509093700031713"/>
    <n v="5.0999999999999996"/>
    <n v="1.81"/>
    <n v="0"/>
    <n v="0"/>
    <n v="580"/>
    <n v="104.74"/>
    <n v="691.65"/>
    <n v="2025"/>
    <n v="9"/>
    <x v="2"/>
    <n v="6"/>
    <s v="06"/>
    <s v="202506"/>
    <s v="Sep-25"/>
    <n v="4408.3500000000004"/>
    <n v="4.4083500000000004"/>
  </r>
  <r>
    <d v="2025-09-09T00:00:00"/>
    <s v="OPT-NIFTY-09-Sep-2025-24750-P-E-I"/>
    <s v="NSE"/>
    <s v="Buy"/>
    <n v="1350"/>
    <n v="0"/>
    <n v="9.25"/>
    <n v="12487.5"/>
    <s v="#202509093700024548"/>
    <n v="0"/>
    <n v="4.4400000000000004"/>
    <n v="0"/>
    <n v="0.01"/>
    <n v="522"/>
    <n v="94.76"/>
    <n v="621.21"/>
    <n v="2025"/>
    <n v="9"/>
    <x v="2"/>
    <n v="6"/>
    <s v="06"/>
    <s v="202506"/>
    <s v="Sep-25"/>
    <n v="-13108.71"/>
    <n v="-13.108709999999999"/>
  </r>
  <r>
    <d v="2025-09-09T00:00:00"/>
    <s v="OPT-NIFTY-09-Sep-2025-24750-P-E-I"/>
    <s v="NSE"/>
    <s v="Buy"/>
    <n v="1350"/>
    <n v="0"/>
    <n v="10.7"/>
    <n v="14445"/>
    <s v="#202509093700022732"/>
    <n v="0"/>
    <n v="5.14"/>
    <n v="0"/>
    <n v="0.01"/>
    <n v="522"/>
    <n v="94.88"/>
    <n v="622.03"/>
    <n v="2025"/>
    <n v="9"/>
    <x v="2"/>
    <n v="6"/>
    <s v="06"/>
    <s v="202506"/>
    <s v="Sep-25"/>
    <n v="-15067.03"/>
    <n v="-15.067030000000001"/>
  </r>
  <r>
    <d v="2025-09-09T00:00:00"/>
    <s v="OPT-NIFTY-09-Sep-2025-24750-P-E-I"/>
    <s v="NSE"/>
    <s v="Buy"/>
    <n v="1350"/>
    <n v="0"/>
    <n v="14.25"/>
    <n v="19237.5"/>
    <s v="#202509093700021839"/>
    <n v="0"/>
    <n v="6.84"/>
    <n v="2.2200000000000002"/>
    <n v="0.02"/>
    <n v="522"/>
    <n v="95.2"/>
    <n v="626.28"/>
    <n v="2025"/>
    <n v="9"/>
    <x v="2"/>
    <n v="6"/>
    <s v="06"/>
    <s v="202506"/>
    <s v="Sep-25"/>
    <n v="-19863.78"/>
    <n v="-19.863779999999998"/>
  </r>
  <r>
    <d v="2025-09-09T00:00:00"/>
    <s v="OPT-NIFTY-09-Sep-2025-24750-P-E-I"/>
    <s v="NSE"/>
    <s v="Buy"/>
    <n v="1350"/>
    <n v="0"/>
    <n v="16.3"/>
    <n v="22005"/>
    <s v="#202509093700021666"/>
    <n v="0"/>
    <n v="7.81"/>
    <n v="0"/>
    <n v="0.02"/>
    <n v="522"/>
    <n v="95.36"/>
    <n v="625.19000000000005"/>
    <n v="2025"/>
    <n v="9"/>
    <x v="2"/>
    <n v="6"/>
    <s v="06"/>
    <s v="202506"/>
    <s v="Sep-25"/>
    <n v="-22630.19"/>
    <n v="-22.630189999999999"/>
  </r>
  <r>
    <d v="2025-09-09T00:00:00"/>
    <s v="OPT-NIFTY-09-Sep-2025-24850-P-E-I"/>
    <s v="NSE"/>
    <s v="Sell"/>
    <n v="450"/>
    <n v="0"/>
    <n v="57.95"/>
    <n v="26077.5"/>
    <s v="#202509093700011440"/>
    <n v="26.09"/>
    <n v="9.26"/>
    <n v="0"/>
    <n v="0.02"/>
    <n v="174"/>
    <n v="33"/>
    <n v="242.37"/>
    <n v="2025"/>
    <n v="9"/>
    <x v="2"/>
    <n v="6"/>
    <s v="06"/>
    <s v="202506"/>
    <s v="Sep-25"/>
    <n v="25835.13"/>
    <n v="25.835129999999999"/>
  </r>
  <r>
    <d v="2025-09-09T00:00:00"/>
    <s v="OPT-NIFTY-09-Sep-2025-24850-P-E-I"/>
    <s v="NSE"/>
    <s v="Buy"/>
    <n v="450"/>
    <n v="0"/>
    <n v="53.25"/>
    <n v="23962.5"/>
    <s v="#202509093700011365"/>
    <n v="0"/>
    <n v="8.51"/>
    <n v="0.72"/>
    <n v="0.02"/>
    <n v="174"/>
    <n v="32.86"/>
    <n v="216.11"/>
    <n v="2025"/>
    <n v="9"/>
    <x v="2"/>
    <n v="6"/>
    <s v="06"/>
    <s v="202506"/>
    <s v="Sep-25"/>
    <n v="-24178.61"/>
    <n v="-24.178609999999999"/>
  </r>
  <r>
    <d v="2025-09-09T00:00:00"/>
    <s v="OPT-NIFTY-09-Sep-2025-24850-C-E-I"/>
    <s v="NSE"/>
    <s v="Sell"/>
    <n v="750"/>
    <n v="0"/>
    <n v="52.95"/>
    <n v="39712.5"/>
    <s v="#202509093700006739"/>
    <n v="39.28"/>
    <n v="14.1"/>
    <n v="0"/>
    <n v="0.02"/>
    <n v="290"/>
    <n v="54.76"/>
    <n v="398.16"/>
    <n v="2025"/>
    <n v="9"/>
    <x v="2"/>
    <n v="6"/>
    <s v="06"/>
    <s v="202506"/>
    <s v="Sep-25"/>
    <n v="39314.339999999997"/>
    <n v="39.314339999999994"/>
  </r>
  <r>
    <d v="2025-09-09T00:00:00"/>
    <s v="OPT-NIFTY-09-Sep-2025-24850-C-E-I"/>
    <s v="NSE"/>
    <s v="Buy"/>
    <n v="750"/>
    <n v="0"/>
    <n v="47.05"/>
    <n v="35287.5"/>
    <s v="#202509093700005552"/>
    <n v="0"/>
    <n v="12.54"/>
    <n v="1.06"/>
    <n v="0.04"/>
    <n v="290"/>
    <n v="54.48"/>
    <n v="358.12"/>
    <n v="2025"/>
    <n v="9"/>
    <x v="2"/>
    <n v="6"/>
    <s v="06"/>
    <s v="202506"/>
    <s v="Sep-25"/>
    <n v="-35645.620000000003"/>
    <n v="-35.645620000000001"/>
  </r>
  <r>
    <d v="2025-09-10T00:00:00"/>
    <s v="OPT-NIFTY-16-Sep-2025-24950-P-E-I"/>
    <s v="NSE"/>
    <s v="Sell"/>
    <n v="225"/>
    <n v="0"/>
    <n v="87.8"/>
    <n v="19755"/>
    <s v="#202509103700014903"/>
    <n v="19.760000000000002"/>
    <n v="7.02"/>
    <n v="0"/>
    <n v="0.02"/>
    <n v="87"/>
    <n v="16.920000000000002"/>
    <n v="130.72"/>
    <n v="2025"/>
    <n v="9"/>
    <x v="2"/>
    <n v="6"/>
    <s v="06"/>
    <s v="202506"/>
    <s v="Sep-25"/>
    <n v="19624.28"/>
    <n v="19.624279999999999"/>
  </r>
  <r>
    <d v="2025-09-10T00:00:00"/>
    <s v="OPT-NIFTY-16-Sep-2025-24950-P-E-I"/>
    <s v="NSE"/>
    <s v="Buy"/>
    <n v="225"/>
    <n v="0"/>
    <n v="90.8"/>
    <n v="20430"/>
    <s v="#202509103700014737"/>
    <n v="0"/>
    <n v="7.26"/>
    <n v="0.61"/>
    <n v="0.02"/>
    <n v="87"/>
    <n v="16.98"/>
    <n v="111.87"/>
    <n v="2025"/>
    <n v="9"/>
    <x v="2"/>
    <n v="6"/>
    <s v="06"/>
    <s v="202506"/>
    <s v="Sep-25"/>
    <n v="-20541.87"/>
    <n v="-20.541869999999999"/>
  </r>
  <r>
    <d v="2025-09-10T00:00:00"/>
    <s v="OPT-NIFTY-16-Sep-2025-25000-C-E-I"/>
    <s v="NSE"/>
    <s v="Sell"/>
    <n v="150"/>
    <n v="0"/>
    <n v="119"/>
    <n v="17850"/>
    <s v="#202509103700013709"/>
    <n v="17.850000000000001"/>
    <n v="6.34"/>
    <n v="0"/>
    <n v="0.02"/>
    <n v="58"/>
    <n v="11.58"/>
    <n v="93.79"/>
    <n v="2025"/>
    <n v="9"/>
    <x v="2"/>
    <n v="6"/>
    <s v="06"/>
    <s v="202506"/>
    <s v="Sep-25"/>
    <n v="17756.21"/>
    <n v="17.756209999999999"/>
  </r>
  <r>
    <d v="2025-09-10T00:00:00"/>
    <s v="OPT-NIFTY-16-Sep-2025-25000-C-E-I"/>
    <s v="NSE"/>
    <s v="Buy"/>
    <n v="150"/>
    <n v="0"/>
    <n v="121.9"/>
    <n v="18285"/>
    <s v="#202509103700013511"/>
    <n v="0"/>
    <n v="6.5"/>
    <n v="1.39"/>
    <n v="0.02"/>
    <n v="58"/>
    <n v="11.62"/>
    <n v="77.53"/>
    <n v="2025"/>
    <n v="9"/>
    <x v="2"/>
    <n v="6"/>
    <s v="06"/>
    <s v="202506"/>
    <s v="Sep-25"/>
    <n v="-18362.53"/>
    <n v="-18.36253"/>
  </r>
  <r>
    <d v="2025-09-10T00:00:00"/>
    <s v="OPT-NIFTY-16-Sep-2025-25000-C-E-I"/>
    <s v="NSE"/>
    <s v="Sell"/>
    <n v="150"/>
    <n v="0"/>
    <n v="118.7"/>
    <n v="17805"/>
    <s v="#202509103700013364"/>
    <n v="17.399999999999999"/>
    <n v="6.33"/>
    <n v="0"/>
    <n v="0.02"/>
    <n v="58"/>
    <n v="11.58"/>
    <n v="93.33"/>
    <n v="2025"/>
    <n v="9"/>
    <x v="2"/>
    <n v="6"/>
    <s v="06"/>
    <s v="202506"/>
    <s v="Sep-25"/>
    <n v="17711.669999999998"/>
    <n v="17.711669999999998"/>
  </r>
  <r>
    <d v="2025-09-10T00:00:00"/>
    <s v="OPT-NIFTY-16-Sep-2025-25000-C-E-I"/>
    <s v="NSE"/>
    <s v="Buy"/>
    <n v="75"/>
    <n v="0"/>
    <n v="125.05"/>
    <n v="9378.75"/>
    <s v="#202509103700012986"/>
    <n v="0"/>
    <n v="3.33"/>
    <n v="0"/>
    <n v="0.01"/>
    <n v="29"/>
    <n v="5.82"/>
    <n v="38.159999999999997"/>
    <n v="2025"/>
    <n v="9"/>
    <x v="2"/>
    <n v="6"/>
    <s v="06"/>
    <s v="202506"/>
    <s v="Sep-25"/>
    <n v="-9416.91"/>
    <n v="-9.4169099999999997"/>
  </r>
  <r>
    <d v="2025-09-10T00:00:00"/>
    <s v="OPT-NIFTY-16-Sep-2025-25000-C-E-I"/>
    <s v="NSE"/>
    <s v="Buy"/>
    <n v="75"/>
    <n v="0"/>
    <n v="128.5"/>
    <n v="9637.5"/>
    <s v="#202509103700012844"/>
    <n v="0"/>
    <n v="3.42"/>
    <n v="0"/>
    <n v="0.01"/>
    <n v="29"/>
    <n v="5.84"/>
    <n v="38.270000000000003"/>
    <n v="2025"/>
    <n v="9"/>
    <x v="2"/>
    <n v="6"/>
    <s v="06"/>
    <s v="202506"/>
    <s v="Sep-25"/>
    <n v="-9675.77"/>
    <n v="-9.67577"/>
  </r>
  <r>
    <d v="2025-11-04T00:00:00"/>
    <s v="OPT-NIFTY-04-Nov-2025-25750-P-E-I"/>
    <s v="NSE"/>
    <s v="Sell"/>
    <n v="450"/>
    <n v="0"/>
    <n v="78.900000000000006"/>
    <n v="35505"/>
    <s v="#202511043700006125"/>
    <n v="36"/>
    <n v="12.61"/>
    <n v="0"/>
    <n v="0.04"/>
    <n v="174"/>
    <n v="33.6"/>
    <n v="256.25"/>
    <n v="2025"/>
    <n v="11"/>
    <x v="2"/>
    <n v="8"/>
    <s v="08"/>
    <s v="202508"/>
    <s v="Nov-25"/>
    <n v="35248.75"/>
    <n v="35.248750000000001"/>
  </r>
  <r>
    <d v="2025-11-04T00:00:00"/>
    <s v="OPT-NIFTY-04-Nov-2025-25750-P-E-I"/>
    <s v="NSE"/>
    <s v="Buy"/>
    <n v="450"/>
    <n v="0"/>
    <n v="71.25"/>
    <n v="32062.5"/>
    <s v="#202511043700005997"/>
    <n v="0"/>
    <n v="11.4"/>
    <n v="1"/>
    <n v="0.04"/>
    <n v="174"/>
    <n v="33.36"/>
    <n v="219.8"/>
    <n v="2025"/>
    <n v="11"/>
    <x v="2"/>
    <n v="8"/>
    <s v="08"/>
    <s v="202508"/>
    <s v="Nov-25"/>
    <n v="-32282.3"/>
    <n v="-32.282299999999999"/>
  </r>
  <r>
    <d v="2025-11-10T00:00:00"/>
    <s v="OPT-NIFTY-11-Nov-2025-25600-C-E-I"/>
    <s v="NSE"/>
    <s v="Sell"/>
    <n v="75"/>
    <n v="0"/>
    <n v="84.85"/>
    <n v="6363.75"/>
    <s v="#202511103700016322"/>
    <n v="6.36"/>
    <n v="2.2599999999999998"/>
    <n v="0"/>
    <n v="0.01"/>
    <n v="29"/>
    <n v="5.62"/>
    <n v="43.25"/>
    <n v="2025"/>
    <n v="11"/>
    <x v="2"/>
    <n v="8"/>
    <s v="08"/>
    <s v="202508"/>
    <s v="Nov-25"/>
    <n v="6320.5"/>
    <n v="6.3205"/>
  </r>
  <r>
    <d v="2025-11-10T00:00:00"/>
    <s v="OPT-NIFTY-11-Nov-2025-25600-C-E-I"/>
    <s v="NSE"/>
    <s v="Buy"/>
    <n v="75"/>
    <n v="0"/>
    <n v="80.55"/>
    <n v="6041.25"/>
    <s v="#202511103700015958"/>
    <n v="0"/>
    <n v="2.15"/>
    <n v="0"/>
    <n v="0.01"/>
    <n v="29"/>
    <n v="5.6"/>
    <n v="36.76"/>
    <n v="2025"/>
    <n v="11"/>
    <x v="2"/>
    <n v="8"/>
    <s v="08"/>
    <s v="202508"/>
    <s v="Nov-25"/>
    <n v="-6078.01"/>
    <n v="-6.0780099999999999"/>
  </r>
  <r>
    <d v="2025-11-10T00:00:00"/>
    <s v="OPT-NIFTY-11-Nov-2025-25650-P-E-I"/>
    <s v="NSE"/>
    <s v="Sell"/>
    <n v="75"/>
    <n v="0"/>
    <n v="64.25"/>
    <n v="4818.75"/>
    <s v="#202511103700012959"/>
    <n v="4.6399999999999997"/>
    <n v="1.71"/>
    <n v="0"/>
    <n v="0"/>
    <n v="29"/>
    <n v="5.52"/>
    <n v="40.869999999999997"/>
    <n v="2025"/>
    <n v="11"/>
    <x v="2"/>
    <n v="8"/>
    <s v="08"/>
    <s v="202508"/>
    <s v="Nov-25"/>
    <n v="4777.88"/>
    <n v="4.7778799999999997"/>
  </r>
  <r>
    <d v="2025-11-10T00:00:00"/>
    <s v="OPT-NIFTY-11-Nov-2025-25650-P-E-I"/>
    <s v="NSE"/>
    <s v="Buy"/>
    <n v="75"/>
    <n v="0"/>
    <n v="68.3"/>
    <n v="5122.5"/>
    <s v="#202511103700012854"/>
    <n v="0"/>
    <n v="1.82"/>
    <n v="0"/>
    <n v="0.01"/>
    <n v="29"/>
    <n v="5.54"/>
    <n v="36.369999999999997"/>
    <n v="2025"/>
    <n v="11"/>
    <x v="2"/>
    <n v="8"/>
    <s v="08"/>
    <s v="202508"/>
    <s v="Nov-25"/>
    <n v="-5158.87"/>
    <n v="-5.1588700000000003"/>
  </r>
  <r>
    <d v="2025-11-12T00:00:00"/>
    <s v="OPT-NIFTY-18-Nov-2025-25850-P-E-I"/>
    <s v="NSE"/>
    <s v="Buy"/>
    <n v="75"/>
    <n v="0"/>
    <n v="97.35"/>
    <n v="7301.25"/>
    <s v="#202511123700013669"/>
    <n v="0"/>
    <n v="2.59"/>
    <n v="0"/>
    <n v="0.01"/>
    <n v="29"/>
    <n v="5.68"/>
    <n v="37.28"/>
    <n v="2025"/>
    <n v="11"/>
    <x v="2"/>
    <n v="8"/>
    <s v="08"/>
    <s v="202508"/>
    <s v="Nov-25"/>
    <n v="-7338.53"/>
    <n v="-7.3385299999999996"/>
  </r>
  <r>
    <d v="2025-11-12T00:00:00"/>
    <s v="OPT-NIFTY-18-Nov-2025-25950-C-E-I"/>
    <s v="NSE"/>
    <s v="Sell"/>
    <n v="75"/>
    <n v="0"/>
    <n v="102.1"/>
    <n v="7657.5"/>
    <s v="#202511123700009214"/>
    <n v="8"/>
    <n v="2.72"/>
    <n v="0"/>
    <n v="0.01"/>
    <n v="29"/>
    <n v="5.72"/>
    <n v="45.45"/>
    <n v="2025"/>
    <n v="11"/>
    <x v="2"/>
    <n v="8"/>
    <s v="08"/>
    <s v="202508"/>
    <s v="Nov-25"/>
    <n v="7612.05"/>
    <n v="7.61205"/>
  </r>
  <r>
    <d v="2025-11-12T00:00:00"/>
    <s v="OPT-NIFTY-18-Nov-2025-25950-C-E-I"/>
    <s v="NSE"/>
    <s v="Buy"/>
    <n v="75"/>
    <n v="0"/>
    <n v="113.35"/>
    <n v="8501.25"/>
    <s v="#202511123700007622"/>
    <n v="0"/>
    <n v="3.02"/>
    <n v="0"/>
    <n v="0.01"/>
    <n v="29"/>
    <n v="5.76"/>
    <n v="37.79"/>
    <n v="2025"/>
    <n v="11"/>
    <x v="2"/>
    <n v="8"/>
    <s v="08"/>
    <s v="202508"/>
    <s v="Nov-25"/>
    <n v="-8539.0400000000009"/>
    <n v="-8.5390400000000017"/>
  </r>
  <r>
    <d v="2025-11-13T00:00:00"/>
    <s v="OPT-NIFTY-18-Nov-2025-25850-P-E-I"/>
    <s v="NSE"/>
    <s v="Sell"/>
    <n v="75"/>
    <n v="0"/>
    <n v="119"/>
    <n v="8925"/>
    <s v="#202511132600000650"/>
    <n v="9"/>
    <n v="3.17"/>
    <n v="0"/>
    <n v="0.01"/>
    <n v="29"/>
    <n v="5.8"/>
    <n v="46.98"/>
    <n v="2025"/>
    <n v="11"/>
    <x v="2"/>
    <n v="8"/>
    <s v="08"/>
    <s v="202508"/>
    <s v="Nov-25"/>
    <n v="8878.02"/>
    <n v="8.8780200000000011"/>
  </r>
  <r>
    <d v="2025-11-14T00:00:00"/>
    <s v="OPT-NIFTY-18-Nov-2025-25750-P-E-I"/>
    <s v="NSE"/>
    <s v="Sell"/>
    <n v="150"/>
    <n v="0"/>
    <n v="74.900000000000006"/>
    <n v="11235"/>
    <s v="#202511143700019554"/>
    <n v="11"/>
    <n v="4"/>
    <n v="0"/>
    <n v="0.02"/>
    <n v="58"/>
    <n v="11.16"/>
    <n v="84.18"/>
    <n v="2025"/>
    <n v="11"/>
    <x v="2"/>
    <n v="8"/>
    <s v="08"/>
    <s v="202508"/>
    <s v="Nov-25"/>
    <n v="11150.82"/>
    <n v="11.15082"/>
  </r>
  <r>
    <d v="2025-11-14T00:00:00"/>
    <s v="OPT-NIFTY-18-Nov-2025-25750-P-E-I"/>
    <s v="NSE"/>
    <s v="Buy"/>
    <n v="75"/>
    <n v="0"/>
    <n v="62.95"/>
    <n v="4721.25"/>
    <s v="#202511143700018575"/>
    <n v="0"/>
    <n v="1.68"/>
    <n v="0"/>
    <n v="0"/>
    <n v="29"/>
    <n v="5.52"/>
    <n v="36.200000000000003"/>
    <n v="2025"/>
    <n v="11"/>
    <x v="2"/>
    <n v="8"/>
    <s v="08"/>
    <s v="202508"/>
    <s v="Nov-25"/>
    <n v="-4757.45"/>
    <n v="-4.7574499999999995"/>
  </r>
  <r>
    <d v="2025-11-14T00:00:00"/>
    <s v="OPT-NIFTY-18-Nov-2025-25750-P-E-I"/>
    <s v="NSE"/>
    <s v="Buy"/>
    <n v="75"/>
    <n v="0"/>
    <n v="76.349999999999994"/>
    <n v="5726.25"/>
    <s v="#202511143700018296"/>
    <n v="0"/>
    <n v="2.0299999999999998"/>
    <n v="0"/>
    <n v="0.01"/>
    <n v="29"/>
    <n v="5.58"/>
    <n v="36.619999999999997"/>
    <n v="2025"/>
    <n v="11"/>
    <x v="2"/>
    <n v="8"/>
    <s v="08"/>
    <s v="202508"/>
    <s v="Nov-25"/>
    <n v="-5762.87"/>
    <n v="-5.7628699999999995"/>
  </r>
  <r>
    <d v="2025-11-17T00:00:00"/>
    <s v="OPT-NIFTY-18-Nov-2025-26000-P-E-I"/>
    <s v="NSE"/>
    <s v="Sell"/>
    <n v="75"/>
    <n v="0"/>
    <n v="97.25"/>
    <n v="7293.75"/>
    <s v="#202511173700005651"/>
    <n v="7"/>
    <n v="2.59"/>
    <n v="0"/>
    <n v="0.01"/>
    <n v="29"/>
    <n v="5.68"/>
    <n v="44.28"/>
    <n v="2025"/>
    <n v="11"/>
    <x v="2"/>
    <n v="8"/>
    <s v="08"/>
    <s v="202508"/>
    <s v="Nov-25"/>
    <n v="7249.47"/>
    <n v="7.2494700000000005"/>
  </r>
  <r>
    <d v="2025-11-17T00:00:00"/>
    <s v="OPT-NIFTY-18-Nov-2025-26000-P-E-I"/>
    <s v="NSE"/>
    <s v="Buy"/>
    <n v="75"/>
    <n v="0"/>
    <n v="87.1"/>
    <n v="6532.5"/>
    <s v="#202511173700004824"/>
    <n v="0"/>
    <n v="2.3199999999999998"/>
    <n v="0"/>
    <n v="0.01"/>
    <n v="29"/>
    <n v="5.64"/>
    <n v="36.97"/>
    <n v="2025"/>
    <n v="11"/>
    <x v="2"/>
    <n v="8"/>
    <s v="08"/>
    <s v="202508"/>
    <s v="Nov-25"/>
    <n v="-6569.47"/>
    <n v="-6.5694699999999999"/>
  </r>
  <r>
    <d v="2025-11-18T00:00:00"/>
    <s v="OPT-NIFTY-18-Nov-2025-26000-P-E-I"/>
    <s v="NSE"/>
    <s v="Sell"/>
    <n v="300"/>
    <n v="0"/>
    <n v="28.85"/>
    <n v="8655"/>
    <s v="#202511183700027198"/>
    <n v="8.66"/>
    <n v="3.08"/>
    <n v="0"/>
    <n v="0"/>
    <n v="116"/>
    <n v="21.44"/>
    <n v="149.18"/>
    <n v="2025"/>
    <n v="11"/>
    <x v="2"/>
    <n v="8"/>
    <s v="08"/>
    <s v="202508"/>
    <s v="Nov-25"/>
    <n v="8505.82"/>
    <n v="8.5058199999999999"/>
  </r>
  <r>
    <d v="2025-11-18T00:00:00"/>
    <s v="OPT-NIFTY-18-Nov-2025-26000-P-E-I"/>
    <s v="NSE"/>
    <s v="Sell"/>
    <n v="75"/>
    <n v="0"/>
    <n v="45.25"/>
    <n v="3393.75"/>
    <s v="#202511183700026903"/>
    <n v="3.39"/>
    <n v="1.21"/>
    <n v="0"/>
    <n v="0"/>
    <n v="29"/>
    <n v="5.44"/>
    <n v="39.04"/>
    <n v="2025"/>
    <n v="11"/>
    <x v="2"/>
    <n v="8"/>
    <s v="08"/>
    <s v="202508"/>
    <s v="Nov-25"/>
    <n v="3354.71"/>
    <n v="3.3547099999999999"/>
  </r>
  <r>
    <d v="2025-11-18T00:00:00"/>
    <s v="OPT-NIFTY-18-Nov-2025-26000-P-E-I"/>
    <s v="NSE"/>
    <s v="Buy"/>
    <n v="75"/>
    <n v="0"/>
    <n v="76.650000000000006"/>
    <n v="5748.75"/>
    <s v="#202511183700022527"/>
    <n v="0"/>
    <n v="2.04"/>
    <n v="0"/>
    <n v="0.01"/>
    <n v="29"/>
    <n v="5.58"/>
    <n v="36.630000000000003"/>
    <n v="2025"/>
    <n v="11"/>
    <x v="2"/>
    <n v="8"/>
    <s v="08"/>
    <s v="202508"/>
    <s v="Nov-25"/>
    <n v="-5785.38"/>
    <n v="-5.78538"/>
  </r>
  <r>
    <d v="2025-11-18T00:00:00"/>
    <s v="OPT-NIFTY-18-Nov-2025-26000-P-E-I"/>
    <s v="NSE"/>
    <s v="Buy"/>
    <n v="300"/>
    <n v="0"/>
    <n v="79.7"/>
    <n v="23910"/>
    <s v="#202511183700022281"/>
    <n v="0"/>
    <n v="8.49"/>
    <n v="0"/>
    <n v="0.03"/>
    <n v="116"/>
    <n v="22.4"/>
    <n v="146.91999999999999"/>
    <n v="2025"/>
    <n v="11"/>
    <x v="2"/>
    <n v="8"/>
    <s v="08"/>
    <s v="202508"/>
    <s v="Nov-25"/>
    <n v="-24056.92"/>
    <n v="-24.056919999999998"/>
  </r>
  <r>
    <d v="2025-11-18T00:00:00"/>
    <s v="OPT-NIFTY-18-Nov-2025-26000-P-E-I"/>
    <s v="NSE"/>
    <s v="Sell"/>
    <n v="375"/>
    <n v="0"/>
    <n v="59.9"/>
    <n v="22462.5"/>
    <s v="#202511183700019883"/>
    <n v="22.46"/>
    <n v="7.99"/>
    <n v="0"/>
    <n v="0.01"/>
    <n v="145"/>
    <n v="27.52"/>
    <n v="202.98"/>
    <n v="2025"/>
    <n v="11"/>
    <x v="2"/>
    <n v="8"/>
    <s v="08"/>
    <s v="202508"/>
    <s v="Nov-25"/>
    <n v="22259.52"/>
    <n v="22.259520000000002"/>
  </r>
  <r>
    <d v="2025-11-18T00:00:00"/>
    <s v="OPT-NIFTY-18-Nov-2025-26000-P-E-I"/>
    <s v="NSE"/>
    <s v="Buy"/>
    <n v="375"/>
    <n v="0"/>
    <n v="52.25"/>
    <n v="19593.75"/>
    <s v="#202511183700019807"/>
    <n v="0"/>
    <n v="6.96"/>
    <n v="1.0900000000000001"/>
    <n v="0.01"/>
    <n v="145"/>
    <n v="27.38"/>
    <n v="180.44"/>
    <n v="2025"/>
    <n v="11"/>
    <x v="2"/>
    <n v="8"/>
    <s v="08"/>
    <s v="202508"/>
    <s v="Nov-25"/>
    <n v="-19774.189999999999"/>
    <n v="-19.774189999999997"/>
  </r>
  <r>
    <d v="2025-11-18T00:00:00"/>
    <s v="OPT-NIFTY-18-Nov-2025-26000-C-E-I"/>
    <s v="NSE"/>
    <s v="Sell"/>
    <n v="750"/>
    <n v="0"/>
    <n v="30.1"/>
    <n v="22575"/>
    <s v="#202511183700018572"/>
    <n v="22.49"/>
    <n v="8.02"/>
    <n v="0"/>
    <n v="0.02"/>
    <n v="290"/>
    <n v="53.64"/>
    <n v="374.17"/>
    <n v="2025"/>
    <n v="11"/>
    <x v="2"/>
    <n v="8"/>
    <s v="08"/>
    <s v="202508"/>
    <s v="Nov-25"/>
    <n v="22200.83"/>
    <n v="22.200830000000003"/>
  </r>
  <r>
    <d v="2025-11-18T00:00:00"/>
    <s v="OPT-NIFTY-18-Nov-2025-26000-C-E-I"/>
    <s v="NSE"/>
    <s v="Buy"/>
    <n v="75"/>
    <n v="0"/>
    <n v="37.9"/>
    <n v="2842.5"/>
    <s v="#202511183700004571"/>
    <n v="0"/>
    <n v="1.01"/>
    <n v="0"/>
    <n v="0"/>
    <n v="29"/>
    <n v="5.4"/>
    <n v="35.409999999999997"/>
    <n v="2025"/>
    <n v="11"/>
    <x v="2"/>
    <n v="8"/>
    <s v="08"/>
    <s v="202508"/>
    <s v="Nov-25"/>
    <n v="-2877.91"/>
    <n v="-2.87791"/>
  </r>
  <r>
    <d v="2025-11-18T00:00:00"/>
    <s v="OPT-NIFTY-18-Nov-2025-26000-C-E-I"/>
    <s v="NSE"/>
    <s v="Buy"/>
    <n v="225"/>
    <n v="0"/>
    <n v="39.6"/>
    <n v="8910"/>
    <s v="#202511183700004021"/>
    <n v="0"/>
    <n v="3.17"/>
    <n v="0"/>
    <n v="0.01"/>
    <n v="87"/>
    <n v="16.239999999999998"/>
    <n v="106.42"/>
    <n v="2025"/>
    <n v="11"/>
    <x v="2"/>
    <n v="8"/>
    <s v="08"/>
    <s v="202508"/>
    <s v="Nov-25"/>
    <n v="-9016.42"/>
    <n v="-9.0164200000000001"/>
  </r>
  <r>
    <d v="2025-11-18T00:00:00"/>
    <s v="OPT-NIFTY-18-Nov-2025-26000-C-E-I"/>
    <s v="NSE"/>
    <s v="Buy"/>
    <n v="450"/>
    <n v="0"/>
    <n v="40.98"/>
    <n v="18438.75"/>
    <s v="#202511183700003404"/>
    <n v="0"/>
    <n v="6.55"/>
    <n v="0.91"/>
    <n v="0.02"/>
    <n v="174"/>
    <n v="32.520000000000003"/>
    <n v="214"/>
    <n v="2025"/>
    <n v="11"/>
    <x v="2"/>
    <n v="8"/>
    <s v="08"/>
    <s v="202508"/>
    <s v="Nov-25"/>
    <n v="-18652.75"/>
    <n v="-18.652750000000001"/>
  </r>
  <r>
    <d v="2025-11-20T00:00:00"/>
    <s v="OPT-NIFTY-25-Nov-2025-26100-P-E-I"/>
    <s v="NSE"/>
    <s v="Buy"/>
    <n v="75"/>
    <n v="0"/>
    <n v="103.15"/>
    <n v="7736.25"/>
    <s v="#202511203700008974"/>
    <n v="0"/>
    <n v="2.75"/>
    <n v="0"/>
    <n v="0.01"/>
    <n v="29"/>
    <n v="5.72"/>
    <n v="37.479999999999997"/>
    <n v="2025"/>
    <n v="11"/>
    <x v="2"/>
    <n v="8"/>
    <s v="08"/>
    <s v="202508"/>
    <s v="Nov-25"/>
    <n v="-7773.73"/>
    <n v="-7.7737299999999996"/>
  </r>
  <r>
    <d v="2025-11-21T00:00:00"/>
    <s v="OPT-NIFTY-25-Nov-2025-26100-P-E-I"/>
    <s v="NSE"/>
    <s v="Sell"/>
    <n v="75"/>
    <n v="0"/>
    <n v="119.9"/>
    <n v="8992.5"/>
    <s v="#202511213700007438"/>
    <n v="9"/>
    <n v="3.2"/>
    <n v="0"/>
    <n v="0.01"/>
    <n v="29"/>
    <n v="5.8"/>
    <n v="47.01"/>
    <n v="2025"/>
    <n v="11"/>
    <x v="2"/>
    <n v="8"/>
    <s v="08"/>
    <s v="202508"/>
    <s v="Nov-25"/>
    <n v="8945.49"/>
    <n v="8.9454899999999995"/>
  </r>
  <r>
    <d v="2025-11-24T00:00:00"/>
    <s v="OPT-NIFTY-25-Nov-2025-26100-P-E-I"/>
    <s v="NSE"/>
    <s v="Sell"/>
    <n v="75"/>
    <n v="0"/>
    <n v="74.75"/>
    <n v="5606.25"/>
    <s v="#202511243700017022"/>
    <n v="6"/>
    <n v="1.99"/>
    <n v="0"/>
    <n v="0.01"/>
    <n v="29"/>
    <n v="5.58"/>
    <n v="42.58"/>
    <n v="2025"/>
    <n v="11"/>
    <x v="2"/>
    <n v="8"/>
    <s v="08"/>
    <s v="202508"/>
    <s v="Nov-25"/>
    <n v="5563.67"/>
    <n v="5.5636700000000001"/>
  </r>
  <r>
    <d v="2025-11-24T00:00:00"/>
    <s v="OPT-NIFTY-25-Nov-2025-26100-P-E-I"/>
    <s v="NSE"/>
    <s v="Buy"/>
    <n v="75"/>
    <n v="0"/>
    <n v="71.75"/>
    <n v="5381.25"/>
    <s v="#202511243700016998"/>
    <n v="0"/>
    <n v="1.91"/>
    <n v="0"/>
    <n v="0.01"/>
    <n v="29"/>
    <n v="5.56"/>
    <n v="36.479999999999997"/>
    <n v="2025"/>
    <n v="11"/>
    <x v="2"/>
    <n v="8"/>
    <s v="08"/>
    <s v="202508"/>
    <s v="Nov-25"/>
    <n v="-5417.73"/>
    <n v="-5.4177299999999997"/>
  </r>
  <r>
    <d v="2025-11-25T00:00:00"/>
    <s v="OPT-NIFTY-25-Nov-2025-25950-P-E-I"/>
    <s v="NSE"/>
    <s v="Sell"/>
    <n v="450"/>
    <n v="0"/>
    <n v="19.75"/>
    <n v="8887.5"/>
    <s v="#202511253700029325"/>
    <n v="9"/>
    <n v="3.16"/>
    <n v="0"/>
    <n v="0.01"/>
    <n v="174"/>
    <n v="31.9"/>
    <n v="218.07"/>
    <n v="2025"/>
    <n v="11"/>
    <x v="2"/>
    <n v="8"/>
    <s v="08"/>
    <s v="202508"/>
    <s v="Nov-25"/>
    <n v="8669.43"/>
    <n v="8.6694300000000002"/>
  </r>
  <r>
    <d v="2025-11-25T00:00:00"/>
    <s v="OPT-NIFTY-25-Nov-2025-25950-P-E-I"/>
    <s v="NSE"/>
    <s v="Buy"/>
    <n v="450"/>
    <n v="0"/>
    <n v="14.75"/>
    <n v="6637.5"/>
    <s v="#202511253700025830"/>
    <n v="0"/>
    <n v="2.36"/>
    <n v="0"/>
    <n v="0"/>
    <n v="174"/>
    <n v="31.76"/>
    <n v="208.12"/>
    <n v="2025"/>
    <n v="11"/>
    <x v="2"/>
    <n v="8"/>
    <s v="08"/>
    <s v="202508"/>
    <s v="Nov-25"/>
    <n v="-6845.62"/>
    <n v="-6.8456200000000003"/>
  </r>
  <r>
    <d v="2025-11-27T00:00:00"/>
    <s v="OPT-NIFTY-02-Dec-2025-26250-P-E-I"/>
    <s v="NSE"/>
    <s v="Buy"/>
    <n v="75"/>
    <n v="0"/>
    <n v="109"/>
    <n v="8175"/>
    <s v="#202511273700012267"/>
    <n v="0"/>
    <n v="2.9"/>
    <n v="0"/>
    <n v="0.01"/>
    <n v="29"/>
    <n v="5.74"/>
    <n v="37.65"/>
    <n v="2025"/>
    <n v="11"/>
    <x v="2"/>
    <n v="8"/>
    <s v="08"/>
    <s v="202508"/>
    <s v="Nov-25"/>
    <n v="-8212.65"/>
    <n v="-8.21265"/>
  </r>
  <r>
    <d v="2025-11-28T00:00:00"/>
    <s v="OPT-NIFTY-02-Dec-2025-26100-P-E-I"/>
    <s v="NSE"/>
    <s v="Buy"/>
    <n v="375"/>
    <n v="0"/>
    <n v="44.1"/>
    <n v="16537.5"/>
    <s v="#202511283700015905"/>
    <n v="0"/>
    <n v="5.88"/>
    <n v="0.76"/>
    <n v="0.02"/>
    <n v="145"/>
    <n v="27.16"/>
    <n v="178.82"/>
    <n v="2025"/>
    <n v="11"/>
    <x v="2"/>
    <n v="8"/>
    <s v="08"/>
    <s v="202508"/>
    <s v="Nov-25"/>
    <n v="-16716.32"/>
    <n v="-16.71632"/>
  </r>
  <r>
    <d v="2025-11-28T00:00:00"/>
    <s v="OPT-NIFTY-02-Dec-2025-26100-P-E-I"/>
    <s v="NSE"/>
    <s v="Buy"/>
    <n v="75"/>
    <n v="0"/>
    <n v="44.1"/>
    <n v="3307.5"/>
    <s v="#202511283700015879"/>
    <n v="0"/>
    <n v="1.18"/>
    <n v="0"/>
    <n v="0"/>
    <n v="29"/>
    <n v="5.44"/>
    <n v="35.619999999999997"/>
    <n v="2025"/>
    <n v="11"/>
    <x v="2"/>
    <n v="8"/>
    <s v="08"/>
    <s v="202508"/>
    <s v="Nov-25"/>
    <n v="-3343.12"/>
    <n v="-3.3431199999999999"/>
  </r>
  <r>
    <d v="2025-11-28T00:00:00"/>
    <s v="OPT-NIFTY-02-Dec-2025-26200-C-E-I"/>
    <s v="NSE"/>
    <s v="Sell"/>
    <n v="75"/>
    <n v="0"/>
    <n v="105"/>
    <n v="7875"/>
    <s v="#202511283700015412"/>
    <n v="8"/>
    <n v="2.8"/>
    <n v="0"/>
    <n v="0.01"/>
    <n v="29"/>
    <n v="5.72"/>
    <n v="45.53"/>
    <n v="2025"/>
    <n v="11"/>
    <x v="2"/>
    <n v="8"/>
    <s v="08"/>
    <s v="202508"/>
    <s v="Nov-25"/>
    <n v="7829.47"/>
    <n v="7.8294700000000006"/>
  </r>
  <r>
    <d v="2025-11-28T00:00:00"/>
    <s v="OPT-NIFTY-02-Dec-2025-26200-C-E-I"/>
    <s v="NSE"/>
    <s v="Buy"/>
    <n v="75"/>
    <n v="0"/>
    <n v="105.85"/>
    <n v="7938.75"/>
    <s v="#202511283700015346"/>
    <n v="0"/>
    <n v="2.82"/>
    <n v="0.24"/>
    <n v="0.01"/>
    <n v="29"/>
    <n v="5.72"/>
    <n v="37.79"/>
    <n v="2025"/>
    <n v="11"/>
    <x v="2"/>
    <n v="8"/>
    <s v="08"/>
    <s v="202508"/>
    <s v="Nov-25"/>
    <n v="-7976.54"/>
    <n v="-7.97654"/>
  </r>
  <r>
    <d v="2025-12-01T00:00:00"/>
    <s v="OPT-NIFTY-02-Dec-2025-26250-P-E-I"/>
    <s v="NSE"/>
    <s v="Sell"/>
    <n v="150"/>
    <n v="0"/>
    <n v="119.25"/>
    <n v="17887.5"/>
    <s v="#202512013700021299"/>
    <n v="17.89"/>
    <n v="6.36"/>
    <n v="0"/>
    <n v="0.02"/>
    <n v="58"/>
    <n v="11.58"/>
    <n v="93.85"/>
    <n v="2025"/>
    <n v="12"/>
    <x v="2"/>
    <n v="9"/>
    <s v="09"/>
    <s v="202509"/>
    <s v="Dec-25"/>
    <n v="17793.650000000001"/>
    <n v="17.793650000000003"/>
  </r>
  <r>
    <d v="2025-12-01T00:00:00"/>
    <s v="OPT-NIFTY-02-Dec-2025-26100-P-E-I"/>
    <s v="NSE"/>
    <s v="Sell"/>
    <n v="1800"/>
    <n v="0"/>
    <n v="35"/>
    <n v="63000"/>
    <s v="#202512013700011531"/>
    <n v="63.12"/>
    <n v="22.38"/>
    <n v="0"/>
    <n v="0.06"/>
    <n v="696"/>
    <n v="129.32"/>
    <n v="910.88"/>
    <n v="2025"/>
    <n v="12"/>
    <x v="2"/>
    <n v="9"/>
    <s v="09"/>
    <s v="202509"/>
    <s v="Dec-25"/>
    <n v="62089.120000000003"/>
    <n v="62.089120000000001"/>
  </r>
  <r>
    <d v="2025-12-01T00:00:00"/>
    <s v="OPT-NIFTY-02-Dec-2025-26100-P-E-I"/>
    <s v="NSE"/>
    <s v="Buy"/>
    <n v="900"/>
    <n v="0"/>
    <n v="16.25"/>
    <n v="14625"/>
    <s v="#202512013700004091"/>
    <n v="0"/>
    <n v="5.2"/>
    <n v="0.88"/>
    <n v="0.01"/>
    <n v="348"/>
    <n v="63.58"/>
    <n v="417.67"/>
    <n v="2025"/>
    <n v="12"/>
    <x v="2"/>
    <n v="9"/>
    <s v="09"/>
    <s v="202509"/>
    <s v="Dec-25"/>
    <n v="-15042.67"/>
    <n v="-15.042669999999999"/>
  </r>
  <r>
    <d v="2025-12-01T00:00:00"/>
    <s v="OPT-NIFTY-02-Dec-2025-26250-P-E-I"/>
    <s v="NSE"/>
    <s v="Buy"/>
    <n v="75"/>
    <n v="0"/>
    <n v="52.95"/>
    <n v="3971.25"/>
    <s v="#202512013700002407"/>
    <n v="0"/>
    <n v="1.41"/>
    <n v="0.12"/>
    <n v="0"/>
    <n v="29"/>
    <n v="5.48"/>
    <n v="36.01"/>
    <n v="2025"/>
    <n v="12"/>
    <x v="2"/>
    <n v="9"/>
    <s v="09"/>
    <s v="202509"/>
    <s v="Dec-25"/>
    <n v="-4007.26"/>
    <n v="-4.0072600000000005"/>
  </r>
  <r>
    <d v="2025-12-01T00:00:00"/>
    <s v="OPT-NIFTY-02-Dec-2025-26100-P-E-I"/>
    <s v="NSE"/>
    <s v="Buy"/>
    <n v="450"/>
    <n v="0"/>
    <n v="18.899999999999999"/>
    <n v="8505"/>
    <s v="#202512013700001235"/>
    <n v="0"/>
    <n v="3.02"/>
    <n v="0"/>
    <n v="0.01"/>
    <n v="174"/>
    <n v="31.88"/>
    <n v="208.91"/>
    <n v="2025"/>
    <n v="12"/>
    <x v="2"/>
    <n v="9"/>
    <s v="09"/>
    <s v="202509"/>
    <s v="Dec-25"/>
    <n v="-8713.91"/>
    <n v="-8.7139100000000003"/>
  </r>
  <r>
    <d v="2025-12-02T00:00:00"/>
    <s v="OPT-NIFTY-02-Dec-2025-26050-P-E-I"/>
    <s v="NSE"/>
    <s v="Sell"/>
    <n v="300"/>
    <n v="0"/>
    <n v="39.25"/>
    <n v="11775"/>
    <s v="#202512023700025744"/>
    <n v="12"/>
    <n v="4.18"/>
    <n v="0"/>
    <n v="0.01"/>
    <n v="116"/>
    <n v="21.64"/>
    <n v="153.83000000000001"/>
    <n v="2025"/>
    <n v="12"/>
    <x v="2"/>
    <n v="9"/>
    <s v="09"/>
    <s v="202509"/>
    <s v="Dec-25"/>
    <n v="11621.17"/>
    <n v="11.621169999999999"/>
  </r>
  <r>
    <d v="2025-12-02T00:00:00"/>
    <s v="OPT-NIFTY-02-Dec-2025-26050-P-E-I"/>
    <s v="NSE"/>
    <s v="Buy"/>
    <n v="225"/>
    <n v="0"/>
    <n v="30.1"/>
    <n v="6772.5"/>
    <s v="#202512023700015551"/>
    <n v="0"/>
    <n v="2.41"/>
    <n v="0"/>
    <n v="0.01"/>
    <n v="87"/>
    <n v="16.100000000000001"/>
    <n v="105.52"/>
    <n v="2025"/>
    <n v="12"/>
    <x v="2"/>
    <n v="9"/>
    <s v="09"/>
    <s v="202509"/>
    <s v="Dec-25"/>
    <n v="-6878.02"/>
    <n v="-6.8780200000000002"/>
  </r>
  <r>
    <d v="2025-12-02T00:00:00"/>
    <s v="OPT-NIFTY-02-Dec-2025-26050-P-E-I"/>
    <s v="NSE"/>
    <s v="Buy"/>
    <n v="75"/>
    <n v="0"/>
    <n v="34"/>
    <n v="2550"/>
    <s v="#202512023700015171"/>
    <n v="0"/>
    <n v="0.91"/>
    <n v="0"/>
    <n v="0"/>
    <n v="29"/>
    <n v="5.38"/>
    <n v="35.29"/>
    <n v="2025"/>
    <n v="12"/>
    <x v="2"/>
    <n v="9"/>
    <s v="09"/>
    <s v="202509"/>
    <s v="Dec-25"/>
    <n v="-2585.29"/>
    <n v="-2.5852900000000001"/>
  </r>
  <r>
    <d v="2025-12-03T00:00:00"/>
    <s v="OPT-NIFTY-09-Dec-2025-26000-P-E-I"/>
    <s v="NSE"/>
    <s v="Buy"/>
    <n v="75"/>
    <n v="0"/>
    <n v="123.6"/>
    <n v="9270"/>
    <s v="#202512033700016479"/>
    <n v="0"/>
    <n v="3.29"/>
    <n v="0.28000000000000003"/>
    <n v="0.01"/>
    <n v="29"/>
    <n v="5.82"/>
    <n v="38.4"/>
    <n v="2025"/>
    <n v="12"/>
    <x v="2"/>
    <n v="9"/>
    <s v="09"/>
    <s v="202509"/>
    <s v="Dec-25"/>
    <n v="-9308.4"/>
    <n v="-9.3083999999999989"/>
  </r>
  <r>
    <d v="2025-12-03T00:00:00"/>
    <s v="OPT-NIFTY-09-Dec-2025-25950-C-E-I"/>
    <s v="NSE"/>
    <s v="Sell"/>
    <n v="75"/>
    <n v="0"/>
    <n v="149.9"/>
    <n v="11242.5"/>
    <s v="#202512033700010578"/>
    <n v="11"/>
    <n v="3.99"/>
    <n v="0"/>
    <n v="0.01"/>
    <n v="29"/>
    <n v="5.94"/>
    <n v="49.94"/>
    <n v="2025"/>
    <n v="12"/>
    <x v="2"/>
    <n v="9"/>
    <s v="09"/>
    <s v="202509"/>
    <s v="Dec-25"/>
    <n v="11192.56"/>
    <n v="11.19256"/>
  </r>
  <r>
    <d v="2025-12-03T00:00:00"/>
    <s v="OPT-NIFTY-09-Dec-2025-25950-C-E-I"/>
    <s v="NSE"/>
    <s v="Buy"/>
    <n v="75"/>
    <n v="0"/>
    <n v="144"/>
    <n v="10800"/>
    <s v="#202512033700010533"/>
    <n v="0"/>
    <n v="3.84"/>
    <n v="0.72"/>
    <n v="0.01"/>
    <n v="29"/>
    <n v="5.92"/>
    <n v="39.49"/>
    <n v="2025"/>
    <n v="12"/>
    <x v="2"/>
    <n v="9"/>
    <s v="09"/>
    <s v="202509"/>
    <s v="Dec-25"/>
    <n v="-10839.49"/>
    <n v="-10.83949"/>
  </r>
  <r>
    <d v="2025-12-04T00:00:00"/>
    <s v="OPT-NIFTY-09-Dec-2025-26000-P-E-I"/>
    <s v="NSE"/>
    <s v="Sell"/>
    <n v="75"/>
    <n v="0"/>
    <n v="63.95"/>
    <n v="4796.25"/>
    <s v="#202512043700010558"/>
    <n v="5"/>
    <n v="1.7"/>
    <n v="0"/>
    <n v="0"/>
    <n v="29"/>
    <n v="5.52"/>
    <n v="41.22"/>
    <n v="2025"/>
    <n v="12"/>
    <x v="2"/>
    <n v="9"/>
    <s v="09"/>
    <s v="202509"/>
    <s v="Dec-25"/>
    <n v="4755.03"/>
    <n v="4.7550299999999996"/>
  </r>
  <r>
    <d v="2025-12-05T00:00:00"/>
    <s v="OPT-NIFTY-09-Dec-2025-26100-P-E-I"/>
    <s v="NSE"/>
    <s v="Buy"/>
    <n v="75"/>
    <n v="0"/>
    <n v="67.25"/>
    <n v="5043.75"/>
    <s v="#202512053700013831"/>
    <n v="0"/>
    <n v="1.79"/>
    <n v="0"/>
    <n v="0.01"/>
    <n v="29"/>
    <n v="5.54"/>
    <n v="36.340000000000003"/>
    <n v="2025"/>
    <n v="12"/>
    <x v="2"/>
    <n v="9"/>
    <s v="09"/>
    <s v="202509"/>
    <s v="Dec-25"/>
    <n v="-5080.09"/>
    <n v="-5.0800900000000002"/>
  </r>
  <r>
    <d v="2025-12-08T00:00:00"/>
    <s v="OPT-NIFTY-09-Dec-2025-26100-P-E-I"/>
    <s v="NSE"/>
    <s v="Sell"/>
    <n v="75"/>
    <n v="0"/>
    <n v="77.25"/>
    <n v="5793.75"/>
    <s v="#202512083700013987"/>
    <n v="6"/>
    <n v="2.06"/>
    <n v="0"/>
    <n v="0.01"/>
    <n v="29"/>
    <n v="5.6"/>
    <n v="42.67"/>
    <n v="2025"/>
    <n v="12"/>
    <x v="2"/>
    <n v="9"/>
    <s v="09"/>
    <s v="202509"/>
    <s v="Dec-25"/>
    <n v="5751.08"/>
    <n v="5.75108"/>
  </r>
  <r>
    <d v="2025-12-11T00:00:00"/>
    <s v="OPT-NIFTY-16-Dec-2025-25800-P-E-I"/>
    <s v="NSE"/>
    <s v="Buy"/>
    <n v="75"/>
    <n v="0"/>
    <n v="61.25"/>
    <n v="4593.75"/>
    <s v="#202512113700024410"/>
    <n v="0"/>
    <n v="1.63"/>
    <n v="0"/>
    <n v="0"/>
    <n v="29"/>
    <n v="5.52"/>
    <n v="36.15"/>
    <n v="2025"/>
    <n v="12"/>
    <x v="2"/>
    <n v="9"/>
    <s v="09"/>
    <s v="202509"/>
    <s v="Dec-25"/>
    <n v="-4629.8999999999996"/>
    <n v="-4.6298999999999992"/>
  </r>
  <r>
    <d v="2025-12-11T00:00:00"/>
    <s v="OPT-NIFTY-16-Dec-2025-25800-P-E-I"/>
    <s v="NSE"/>
    <s v="Buy"/>
    <n v="75"/>
    <n v="0"/>
    <n v="82.25"/>
    <n v="6168.75"/>
    <s v="#202512113700015729"/>
    <n v="0"/>
    <n v="2.19"/>
    <n v="0"/>
    <n v="0.01"/>
    <n v="29"/>
    <n v="5.62"/>
    <n v="36.82"/>
    <n v="2025"/>
    <n v="12"/>
    <x v="2"/>
    <n v="9"/>
    <s v="09"/>
    <s v="202509"/>
    <s v="Dec-25"/>
    <n v="-6205.57"/>
    <n v="-6.2055699999999998"/>
  </r>
  <r>
    <d v="2025-12-12T00:00:00"/>
    <s v="OPT-NIFTY-16-Dec-2025-25800-P-E-I"/>
    <s v="NSE"/>
    <s v="Sell"/>
    <n v="750"/>
    <n v="0"/>
    <n v="13"/>
    <n v="9750"/>
    <s v="#202512123700036144"/>
    <n v="10"/>
    <n v="3.46"/>
    <n v="0"/>
    <n v="0.01"/>
    <n v="290"/>
    <n v="52.82"/>
    <n v="356.29"/>
    <n v="2025"/>
    <n v="12"/>
    <x v="2"/>
    <n v="9"/>
    <s v="09"/>
    <s v="202509"/>
    <s v="Dec-25"/>
    <n v="9393.7099999999991"/>
    <n v="9.3937099999999987"/>
  </r>
  <r>
    <d v="2025-12-12T00:00:00"/>
    <s v="OPT-NIFTY-16-Dec-2025-25800-P-E-I"/>
    <s v="NSE"/>
    <s v="Buy"/>
    <n v="150"/>
    <n v="0"/>
    <n v="18.100000000000001"/>
    <n v="2715"/>
    <s v="#202512123700020712"/>
    <n v="0"/>
    <n v="0.96"/>
    <n v="0"/>
    <n v="0"/>
    <n v="58"/>
    <n v="10.62"/>
    <n v="69.58"/>
    <n v="2025"/>
    <n v="12"/>
    <x v="2"/>
    <n v="9"/>
    <s v="09"/>
    <s v="202509"/>
    <s v="Dec-25"/>
    <n v="-2784.58"/>
    <n v="-2.7845800000000001"/>
  </r>
  <r>
    <d v="2025-12-12T00:00:00"/>
    <s v="OPT-NIFTY-16-Dec-2025-25800-P-E-I"/>
    <s v="NSE"/>
    <s v="Buy"/>
    <n v="150"/>
    <n v="0"/>
    <n v="19.25"/>
    <n v="2887.5"/>
    <s v="#202512123700018183"/>
    <n v="0"/>
    <n v="1.02"/>
    <n v="0"/>
    <n v="0"/>
    <n v="58"/>
    <n v="10.64"/>
    <n v="69.66"/>
    <n v="2025"/>
    <n v="12"/>
    <x v="2"/>
    <n v="9"/>
    <s v="09"/>
    <s v="202509"/>
    <s v="Dec-25"/>
    <n v="-2957.16"/>
    <n v="-2.95716"/>
  </r>
  <r>
    <d v="2025-12-12T00:00:00"/>
    <s v="OPT-NIFTY-16-Dec-2025-25800-P-E-I"/>
    <s v="NSE"/>
    <s v="Buy"/>
    <n v="150"/>
    <n v="0"/>
    <n v="21.25"/>
    <n v="3187.5"/>
    <s v="#202512123700016184"/>
    <n v="0"/>
    <n v="1.1299999999999999"/>
    <n v="0"/>
    <n v="0"/>
    <n v="58"/>
    <n v="10.64"/>
    <n v="69.77"/>
    <n v="2025"/>
    <n v="12"/>
    <x v="2"/>
    <n v="9"/>
    <s v="09"/>
    <s v="202509"/>
    <s v="Dec-25"/>
    <n v="-3257.27"/>
    <n v="-3.2572700000000001"/>
  </r>
  <r>
    <d v="2025-12-12T00:00:00"/>
    <s v="OPT-NIFTY-16-Dec-2025-25800-P-E-I"/>
    <s v="NSE"/>
    <s v="Buy"/>
    <n v="75"/>
    <n v="0"/>
    <n v="21.25"/>
    <n v="1593.75"/>
    <s v="#202512123700010037"/>
    <n v="0"/>
    <n v="0.56999999999999995"/>
    <n v="0"/>
    <n v="0"/>
    <n v="29"/>
    <n v="5.32"/>
    <n v="34.89"/>
    <n v="2025"/>
    <n v="12"/>
    <x v="2"/>
    <n v="9"/>
    <s v="09"/>
    <s v="202509"/>
    <s v="Dec-25"/>
    <n v="-1628.64"/>
    <n v="-1.6286400000000001"/>
  </r>
  <r>
    <d v="2025-12-12T00:00:00"/>
    <s v="OPT-NIFTY-16-Dec-2025-25800-P-E-I"/>
    <s v="NSE"/>
    <s v="Buy"/>
    <n v="75"/>
    <n v="0"/>
    <n v="29.1"/>
    <n v="2182.5"/>
    <s v="#202512122600001017"/>
    <n v="0"/>
    <n v="0.78"/>
    <n v="0"/>
    <n v="0"/>
    <n v="29"/>
    <n v="5.36"/>
    <n v="35.14"/>
    <n v="2025"/>
    <n v="12"/>
    <x v="2"/>
    <n v="9"/>
    <s v="09"/>
    <s v="202509"/>
    <s v="Dec-25"/>
    <n v="-2217.64"/>
    <n v="-2.2176399999999998"/>
  </r>
  <r>
    <d v="2026-01-13T00:00:00"/>
    <s v="OPT-NIFTY-20-Jan-2026-26050-C-E-I"/>
    <s v="NSE"/>
    <s v="Buy"/>
    <n v="65"/>
    <n v="0"/>
    <n v="67.25"/>
    <n v="4371.25"/>
    <s v="#202601133100025909"/>
    <n v="0"/>
    <n v="1.55"/>
    <n v="0"/>
    <n v="0"/>
    <n v="29"/>
    <n v="5.5"/>
    <n v="36.049999999999997"/>
    <n v="2026"/>
    <n v="1"/>
    <x v="2"/>
    <n v="10"/>
    <n v="10"/>
    <s v="202510"/>
    <s v="Jan-26"/>
    <n v="-4407.3"/>
    <n v="-4.4073000000000002"/>
  </r>
  <r>
    <d v="2026-01-19T00:00:00"/>
    <s v="OPT-NIFTY-20-Jan-2026-26050-C-E-I"/>
    <s v="NSE"/>
    <s v="Sell"/>
    <n v="65"/>
    <n v="0"/>
    <n v="4.4000000000000004"/>
    <n v="286"/>
    <s v="#202601193100004090"/>
    <n v="0"/>
    <n v="0.1"/>
    <n v="0"/>
    <n v="0"/>
    <n v="29"/>
    <n v="5.24"/>
    <n v="34.340000000000003"/>
    <n v="2026"/>
    <n v="1"/>
    <x v="2"/>
    <n v="10"/>
    <n v="10"/>
    <s v="202510"/>
    <s v="Jan-26"/>
    <n v="251.66"/>
    <n v="0.25165999999999999"/>
  </r>
  <r>
    <d v="2026-01-27T00:00:00"/>
    <s v="OPT-NIFTY-27-Jan-2026-25000-C-E-I"/>
    <s v="NSE"/>
    <s v="Sell"/>
    <n v="130"/>
    <n v="0"/>
    <n v="89.9"/>
    <n v="11687"/>
    <s v="#202601272700053910"/>
    <n v="11.69"/>
    <n v="4.1500000000000004"/>
    <n v="0"/>
    <n v="0.01"/>
    <n v="58"/>
    <n v="11.18"/>
    <n v="85.03"/>
    <n v="2026"/>
    <n v="1"/>
    <x v="2"/>
    <n v="10"/>
    <n v="10"/>
    <s v="202510"/>
    <s v="Jan-26"/>
    <n v="11601.97"/>
    <n v="11.60197"/>
  </r>
  <r>
    <d v="2026-01-27T00:00:00"/>
    <s v="OPT-NIFTY-27-Jan-2026-25000-C-E-I"/>
    <s v="NSE"/>
    <s v="Buy"/>
    <n v="65"/>
    <n v="0"/>
    <n v="82"/>
    <n v="5330"/>
    <s v="#202601272700049123"/>
    <n v="0"/>
    <n v="1.89"/>
    <n v="0.34"/>
    <n v="0.01"/>
    <n v="29"/>
    <n v="5.56"/>
    <n v="36.799999999999997"/>
    <n v="2026"/>
    <n v="1"/>
    <x v="2"/>
    <n v="10"/>
    <n v="10"/>
    <s v="202510"/>
    <s v="Jan-26"/>
    <n v="-5366.8"/>
    <n v="-5.3668000000000005"/>
  </r>
  <r>
    <d v="2026-01-27T00:00:00"/>
    <s v="OPT-NIFTY-27-Jan-2026-25000-C-E-I"/>
    <s v="NSE"/>
    <s v="Buy"/>
    <n v="65"/>
    <n v="0"/>
    <n v="91"/>
    <n v="5915"/>
    <s v="#202601272700048910"/>
    <n v="0"/>
    <n v="2.1"/>
    <n v="0"/>
    <n v="0.01"/>
    <n v="29"/>
    <n v="5.6"/>
    <n v="36.71"/>
    <n v="2026"/>
    <n v="1"/>
    <x v="2"/>
    <n v="10"/>
    <n v="10"/>
    <s v="202510"/>
    <s v="Jan-26"/>
    <n v="-5951.71"/>
    <n v="-5.9517100000000003"/>
  </r>
  <r>
    <d v="2026-01-27T00:00:00"/>
    <s v="OPT-NIFTY-27-Jan-2026-24950-C-E-I"/>
    <s v="NSE"/>
    <s v="Sell"/>
    <n v="65"/>
    <n v="0"/>
    <n v="195.25"/>
    <n v="12691.25"/>
    <s v="#202601272700010103"/>
    <n v="12.69"/>
    <n v="4.51"/>
    <n v="0"/>
    <n v="0.01"/>
    <n v="29"/>
    <n v="6.04"/>
    <n v="52.25"/>
    <n v="2026"/>
    <n v="1"/>
    <x v="2"/>
    <n v="10"/>
    <n v="10"/>
    <s v="202510"/>
    <s v="Jan-26"/>
    <n v="12639"/>
    <n v="12.638999999999999"/>
  </r>
  <r>
    <d v="2026-01-27T00:00:00"/>
    <s v="OPT-NIFTY-27-Jan-2026-24950-C-E-I"/>
    <s v="NSE"/>
    <s v="Sell"/>
    <n v="65"/>
    <n v="0"/>
    <n v="181.25"/>
    <n v="11781.25"/>
    <s v="#202601272700009601"/>
    <n v="11.62"/>
    <n v="4.1900000000000004"/>
    <n v="0"/>
    <n v="0.01"/>
    <n v="29"/>
    <n v="5.98"/>
    <n v="50.8"/>
    <n v="2026"/>
    <n v="1"/>
    <x v="2"/>
    <n v="10"/>
    <n v="10"/>
    <s v="202510"/>
    <s v="Jan-26"/>
    <n v="11730.45"/>
    <n v="11.730450000000001"/>
  </r>
  <r>
    <d v="2026-01-27T00:00:00"/>
    <s v="OPT-NIFTY-27-Jan-2026-24950-C-E-I"/>
    <s v="NSE"/>
    <s v="Buy"/>
    <n v="65"/>
    <n v="0"/>
    <n v="191.25"/>
    <n v="12431.25"/>
    <s v="#202601272700006358"/>
    <n v="0"/>
    <n v="4.42"/>
    <n v="0"/>
    <n v="0.01"/>
    <n v="29"/>
    <n v="6.02"/>
    <n v="39.450000000000003"/>
    <n v="2026"/>
    <n v="1"/>
    <x v="2"/>
    <n v="10"/>
    <n v="10"/>
    <s v="202510"/>
    <s v="Jan-26"/>
    <n v="-12470.7"/>
    <n v="-12.470700000000001"/>
  </r>
  <r>
    <d v="2026-01-27T00:00:00"/>
    <s v="OPT-NIFTY-27-Jan-2026-24950-C-E-I"/>
    <s v="NSE"/>
    <s v="Buy"/>
    <n v="65"/>
    <n v="0"/>
    <n v="109.3"/>
    <n v="7104.5"/>
    <s v="#202601272700005475"/>
    <n v="0"/>
    <n v="2.52"/>
    <n v="0.66"/>
    <n v="0.01"/>
    <n v="29"/>
    <n v="5.68"/>
    <n v="37.869999999999997"/>
    <n v="2026"/>
    <n v="1"/>
    <x v="2"/>
    <n v="10"/>
    <n v="10"/>
    <s v="202510"/>
    <s v="Jan-26"/>
    <n v="-7142.37"/>
    <n v="-7.1423699999999997"/>
  </r>
  <r>
    <d v="2026-01-28T00:00:00"/>
    <s v="OPT-NIFTY-03-Feb-2026-25300-P-E-I"/>
    <s v="NSE"/>
    <s v="Sell"/>
    <n v="195"/>
    <n v="0"/>
    <n v="209.9"/>
    <n v="40930.5"/>
    <s v="#202601282700019192"/>
    <n v="40.93"/>
    <n v="14.54"/>
    <n v="0"/>
    <n v="0.04"/>
    <n v="87"/>
    <n v="18.28"/>
    <n v="160.79"/>
    <n v="2026"/>
    <n v="1"/>
    <x v="2"/>
    <n v="10"/>
    <n v="10"/>
    <s v="202510"/>
    <s v="Jan-26"/>
    <n v="40769.71"/>
    <n v="40.769709999999996"/>
  </r>
  <r>
    <d v="2026-01-28T00:00:00"/>
    <s v="OPT-NIFTY-03-Feb-2026-25300-P-E-I"/>
    <s v="NSE"/>
    <s v="Buy"/>
    <n v="195"/>
    <n v="0"/>
    <n v="202.4"/>
    <n v="39468"/>
    <s v="#202601282700019168"/>
    <n v="0"/>
    <n v="14.01"/>
    <n v="0"/>
    <n v="0.03"/>
    <n v="87"/>
    <n v="18.18"/>
    <n v="119.22"/>
    <n v="2026"/>
    <n v="1"/>
    <x v="2"/>
    <n v="10"/>
    <n v="10"/>
    <s v="202510"/>
    <s v="Jan-26"/>
    <n v="-39587.22"/>
    <n v="-39.587220000000002"/>
  </r>
  <r>
    <d v="2026-01-28T00:00:00"/>
    <s v="OPT-NIFTY-03-Feb-2026-25400-C-E-I"/>
    <s v="NSE"/>
    <s v="Sell"/>
    <n v="195"/>
    <n v="0"/>
    <n v="179.25"/>
    <n v="34953.75"/>
    <s v="#202601282700019090"/>
    <n v="34.950000000000003"/>
    <n v="12.42"/>
    <n v="0"/>
    <n v="0.04"/>
    <n v="87"/>
    <n v="17.899999999999999"/>
    <n v="152.31"/>
    <n v="2026"/>
    <n v="1"/>
    <x v="2"/>
    <n v="10"/>
    <n v="10"/>
    <s v="202510"/>
    <s v="Jan-26"/>
    <n v="34801.440000000002"/>
    <n v="34.801439999999999"/>
  </r>
  <r>
    <d v="2026-01-28T00:00:00"/>
    <s v="OPT-NIFTY-03-Feb-2026-25400-C-E-I"/>
    <s v="NSE"/>
    <s v="Buy"/>
    <n v="65"/>
    <n v="0"/>
    <n v="190.25"/>
    <n v="12366.25"/>
    <s v="#202601282700018753"/>
    <n v="0"/>
    <n v="4.3899999999999997"/>
    <n v="0"/>
    <n v="0.01"/>
    <n v="29"/>
    <n v="6.02"/>
    <n v="39.42"/>
    <n v="2026"/>
    <n v="1"/>
    <x v="2"/>
    <n v="10"/>
    <n v="10"/>
    <s v="202510"/>
    <s v="Jan-26"/>
    <n v="-12405.67"/>
    <n v="-12.405670000000001"/>
  </r>
  <r>
    <d v="2026-01-28T00:00:00"/>
    <s v="OPT-NIFTY-03-Feb-2026-25400-C-E-I"/>
    <s v="NSE"/>
    <s v="Buy"/>
    <n v="130"/>
    <n v="0"/>
    <n v="200.4"/>
    <n v="26052"/>
    <s v="#202601282700017879"/>
    <n v="0"/>
    <n v="9.26"/>
    <n v="1.1499999999999999"/>
    <n v="0.03"/>
    <n v="58"/>
    <n v="12.12"/>
    <n v="80.56"/>
    <n v="2026"/>
    <n v="1"/>
    <x v="2"/>
    <n v="10"/>
    <n v="10"/>
    <s v="202510"/>
    <s v="Jan-26"/>
    <n v="-26132.560000000001"/>
    <n v="-26.132560000000002"/>
  </r>
  <r>
    <d v="2026-01-28T00:00:00"/>
    <s v="OPT-NIFTY-03-Feb-2026-25300-P-E-I"/>
    <s v="NSE"/>
    <s v="Sell"/>
    <n v="65"/>
    <n v="0"/>
    <n v="219.9"/>
    <n v="14293.5"/>
    <s v="#202601282700004408"/>
    <n v="14.12"/>
    <n v="5.08"/>
    <n v="0"/>
    <n v="0.01"/>
    <n v="29"/>
    <n v="6.14"/>
    <n v="54.35"/>
    <n v="2026"/>
    <n v="1"/>
    <x v="2"/>
    <n v="10"/>
    <n v="10"/>
    <s v="202510"/>
    <s v="Jan-26"/>
    <n v="14239.15"/>
    <n v="14.23915"/>
  </r>
  <r>
    <d v="2026-01-28T00:00:00"/>
    <s v="OPT-NIFTY-03-Feb-2026-25300-P-E-I"/>
    <s v="NSE"/>
    <s v="Buy"/>
    <n v="65"/>
    <n v="0"/>
    <n v="203.1"/>
    <n v="13201.5"/>
    <s v="#202601282700004257"/>
    <n v="0"/>
    <n v="4.6900000000000004"/>
    <n v="1.85"/>
    <n v="0.01"/>
    <n v="29"/>
    <n v="6.06"/>
    <n v="41.61"/>
    <n v="2026"/>
    <n v="1"/>
    <x v="2"/>
    <n v="10"/>
    <n v="10"/>
    <s v="202510"/>
    <s v="Jan-26"/>
    <n v="-13243.11"/>
    <n v="-13.24311"/>
  </r>
  <r>
    <d v="2026-01-29T00:00:00"/>
    <s v="OPT-NIFTY-03-Feb-2026-25400-P-E-I"/>
    <s v="NSE"/>
    <s v="Sell"/>
    <n v="130"/>
    <n v="0"/>
    <n v="167.8"/>
    <n v="21814"/>
    <s v="#202601292700028824"/>
    <n v="21.81"/>
    <n v="7.75"/>
    <n v="0"/>
    <n v="0.02"/>
    <n v="58"/>
    <n v="11.84"/>
    <n v="99.42"/>
    <n v="2026"/>
    <n v="1"/>
    <x v="2"/>
    <n v="10"/>
    <n v="10"/>
    <s v="202510"/>
    <s v="Jan-26"/>
    <n v="21714.58"/>
    <n v="21.714580000000002"/>
  </r>
  <r>
    <d v="2026-01-29T00:00:00"/>
    <s v="OPT-NIFTY-03-Feb-2026-25400-P-E-I"/>
    <s v="NSE"/>
    <s v="Buy"/>
    <n v="130"/>
    <n v="0"/>
    <n v="178.75"/>
    <n v="23237.5"/>
    <s v="#202601292700028229"/>
    <n v="0"/>
    <n v="8.26"/>
    <n v="0.61"/>
    <n v="0.02"/>
    <n v="58"/>
    <n v="11.92"/>
    <n v="78.81"/>
    <n v="2026"/>
    <n v="1"/>
    <x v="2"/>
    <n v="10"/>
    <n v="10"/>
    <s v="202510"/>
    <s v="Jan-26"/>
    <n v="-23316.31"/>
    <n v="-23.316310000000001"/>
  </r>
  <r>
    <d v="2026-01-29T00:00:00"/>
    <s v="OPT-NIFTY-03-Feb-2026-25300-C-E-I"/>
    <s v="NSE"/>
    <s v="Sell"/>
    <n v="65"/>
    <n v="0"/>
    <n v="161.55000000000001"/>
    <n v="10500.75"/>
    <s v="#202601292700012571"/>
    <n v="10.19"/>
    <n v="3.73"/>
    <n v="0"/>
    <n v="0.01"/>
    <n v="29"/>
    <n v="5.9"/>
    <n v="48.83"/>
    <n v="2026"/>
    <n v="1"/>
    <x v="2"/>
    <n v="10"/>
    <n v="10"/>
    <s v="202510"/>
    <s v="Jan-26"/>
    <n v="10451.92"/>
    <n v="10.451919999999999"/>
  </r>
  <r>
    <d v="2026-01-29T00:00:00"/>
    <s v="OPT-NIFTY-03-Feb-2026-25300-C-E-I"/>
    <s v="NSE"/>
    <s v="Buy"/>
    <n v="65"/>
    <n v="0"/>
    <n v="199.6"/>
    <n v="12974"/>
    <s v="#202601292700003148"/>
    <n v="0"/>
    <n v="4.6100000000000003"/>
    <n v="0.39"/>
    <n v="0.01"/>
    <n v="29"/>
    <n v="6.06"/>
    <n v="40.07"/>
    <n v="2026"/>
    <n v="1"/>
    <x v="2"/>
    <n v="10"/>
    <n v="10"/>
    <s v="202510"/>
    <s v="Jan-26"/>
    <n v="-13014.07"/>
    <n v="-13.01407"/>
  </r>
  <r>
    <d v="2026-01-30T00:00:00"/>
    <s v="OPT-NIFTY-03-Feb-2026-25250-C-E-I"/>
    <s v="NSE"/>
    <s v="Sell"/>
    <n v="65"/>
    <n v="0"/>
    <n v="251.55"/>
    <n v="16350.75"/>
    <s v="#202601302700035394"/>
    <n v="16"/>
    <n v="5.81"/>
    <n v="0"/>
    <n v="0.02"/>
    <n v="29"/>
    <n v="6.26"/>
    <n v="57.09"/>
    <n v="2026"/>
    <n v="1"/>
    <x v="2"/>
    <n v="10"/>
    <n v="10"/>
    <s v="202510"/>
    <s v="Jan-26"/>
    <n v="16293.66"/>
    <n v="16.293659999999999"/>
  </r>
  <r>
    <d v="2026-01-30T00:00:00"/>
    <s v="OPT-NIFTY-03-Feb-2026-25250-C-E-I"/>
    <s v="NSE"/>
    <s v="Buy"/>
    <n v="65"/>
    <n v="0"/>
    <n v="250.55"/>
    <n v="16285.75"/>
    <s v="#202601302700035163"/>
    <n v="0"/>
    <n v="5.79"/>
    <n v="0"/>
    <n v="0.02"/>
    <n v="29"/>
    <n v="6.26"/>
    <n v="41.07"/>
    <n v="2026"/>
    <n v="1"/>
    <x v="2"/>
    <n v="10"/>
    <n v="10"/>
    <s v="202510"/>
    <s v="Jan-26"/>
    <n v="-16326.82"/>
    <n v="-16.326820000000001"/>
  </r>
  <r>
    <d v="2026-01-30T00:00:00"/>
    <s v="OPT-NIFTY-03-Feb-2026-25250-C-E-I"/>
    <s v="NSE"/>
    <s v="Sell"/>
    <n v="65"/>
    <n v="0"/>
    <n v="259.89999999999998"/>
    <n v="16893.5"/>
    <s v="#202601302700033361"/>
    <n v="16.89"/>
    <n v="6"/>
    <n v="0"/>
    <n v="0.02"/>
    <n v="29"/>
    <n v="6.3"/>
    <n v="58.21"/>
    <n v="2026"/>
    <n v="1"/>
    <x v="2"/>
    <n v="10"/>
    <n v="10"/>
    <s v="202510"/>
    <s v="Jan-26"/>
    <n v="16835.29"/>
    <n v="16.835290000000001"/>
  </r>
  <r>
    <d v="2026-01-30T00:00:00"/>
    <s v="OPT-NIFTY-03-Feb-2026-25250-C-E-I"/>
    <s v="NSE"/>
    <s v="Buy"/>
    <n v="65"/>
    <n v="0"/>
    <n v="234.8"/>
    <n v="15262"/>
    <s v="#202601302700032962"/>
    <n v="0"/>
    <n v="5.42"/>
    <n v="0"/>
    <n v="0.02"/>
    <n v="29"/>
    <n v="6.2"/>
    <n v="40.64"/>
    <n v="2026"/>
    <n v="1"/>
    <x v="2"/>
    <n v="10"/>
    <n v="10"/>
    <s v="202510"/>
    <s v="Jan-26"/>
    <n v="-15302.64"/>
    <n v="-15.30264"/>
  </r>
  <r>
    <d v="2026-01-30T00:00:00"/>
    <s v="OPT-NIFTY-03-Feb-2026-25300-P-E-I"/>
    <s v="NSE"/>
    <s v="Sell"/>
    <n v="65"/>
    <n v="0"/>
    <n v="208.8"/>
    <n v="13572"/>
    <s v="#202601302700020593"/>
    <n v="13.57"/>
    <n v="4.82"/>
    <n v="0"/>
    <n v="0.01"/>
    <n v="29"/>
    <n v="6.1"/>
    <n v="53.5"/>
    <n v="2026"/>
    <n v="1"/>
    <x v="2"/>
    <n v="10"/>
    <n v="10"/>
    <s v="202510"/>
    <s v="Jan-26"/>
    <n v="13518.5"/>
    <n v="13.5185"/>
  </r>
  <r>
    <d v="2026-01-30T00:00:00"/>
    <s v="OPT-NIFTY-03-Feb-2026-25300-P-E-I"/>
    <s v="NSE"/>
    <s v="Buy"/>
    <n v="65"/>
    <n v="0"/>
    <n v="217.6"/>
    <n v="14144"/>
    <s v="#202601302700020353"/>
    <n v="0"/>
    <n v="5.03"/>
    <n v="0.42"/>
    <n v="0.01"/>
    <n v="29"/>
    <n v="6.12"/>
    <n v="40.58"/>
    <n v="2026"/>
    <n v="1"/>
    <x v="2"/>
    <n v="10"/>
    <n v="10"/>
    <s v="202510"/>
    <s v="Jan-26"/>
    <n v="-14184.58"/>
    <n v="-14.18458"/>
  </r>
  <r>
    <d v="2026-01-30T00:00:00"/>
    <s v="OPT-NIFTY-03-Feb-2026-25250-C-E-I"/>
    <s v="NSE"/>
    <s v="Sell"/>
    <n v="130"/>
    <n v="0"/>
    <n v="234.9"/>
    <n v="30537"/>
    <s v="#202601302700005687"/>
    <n v="30.54"/>
    <n v="10.85"/>
    <n v="0"/>
    <n v="0.03"/>
    <n v="58"/>
    <n v="12.4"/>
    <n v="111.82"/>
    <n v="2026"/>
    <n v="1"/>
    <x v="2"/>
    <n v="10"/>
    <n v="10"/>
    <s v="202510"/>
    <s v="Jan-26"/>
    <n v="30425.18"/>
    <n v="30.425180000000001"/>
  </r>
  <r>
    <d v="2026-01-30T00:00:00"/>
    <s v="OPT-NIFTY-03-Feb-2026-25250-C-E-I"/>
    <s v="NSE"/>
    <s v="Buy"/>
    <n v="130"/>
    <n v="0"/>
    <n v="201.25"/>
    <n v="26162.5"/>
    <s v="#202601302700002911"/>
    <n v="0"/>
    <n v="9.3000000000000007"/>
    <n v="1.58"/>
    <n v="0.02"/>
    <n v="58"/>
    <n v="12.12"/>
    <n v="81.02"/>
    <n v="2026"/>
    <n v="1"/>
    <x v="2"/>
    <n v="10"/>
    <n v="10"/>
    <s v="202510"/>
    <s v="Jan-26"/>
    <n v="-26243.52"/>
    <n v="-26.24352"/>
  </r>
  <r>
    <d v="2026-02-01T00:00:00"/>
    <s v="OPT-NIFTY-03-Feb-2026-25000-C-E-I"/>
    <s v="NSE"/>
    <s v="Sell"/>
    <n v="65"/>
    <n v="0"/>
    <n v="197.25"/>
    <n v="12821.25"/>
    <s v="#202602012700051991"/>
    <n v="12.82"/>
    <n v="4.5599999999999996"/>
    <n v="0"/>
    <n v="0.01"/>
    <n v="29"/>
    <n v="6.04"/>
    <n v="52.43"/>
    <n v="2026"/>
    <n v="2"/>
    <x v="2"/>
    <n v="11"/>
    <n v="11"/>
    <s v="202511"/>
    <s v="Feb-26"/>
    <n v="12768.82"/>
    <n v="12.76882"/>
  </r>
  <r>
    <d v="2026-02-01T00:00:00"/>
    <s v="OPT-NIFTY-03-Feb-2026-25000-C-E-I"/>
    <s v="NSE"/>
    <s v="Buy"/>
    <n v="65"/>
    <n v="0"/>
    <n v="182.5"/>
    <n v="11862.5"/>
    <s v="#202602012700051727"/>
    <n v="0"/>
    <n v="4.21"/>
    <n v="0.36"/>
    <n v="0.01"/>
    <n v="29"/>
    <n v="5.98"/>
    <n v="39.56"/>
    <n v="2026"/>
    <n v="2"/>
    <x v="2"/>
    <n v="11"/>
    <n v="11"/>
    <s v="202511"/>
    <s v="Feb-26"/>
    <n v="-11902.06"/>
    <n v="-11.902059999999999"/>
  </r>
  <r>
    <d v="2026-02-01T00:00:00"/>
    <s v="OPT-NIFTY-03-Feb-2026-25300-C-E-I"/>
    <s v="NSE"/>
    <s v="Sell"/>
    <n v="130"/>
    <n v="0"/>
    <n v="80.849999999999994"/>
    <n v="10510.5"/>
    <s v="#202602012700037006"/>
    <n v="10.52"/>
    <n v="3.74"/>
    <n v="0"/>
    <n v="0.02"/>
    <n v="58"/>
    <n v="11.12"/>
    <n v="83.4"/>
    <n v="2026"/>
    <n v="2"/>
    <x v="2"/>
    <n v="11"/>
    <n v="11"/>
    <s v="202511"/>
    <s v="Feb-26"/>
    <n v="10427.1"/>
    <n v="10.427100000000001"/>
  </r>
  <r>
    <d v="2026-02-01T00:00:00"/>
    <s v="OPT-NIFTY-03-Feb-2026-25300-C-E-I"/>
    <s v="NSE"/>
    <s v="Buy"/>
    <n v="130"/>
    <n v="0"/>
    <n v="67.150000000000006"/>
    <n v="8729.5"/>
    <s v="#202602012700036696"/>
    <n v="0"/>
    <n v="3.1"/>
    <n v="0.23"/>
    <n v="0.01"/>
    <n v="58"/>
    <n v="11"/>
    <n v="72.34"/>
    <n v="2026"/>
    <n v="2"/>
    <x v="2"/>
    <n v="11"/>
    <n v="11"/>
    <s v="202511"/>
    <s v="Feb-26"/>
    <n v="-8801.84"/>
    <n v="-8.8018400000000003"/>
  </r>
  <r>
    <d v="2026-02-01T00:00:00"/>
    <s v="OPT-NIFTY-03-Feb-2026-25350-P-E-I"/>
    <s v="NSE"/>
    <s v="Sell"/>
    <n v="65"/>
    <n v="0"/>
    <n v="202"/>
    <n v="13130"/>
    <s v="#202602012700007743"/>
    <n v="13.13"/>
    <n v="4.67"/>
    <n v="0"/>
    <n v="0.01"/>
    <n v="29"/>
    <n v="6.06"/>
    <n v="52.87"/>
    <n v="2026"/>
    <n v="2"/>
    <x v="2"/>
    <n v="11"/>
    <n v="11"/>
    <s v="202511"/>
    <s v="Feb-26"/>
    <n v="13077.13"/>
    <n v="13.077129999999999"/>
  </r>
  <r>
    <d v="2026-02-01T00:00:00"/>
    <s v="OPT-NIFTY-03-Feb-2026-25350-P-E-I"/>
    <s v="NSE"/>
    <s v="Buy"/>
    <n v="65"/>
    <n v="0"/>
    <n v="208.65"/>
    <n v="13562.25"/>
    <s v="#202602012700006537"/>
    <n v="0"/>
    <n v="4.82"/>
    <n v="0.41"/>
    <n v="0.01"/>
    <n v="29"/>
    <n v="6.1"/>
    <n v="40.340000000000003"/>
    <n v="2026"/>
    <n v="2"/>
    <x v="2"/>
    <n v="11"/>
    <n v="11"/>
    <s v="202511"/>
    <s v="Feb-26"/>
    <n v="-13602.59"/>
    <n v="-13.602589999999999"/>
  </r>
  <r>
    <d v="2026-02-01T00:00:00"/>
    <s v="OPT-NIFTY-03-Feb-2026-25300-C-E-I"/>
    <s v="NSE"/>
    <s v="Sell"/>
    <n v="65"/>
    <n v="0"/>
    <n v="208"/>
    <n v="13520"/>
    <s v="#202602012700003044"/>
    <n v="13.54"/>
    <n v="4.8"/>
    <n v="0"/>
    <n v="0.01"/>
    <n v="29"/>
    <n v="6.08"/>
    <n v="53.43"/>
    <n v="2026"/>
    <n v="2"/>
    <x v="2"/>
    <n v="11"/>
    <n v="11"/>
    <s v="202511"/>
    <s v="Feb-26"/>
    <n v="13466.57"/>
    <n v="13.466569999999999"/>
  </r>
  <r>
    <d v="2026-02-01T00:00:00"/>
    <s v="OPT-NIFTY-03-Feb-2026-25300-C-E-I"/>
    <s v="NSE"/>
    <s v="Buy"/>
    <n v="65"/>
    <n v="0"/>
    <n v="203.65"/>
    <n v="13237.25"/>
    <s v="#202602012700001323"/>
    <n v="0"/>
    <n v="4.7"/>
    <n v="0"/>
    <n v="0.01"/>
    <n v="29"/>
    <n v="6.06"/>
    <n v="39.770000000000003"/>
    <n v="2026"/>
    <n v="2"/>
    <x v="2"/>
    <n v="11"/>
    <n v="11"/>
    <s v="202511"/>
    <s v="Feb-26"/>
    <n v="-13277.02"/>
    <n v="-13.27702"/>
  </r>
  <r>
    <d v="2026-02-02T00:00:00"/>
    <s v="OPT-NIFTY-03-Feb-2026-25000-P-E-I"/>
    <s v="NSE"/>
    <s v="Sell"/>
    <n v="130"/>
    <n v="0"/>
    <n v="147.9"/>
    <n v="19227"/>
    <s v="#202602022700015491"/>
    <n v="19.22"/>
    <n v="6.84"/>
    <n v="0"/>
    <n v="0.02"/>
    <n v="58"/>
    <n v="11.68"/>
    <n v="95.76"/>
    <n v="2026"/>
    <n v="2"/>
    <x v="2"/>
    <n v="11"/>
    <n v="11"/>
    <s v="202511"/>
    <s v="Feb-26"/>
    <n v="19131.240000000002"/>
    <n v="19.131240000000002"/>
  </r>
  <r>
    <d v="2026-02-02T00:00:00"/>
    <s v="OPT-NIFTY-03-Feb-2026-25000-P-E-I"/>
    <s v="NSE"/>
    <s v="Buy"/>
    <n v="130"/>
    <n v="0"/>
    <n v="121.75"/>
    <n v="15827.5"/>
    <s v="#202602022700015225"/>
    <n v="0"/>
    <n v="5.62"/>
    <n v="0.47"/>
    <n v="0.02"/>
    <n v="58"/>
    <n v="11.46"/>
    <n v="75.569999999999993"/>
    <n v="2026"/>
    <n v="2"/>
    <x v="2"/>
    <n v="11"/>
    <n v="11"/>
    <s v="202511"/>
    <s v="Feb-26"/>
    <n v="-15903.07"/>
    <n v="-15.90307"/>
  </r>
  <r>
    <d v="2026-02-02T00:00:00"/>
    <s v="OPT-NIFTY-03-Feb-2026-24750-C-E-I"/>
    <s v="NSE"/>
    <s v="Sell"/>
    <n v="65"/>
    <n v="0"/>
    <n v="209.9"/>
    <n v="13643.5"/>
    <s v="#202602022700010801"/>
    <n v="13.64"/>
    <n v="4.8499999999999996"/>
    <n v="0"/>
    <n v="0.01"/>
    <n v="29"/>
    <n v="6.1"/>
    <n v="53.6"/>
    <n v="2026"/>
    <n v="2"/>
    <x v="2"/>
    <n v="11"/>
    <n v="11"/>
    <s v="202511"/>
    <s v="Feb-26"/>
    <n v="13589.9"/>
    <n v="13.5899"/>
  </r>
  <r>
    <d v="2026-02-02T00:00:00"/>
    <s v="OPT-NIFTY-03-Feb-2026-24750-C-E-I"/>
    <s v="NSE"/>
    <s v="Buy"/>
    <n v="65"/>
    <n v="0"/>
    <n v="192.55"/>
    <n v="12515.75"/>
    <s v="#202602022700010309"/>
    <n v="0"/>
    <n v="4.45"/>
    <n v="0"/>
    <n v="0.01"/>
    <n v="29"/>
    <n v="6.02"/>
    <n v="39.479999999999997"/>
    <n v="2026"/>
    <n v="2"/>
    <x v="2"/>
    <n v="11"/>
    <n v="11"/>
    <s v="202511"/>
    <s v="Feb-26"/>
    <n v="-12555.23"/>
    <n v="-12.55523"/>
  </r>
  <r>
    <d v="2026-02-02T00:00:00"/>
    <s v="OPT-NIFTY-03-Feb-2026-24750-C-E-I"/>
    <s v="NSE"/>
    <s v="Sell"/>
    <n v="65"/>
    <n v="0"/>
    <n v="114.15"/>
    <n v="7419.75"/>
    <s v="#202602022700008155"/>
    <n v="7.42"/>
    <n v="2.64"/>
    <n v="0"/>
    <n v="0.01"/>
    <n v="29"/>
    <n v="5.7"/>
    <n v="44.77"/>
    <n v="2026"/>
    <n v="2"/>
    <x v="2"/>
    <n v="11"/>
    <n v="11"/>
    <s v="202511"/>
    <s v="Feb-26"/>
    <n v="7374.98"/>
    <n v="7.3749799999999999"/>
  </r>
  <r>
    <d v="2026-02-02T00:00:00"/>
    <s v="OPT-NIFTY-03-Feb-2026-24750-C-E-I"/>
    <s v="NSE"/>
    <s v="Buy"/>
    <n v="65"/>
    <n v="0"/>
    <n v="116.4"/>
    <n v="7566"/>
    <s v="#202602022700007860"/>
    <n v="0"/>
    <n v="2.69"/>
    <n v="0.19"/>
    <n v="0.01"/>
    <n v="29"/>
    <n v="5.7"/>
    <n v="37.590000000000003"/>
    <n v="2026"/>
    <n v="2"/>
    <x v="2"/>
    <n v="11"/>
    <n v="11"/>
    <s v="202511"/>
    <s v="Feb-26"/>
    <n v="-7603.59"/>
    <n v="-7.6035900000000005"/>
  </r>
  <r>
    <d v="2026-02-02T00:00:00"/>
    <s v="OPT-NIFTY-03-Feb-2026-24900-P-E-I"/>
    <s v="NSE"/>
    <s v="Sell"/>
    <n v="65"/>
    <n v="0"/>
    <n v="196.9"/>
    <n v="12798.5"/>
    <s v="#202602022700004481"/>
    <n v="12.71"/>
    <n v="4.55"/>
    <n v="0"/>
    <n v="0.01"/>
    <n v="29"/>
    <n v="6.04"/>
    <n v="52.31"/>
    <n v="2026"/>
    <n v="2"/>
    <x v="2"/>
    <n v="11"/>
    <n v="11"/>
    <s v="202511"/>
    <s v="Feb-26"/>
    <n v="12746.19"/>
    <n v="12.74619"/>
  </r>
  <r>
    <d v="2026-02-02T00:00:00"/>
    <s v="OPT-NIFTY-03-Feb-2026-24900-P-E-I"/>
    <s v="NSE"/>
    <s v="Buy"/>
    <n v="65"/>
    <n v="0"/>
    <n v="176.65"/>
    <n v="11482.25"/>
    <s v="#202602022700003161"/>
    <n v="0"/>
    <n v="4.08"/>
    <n v="0.34"/>
    <n v="0.01"/>
    <n v="29"/>
    <n v="5.96"/>
    <n v="39.39"/>
    <n v="2026"/>
    <n v="2"/>
    <x v="2"/>
    <n v="11"/>
    <n v="11"/>
    <s v="202511"/>
    <s v="Feb-26"/>
    <n v="-11521.64"/>
    <n v="-11.52164"/>
  </r>
  <r>
    <d v="2026-02-03T00:00:00"/>
    <s v="OPT-NIFTY-03-Feb-2026-25850-P-E-I"/>
    <s v="NSE"/>
    <s v="Sell"/>
    <n v="195"/>
    <n v="0"/>
    <n v="109.9"/>
    <n v="21430.5"/>
    <s v="#202602032700041857"/>
    <n v="21"/>
    <n v="7.61"/>
    <n v="0"/>
    <n v="0.02"/>
    <n v="87"/>
    <n v="17.04"/>
    <n v="132.66999999999999"/>
    <n v="2026"/>
    <n v="2"/>
    <x v="2"/>
    <n v="11"/>
    <n v="11"/>
    <s v="202511"/>
    <s v="Feb-26"/>
    <n v="21297.83"/>
    <n v="21.297830000000001"/>
  </r>
  <r>
    <d v="2026-02-03T00:00:00"/>
    <s v="OPT-NIFTY-03-Feb-2026-25850-P-E-I"/>
    <s v="NSE"/>
    <s v="Buy"/>
    <n v="65"/>
    <n v="0"/>
    <n v="102.35"/>
    <n v="6652.75"/>
    <s v="#202602032700024018"/>
    <n v="0"/>
    <n v="2.36"/>
    <n v="0"/>
    <n v="0.01"/>
    <n v="29"/>
    <n v="5.64"/>
    <n v="37.01"/>
    <n v="2026"/>
    <n v="2"/>
    <x v="2"/>
    <n v="11"/>
    <n v="11"/>
    <s v="202511"/>
    <s v="Feb-26"/>
    <n v="-6689.76"/>
    <n v="-6.6897600000000006"/>
  </r>
  <r>
    <d v="2026-02-03T00:00:00"/>
    <s v="OPT-NIFTY-03-Feb-2026-25850-P-E-I"/>
    <s v="NSE"/>
    <s v="Buy"/>
    <n v="65"/>
    <n v="0"/>
    <n v="161.1"/>
    <n v="10471.5"/>
    <s v="#202602032700017343"/>
    <n v="0"/>
    <n v="3.72"/>
    <n v="0"/>
    <n v="0.01"/>
    <n v="29"/>
    <n v="5.9"/>
    <n v="38.630000000000003"/>
    <n v="2026"/>
    <n v="2"/>
    <x v="2"/>
    <n v="11"/>
    <n v="11"/>
    <s v="202511"/>
    <s v="Feb-26"/>
    <n v="-10510.13"/>
    <n v="-10.510129999999998"/>
  </r>
  <r>
    <d v="2026-02-03T00:00:00"/>
    <s v="OPT-NIFTY-03-Feb-2026-25850-P-E-I"/>
    <s v="NSE"/>
    <s v="Buy"/>
    <n v="65"/>
    <n v="0"/>
    <n v="149.30000000000001"/>
    <n v="9704.5"/>
    <s v="#202602032700004937"/>
    <n v="0"/>
    <n v="3.45"/>
    <n v="1"/>
    <n v="0.01"/>
    <n v="29"/>
    <n v="5.84"/>
    <n v="39.299999999999997"/>
    <n v="2026"/>
    <n v="2"/>
    <x v="2"/>
    <n v="11"/>
    <n v="11"/>
    <s v="202511"/>
    <s v="Feb-26"/>
    <n v="-9743.7999999999993"/>
    <n v="-9.7437999999999985"/>
  </r>
  <r>
    <d v="2026-02-04T00:00:00"/>
    <s v="OPT-NIFTY-10-Feb-2026-25700-C-E-I"/>
    <s v="NSE"/>
    <s v="Sell"/>
    <n v="65"/>
    <n v="0"/>
    <n v="174"/>
    <n v="11310"/>
    <s v="#202602042700014241"/>
    <n v="11.31"/>
    <n v="4.0199999999999996"/>
    <n v="0"/>
    <n v="0.01"/>
    <n v="29"/>
    <n v="5.94"/>
    <n v="50.28"/>
    <n v="2026"/>
    <n v="2"/>
    <x v="2"/>
    <n v="11"/>
    <n v="11"/>
    <s v="202511"/>
    <s v="Feb-26"/>
    <n v="11259.72"/>
    <n v="11.25972"/>
  </r>
  <r>
    <d v="2026-02-04T00:00:00"/>
    <s v="OPT-NIFTY-10-Feb-2026-25700-C-E-I"/>
    <s v="NSE"/>
    <s v="Buy"/>
    <n v="65"/>
    <n v="0"/>
    <n v="174.5"/>
    <n v="11342.5"/>
    <s v="#202602042700014076"/>
    <n v="0"/>
    <n v="4.03"/>
    <n v="0.34"/>
    <n v="0.01"/>
    <n v="29"/>
    <n v="5.94"/>
    <n v="39.32"/>
    <n v="2026"/>
    <n v="2"/>
    <x v="2"/>
    <n v="11"/>
    <n v="11"/>
    <s v="202511"/>
    <s v="Feb-26"/>
    <n v="-11381.82"/>
    <n v="-11.381819999999999"/>
  </r>
  <r>
    <d v="2026-02-04T00:00:00"/>
    <s v="OPT-NIFTY-10-Feb-2026-25750-C-E-I"/>
    <s v="NSE"/>
    <s v="Sell"/>
    <n v="65"/>
    <n v="0"/>
    <n v="169.9"/>
    <n v="11043.5"/>
    <s v="#202602042700011441"/>
    <n v="11.04"/>
    <n v="3.92"/>
    <n v="0"/>
    <n v="0.01"/>
    <n v="29"/>
    <n v="5.92"/>
    <n v="49.89"/>
    <n v="2026"/>
    <n v="2"/>
    <x v="2"/>
    <n v="11"/>
    <n v="11"/>
    <s v="202511"/>
    <s v="Feb-26"/>
    <n v="10993.61"/>
    <n v="10.99361"/>
  </r>
  <r>
    <d v="2026-02-04T00:00:00"/>
    <s v="OPT-NIFTY-10-Feb-2026-25750-C-E-I"/>
    <s v="NSE"/>
    <s v="Buy"/>
    <n v="65"/>
    <n v="0"/>
    <n v="160.25"/>
    <n v="10416.25"/>
    <s v="#202602042700011393"/>
    <n v="0"/>
    <n v="3.7"/>
    <n v="0.31"/>
    <n v="0.01"/>
    <n v="29"/>
    <n v="5.88"/>
    <n v="38.9"/>
    <n v="2026"/>
    <n v="2"/>
    <x v="2"/>
    <n v="11"/>
    <n v="11"/>
    <s v="202511"/>
    <s v="Feb-26"/>
    <n v="-10455.15"/>
    <n v="-10.45515"/>
  </r>
  <r>
    <d v="2026-02-04T00:00:00"/>
    <s v="OPT-NIFTY-10-Feb-2026-25800-P-E-I"/>
    <s v="NSE"/>
    <s v="Sell"/>
    <n v="130"/>
    <n v="0"/>
    <n v="199.9"/>
    <n v="25987"/>
    <s v="#202602042700004029"/>
    <n v="25.64"/>
    <n v="9.24"/>
    <n v="0"/>
    <n v="0.02"/>
    <n v="58"/>
    <n v="12.12"/>
    <n v="105.02"/>
    <n v="2026"/>
    <n v="2"/>
    <x v="2"/>
    <n v="11"/>
    <n v="11"/>
    <s v="202511"/>
    <s v="Feb-26"/>
    <n v="25881.98"/>
    <n v="25.881979999999999"/>
  </r>
  <r>
    <d v="2026-02-04T00:00:00"/>
    <s v="OPT-NIFTY-10-Feb-2026-25800-P-E-I"/>
    <s v="NSE"/>
    <s v="Buy"/>
    <n v="65"/>
    <n v="0"/>
    <n v="179.95"/>
    <n v="11696.75"/>
    <s v="#202602042700003717"/>
    <n v="0"/>
    <n v="4.16"/>
    <n v="0"/>
    <n v="0.01"/>
    <n v="29"/>
    <n v="5.98"/>
    <n v="39.15"/>
    <n v="2026"/>
    <n v="2"/>
    <x v="2"/>
    <n v="11"/>
    <n v="11"/>
    <s v="202511"/>
    <s v="Feb-26"/>
    <n v="-11735.9"/>
    <n v="-11.735899999999999"/>
  </r>
  <r>
    <d v="2026-02-04T00:00:00"/>
    <s v="OPT-NIFTY-10-Feb-2026-25800-P-E-I"/>
    <s v="NSE"/>
    <s v="Buy"/>
    <n v="65"/>
    <n v="0"/>
    <n v="190.75"/>
    <n v="12398.75"/>
    <s v="#202602042700003071"/>
    <n v="0"/>
    <n v="4.41"/>
    <n v="0.35"/>
    <n v="0.01"/>
    <n v="29"/>
    <n v="6.02"/>
    <n v="39.79"/>
    <n v="2026"/>
    <n v="2"/>
    <x v="2"/>
    <n v="11"/>
    <n v="11"/>
    <s v="202511"/>
    <s v="Feb-26"/>
    <n v="-12438.54"/>
    <n v="-12.438540000000001"/>
  </r>
  <r>
    <d v="2026-02-05T00:00:00"/>
    <s v="OPT-NIFTY-10-Feb-2026-25750-P-E-I"/>
    <s v="NSE"/>
    <s v="Buy"/>
    <n v="130"/>
    <n v="0"/>
    <n v="202.35"/>
    <n v="26305.5"/>
    <s v="#202602052700013840"/>
    <n v="0"/>
    <n v="9.35"/>
    <n v="1.35"/>
    <n v="0.03"/>
    <n v="58"/>
    <n v="12.12"/>
    <n v="80.849999999999994"/>
    <n v="2026"/>
    <n v="2"/>
    <x v="2"/>
    <n v="11"/>
    <n v="11"/>
    <s v="202511"/>
    <s v="Feb-26"/>
    <n v="-26386.35"/>
    <n v="-26.38635"/>
  </r>
  <r>
    <d v="2026-02-05T00:00:00"/>
    <s v="OPT-NIFTY-10-Feb-2026-25750-P-E-I"/>
    <s v="NSE"/>
    <s v="Sell"/>
    <n v="65"/>
    <n v="0"/>
    <n v="201"/>
    <n v="13065"/>
    <s v="#202602052700013503"/>
    <n v="13.07"/>
    <n v="4.6399999999999997"/>
    <n v="0"/>
    <n v="0.01"/>
    <n v="29"/>
    <n v="6.06"/>
    <n v="52.78"/>
    <n v="2026"/>
    <n v="2"/>
    <x v="2"/>
    <n v="11"/>
    <n v="11"/>
    <s v="202511"/>
    <s v="Feb-26"/>
    <n v="13012.22"/>
    <n v="13.012219999999999"/>
  </r>
  <r>
    <d v="2026-02-05T00:00:00"/>
    <s v="OPT-NIFTY-10-Feb-2026-25750-P-E-I"/>
    <s v="NSE"/>
    <s v="Buy"/>
    <n v="65"/>
    <n v="0"/>
    <n v="200.1"/>
    <n v="13006.5"/>
    <s v="#202602052700006177"/>
    <n v="0"/>
    <n v="4.62"/>
    <n v="0"/>
    <n v="0.01"/>
    <n v="29"/>
    <n v="6.06"/>
    <n v="39.69"/>
    <n v="2026"/>
    <n v="2"/>
    <x v="2"/>
    <n v="11"/>
    <n v="11"/>
    <s v="202511"/>
    <s v="Feb-26"/>
    <n v="-13046.19"/>
    <n v="-13.046190000000001"/>
  </r>
  <r>
    <d v="2026-02-05T00:00:00"/>
    <s v="OPT-NIFTY-10-Feb-2026-25650-C-E-I"/>
    <s v="NSE"/>
    <s v="Sell"/>
    <n v="65"/>
    <n v="0"/>
    <n v="153.5"/>
    <n v="9977.5"/>
    <s v="#202602052700004901"/>
    <n v="9.98"/>
    <n v="3.55"/>
    <n v="0"/>
    <n v="0.01"/>
    <n v="29"/>
    <n v="5.86"/>
    <n v="48.4"/>
    <n v="2026"/>
    <n v="2"/>
    <x v="2"/>
    <n v="11"/>
    <n v="11"/>
    <s v="202511"/>
    <s v="Feb-26"/>
    <n v="9929.1"/>
    <n v="9.9291"/>
  </r>
  <r>
    <d v="2026-02-05T00:00:00"/>
    <s v="OPT-NIFTY-10-Feb-2026-25650-C-E-I"/>
    <s v="NSE"/>
    <s v="Buy"/>
    <n v="65"/>
    <n v="0"/>
    <n v="167.05"/>
    <n v="10858.25"/>
    <s v="#202602052700004045"/>
    <n v="0"/>
    <n v="3.86"/>
    <n v="0"/>
    <n v="0.01"/>
    <n v="29"/>
    <n v="5.92"/>
    <n v="38.79"/>
    <n v="2026"/>
    <n v="2"/>
    <x v="2"/>
    <n v="11"/>
    <n v="11"/>
    <s v="202511"/>
    <s v="Feb-26"/>
    <n v="-10897.04"/>
    <n v="-10.897040000000001"/>
  </r>
  <r>
    <d v="2026-02-05T00:00:00"/>
    <s v="OPT-NIFTY-10-Feb-2026-25650-C-E-I"/>
    <s v="NSE"/>
    <s v="Sell"/>
    <n v="65"/>
    <n v="0"/>
    <n v="187.9"/>
    <n v="12213.5"/>
    <s v="#202602052700002983"/>
    <n v="12.37"/>
    <n v="4.34"/>
    <n v="0"/>
    <n v="0.01"/>
    <n v="29"/>
    <n v="6"/>
    <n v="51.72"/>
    <n v="2026"/>
    <n v="2"/>
    <x v="2"/>
    <n v="11"/>
    <n v="11"/>
    <s v="202511"/>
    <s v="Feb-26"/>
    <n v="12161.78"/>
    <n v="12.16178"/>
  </r>
  <r>
    <d v="2026-02-05T00:00:00"/>
    <s v="OPT-NIFTY-10-Feb-2026-25650-C-E-I"/>
    <s v="NSE"/>
    <s v="Buy"/>
    <n v="65"/>
    <n v="0"/>
    <n v="167.6"/>
    <n v="10894"/>
    <s v="#202602052700002573"/>
    <n v="0"/>
    <n v="3.87"/>
    <n v="0.65"/>
    <n v="0.01"/>
    <n v="29"/>
    <n v="5.92"/>
    <n v="39.450000000000003"/>
    <n v="2026"/>
    <n v="2"/>
    <x v="2"/>
    <n v="11"/>
    <n v="11"/>
    <s v="202511"/>
    <s v="Feb-26"/>
    <n v="-10933.45"/>
    <n v="-10.933450000000001"/>
  </r>
  <r>
    <d v="2026-02-05T00:00:00"/>
    <s v="OPT-NIFTY-10-Feb-2026-25750-P-E-I"/>
    <s v="NSE"/>
    <s v="Sell"/>
    <n v="130"/>
    <n v="0"/>
    <n v="219.9"/>
    <n v="28587"/>
    <s v="#202602052600001220"/>
    <n v="28.59"/>
    <n v="10.16"/>
    <n v="0"/>
    <n v="0.03"/>
    <n v="58"/>
    <n v="12.28"/>
    <n v="109.06"/>
    <n v="2026"/>
    <n v="2"/>
    <x v="2"/>
    <n v="11"/>
    <n v="11"/>
    <s v="202511"/>
    <s v="Feb-26"/>
    <n v="28477.94"/>
    <n v="28.47794"/>
  </r>
  <r>
    <d v="2026-02-11T00:00:00"/>
    <s v="OPT-ICIBAN-24-Feb-2026-1380-P-E-S"/>
    <s v="NSE"/>
    <s v="Buy"/>
    <n v="700"/>
    <n v="0"/>
    <n v="5.15"/>
    <n v="3605"/>
    <s v="#202602112700002859"/>
    <n v="0"/>
    <n v="1.28"/>
    <n v="0"/>
    <n v="0"/>
    <n v="29"/>
    <n v="5.46"/>
    <n v="35.74"/>
    <n v="2026"/>
    <n v="2"/>
    <x v="2"/>
    <n v="11"/>
    <n v="11"/>
    <s v="202511"/>
    <s v="Feb-26"/>
    <n v="-3640.74"/>
    <n v="-3.6407399999999996"/>
  </r>
  <r>
    <d v="2026-02-12T00:00:00"/>
    <s v="OPT-ICIBAN-24-Feb-2026-1380-P-E-S"/>
    <s v="NSE"/>
    <s v="Buy"/>
    <n v="1400"/>
    <n v="0"/>
    <n v="3.1"/>
    <n v="4340"/>
    <s v="#202602122700002139"/>
    <n v="0"/>
    <n v="1.54"/>
    <n v="0"/>
    <n v="0"/>
    <n v="58"/>
    <n v="10.72"/>
    <n v="70.260000000000005"/>
    <n v="2026"/>
    <n v="2"/>
    <x v="2"/>
    <n v="11"/>
    <n v="11"/>
    <s v="202511"/>
    <s v="Feb-26"/>
    <n v="-4410.26"/>
    <n v="-4.4102600000000001"/>
  </r>
  <r>
    <d v="2026-02-16T00:00:00"/>
    <s v="OPT-ICIBAN-24-Feb-2026-1380-P-E-S"/>
    <s v="NSE"/>
    <s v="Sell"/>
    <n v="2100"/>
    <n v="0"/>
    <n v="3.9"/>
    <n v="8190"/>
    <s v="#202602162700016857"/>
    <n v="8"/>
    <n v="2.91"/>
    <n v="0"/>
    <n v="0"/>
    <n v="87"/>
    <n v="16.2"/>
    <n v="114.11"/>
    <n v="2026"/>
    <n v="2"/>
    <x v="2"/>
    <n v="11"/>
    <n v="11"/>
    <s v="202511"/>
    <s v="Feb-26"/>
    <n v="8075.89"/>
    <n v="8.0758900000000011"/>
  </r>
  <r>
    <d v="2026-02-17T00:00:00"/>
    <s v="OPT-NIFTY-17-Feb-2026-25750-P-E-I"/>
    <s v="NSE"/>
    <s v="Sell"/>
    <n v="130"/>
    <n v="0"/>
    <n v="13.05"/>
    <n v="1696.5"/>
    <s v="#202602172700023141"/>
    <n v="1.7"/>
    <n v="0.6"/>
    <n v="0"/>
    <n v="0"/>
    <n v="58"/>
    <n v="10.54"/>
    <n v="70.84"/>
    <n v="2026"/>
    <n v="2"/>
    <x v="2"/>
    <n v="11"/>
    <n v="11"/>
    <s v="202511"/>
    <s v="Feb-26"/>
    <n v="1625.66"/>
    <n v="1.6256600000000001"/>
  </r>
  <r>
    <d v="2026-02-17T00:00:00"/>
    <s v="OPT-NIFTY-17-Feb-2026-25750-P-E-I"/>
    <s v="NSE"/>
    <s v="Buy"/>
    <n v="130"/>
    <n v="0"/>
    <n v="37.5"/>
    <n v="4875"/>
    <s v="#202602172700022984"/>
    <n v="0"/>
    <n v="1.73"/>
    <n v="0.15"/>
    <n v="0"/>
    <n v="58"/>
    <n v="10.76"/>
    <n v="70.64"/>
    <n v="2026"/>
    <n v="2"/>
    <x v="2"/>
    <n v="11"/>
    <n v="11"/>
    <s v="202511"/>
    <s v="Feb-26"/>
    <n v="-4945.6400000000003"/>
    <n v="-4.94564"/>
  </r>
  <r>
    <d v="2026-02-17T00:00:00"/>
    <s v="OPT-NIFTY-17-Feb-2026-25550-C-E-I"/>
    <s v="NSE"/>
    <s v="Sell"/>
    <n v="65"/>
    <n v="0"/>
    <n v="147.9"/>
    <n v="9613.5"/>
    <s v="#202602172700010664"/>
    <n v="9.61"/>
    <n v="3.42"/>
    <n v="0"/>
    <n v="0.01"/>
    <n v="29"/>
    <n v="5.84"/>
    <n v="47.88"/>
    <n v="2026"/>
    <n v="2"/>
    <x v="2"/>
    <n v="11"/>
    <n v="11"/>
    <s v="202511"/>
    <s v="Feb-26"/>
    <n v="9565.6200000000008"/>
    <n v="9.5656200000000009"/>
  </r>
  <r>
    <d v="2026-02-17T00:00:00"/>
    <s v="OPT-NIFTY-17-Feb-2026-25550-C-E-I"/>
    <s v="NSE"/>
    <s v="Buy"/>
    <n v="65"/>
    <n v="0"/>
    <n v="116.9"/>
    <n v="7598.5"/>
    <s v="#202602172700009894"/>
    <n v="0"/>
    <n v="2.7"/>
    <n v="0"/>
    <n v="0.01"/>
    <n v="29"/>
    <n v="5.7"/>
    <n v="37.409999999999997"/>
    <n v="2026"/>
    <n v="2"/>
    <x v="2"/>
    <n v="11"/>
    <n v="11"/>
    <s v="202511"/>
    <s v="Feb-26"/>
    <n v="-7635.91"/>
    <n v="-7.63591"/>
  </r>
  <r>
    <d v="2026-02-17T00:00:00"/>
    <s v="OPT-NIFTY-17-Feb-2026-25550-C-E-I"/>
    <s v="NSE"/>
    <s v="Sell"/>
    <n v="65"/>
    <n v="0"/>
    <n v="76.45"/>
    <n v="4969.25"/>
    <s v="#202602172700002346"/>
    <n v="4.6900000000000004"/>
    <n v="1.77"/>
    <n v="0"/>
    <n v="0.01"/>
    <n v="29"/>
    <n v="5.54"/>
    <n v="41.01"/>
    <n v="2026"/>
    <n v="2"/>
    <x v="2"/>
    <n v="11"/>
    <n v="11"/>
    <s v="202511"/>
    <s v="Feb-26"/>
    <n v="4928.24"/>
    <n v="4.9282399999999997"/>
  </r>
  <r>
    <d v="2026-02-17T00:00:00"/>
    <s v="OPT-NIFTY-17-Feb-2026-25550-C-E-I"/>
    <s v="NSE"/>
    <s v="Buy"/>
    <n v="65"/>
    <n v="0"/>
    <n v="65.8"/>
    <n v="4277"/>
    <s v="#202602172700002118"/>
    <n v="0"/>
    <n v="1.52"/>
    <n v="0.85"/>
    <n v="0"/>
    <n v="29"/>
    <n v="5.5"/>
    <n v="36.869999999999997"/>
    <n v="2026"/>
    <n v="2"/>
    <x v="2"/>
    <n v="11"/>
    <n v="11"/>
    <s v="202511"/>
    <s v="Feb-26"/>
    <n v="-4313.87"/>
    <n v="-4.3138699999999996"/>
  </r>
  <r>
    <d v="2026-02-18T00:00:00"/>
    <s v="OPT-NIFTY-24-Feb-2026-25700-P-E-I"/>
    <s v="NSE"/>
    <s v="Sell"/>
    <n v="130"/>
    <n v="0"/>
    <n v="106.05"/>
    <n v="13786.5"/>
    <s v="#202602182700010968"/>
    <n v="13.79"/>
    <n v="4.9000000000000004"/>
    <n v="0"/>
    <n v="0.01"/>
    <n v="58"/>
    <n v="11.32"/>
    <n v="88.02"/>
    <n v="2026"/>
    <n v="2"/>
    <x v="2"/>
    <n v="11"/>
    <n v="11"/>
    <s v="202511"/>
    <s v="Feb-26"/>
    <n v="13698.48"/>
    <n v="13.69848"/>
  </r>
  <r>
    <d v="2026-02-18T00:00:00"/>
    <s v="OPT-NIFTY-24-Feb-2026-25700-P-E-I"/>
    <s v="NSE"/>
    <s v="Buy"/>
    <n v="130"/>
    <n v="0"/>
    <n v="103.8"/>
    <n v="13494"/>
    <s v="#202602182700010073"/>
    <n v="0"/>
    <n v="4.79"/>
    <n v="1.57"/>
    <n v="0.01"/>
    <n v="58"/>
    <n v="11.3"/>
    <n v="75.67"/>
    <n v="2026"/>
    <n v="2"/>
    <x v="2"/>
    <n v="11"/>
    <n v="11"/>
    <s v="202511"/>
    <s v="Feb-26"/>
    <n v="-13569.67"/>
    <n v="-13.56967"/>
  </r>
  <r>
    <d v="2026-02-18T00:00:00"/>
    <s v="OPT-NIFTY-24-Feb-2026-25750-C-E-I"/>
    <s v="NSE"/>
    <s v="Sell"/>
    <n v="130"/>
    <n v="0"/>
    <n v="114.9"/>
    <n v="14937"/>
    <s v="#202602182700007909"/>
    <n v="14.94"/>
    <n v="5.31"/>
    <n v="0"/>
    <n v="0.01"/>
    <n v="58"/>
    <n v="11.4"/>
    <n v="89.66"/>
    <n v="2026"/>
    <n v="2"/>
    <x v="2"/>
    <n v="11"/>
    <n v="11"/>
    <s v="202511"/>
    <s v="Feb-26"/>
    <n v="14847.34"/>
    <n v="14.847340000000001"/>
  </r>
  <r>
    <d v="2026-02-18T00:00:00"/>
    <s v="OPT-NIFTY-24-Feb-2026-25750-C-E-I"/>
    <s v="NSE"/>
    <s v="Buy"/>
    <n v="65"/>
    <n v="0"/>
    <n v="109.5"/>
    <n v="7117.5"/>
    <s v="#202602182700007719"/>
    <n v="0"/>
    <n v="2.5299999999999998"/>
    <n v="0.43"/>
    <n v="0.01"/>
    <n v="29"/>
    <n v="5.68"/>
    <n v="37.65"/>
    <n v="2026"/>
    <n v="2"/>
    <x v="2"/>
    <n v="11"/>
    <n v="11"/>
    <s v="202511"/>
    <s v="Feb-26"/>
    <n v="-7155.15"/>
    <n v="-7.1551499999999999"/>
  </r>
  <r>
    <d v="2026-02-18T00:00:00"/>
    <s v="OPT-NIFTY-24-Feb-2026-25750-C-E-I"/>
    <s v="NSE"/>
    <s v="Buy"/>
    <n v="65"/>
    <n v="0"/>
    <n v="110.4"/>
    <n v="7176"/>
    <s v="#202602182700007680"/>
    <n v="0"/>
    <n v="2.5499999999999998"/>
    <n v="0"/>
    <n v="0.01"/>
    <n v="29"/>
    <n v="5.68"/>
    <n v="37.24"/>
    <n v="2026"/>
    <n v="2"/>
    <x v="2"/>
    <n v="11"/>
    <n v="11"/>
    <s v="202511"/>
    <s v="Feb-26"/>
    <n v="-7213.24"/>
    <n v="-7.2132399999999999"/>
  </r>
  <r>
    <d v="2026-02-18T00:00:00"/>
    <s v="OPT-NIFTY-24-Feb-2026-25700-P-E-I"/>
    <s v="NSE"/>
    <s v="Sell"/>
    <n v="65"/>
    <n v="0"/>
    <n v="132"/>
    <n v="8580"/>
    <s v="#202602182700007358"/>
    <n v="8.58"/>
    <n v="3.05"/>
    <n v="0"/>
    <n v="0.01"/>
    <n v="29"/>
    <n v="5.78"/>
    <n v="46.42"/>
    <n v="2026"/>
    <n v="2"/>
    <x v="2"/>
    <n v="11"/>
    <n v="11"/>
    <s v="202511"/>
    <s v="Feb-26"/>
    <n v="8533.58"/>
    <n v="8.5335800000000006"/>
  </r>
  <r>
    <d v="2026-02-18T00:00:00"/>
    <s v="OPT-NIFTY-24-Feb-2026-25700-P-E-I"/>
    <s v="NSE"/>
    <s v="Buy"/>
    <n v="65"/>
    <n v="0"/>
    <n v="125.35"/>
    <n v="8147.75"/>
    <s v="#202602182700007305"/>
    <n v="0"/>
    <n v="2.89"/>
    <n v="0"/>
    <n v="0.01"/>
    <n v="29"/>
    <n v="5.74"/>
    <n v="37.64"/>
    <n v="2026"/>
    <n v="2"/>
    <x v="2"/>
    <n v="11"/>
    <n v="11"/>
    <s v="202511"/>
    <s v="Feb-26"/>
    <n v="-8185.39"/>
    <n v="-8.1853899999999999"/>
  </r>
  <r>
    <d v="2026-02-18T00:00:00"/>
    <s v="OPT-NIFTY-24-Feb-2026-25700-P-E-I"/>
    <s v="NSE"/>
    <s v="Sell"/>
    <n v="65"/>
    <n v="0"/>
    <n v="139.9"/>
    <n v="9093.5"/>
    <s v="#202602182700003253"/>
    <n v="9.09"/>
    <n v="3.23"/>
    <n v="0"/>
    <n v="0.01"/>
    <n v="29"/>
    <n v="5.8"/>
    <n v="47.13"/>
    <n v="2026"/>
    <n v="2"/>
    <x v="2"/>
    <n v="11"/>
    <n v="11"/>
    <s v="202511"/>
    <s v="Feb-26"/>
    <n v="9046.3700000000008"/>
    <n v="9.0463700000000014"/>
  </r>
  <r>
    <d v="2026-02-18T00:00:00"/>
    <s v="OPT-NIFTY-24-Feb-2026-25700-P-E-I"/>
    <s v="NSE"/>
    <s v="Sell"/>
    <n v="65"/>
    <n v="0"/>
    <n v="127.9"/>
    <n v="8313.5"/>
    <s v="#202602182700003132"/>
    <n v="8.6"/>
    <n v="2.95"/>
    <n v="0"/>
    <n v="0.01"/>
    <n v="29"/>
    <n v="5.76"/>
    <n v="46.32"/>
    <n v="2026"/>
    <n v="2"/>
    <x v="2"/>
    <n v="11"/>
    <n v="11"/>
    <s v="202511"/>
    <s v="Feb-26"/>
    <n v="8267.18"/>
    <n v="8.2671799999999998"/>
  </r>
  <r>
    <d v="2026-02-18T00:00:00"/>
    <s v="OPT-NIFTY-24-Feb-2026-25700-P-E-I"/>
    <s v="NSE"/>
    <s v="Buy"/>
    <n v="65"/>
    <n v="0"/>
    <n v="118.95"/>
    <n v="7731.75"/>
    <s v="#202602182700001708"/>
    <n v="0"/>
    <n v="2.75"/>
    <n v="0"/>
    <n v="0.01"/>
    <n v="29"/>
    <n v="5.72"/>
    <n v="37.479999999999997"/>
    <n v="2026"/>
    <n v="2"/>
    <x v="2"/>
    <n v="11"/>
    <n v="11"/>
    <s v="202511"/>
    <s v="Feb-26"/>
    <n v="-7769.23"/>
    <n v="-7.7692299999999994"/>
  </r>
  <r>
    <d v="2026-02-18T00:00:00"/>
    <s v="OPT-NIFTY-24-Feb-2026-25700-P-E-I"/>
    <s v="NSE"/>
    <s v="Buy"/>
    <n v="65"/>
    <n v="0"/>
    <n v="116.25"/>
    <n v="7556.25"/>
    <s v="#202602182700001612"/>
    <n v="0"/>
    <n v="2.68"/>
    <n v="0"/>
    <n v="0.01"/>
    <n v="29"/>
    <n v="5.7"/>
    <n v="37.39"/>
    <n v="2026"/>
    <n v="2"/>
    <x v="2"/>
    <n v="11"/>
    <n v="11"/>
    <s v="202511"/>
    <s v="Feb-26"/>
    <n v="-7593.64"/>
    <n v="-7.5936400000000006"/>
  </r>
  <r>
    <d v="2026-02-19T00:00:00"/>
    <s v="OPT-NIFTY-24-Feb-2026-25550-C-E-I"/>
    <s v="NSE"/>
    <s v="Buy"/>
    <n v="130"/>
    <n v="0"/>
    <n v="122.3"/>
    <n v="15899"/>
    <s v="#202602192700014494"/>
    <n v="0"/>
    <n v="5.64"/>
    <n v="0.48"/>
    <n v="0.02"/>
    <n v="58"/>
    <n v="11.44"/>
    <n v="75.58"/>
    <n v="2026"/>
    <n v="2"/>
    <x v="2"/>
    <n v="11"/>
    <n v="11"/>
    <s v="202511"/>
    <s v="Feb-26"/>
    <n v="-15974.58"/>
    <n v="-15.97458"/>
  </r>
  <r>
    <d v="2026-02-19T00:00:00"/>
    <s v="OPT-NIFTY-24-Feb-2026-25650-P-E-I"/>
    <s v="NSE"/>
    <s v="Sell"/>
    <n v="65"/>
    <n v="0"/>
    <n v="189.9"/>
    <n v="12343.5"/>
    <s v="#202602192700013154"/>
    <n v="12.34"/>
    <n v="4.3899999999999997"/>
    <n v="0"/>
    <n v="0.01"/>
    <n v="29"/>
    <n v="6.02"/>
    <n v="51.76"/>
    <n v="2026"/>
    <n v="2"/>
    <x v="2"/>
    <n v="11"/>
    <n v="11"/>
    <s v="202511"/>
    <s v="Feb-26"/>
    <n v="12291.74"/>
    <n v="12.291739999999999"/>
  </r>
  <r>
    <d v="2026-02-19T00:00:00"/>
    <s v="OPT-NIFTY-24-Feb-2026-25650-P-E-I"/>
    <s v="NSE"/>
    <s v="Buy"/>
    <n v="65"/>
    <n v="0"/>
    <n v="162.25"/>
    <n v="10546.25"/>
    <s v="#202602192700013017"/>
    <n v="0"/>
    <n v="3.75"/>
    <n v="0.32"/>
    <n v="0.01"/>
    <n v="29"/>
    <n v="5.9"/>
    <n v="38.979999999999997"/>
    <n v="2026"/>
    <n v="2"/>
    <x v="2"/>
    <n v="11"/>
    <n v="11"/>
    <s v="202511"/>
    <s v="Feb-26"/>
    <n v="-10585.23"/>
    <n v="-10.585229999999999"/>
  </r>
  <r>
    <d v="2026-02-19T00:00:00"/>
    <s v="OPT-NIFTY-24-Feb-2026-25800-C-E-I"/>
    <s v="NSE"/>
    <s v="Sell"/>
    <n v="130"/>
    <n v="0"/>
    <n v="99.9"/>
    <n v="12987"/>
    <s v="#202602192700005810"/>
    <n v="12.98"/>
    <n v="4.62"/>
    <n v="0"/>
    <n v="0.02"/>
    <n v="58"/>
    <n v="11.28"/>
    <n v="86.9"/>
    <n v="2026"/>
    <n v="2"/>
    <x v="2"/>
    <n v="11"/>
    <n v="11"/>
    <s v="202511"/>
    <s v="Feb-26"/>
    <n v="12900.1"/>
    <n v="12.9001"/>
  </r>
  <r>
    <d v="2026-02-19T00:00:00"/>
    <s v="OPT-NIFTY-24-Feb-2026-25800-C-E-I"/>
    <s v="NSE"/>
    <s v="Buy"/>
    <n v="130"/>
    <n v="0"/>
    <n v="97.7"/>
    <n v="12701"/>
    <s v="#202602192700005627"/>
    <n v="0"/>
    <n v="4.5199999999999996"/>
    <n v="0"/>
    <n v="0.02"/>
    <n v="58"/>
    <n v="11.24"/>
    <n v="73.78"/>
    <n v="2026"/>
    <n v="2"/>
    <x v="2"/>
    <n v="11"/>
    <n v="11"/>
    <s v="202511"/>
    <s v="Feb-26"/>
    <n v="-12774.78"/>
    <n v="-12.77478"/>
  </r>
  <r>
    <d v="2026-02-19T00:00:00"/>
    <s v="OPT-NIFTY-24-Feb-2026-25800-C-E-I"/>
    <s v="NSE"/>
    <s v="Sell"/>
    <n v="65"/>
    <n v="0"/>
    <n v="107.75"/>
    <n v="7003.75"/>
    <s v="#202602192700004036"/>
    <n v="7"/>
    <n v="2.4900000000000002"/>
    <n v="0"/>
    <n v="0.01"/>
    <n v="29"/>
    <n v="5.66"/>
    <n v="44.16"/>
    <n v="2026"/>
    <n v="2"/>
    <x v="2"/>
    <n v="11"/>
    <n v="11"/>
    <s v="202511"/>
    <s v="Feb-26"/>
    <n v="6959.59"/>
    <n v="6.9595900000000004"/>
  </r>
  <r>
    <d v="2026-02-19T00:00:00"/>
    <s v="OPT-NIFTY-24-Feb-2026-25800-C-E-I"/>
    <s v="NSE"/>
    <s v="Sell"/>
    <n v="65"/>
    <n v="0"/>
    <n v="113.9"/>
    <n v="7403.5"/>
    <s v="#202602192700003666"/>
    <n v="7.4"/>
    <n v="2.63"/>
    <n v="0"/>
    <n v="0.01"/>
    <n v="29"/>
    <n v="5.7"/>
    <n v="44.74"/>
    <n v="2026"/>
    <n v="2"/>
    <x v="2"/>
    <n v="11"/>
    <n v="11"/>
    <s v="202511"/>
    <s v="Feb-26"/>
    <n v="7358.76"/>
    <n v="7.3587600000000002"/>
  </r>
  <r>
    <d v="2026-02-19T00:00:00"/>
    <s v="OPT-NIFTY-24-Feb-2026-25800-C-E-I"/>
    <s v="NSE"/>
    <s v="Buy"/>
    <n v="130"/>
    <n v="0"/>
    <n v="115.45"/>
    <n v="15008.5"/>
    <s v="#202602192700003595"/>
    <n v="0"/>
    <n v="5.33"/>
    <n v="1.2"/>
    <n v="0.02"/>
    <n v="58"/>
    <n v="11.4"/>
    <n v="75.95"/>
    <n v="2026"/>
    <n v="2"/>
    <x v="2"/>
    <n v="11"/>
    <n v="11"/>
    <s v="202511"/>
    <s v="Feb-26"/>
    <n v="-15084.45"/>
    <n v="-15.08445"/>
  </r>
  <r>
    <d v="2026-02-19T00:00:00"/>
    <s v="OPT-NIFTY-24-Feb-2026-25800-C-E-I"/>
    <s v="NSE"/>
    <s v="Sell"/>
    <n v="65"/>
    <n v="0"/>
    <n v="115.9"/>
    <n v="7533.5"/>
    <s v="#202602192700003138"/>
    <n v="7.26"/>
    <n v="2.68"/>
    <n v="0"/>
    <n v="0.01"/>
    <n v="29"/>
    <n v="5.7"/>
    <n v="44.65"/>
    <n v="2026"/>
    <n v="2"/>
    <x v="2"/>
    <n v="11"/>
    <n v="11"/>
    <s v="202511"/>
    <s v="Feb-26"/>
    <n v="7488.85"/>
    <n v="7.4888500000000002"/>
  </r>
  <r>
    <d v="2026-02-19T00:00:00"/>
    <s v="OPT-NIFTY-24-Feb-2026-25800-C-E-I"/>
    <s v="NSE"/>
    <s v="Buy"/>
    <n v="65"/>
    <n v="0"/>
    <n v="118.8"/>
    <n v="7722"/>
    <s v="#202602192700002784"/>
    <n v="0"/>
    <n v="2.74"/>
    <n v="0"/>
    <n v="0.01"/>
    <n v="29"/>
    <n v="5.72"/>
    <n v="37.47"/>
    <n v="2026"/>
    <n v="2"/>
    <x v="2"/>
    <n v="11"/>
    <n v="11"/>
    <s v="202511"/>
    <s v="Feb-26"/>
    <n v="-7759.47"/>
    <n v="-7.7594700000000003"/>
  </r>
  <r>
    <d v="2026-02-20T00:00:00"/>
    <s v="OPT-NIFTY-24-Feb-2026-25550-C-E-I"/>
    <s v="NSE"/>
    <s v="Sell"/>
    <n v="130"/>
    <n v="0"/>
    <n v="169.25"/>
    <n v="22002.5"/>
    <s v="#202602202700016569"/>
    <n v="22"/>
    <n v="7.82"/>
    <n v="0"/>
    <n v="0.02"/>
    <n v="58"/>
    <n v="11.86"/>
    <n v="99.7"/>
    <n v="2026"/>
    <n v="2"/>
    <x v="2"/>
    <n v="11"/>
    <n v="11"/>
    <s v="202511"/>
    <s v="Feb-26"/>
    <n v="21902.799999999999"/>
    <n v="21.902799999999999"/>
  </r>
  <r>
    <d v="2026-02-20T00:00:00"/>
    <s v="OPT-NIFTY-24-Feb-2026-25550-C-E-I"/>
    <s v="NSE"/>
    <s v="Buy"/>
    <n v="130"/>
    <n v="0"/>
    <n v="169.75"/>
    <n v="22067.5"/>
    <s v="#202602202700016126"/>
    <n v="0"/>
    <n v="7.84"/>
    <n v="0"/>
    <n v="0.02"/>
    <n v="58"/>
    <n v="11.84"/>
    <n v="77.7"/>
    <n v="2026"/>
    <n v="2"/>
    <x v="2"/>
    <n v="11"/>
    <n v="11"/>
    <s v="202511"/>
    <s v="Feb-26"/>
    <n v="-22145.200000000001"/>
    <n v="-22.145199999999999"/>
  </r>
  <r>
    <d v="2026-02-20T00:00:00"/>
    <s v="OPT-NIFTY-24-Feb-2026-25350-P-E-I"/>
    <s v="NSE"/>
    <s v="Buy"/>
    <n v="65"/>
    <n v="0"/>
    <n v="55.35"/>
    <n v="3597.75"/>
    <s v="#202602202700013548"/>
    <n v="0"/>
    <n v="1.28"/>
    <n v="0"/>
    <n v="0"/>
    <n v="29"/>
    <n v="5.46"/>
    <n v="35.74"/>
    <n v="2026"/>
    <n v="2"/>
    <x v="2"/>
    <n v="11"/>
    <n v="11"/>
    <s v="202511"/>
    <s v="Feb-26"/>
    <n v="-3633.49"/>
    <n v="-3.6334899999999997"/>
  </r>
  <r>
    <d v="2026-02-20T00:00:00"/>
    <s v="OPT-NIFTY-24-Feb-2026-25550-C-E-I"/>
    <s v="NSE"/>
    <s v="Sell"/>
    <n v="65"/>
    <n v="0"/>
    <n v="172"/>
    <n v="11180"/>
    <s v="#202602202700013058"/>
    <n v="11.18"/>
    <n v="3.97"/>
    <n v="0"/>
    <n v="0.01"/>
    <n v="29"/>
    <n v="5.94"/>
    <n v="50.1"/>
    <n v="2026"/>
    <n v="2"/>
    <x v="2"/>
    <n v="11"/>
    <n v="11"/>
    <s v="202511"/>
    <s v="Feb-26"/>
    <n v="11129.9"/>
    <n v="11.129899999999999"/>
  </r>
  <r>
    <d v="2026-02-20T00:00:00"/>
    <s v="OPT-NIFTY-24-Feb-2026-25550-C-E-I"/>
    <s v="NSE"/>
    <s v="Buy"/>
    <n v="65"/>
    <n v="0"/>
    <n v="182.25"/>
    <n v="11846.25"/>
    <s v="#202602202700012918"/>
    <n v="0"/>
    <n v="4.21"/>
    <n v="0"/>
    <n v="0.01"/>
    <n v="29"/>
    <n v="5.98"/>
    <n v="39.200000000000003"/>
    <n v="2026"/>
    <n v="2"/>
    <x v="2"/>
    <n v="11"/>
    <n v="11"/>
    <s v="202511"/>
    <s v="Feb-26"/>
    <n v="-11885.45"/>
    <n v="-11.885450000000001"/>
  </r>
  <r>
    <d v="2026-02-20T00:00:00"/>
    <s v="OPT-NIFTY-24-Feb-2026-25350-P-E-I"/>
    <s v="NSE"/>
    <s v="Buy"/>
    <n v="65"/>
    <n v="0"/>
    <n v="54.35"/>
    <n v="3532.75"/>
    <s v="#202602202700011860"/>
    <n v="0"/>
    <n v="1.26"/>
    <n v="0"/>
    <n v="0"/>
    <n v="29"/>
    <n v="5.44"/>
    <n v="35.700000000000003"/>
    <n v="2026"/>
    <n v="2"/>
    <x v="2"/>
    <n v="11"/>
    <n v="11"/>
    <s v="202511"/>
    <s v="Feb-26"/>
    <n v="-3568.45"/>
    <n v="-3.5684499999999999"/>
  </r>
  <r>
    <d v="2026-02-20T00:00:00"/>
    <s v="OPT-NIFTY-24-Feb-2026-25550-C-E-I"/>
    <s v="NSE"/>
    <s v="Sell"/>
    <n v="195"/>
    <n v="0"/>
    <n v="199.9"/>
    <n v="38980.5"/>
    <s v="#202602202700011207"/>
    <n v="38.979999999999997"/>
    <n v="13.85"/>
    <n v="0"/>
    <n v="0.04"/>
    <n v="87"/>
    <n v="18.16"/>
    <n v="158.03"/>
    <n v="2026"/>
    <n v="2"/>
    <x v="2"/>
    <n v="11"/>
    <n v="11"/>
    <s v="202511"/>
    <s v="Feb-26"/>
    <n v="38822.47"/>
    <n v="38.822470000000003"/>
  </r>
  <r>
    <d v="2026-02-20T00:00:00"/>
    <s v="OPT-NIFTY-24-Feb-2026-25350-P-E-I"/>
    <s v="NSE"/>
    <s v="Buy"/>
    <n v="65"/>
    <n v="0"/>
    <n v="50.4"/>
    <n v="3276"/>
    <s v="#202602202700010965"/>
    <n v="0"/>
    <n v="1.1599999999999999"/>
    <n v="0"/>
    <n v="0"/>
    <n v="29"/>
    <n v="5.42"/>
    <n v="35.58"/>
    <n v="2026"/>
    <n v="2"/>
    <x v="2"/>
    <n v="11"/>
    <n v="11"/>
    <s v="202511"/>
    <s v="Feb-26"/>
    <n v="-3311.58"/>
    <n v="-3.3115799999999997"/>
  </r>
  <r>
    <d v="2026-02-20T00:00:00"/>
    <s v="OPT-NIFTY-24-Feb-2026-25550-C-E-I"/>
    <s v="NSE"/>
    <s v="Buy"/>
    <n v="195"/>
    <n v="0"/>
    <n v="176.45"/>
    <n v="34407.75"/>
    <s v="#202602202700009377"/>
    <n v="0"/>
    <n v="12.23"/>
    <n v="1.61"/>
    <n v="0.03"/>
    <n v="87"/>
    <n v="17.88"/>
    <n v="118.75"/>
    <n v="2026"/>
    <n v="2"/>
    <x v="2"/>
    <n v="11"/>
    <n v="11"/>
    <s v="202511"/>
    <s v="Feb-26"/>
    <n v="-34526.5"/>
    <n v="-34.526499999999999"/>
  </r>
  <r>
    <d v="2026-02-20T00:00:00"/>
    <s v="OPT-NIFTY-24-Feb-2026-25350-P-E-I"/>
    <s v="NSE"/>
    <s v="Buy"/>
    <n v="65"/>
    <n v="0"/>
    <n v="60.55"/>
    <n v="3935.75"/>
    <s v="#202602202700009082"/>
    <n v="0"/>
    <n v="1.4"/>
    <n v="0"/>
    <n v="0"/>
    <n v="29"/>
    <n v="5.48"/>
    <n v="35.880000000000003"/>
    <n v="2026"/>
    <n v="2"/>
    <x v="2"/>
    <n v="11"/>
    <n v="11"/>
    <s v="202511"/>
    <s v="Feb-26"/>
    <n v="-3971.63"/>
    <n v="-3.9716300000000002"/>
  </r>
  <r>
    <d v="2026-02-20T00:00:00"/>
    <s v="OPT-NIFTY-24-Feb-2026-25350-P-E-I"/>
    <s v="NSE"/>
    <s v="Buy"/>
    <n v="65"/>
    <n v="0"/>
    <n v="55.8"/>
    <n v="3627"/>
    <s v="#202602202700008269"/>
    <n v="0"/>
    <n v="1.29"/>
    <n v="0"/>
    <n v="0"/>
    <n v="29"/>
    <n v="5.46"/>
    <n v="35.75"/>
    <n v="2026"/>
    <n v="2"/>
    <x v="2"/>
    <n v="11"/>
    <n v="11"/>
    <s v="202511"/>
    <s v="Feb-26"/>
    <n v="-3662.75"/>
    <n v="-3.66275"/>
  </r>
  <r>
    <d v="2026-02-20T00:00:00"/>
    <s v="OPT-NIFTY-24-Feb-2026-25350-P-E-I"/>
    <s v="NSE"/>
    <s v="Buy"/>
    <n v="130"/>
    <n v="0"/>
    <n v="63"/>
    <n v="8190"/>
    <s v="#202602202700006057"/>
    <n v="0"/>
    <n v="2.91"/>
    <n v="1.39"/>
    <n v="0.01"/>
    <n v="58"/>
    <n v="10.96"/>
    <n v="73.27"/>
    <n v="2026"/>
    <n v="2"/>
    <x v="2"/>
    <n v="11"/>
    <n v="11"/>
    <s v="202511"/>
    <s v="Feb-26"/>
    <n v="-8263.27"/>
    <n v="-8.2632700000000003"/>
  </r>
  <r>
    <d v="2026-02-20T00:00:00"/>
    <s v="OPT-NIFTY-24-Feb-2026-25550-C-E-I"/>
    <s v="NSE"/>
    <s v="Sell"/>
    <n v="130"/>
    <n v="0"/>
    <n v="114.8"/>
    <n v="14924"/>
    <s v="#202602202700003969"/>
    <n v="14.84"/>
    <n v="5.3"/>
    <n v="0"/>
    <n v="0.01"/>
    <n v="58"/>
    <n v="11.4"/>
    <n v="89.55"/>
    <n v="2026"/>
    <n v="2"/>
    <x v="2"/>
    <n v="11"/>
    <n v="11"/>
    <s v="202511"/>
    <s v="Feb-26"/>
    <n v="14834.45"/>
    <n v="14.83445"/>
  </r>
  <r>
    <d v="2026-02-20T00:00:00"/>
    <s v="OPT-NIFTY-24-Feb-2026-25350-P-E-I"/>
    <s v="NSE"/>
    <s v="Buy"/>
    <n v="195"/>
    <n v="0"/>
    <n v="102.85"/>
    <n v="20055.75"/>
    <s v="#202602202700001862"/>
    <n v="0"/>
    <n v="7.14"/>
    <n v="0"/>
    <n v="0.03"/>
    <n v="87"/>
    <n v="16.920000000000002"/>
    <n v="111.09"/>
    <n v="2026"/>
    <n v="2"/>
    <x v="2"/>
    <n v="11"/>
    <n v="11"/>
    <s v="202511"/>
    <s v="Feb-26"/>
    <n v="-20166.84"/>
    <n v="-20.166840000000001"/>
  </r>
  <r>
    <d v="2026-02-23T00:00:00"/>
    <s v="OPT-NIFTY-24-Feb-2026-25650-P-E-I"/>
    <s v="NSE"/>
    <s v="Sell"/>
    <n v="715"/>
    <n v="0"/>
    <n v="109.9"/>
    <n v="78578.5"/>
    <s v="#202602232700009465"/>
    <n v="78.56"/>
    <n v="27.92"/>
    <n v="0"/>
    <n v="0.09"/>
    <n v="319"/>
    <n v="62.48"/>
    <n v="488.05"/>
    <n v="2026"/>
    <n v="2"/>
    <x v="2"/>
    <n v="11"/>
    <n v="11"/>
    <s v="202511"/>
    <s v="Feb-26"/>
    <n v="78090.45"/>
    <n v="78.090450000000004"/>
  </r>
  <r>
    <d v="2026-02-23T00:00:00"/>
    <s v="OPT-NIFTY-24-Feb-2026-25650-P-E-I"/>
    <s v="NSE"/>
    <s v="Buy"/>
    <n v="130"/>
    <n v="0"/>
    <n v="89.65"/>
    <n v="11654.5"/>
    <s v="#202602232700009126"/>
    <n v="0"/>
    <n v="4.1399999999999997"/>
    <n v="0"/>
    <n v="0.02"/>
    <n v="58"/>
    <n v="11.2"/>
    <n v="73.36"/>
    <n v="2026"/>
    <n v="2"/>
    <x v="2"/>
    <n v="11"/>
    <n v="11"/>
    <s v="202511"/>
    <s v="Feb-26"/>
    <n v="-11727.86"/>
    <n v="-11.72786"/>
  </r>
  <r>
    <d v="2026-02-23T00:00:00"/>
    <s v="OPT-NIFTY-24-Feb-2026-25650-P-E-I"/>
    <s v="NSE"/>
    <s v="Buy"/>
    <n v="130"/>
    <n v="0"/>
    <n v="89.55"/>
    <n v="11641.5"/>
    <s v="#202602232700009115"/>
    <n v="0"/>
    <n v="4.1399999999999997"/>
    <n v="0"/>
    <n v="0.01"/>
    <n v="58"/>
    <n v="11.18"/>
    <n v="73.33"/>
    <n v="2026"/>
    <n v="2"/>
    <x v="2"/>
    <n v="11"/>
    <n v="11"/>
    <s v="202511"/>
    <s v="Feb-26"/>
    <n v="-11714.83"/>
    <n v="-11.714829999999999"/>
  </r>
  <r>
    <d v="2026-02-23T00:00:00"/>
    <s v="OPT-NIFTY-24-Feb-2026-25650-P-E-I"/>
    <s v="NSE"/>
    <s v="Buy"/>
    <n v="65"/>
    <n v="0"/>
    <n v="79.3"/>
    <n v="5154.5"/>
    <s v="#202602232700007889"/>
    <n v="0"/>
    <n v="1.83"/>
    <n v="0"/>
    <n v="0.01"/>
    <n v="29"/>
    <n v="5.56"/>
    <n v="36.4"/>
    <n v="2026"/>
    <n v="2"/>
    <x v="2"/>
    <n v="11"/>
    <n v="11"/>
    <s v="202511"/>
    <s v="Feb-26"/>
    <n v="-5190.8999999999996"/>
    <n v="-5.1909000000000001"/>
  </r>
  <r>
    <d v="2026-02-23T00:00:00"/>
    <s v="OPT-NIFTY-24-Feb-2026-25650-P-E-I"/>
    <s v="NSE"/>
    <s v="Buy"/>
    <n v="65"/>
    <n v="0"/>
    <n v="81.650000000000006"/>
    <n v="5307.25"/>
    <s v="#202602232700007866"/>
    <n v="0"/>
    <n v="1.89"/>
    <n v="0"/>
    <n v="0.01"/>
    <n v="29"/>
    <n v="5.56"/>
    <n v="36.46"/>
    <n v="2026"/>
    <n v="2"/>
    <x v="2"/>
    <n v="11"/>
    <n v="11"/>
    <s v="202511"/>
    <s v="Feb-26"/>
    <n v="-5343.71"/>
    <n v="-5.3437099999999997"/>
  </r>
  <r>
    <d v="2026-02-23T00:00:00"/>
    <s v="OPT-NIFTY-24-Feb-2026-25650-P-E-I"/>
    <s v="NSE"/>
    <s v="Buy"/>
    <n v="65"/>
    <n v="0"/>
    <n v="84.2"/>
    <n v="5473"/>
    <s v="#202602232700007831"/>
    <n v="0"/>
    <n v="1.94"/>
    <n v="0"/>
    <n v="0.01"/>
    <n v="29"/>
    <n v="5.58"/>
    <n v="36.53"/>
    <n v="2026"/>
    <n v="2"/>
    <x v="2"/>
    <n v="11"/>
    <n v="11"/>
    <s v="202511"/>
    <s v="Feb-26"/>
    <n v="-5509.53"/>
    <n v="-5.5095299999999998"/>
  </r>
  <r>
    <d v="2026-02-23T00:00:00"/>
    <s v="OPT-NIFTY-24-Feb-2026-25650-P-E-I"/>
    <s v="NSE"/>
    <s v="Buy"/>
    <n v="260"/>
    <n v="0"/>
    <n v="94.7"/>
    <n v="24622"/>
    <s v="#202602232700007682"/>
    <n v="0"/>
    <n v="8.74"/>
    <n v="1.79"/>
    <n v="0.02"/>
    <n v="116"/>
    <n v="22.44"/>
    <n v="148.99"/>
    <n v="2026"/>
    <n v="2"/>
    <x v="2"/>
    <n v="11"/>
    <n v="11"/>
    <s v="202511"/>
    <s v="Feb-26"/>
    <n v="-24770.99"/>
    <n v="-24.770990000000001"/>
  </r>
  <r>
    <d v="2026-02-23T00:00:00"/>
    <s v="OPT-NIFTY-24-Feb-2026-25650-C-E-I"/>
    <s v="NSE"/>
    <s v="Sell"/>
    <n v="260"/>
    <n v="0"/>
    <n v="114.9"/>
    <n v="29874"/>
    <s v="#202602232700007353"/>
    <n v="29.88"/>
    <n v="10.62"/>
    <n v="0"/>
    <n v="0.02"/>
    <n v="116"/>
    <n v="22.8"/>
    <n v="179.32"/>
    <n v="2026"/>
    <n v="2"/>
    <x v="2"/>
    <n v="11"/>
    <n v="11"/>
    <s v="202511"/>
    <s v="Feb-26"/>
    <n v="29694.68"/>
    <n v="29.694680000000002"/>
  </r>
  <r>
    <d v="2026-02-23T00:00:00"/>
    <s v="OPT-NIFTY-24-Feb-2026-25650-C-E-I"/>
    <s v="NSE"/>
    <s v="Buy"/>
    <n v="260"/>
    <n v="0"/>
    <n v="106.9"/>
    <n v="27794"/>
    <s v="#202602232700006977"/>
    <n v="0"/>
    <n v="9.8800000000000008"/>
    <n v="0.83"/>
    <n v="0.03"/>
    <n v="116"/>
    <n v="22.66"/>
    <n v="149.4"/>
    <n v="2026"/>
    <n v="2"/>
    <x v="2"/>
    <n v="11"/>
    <n v="11"/>
    <s v="202511"/>
    <s v="Feb-26"/>
    <n v="-27943.4"/>
    <n v="-27.9434"/>
  </r>
  <r>
    <d v="2026-02-23T00:00:00"/>
    <s v="OPT-NIFTY-24-Feb-2026-25350-P-E-I"/>
    <s v="NSE"/>
    <s v="Sell"/>
    <n v="650"/>
    <n v="0"/>
    <n v="18.399999999999999"/>
    <n v="11960"/>
    <s v="#202602232700002462"/>
    <n v="11.96"/>
    <n v="4.25"/>
    <n v="0"/>
    <n v="0.01"/>
    <n v="290"/>
    <n v="52.96"/>
    <n v="359.18"/>
    <n v="2026"/>
    <n v="2"/>
    <x v="2"/>
    <n v="11"/>
    <n v="11"/>
    <s v="202511"/>
    <s v="Feb-26"/>
    <n v="11600.82"/>
    <n v="11.600820000000001"/>
  </r>
  <r>
    <d v="2026-02-23T00:00:00"/>
    <s v="OPT-NIFTY-24-Feb-2026-25350-P-E-I"/>
    <s v="NSE"/>
    <s v="Buy"/>
    <n v="650"/>
    <n v="0"/>
    <n v="19.7"/>
    <n v="12805"/>
    <s v="#202602232700001679"/>
    <n v="0"/>
    <n v="4.54"/>
    <n v="0.38"/>
    <n v="0.02"/>
    <n v="290"/>
    <n v="53"/>
    <n v="347.94"/>
    <n v="2026"/>
    <n v="2"/>
    <x v="2"/>
    <n v="11"/>
    <n v="11"/>
    <s v="202511"/>
    <s v="Feb-26"/>
    <n v="-13152.94"/>
    <n v="-13.152940000000001"/>
  </r>
  <r>
    <d v="2026-02-23T00:00:00"/>
    <s v="OPT-NIFTY-24-Feb-2026-25350-P-E-I"/>
    <s v="NSE"/>
    <s v="Sell"/>
    <n v="650"/>
    <n v="0"/>
    <n v="22"/>
    <n v="14300"/>
    <s v="#202602232700001112"/>
    <n v="14.59"/>
    <n v="5.08"/>
    <n v="0"/>
    <n v="0.01"/>
    <n v="290"/>
    <n v="53.12"/>
    <n v="362.8"/>
    <n v="2026"/>
    <n v="2"/>
    <x v="2"/>
    <n v="11"/>
    <n v="11"/>
    <s v="202511"/>
    <s v="Feb-26"/>
    <n v="13937.2"/>
    <n v="13.937200000000001"/>
  </r>
  <r>
    <d v="2026-02-24T00:00:00"/>
    <s v="OPT-ICIBAN-30-Mar-2026-1360-P-E-S"/>
    <s v="NSE"/>
    <s v="Sell"/>
    <n v="700"/>
    <n v="0"/>
    <n v="10.8"/>
    <n v="7560"/>
    <s v="#202602242700019972"/>
    <n v="7.56"/>
    <n v="2.69"/>
    <n v="0"/>
    <n v="0.01"/>
    <n v="29"/>
    <n v="5.7"/>
    <n v="44.96"/>
    <n v="2026"/>
    <n v="2"/>
    <x v="2"/>
    <n v="11"/>
    <n v="11"/>
    <s v="202511"/>
    <s v="Feb-26"/>
    <n v="7515.04"/>
    <n v="7.5150399999999999"/>
  </r>
  <r>
    <d v="2026-02-24T00:00:00"/>
    <s v="OPT-ICIBAN-30-Mar-2026-1360-P-E-S"/>
    <s v="NSE"/>
    <s v="Buy"/>
    <n v="700"/>
    <n v="0"/>
    <n v="10.95"/>
    <n v="7665"/>
    <s v="#202602242700017168"/>
    <n v="0"/>
    <n v="2.72"/>
    <n v="0.23"/>
    <n v="0.01"/>
    <n v="29"/>
    <n v="5.72"/>
    <n v="37.68"/>
    <n v="2026"/>
    <n v="2"/>
    <x v="2"/>
    <n v="11"/>
    <n v="11"/>
    <s v="202511"/>
    <s v="Feb-26"/>
    <n v="-7702.68"/>
    <n v="-7.70268"/>
  </r>
  <r>
    <d v="2026-02-24T00:00:00"/>
    <s v="OPT-NIFTY-24-Feb-2026-25600-P-E-I"/>
    <s v="NSE"/>
    <s v="Sell"/>
    <n v="845"/>
    <n v="0"/>
    <n v="106.9"/>
    <n v="90330.5"/>
    <s v="#202602242700002463"/>
    <n v="90.45"/>
    <n v="32.1"/>
    <n v="0"/>
    <n v="0.08"/>
    <n v="377"/>
    <n v="73.680000000000007"/>
    <n v="573.30999999999995"/>
    <n v="2026"/>
    <n v="2"/>
    <x v="2"/>
    <n v="11"/>
    <n v="11"/>
    <s v="202511"/>
    <s v="Feb-26"/>
    <n v="89757.19"/>
    <n v="89.757190000000008"/>
  </r>
  <r>
    <d v="2026-02-24T00:00:00"/>
    <s v="OPT-NIFTY-24-Feb-2026-25600-P-E-I"/>
    <s v="NSE"/>
    <s v="Buy"/>
    <n v="195"/>
    <n v="0"/>
    <n v="81.38"/>
    <n v="15869.75"/>
    <s v="#202602242700002060"/>
    <n v="0"/>
    <n v="5.64"/>
    <n v="0"/>
    <n v="0.02"/>
    <n v="87"/>
    <n v="16.68"/>
    <n v="109.34"/>
    <n v="2026"/>
    <n v="2"/>
    <x v="2"/>
    <n v="11"/>
    <n v="11"/>
    <s v="202511"/>
    <s v="Feb-26"/>
    <n v="-15979.09"/>
    <n v="-15.979089999999999"/>
  </r>
  <r>
    <d v="2026-02-24T00:00:00"/>
    <s v="OPT-NIFTY-24-Feb-2026-25600-P-E-I"/>
    <s v="NSE"/>
    <s v="Buy"/>
    <n v="195"/>
    <n v="0"/>
    <n v="85.75"/>
    <n v="16721.25"/>
    <s v="#202602242700001766"/>
    <n v="0"/>
    <n v="5.94"/>
    <n v="0"/>
    <n v="0.03"/>
    <n v="87"/>
    <n v="16.739999999999998"/>
    <n v="109.71"/>
    <n v="2026"/>
    <n v="2"/>
    <x v="2"/>
    <n v="11"/>
    <n v="11"/>
    <s v="202511"/>
    <s v="Feb-26"/>
    <n v="-16830.96"/>
    <n v="-16.830959999999997"/>
  </r>
  <r>
    <d v="2026-02-24T00:00:00"/>
    <s v="OPT-NIFTY-24-Feb-2026-25600-P-E-I"/>
    <s v="NSE"/>
    <s v="Buy"/>
    <n v="325"/>
    <n v="0"/>
    <n v="86.05"/>
    <n v="27966.25"/>
    <s v="#202602242700001723"/>
    <n v="0"/>
    <n v="9.93"/>
    <n v="1.77"/>
    <n v="0.03"/>
    <n v="145"/>
    <n v="27.9"/>
    <n v="184.63"/>
    <n v="2026"/>
    <n v="2"/>
    <x v="2"/>
    <n v="11"/>
    <n v="11"/>
    <s v="202511"/>
    <s v="Feb-26"/>
    <n v="-28150.880000000001"/>
    <n v="-28.150880000000001"/>
  </r>
  <r>
    <d v="2026-02-24T00:00:00"/>
    <s v="OPT-NIFTY-24-Feb-2026-25600-P-E-I"/>
    <s v="NSE"/>
    <s v="Buy"/>
    <n v="65"/>
    <n v="0"/>
    <n v="86.3"/>
    <n v="5609.5"/>
    <s v="#202602242700001698"/>
    <n v="0"/>
    <n v="1.99"/>
    <n v="0"/>
    <n v="0.01"/>
    <n v="29"/>
    <n v="5.58"/>
    <n v="36.58"/>
    <n v="2026"/>
    <n v="2"/>
    <x v="2"/>
    <n v="11"/>
    <n v="11"/>
    <s v="202511"/>
    <s v="Feb-26"/>
    <n v="-5646.08"/>
    <n v="-5.6460799999999995"/>
  </r>
  <r>
    <d v="2026-02-24T00:00:00"/>
    <s v="OPT-NIFTY-24-Feb-2026-25600-P-E-I"/>
    <s v="NSE"/>
    <s v="Buy"/>
    <n v="65"/>
    <n v="0"/>
    <n v="87.95"/>
    <n v="5716.75"/>
    <s v="#202602242700001680"/>
    <n v="0"/>
    <n v="2.0299999999999998"/>
    <n v="0"/>
    <n v="0.01"/>
    <n v="29"/>
    <n v="5.58"/>
    <n v="36.619999999999997"/>
    <n v="2026"/>
    <n v="2"/>
    <x v="2"/>
    <n v="11"/>
    <n v="11"/>
    <s v="202511"/>
    <s v="Feb-26"/>
    <n v="-5753.37"/>
    <n v="-5.7533700000000003"/>
  </r>
  <r>
    <d v="2026-02-25T00:00:00"/>
    <s v="OPT-NIFTY-02-Mar-2026-25600-C-E-I"/>
    <s v="NSE"/>
    <s v="Sell"/>
    <n v="455"/>
    <n v="0"/>
    <n v="175.83"/>
    <n v="80002"/>
    <s v="#202602252700004518"/>
    <n v="80"/>
    <n v="28.42"/>
    <n v="0"/>
    <n v="0.08"/>
    <n v="203"/>
    <n v="41.68"/>
    <n v="353.18"/>
    <n v="2026"/>
    <n v="2"/>
    <x v="2"/>
    <n v="11"/>
    <n v="11"/>
    <s v="202511"/>
    <s v="Feb-26"/>
    <n v="79648.820000000007"/>
    <n v="79.648820000000001"/>
  </r>
  <r>
    <d v="2026-02-25T00:00:00"/>
    <s v="OPT-NIFTY-02-Mar-2026-25600-C-E-I"/>
    <s v="NSE"/>
    <s v="Buy"/>
    <n v="65"/>
    <n v="0"/>
    <n v="142.25"/>
    <n v="9246.25"/>
    <s v="#202602252700002255"/>
    <n v="0"/>
    <n v="3.29"/>
    <n v="0"/>
    <n v="0.01"/>
    <n v="29"/>
    <n v="5.82"/>
    <n v="38.119999999999997"/>
    <n v="2026"/>
    <n v="2"/>
    <x v="2"/>
    <n v="11"/>
    <n v="11"/>
    <s v="202511"/>
    <s v="Feb-26"/>
    <n v="-9284.3700000000008"/>
    <n v="-9.2843700000000009"/>
  </r>
  <r>
    <d v="2026-02-25T00:00:00"/>
    <s v="OPT-NIFTY-02-Mar-2026-25600-C-E-I"/>
    <s v="NSE"/>
    <s v="Buy"/>
    <n v="65"/>
    <n v="0"/>
    <n v="147.85"/>
    <n v="9610.25"/>
    <s v="#202602252700002066"/>
    <n v="0"/>
    <n v="3.41"/>
    <n v="0"/>
    <n v="0.01"/>
    <n v="29"/>
    <n v="5.84"/>
    <n v="38.26"/>
    <n v="2026"/>
    <n v="2"/>
    <x v="2"/>
    <n v="11"/>
    <n v="11"/>
    <s v="202511"/>
    <s v="Feb-26"/>
    <n v="-9648.51"/>
    <n v="-9.6485099999999999"/>
  </r>
  <r>
    <d v="2026-02-25T00:00:00"/>
    <s v="OPT-NIFTY-02-Mar-2026-25600-C-E-I"/>
    <s v="NSE"/>
    <s v="Buy"/>
    <n v="65"/>
    <n v="0"/>
    <n v="154.44999999999999"/>
    <n v="10039.25"/>
    <s v="#202602252700001928"/>
    <n v="0"/>
    <n v="3.57"/>
    <n v="0"/>
    <n v="0.01"/>
    <n v="29"/>
    <n v="5.86"/>
    <n v="38.44"/>
    <n v="2026"/>
    <n v="2"/>
    <x v="2"/>
    <n v="11"/>
    <n v="11"/>
    <s v="202511"/>
    <s v="Feb-26"/>
    <n v="-10077.69"/>
    <n v="-10.07769"/>
  </r>
  <r>
    <d v="2026-02-25T00:00:00"/>
    <s v="OPT-NIFTY-02-Mar-2026-25600-C-E-I"/>
    <s v="NSE"/>
    <s v="Buy"/>
    <n v="65"/>
    <n v="0"/>
    <n v="150.55000000000001"/>
    <n v="9785.75"/>
    <s v="#202602252700001896"/>
    <n v="0"/>
    <n v="3.48"/>
    <n v="0"/>
    <n v="0.01"/>
    <n v="29"/>
    <n v="5.84"/>
    <n v="38.33"/>
    <n v="2026"/>
    <n v="2"/>
    <x v="2"/>
    <n v="11"/>
    <n v="11"/>
    <s v="202511"/>
    <s v="Feb-26"/>
    <n v="-9824.08"/>
    <n v="-9.8240800000000004"/>
  </r>
  <r>
    <d v="2026-02-25T00:00:00"/>
    <s v="OPT-NIFTY-02-Mar-2026-25600-C-E-I"/>
    <s v="NSE"/>
    <s v="Buy"/>
    <n v="65"/>
    <n v="0"/>
    <n v="153.25"/>
    <n v="9961.25"/>
    <s v="#202602252700001753"/>
    <n v="0"/>
    <n v="3.54"/>
    <n v="0"/>
    <n v="0.01"/>
    <n v="29"/>
    <n v="5.86"/>
    <n v="38.409999999999997"/>
    <n v="2026"/>
    <n v="2"/>
    <x v="2"/>
    <n v="11"/>
    <n v="11"/>
    <s v="202511"/>
    <s v="Feb-26"/>
    <n v="-9999.66"/>
    <n v="-9.9996600000000004"/>
  </r>
  <r>
    <d v="2026-02-25T00:00:00"/>
    <s v="OPT-NIFTY-02-Mar-2026-25600-C-E-I"/>
    <s v="NSE"/>
    <s v="Buy"/>
    <n v="65"/>
    <n v="0"/>
    <n v="151.25"/>
    <n v="9831.25"/>
    <s v="#202602252700001642"/>
    <n v="0"/>
    <n v="3.49"/>
    <n v="0"/>
    <n v="0.01"/>
    <n v="29"/>
    <n v="5.86"/>
    <n v="38.36"/>
    <n v="2026"/>
    <n v="2"/>
    <x v="2"/>
    <n v="11"/>
    <n v="11"/>
    <s v="202511"/>
    <s v="Feb-26"/>
    <n v="-9869.61"/>
    <n v="-9.8696099999999998"/>
  </r>
  <r>
    <d v="2026-02-25T00:00:00"/>
    <s v="OPT-NIFTY-02-Mar-2026-25600-C-E-I"/>
    <s v="NSE"/>
    <s v="Buy"/>
    <n v="65"/>
    <n v="0"/>
    <n v="153.30000000000001"/>
    <n v="9964.5"/>
    <s v="#202602252700000830"/>
    <n v="0"/>
    <n v="3.54"/>
    <n v="2"/>
    <n v="0.01"/>
    <n v="29"/>
    <n v="5.86"/>
    <n v="40.409999999999997"/>
    <n v="2026"/>
    <n v="2"/>
    <x v="2"/>
    <n v="11"/>
    <n v="11"/>
    <s v="202511"/>
    <s v="Feb-26"/>
    <n v="-10004.91"/>
    <n v="-10.004910000000001"/>
  </r>
  <r>
    <d v="2026-02-26T00:00:00"/>
    <s v="OPT-NIFTY-02-Mar-2026-25550-C-E-I"/>
    <s v="NSE"/>
    <s v="Sell"/>
    <n v="780"/>
    <n v="0"/>
    <n v="109.9"/>
    <n v="85722"/>
    <s v="#202602262700009308"/>
    <n v="85.72"/>
    <n v="30.46"/>
    <n v="0"/>
    <n v="0.09"/>
    <n v="348"/>
    <n v="68.14"/>
    <n v="532.41"/>
    <n v="2026"/>
    <n v="2"/>
    <x v="2"/>
    <n v="11"/>
    <n v="11"/>
    <s v="202511"/>
    <s v="Feb-26"/>
    <n v="85189.59"/>
    <n v="85.189589999999995"/>
  </r>
  <r>
    <d v="2026-02-26T00:00:00"/>
    <s v="OPT-NIFTY-02-Mar-2026-25550-C-E-I"/>
    <s v="NSE"/>
    <s v="Buy"/>
    <n v="780"/>
    <n v="0"/>
    <n v="81.180000000000007"/>
    <n v="63323"/>
    <s v="#202602262700008745"/>
    <n v="0"/>
    <n v="22.5"/>
    <n v="0"/>
    <n v="0.08"/>
    <n v="348"/>
    <n v="66.72"/>
    <n v="437.3"/>
    <n v="2026"/>
    <n v="2"/>
    <x v="2"/>
    <n v="11"/>
    <n v="11"/>
    <s v="202511"/>
    <s v="Feb-26"/>
    <n v="-63760.3"/>
    <n v="-63.760300000000001"/>
  </r>
  <r>
    <d v="2026-02-26T00:00:00"/>
    <s v="OPT-NIFTY-02-Mar-2026-25550-C-E-I"/>
    <s v="NSE"/>
    <s v="Sell"/>
    <n v="715"/>
    <n v="0"/>
    <n v="80"/>
    <n v="57200"/>
    <s v="#202602262700008284"/>
    <n v="57.2"/>
    <n v="20.32"/>
    <n v="0"/>
    <n v="0.06"/>
    <n v="319"/>
    <n v="61.08"/>
    <n v="457.66"/>
    <n v="2026"/>
    <n v="2"/>
    <x v="2"/>
    <n v="11"/>
    <n v="11"/>
    <s v="202511"/>
    <s v="Feb-26"/>
    <n v="56742.34"/>
    <n v="56.742339999999999"/>
  </r>
  <r>
    <d v="2026-02-26T00:00:00"/>
    <s v="OPT-NIFTY-02-Mar-2026-25550-C-E-I"/>
    <s v="NSE"/>
    <s v="Buy"/>
    <n v="715"/>
    <n v="0"/>
    <n v="84.15"/>
    <n v="60167.25"/>
    <s v="#202602262700007074"/>
    <n v="0"/>
    <n v="21.37"/>
    <n v="10"/>
    <n v="7.0000000000000007E-2"/>
    <n v="319"/>
    <n v="61.3"/>
    <n v="411.74"/>
    <n v="2026"/>
    <n v="2"/>
    <x v="2"/>
    <n v="11"/>
    <n v="11"/>
    <s v="202511"/>
    <s v="Feb-26"/>
    <n v="-60578.99"/>
    <n v="-60.578989999999997"/>
  </r>
  <r>
    <d v="2026-02-26T00:00:00"/>
    <s v="OPT-NIFTY-02-Mar-2026-25550-C-E-I"/>
    <s v="NSE"/>
    <s v="Sell"/>
    <n v="780"/>
    <n v="0"/>
    <n v="115.15"/>
    <n v="89817"/>
    <s v="#202602262700004113"/>
    <n v="89.81"/>
    <n v="31.91"/>
    <n v="0"/>
    <n v="0.09"/>
    <n v="348"/>
    <n v="68.400000000000006"/>
    <n v="538.21"/>
    <n v="2026"/>
    <n v="2"/>
    <x v="2"/>
    <n v="11"/>
    <n v="11"/>
    <s v="202511"/>
    <s v="Feb-26"/>
    <n v="89278.79"/>
    <n v="89.278789999999987"/>
  </r>
  <r>
    <d v="2026-02-26T00:00:00"/>
    <s v="OPT-NIFTY-02-Mar-2026-25550-C-E-I"/>
    <s v="NSE"/>
    <s v="Buy"/>
    <n v="130"/>
    <n v="0"/>
    <n v="122.7"/>
    <n v="15951"/>
    <s v="#202602262700004003"/>
    <n v="0"/>
    <n v="5.66"/>
    <n v="0"/>
    <n v="0.02"/>
    <n v="58"/>
    <n v="11.48"/>
    <n v="75.16"/>
    <n v="2026"/>
    <n v="2"/>
    <x v="2"/>
    <n v="11"/>
    <n v="11"/>
    <s v="202511"/>
    <s v="Feb-26"/>
    <n v="-16026.16"/>
    <n v="-16.026160000000001"/>
  </r>
  <r>
    <d v="2026-02-26T00:00:00"/>
    <s v="OPT-NIFTY-02-Mar-2026-25550-C-E-I"/>
    <s v="NSE"/>
    <s v="Buy"/>
    <n v="195"/>
    <n v="0"/>
    <n v="130.35"/>
    <n v="25418.25"/>
    <s v="#202602262700003964"/>
    <n v="0"/>
    <n v="9.0299999999999994"/>
    <n v="0"/>
    <n v="0.03"/>
    <n v="87"/>
    <n v="17.3"/>
    <n v="113.36"/>
    <n v="2026"/>
    <n v="2"/>
    <x v="2"/>
    <n v="11"/>
    <n v="11"/>
    <s v="202511"/>
    <s v="Feb-26"/>
    <n v="-25531.61"/>
    <n v="-25.531610000000001"/>
  </r>
  <r>
    <d v="2026-02-26T00:00:00"/>
    <s v="OPT-NIFTY-02-Mar-2026-25550-C-E-I"/>
    <s v="NSE"/>
    <s v="Buy"/>
    <n v="195"/>
    <n v="0"/>
    <n v="129.65"/>
    <n v="25281.75"/>
    <s v="#202602262700003942"/>
    <n v="0"/>
    <n v="8.9700000000000006"/>
    <n v="0"/>
    <n v="0.03"/>
    <n v="87"/>
    <n v="17.28"/>
    <n v="113.28"/>
    <n v="2026"/>
    <n v="2"/>
    <x v="2"/>
    <n v="11"/>
    <n v="11"/>
    <s v="202511"/>
    <s v="Feb-26"/>
    <n v="-25395.03"/>
    <n v="-25.395029999999998"/>
  </r>
  <r>
    <d v="2026-02-26T00:00:00"/>
    <s v="OPT-NIFTY-02-Mar-2026-25550-C-E-I"/>
    <s v="NSE"/>
    <s v="Buy"/>
    <n v="195"/>
    <n v="0"/>
    <n v="130.30000000000001"/>
    <n v="25408.5"/>
    <s v="#202602262700003931"/>
    <n v="0"/>
    <n v="9.0299999999999994"/>
    <n v="0"/>
    <n v="0.03"/>
    <n v="87"/>
    <n v="17.28"/>
    <n v="113.34"/>
    <n v="2026"/>
    <n v="2"/>
    <x v="2"/>
    <n v="11"/>
    <n v="11"/>
    <s v="202511"/>
    <s v="Feb-26"/>
    <n v="-25521.84"/>
    <n v="-25.521840000000001"/>
  </r>
  <r>
    <d v="2026-02-26T00:00:00"/>
    <s v="OPT-NIFTY-02-Mar-2026-25550-C-E-I"/>
    <s v="NSE"/>
    <s v="Buy"/>
    <n v="65"/>
    <n v="0"/>
    <n v="132.30000000000001"/>
    <n v="8599.5"/>
    <s v="#202602262700003918"/>
    <n v="0"/>
    <n v="3.06"/>
    <n v="0"/>
    <n v="0.01"/>
    <n v="29"/>
    <n v="5.78"/>
    <n v="37.85"/>
    <n v="2026"/>
    <n v="2"/>
    <x v="2"/>
    <n v="11"/>
    <n v="11"/>
    <s v="202511"/>
    <s v="Feb-26"/>
    <n v="-8637.35"/>
    <n v="-8.6373499999999996"/>
  </r>
  <r>
    <d v="2026-02-26T00:00:00"/>
    <s v="OPT-NIFTY-02-Mar-2026-25550-C-E-I"/>
    <s v="NSE"/>
    <s v="Sell"/>
    <n v="715"/>
    <n v="0"/>
    <n v="124.49"/>
    <n v="89011"/>
    <s v="#202602262700003535"/>
    <n v="89.27"/>
    <n v="31.64"/>
    <n v="0"/>
    <n v="0.1"/>
    <n v="319"/>
    <n v="63.14"/>
    <n v="503.15"/>
    <n v="2026"/>
    <n v="2"/>
    <x v="2"/>
    <n v="11"/>
    <n v="11"/>
    <s v="202511"/>
    <s v="Feb-26"/>
    <n v="88507.85"/>
    <n v="88.507850000000005"/>
  </r>
  <r>
    <d v="2026-02-26T00:00:00"/>
    <s v="OPT-NIFTY-02-Mar-2026-25550-C-E-I"/>
    <s v="NSE"/>
    <s v="Buy"/>
    <n v="390"/>
    <n v="0"/>
    <n v="124.76"/>
    <n v="48655.75"/>
    <s v="#202602262700000839"/>
    <n v="0"/>
    <n v="17.28"/>
    <n v="0"/>
    <n v="0.05"/>
    <n v="174"/>
    <n v="34.44"/>
    <n v="225.77"/>
    <n v="2026"/>
    <n v="2"/>
    <x v="2"/>
    <n v="11"/>
    <n v="11"/>
    <s v="202511"/>
    <s v="Feb-26"/>
    <n v="-48881.52"/>
    <n v="-48.881519999999995"/>
  </r>
  <r>
    <d v="2026-02-26T00:00:00"/>
    <s v="OPT-NIFTY-02-Mar-2026-25550-C-E-I"/>
    <s v="NSE"/>
    <s v="Buy"/>
    <n v="325"/>
    <n v="0"/>
    <n v="136.75"/>
    <n v="44443.75"/>
    <s v="#202602262700000649"/>
    <n v="0"/>
    <n v="15.79"/>
    <n v="0"/>
    <n v="0.04"/>
    <n v="145"/>
    <n v="28.96"/>
    <n v="189.79"/>
    <n v="2026"/>
    <n v="2"/>
    <x v="2"/>
    <n v="11"/>
    <n v="11"/>
    <s v="202511"/>
    <s v="Feb-26"/>
    <n v="-44633.54"/>
    <n v="-44.633540000000004"/>
  </r>
  <r>
    <d v="2026-02-27T00:00:00"/>
    <s v="OPT-NIFTY-02-Mar-2026-25300-C-E-I"/>
    <s v="NSE"/>
    <s v="Sell"/>
    <n v="195"/>
    <n v="0"/>
    <n v="129.9"/>
    <n v="25330.5"/>
    <s v="#202602272700010803"/>
    <n v="25.33"/>
    <n v="9"/>
    <n v="0"/>
    <n v="0.03"/>
    <n v="87"/>
    <n v="17.28"/>
    <n v="138.63999999999999"/>
    <n v="2026"/>
    <n v="2"/>
    <x v="2"/>
    <n v="11"/>
    <n v="11"/>
    <s v="202511"/>
    <s v="Feb-26"/>
    <n v="25191.86"/>
    <n v="25.191860000000002"/>
  </r>
  <r>
    <d v="2026-02-27T00:00:00"/>
    <s v="OPT-NIFTY-02-Mar-2026-25300-C-E-I"/>
    <s v="NSE"/>
    <s v="Buy"/>
    <n v="65"/>
    <n v="0"/>
    <n v="101.75"/>
    <n v="6613.75"/>
    <s v="#202602272700009169"/>
    <n v="0"/>
    <n v="2.35"/>
    <n v="0"/>
    <n v="0.01"/>
    <n v="29"/>
    <n v="5.64"/>
    <n v="37"/>
    <n v="2026"/>
    <n v="2"/>
    <x v="2"/>
    <n v="11"/>
    <n v="11"/>
    <s v="202511"/>
    <s v="Feb-26"/>
    <n v="-6650.75"/>
    <n v="-6.6507500000000004"/>
  </r>
  <r>
    <d v="2026-02-27T00:00:00"/>
    <s v="OPT-NIFTY-02-Mar-2026-25300-C-E-I"/>
    <s v="NSE"/>
    <s v="Buy"/>
    <n v="65"/>
    <n v="0"/>
    <n v="102.6"/>
    <n v="6669"/>
    <s v="#202602272700008665"/>
    <n v="0"/>
    <n v="2.37"/>
    <n v="0"/>
    <n v="0.01"/>
    <n v="29"/>
    <n v="5.64"/>
    <n v="37.020000000000003"/>
    <n v="2026"/>
    <n v="2"/>
    <x v="2"/>
    <n v="11"/>
    <n v="11"/>
    <s v="202511"/>
    <s v="Feb-26"/>
    <n v="-6706.02"/>
    <n v="-6.7060200000000005"/>
  </r>
  <r>
    <d v="2026-02-27T00:00:00"/>
    <s v="OPT-NIFTY-02-Mar-2026-25300-C-E-I"/>
    <s v="NSE"/>
    <s v="Buy"/>
    <n v="65"/>
    <n v="0"/>
    <n v="111.55"/>
    <n v="7250.75"/>
    <s v="#202602272700008439"/>
    <n v="0"/>
    <n v="2.58"/>
    <n v="0.62"/>
    <n v="0.01"/>
    <n v="29"/>
    <n v="5.68"/>
    <n v="37.89"/>
    <n v="2026"/>
    <n v="2"/>
    <x v="2"/>
    <n v="11"/>
    <n v="11"/>
    <s v="202511"/>
    <s v="Feb-26"/>
    <n v="-7288.64"/>
    <n v="-7.28864"/>
  </r>
  <r>
    <d v="2026-02-27T00:00:00"/>
    <s v="OPT-NIFTY-02-Mar-2026-25400-P-E-I"/>
    <s v="NSE"/>
    <s v="Sell"/>
    <n v="715"/>
    <n v="0"/>
    <n v="164"/>
    <n v="117260"/>
    <s v="#202602272700007738"/>
    <n v="117.26"/>
    <n v="41.65"/>
    <n v="0"/>
    <n v="0.11"/>
    <n v="319"/>
    <n v="64.94"/>
    <n v="542.96"/>
    <n v="2026"/>
    <n v="2"/>
    <x v="2"/>
    <n v="11"/>
    <n v="11"/>
    <s v="202511"/>
    <s v="Feb-26"/>
    <n v="116717.04"/>
    <n v="116.71704"/>
  </r>
  <r>
    <d v="2026-02-27T00:00:00"/>
    <s v="OPT-NIFTY-02-Mar-2026-25400-P-E-I"/>
    <s v="NSE"/>
    <s v="Buy"/>
    <n v="130"/>
    <n v="0"/>
    <n v="165.35"/>
    <n v="21495.5"/>
    <s v="#202602272700007592"/>
    <n v="0"/>
    <n v="7.64"/>
    <n v="0"/>
    <n v="0.02"/>
    <n v="58"/>
    <n v="11.8"/>
    <n v="77.459999999999994"/>
    <n v="2026"/>
    <n v="2"/>
    <x v="2"/>
    <n v="11"/>
    <n v="11"/>
    <s v="202511"/>
    <s v="Feb-26"/>
    <n v="-21572.959999999999"/>
    <n v="-21.572959999999998"/>
  </r>
  <r>
    <d v="2026-02-27T00:00:00"/>
    <s v="OPT-NIFTY-02-Mar-2026-25400-P-E-I"/>
    <s v="NSE"/>
    <s v="Buy"/>
    <n v="130"/>
    <n v="0"/>
    <n v="164.63"/>
    <n v="21401.25"/>
    <s v="#202602272700007564"/>
    <n v="0"/>
    <n v="7.6"/>
    <n v="0"/>
    <n v="0.02"/>
    <n v="58"/>
    <n v="11.8"/>
    <n v="77.42"/>
    <n v="2026"/>
    <n v="2"/>
    <x v="2"/>
    <n v="11"/>
    <n v="11"/>
    <s v="202511"/>
    <s v="Feb-26"/>
    <n v="-21478.67"/>
    <n v="-21.478669999999997"/>
  </r>
  <r>
    <d v="2026-02-27T00:00:00"/>
    <s v="OPT-NIFTY-02-Mar-2026-25400-P-E-I"/>
    <s v="NSE"/>
    <s v="Buy"/>
    <n v="130"/>
    <n v="0"/>
    <n v="174.9"/>
    <n v="22737"/>
    <s v="#202602272700007494"/>
    <n v="0"/>
    <n v="8.08"/>
    <n v="0"/>
    <n v="0.02"/>
    <n v="58"/>
    <n v="11.88"/>
    <n v="77.98"/>
    <n v="2026"/>
    <n v="2"/>
    <x v="2"/>
    <n v="11"/>
    <n v="11"/>
    <s v="202511"/>
    <s v="Feb-26"/>
    <n v="-22814.98"/>
    <n v="-22.814979999999998"/>
  </r>
  <r>
    <d v="2026-02-27T00:00:00"/>
    <s v="OPT-NIFTY-02-Mar-2026-25400-P-E-I"/>
    <s v="NSE"/>
    <s v="Buy"/>
    <n v="325"/>
    <n v="0"/>
    <n v="173.43"/>
    <n v="56364.75"/>
    <s v="#202602272700007318"/>
    <n v="0"/>
    <n v="20.03"/>
    <n v="0"/>
    <n v="0.05"/>
    <n v="145"/>
    <n v="29.7"/>
    <n v="194.78"/>
    <n v="2026"/>
    <n v="2"/>
    <x v="2"/>
    <n v="11"/>
    <n v="11"/>
    <s v="202511"/>
    <s v="Feb-26"/>
    <n v="-56559.53"/>
    <n v="-56.559530000000002"/>
  </r>
  <r>
    <d v="2026-02-27T00:00:00"/>
    <s v="OPT-NIFTY-02-Mar-2026-25400-P-E-I"/>
    <s v="NSE"/>
    <s v="Sell"/>
    <n v="780"/>
    <n v="0"/>
    <n v="144.9"/>
    <n v="113022"/>
    <s v="#202602272700003689"/>
    <n v="113.42"/>
    <n v="40.159999999999997"/>
    <n v="0"/>
    <n v="0.12"/>
    <n v="348"/>
    <n v="69.900000000000006"/>
    <n v="571.6"/>
    <n v="2026"/>
    <n v="2"/>
    <x v="2"/>
    <n v="11"/>
    <n v="11"/>
    <s v="202511"/>
    <s v="Feb-26"/>
    <n v="112450.4"/>
    <n v="112.45039999999999"/>
  </r>
  <r>
    <d v="2026-02-27T00:00:00"/>
    <s v="OPT-NIFTY-02-Mar-2026-25400-P-E-I"/>
    <s v="NSE"/>
    <s v="Buy"/>
    <n v="650"/>
    <n v="0"/>
    <n v="123.4"/>
    <n v="80210"/>
    <s v="#202602272700002589"/>
    <n v="0"/>
    <n v="28.5"/>
    <n v="6.38"/>
    <n v="0.08"/>
    <n v="290"/>
    <n v="57.36"/>
    <n v="382.32"/>
    <n v="2026"/>
    <n v="2"/>
    <x v="2"/>
    <n v="11"/>
    <n v="11"/>
    <s v="202511"/>
    <s v="Feb-26"/>
    <n v="-80592.320000000007"/>
    <n v="-80.592320000000001"/>
  </r>
  <r>
    <d v="2026-02-27T00:00:00"/>
    <s v="OPT-NIFTY-02-Mar-2026-25400-P-E-I"/>
    <s v="NSE"/>
    <s v="Buy"/>
    <n v="130"/>
    <n v="0"/>
    <n v="119.4"/>
    <n v="15522"/>
    <s v="#202602272700002056"/>
    <n v="0"/>
    <n v="5.52"/>
    <n v="0"/>
    <n v="0.02"/>
    <n v="58"/>
    <n v="11.44"/>
    <n v="74.98"/>
    <n v="2026"/>
    <n v="2"/>
    <x v="2"/>
    <n v="11"/>
    <n v="11"/>
    <s v="202511"/>
    <s v="Feb-26"/>
    <n v="-15596.98"/>
    <n v="-15.59698"/>
  </r>
  <r>
    <d v="2026-03-02T00:00:00"/>
    <s v="OPT-NIFTY-02-Mar-2026-24800-P-E-I"/>
    <s v="NSE"/>
    <s v="Sell"/>
    <n v="910"/>
    <n v="0"/>
    <n v="97"/>
    <n v="88270"/>
    <s v="#202603022700012542"/>
    <n v="88.28"/>
    <n v="31.36"/>
    <n v="0"/>
    <n v="0.08"/>
    <n v="406"/>
    <n v="78.760000000000005"/>
    <n v="604.48"/>
    <n v="2026"/>
    <n v="3"/>
    <x v="2"/>
    <n v="12"/>
    <n v="12"/>
    <s v="202512"/>
    <s v="Mar-26"/>
    <n v="87665.52"/>
    <n v="87.665520000000001"/>
  </r>
  <r>
    <d v="2026-03-02T00:00:00"/>
    <s v="OPT-NIFTY-02-Mar-2026-24800-P-E-I"/>
    <s v="NSE"/>
    <s v="Buy"/>
    <n v="910"/>
    <n v="0"/>
    <n v="61.05"/>
    <n v="55555.5"/>
    <s v="#202603022700010487"/>
    <n v="0"/>
    <n v="19.739999999999998"/>
    <n v="1.51"/>
    <n v="0.05"/>
    <n v="406"/>
    <n v="76.66"/>
    <n v="503.96"/>
    <n v="2026"/>
    <n v="3"/>
    <x v="2"/>
    <n v="12"/>
    <n v="12"/>
    <s v="202512"/>
    <s v="Mar-26"/>
    <n v="-56059.46"/>
    <n v="-56.059460000000001"/>
  </r>
  <r>
    <d v="2026-03-02T00:00:00"/>
    <s v="OPT-NIFTY-02-Mar-2026-24850-C-E-I"/>
    <s v="NSE"/>
    <s v="Sell"/>
    <n v="910"/>
    <n v="0"/>
    <n v="39.9"/>
    <n v="36309"/>
    <s v="#202603022700010260"/>
    <n v="36.72"/>
    <n v="12.9"/>
    <n v="0"/>
    <n v="0.04"/>
    <n v="406"/>
    <n v="75.400000000000006"/>
    <n v="531.05999999999995"/>
    <n v="2026"/>
    <n v="3"/>
    <x v="2"/>
    <n v="12"/>
    <n v="12"/>
    <s v="202512"/>
    <s v="Mar-26"/>
    <n v="35777.94"/>
    <n v="35.777940000000001"/>
  </r>
  <r>
    <d v="2026-03-02T00:00:00"/>
    <s v="OPT-NIFTY-02-Mar-2026-24850-C-E-I"/>
    <s v="NSE"/>
    <s v="Buy"/>
    <n v="325"/>
    <n v="0"/>
    <n v="51.25"/>
    <n v="16656.25"/>
    <s v="#202603022700009926"/>
    <n v="0"/>
    <n v="5.92"/>
    <n v="0"/>
    <n v="0.02"/>
    <n v="145"/>
    <n v="27.16"/>
    <n v="178.1"/>
    <n v="2026"/>
    <n v="3"/>
    <x v="2"/>
    <n v="12"/>
    <n v="12"/>
    <s v="202512"/>
    <s v="Mar-26"/>
    <n v="-16834.349999999999"/>
    <n v="-16.834349999999997"/>
  </r>
  <r>
    <d v="2026-03-02T00:00:00"/>
    <s v="OPT-NIFTY-02-Mar-2026-24850-C-E-I"/>
    <s v="NSE"/>
    <s v="Buy"/>
    <n v="260"/>
    <n v="0"/>
    <n v="54"/>
    <n v="14040"/>
    <s v="#202603022700009878"/>
    <n v="0"/>
    <n v="4.99"/>
    <n v="1.49"/>
    <n v="0.01"/>
    <n v="116"/>
    <n v="21.78"/>
    <n v="144.27000000000001"/>
    <n v="2026"/>
    <n v="3"/>
    <x v="2"/>
    <n v="12"/>
    <n v="12"/>
    <s v="202512"/>
    <s v="Mar-26"/>
    <n v="-14184.27"/>
    <n v="-14.18427"/>
  </r>
  <r>
    <d v="2026-03-02T00:00:00"/>
    <s v="OPT-NIFTY-02-Mar-2026-24850-C-E-I"/>
    <s v="NSE"/>
    <s v="Buy"/>
    <n v="130"/>
    <n v="0"/>
    <n v="57.25"/>
    <n v="7442.5"/>
    <s v="#202603022700009786"/>
    <n v="0"/>
    <n v="2.64"/>
    <n v="0"/>
    <n v="0.01"/>
    <n v="58"/>
    <n v="10.92"/>
    <n v="71.569999999999993"/>
    <n v="2026"/>
    <n v="3"/>
    <x v="2"/>
    <n v="12"/>
    <n v="12"/>
    <s v="202512"/>
    <s v="Mar-26"/>
    <n v="-7514.07"/>
    <n v="-7.5140699999999994"/>
  </r>
  <r>
    <d v="2026-03-02T00:00:00"/>
    <s v="OPT-NIFTY-02-Mar-2026-24850-C-E-I"/>
    <s v="NSE"/>
    <s v="Buy"/>
    <n v="130"/>
    <n v="0"/>
    <n v="58.75"/>
    <n v="7637.5"/>
    <s v="#202603022700009771"/>
    <n v="0"/>
    <n v="2.71"/>
    <n v="0"/>
    <n v="0.01"/>
    <n v="58"/>
    <n v="10.92"/>
    <n v="71.64"/>
    <n v="2026"/>
    <n v="3"/>
    <x v="2"/>
    <n v="12"/>
    <n v="12"/>
    <s v="202512"/>
    <s v="Mar-26"/>
    <n v="-7709.14"/>
    <n v="-7.7091400000000005"/>
  </r>
  <r>
    <d v="2026-03-02T00:00:00"/>
    <s v="OPT-NIFTY-02-Mar-2026-24850-C-E-I"/>
    <s v="NSE"/>
    <s v="Buy"/>
    <n v="65"/>
    <n v="0"/>
    <n v="60.3"/>
    <n v="3919.5"/>
    <s v="#202603022700009762"/>
    <n v="0"/>
    <n v="1.39"/>
    <n v="0"/>
    <n v="0"/>
    <n v="29"/>
    <n v="5.48"/>
    <n v="35.869999999999997"/>
    <n v="2026"/>
    <n v="3"/>
    <x v="2"/>
    <n v="12"/>
    <n v="12"/>
    <s v="202512"/>
    <s v="Mar-26"/>
    <n v="-3955.37"/>
    <n v="-3.9553699999999998"/>
  </r>
  <r>
    <d v="2026-03-06T00:00:00"/>
    <s v="OPT-NIFTY-10-Mar-2026-24500-P-E-I"/>
    <s v="NSE"/>
    <s v="Sell"/>
    <n v="910"/>
    <n v="0"/>
    <n v="194.9"/>
    <n v="177359"/>
    <s v="#202603062700009844"/>
    <n v="177.36"/>
    <n v="63.01"/>
    <n v="0"/>
    <n v="0.18"/>
    <n v="406"/>
    <n v="84.46"/>
    <n v="731.01"/>
    <n v="2026"/>
    <n v="3"/>
    <x v="2"/>
    <n v="12"/>
    <n v="12"/>
    <s v="202512"/>
    <s v="Mar-26"/>
    <n v="176627.99"/>
    <n v="176.62798999999998"/>
  </r>
  <r>
    <d v="2026-03-06T00:00:00"/>
    <s v="OPT-NIFTY-10-Mar-2026-24500-P-E-I"/>
    <s v="NSE"/>
    <s v="Buy"/>
    <n v="910"/>
    <n v="0"/>
    <n v="151.25"/>
    <n v="137637.5"/>
    <s v="#202603062700005788"/>
    <n v="0"/>
    <n v="48.9"/>
    <n v="9.43"/>
    <n v="0.14000000000000001"/>
    <n v="406"/>
    <n v="81.94"/>
    <n v="546.41"/>
    <n v="2026"/>
    <n v="3"/>
    <x v="2"/>
    <n v="12"/>
    <n v="12"/>
    <s v="202512"/>
    <s v="Mar-26"/>
    <n v="-138183.91"/>
    <n v="-138.18391"/>
  </r>
  <r>
    <d v="2026-03-06T00:00:00"/>
    <s v="OPT-NIFTY-10-Mar-2026-24750-C-E-I"/>
    <s v="NSE"/>
    <s v="Sell"/>
    <n v="1170"/>
    <n v="0"/>
    <n v="138.28"/>
    <n v="161791.5"/>
    <s v="#202603062700005545"/>
    <n v="161.80000000000001"/>
    <n v="57.5"/>
    <n v="0"/>
    <n v="0.18"/>
    <n v="522"/>
    <n v="104.38"/>
    <n v="845.86"/>
    <n v="2026"/>
    <n v="3"/>
    <x v="2"/>
    <n v="12"/>
    <n v="12"/>
    <s v="202512"/>
    <s v="Mar-26"/>
    <n v="160945.64000000001"/>
    <n v="160.94564000000003"/>
  </r>
  <r>
    <d v="2026-03-06T00:00:00"/>
    <s v="OPT-NIFTY-10-Mar-2026-24750-C-E-I"/>
    <s v="NSE"/>
    <s v="Buy"/>
    <n v="195"/>
    <n v="0"/>
    <n v="148.05000000000001"/>
    <n v="28869.75"/>
    <s v="#202603062700004704"/>
    <n v="0"/>
    <n v="10.26"/>
    <n v="0"/>
    <n v="0.03"/>
    <n v="87"/>
    <n v="17.52"/>
    <n v="114.81"/>
    <n v="2026"/>
    <n v="3"/>
    <x v="2"/>
    <n v="12"/>
    <n v="12"/>
    <s v="202512"/>
    <s v="Mar-26"/>
    <n v="-28984.560000000001"/>
    <n v="-28.984560000000002"/>
  </r>
  <r>
    <d v="2026-03-06T00:00:00"/>
    <s v="OPT-NIFTY-10-Mar-2026-24750-C-E-I"/>
    <s v="NSE"/>
    <s v="Buy"/>
    <n v="520"/>
    <n v="0"/>
    <n v="161.25"/>
    <n v="83850"/>
    <s v="#202603062700004255"/>
    <n v="0"/>
    <n v="29.79"/>
    <n v="0"/>
    <n v="0.08"/>
    <n v="232"/>
    <n v="47.14"/>
    <n v="309.01"/>
    <n v="2026"/>
    <n v="3"/>
    <x v="2"/>
    <n v="12"/>
    <n v="12"/>
    <s v="202512"/>
    <s v="Mar-26"/>
    <n v="-84159.01"/>
    <n v="-84.159009999999995"/>
  </r>
  <r>
    <d v="2026-03-06T00:00:00"/>
    <s v="OPT-NIFTY-10-Mar-2026-24750-C-E-I"/>
    <s v="NSE"/>
    <s v="Buy"/>
    <n v="130"/>
    <n v="0"/>
    <n v="155.75"/>
    <n v="20247.5"/>
    <s v="#202603062700003286"/>
    <n v="0"/>
    <n v="7.2"/>
    <n v="0"/>
    <n v="0.02"/>
    <n v="58"/>
    <n v="11.72"/>
    <n v="76.94"/>
    <n v="2026"/>
    <n v="3"/>
    <x v="2"/>
    <n v="12"/>
    <n v="12"/>
    <s v="202512"/>
    <s v="Mar-26"/>
    <n v="-20324.439999999999"/>
    <n v="-20.324439999999999"/>
  </r>
  <r>
    <d v="2026-03-06T00:00:00"/>
    <s v="OPT-NIFTY-10-Mar-2026-24750-C-E-I"/>
    <s v="NSE"/>
    <s v="Buy"/>
    <n v="130"/>
    <n v="0"/>
    <n v="160.1"/>
    <n v="20813"/>
    <s v="#202603062700003157"/>
    <n v="0"/>
    <n v="7.39"/>
    <n v="5.57"/>
    <n v="0.02"/>
    <n v="58"/>
    <n v="11.78"/>
    <n v="82.76"/>
    <n v="2026"/>
    <n v="3"/>
    <x v="2"/>
    <n v="12"/>
    <n v="12"/>
    <s v="202512"/>
    <s v="Mar-26"/>
    <n v="-20895.759999999998"/>
    <n v="-20.895759999999999"/>
  </r>
  <r>
    <d v="2026-03-06T00:00:00"/>
    <s v="OPT-NIFTY-10-Mar-2026-24750-C-E-I"/>
    <s v="NSE"/>
    <s v="Buy"/>
    <n v="195"/>
    <n v="0"/>
    <n v="164.35"/>
    <n v="32048.25"/>
    <s v="#202603062700003071"/>
    <n v="0"/>
    <n v="11.39"/>
    <n v="0"/>
    <n v="0.03"/>
    <n v="87"/>
    <n v="17.72"/>
    <n v="116.14"/>
    <n v="2026"/>
    <n v="3"/>
    <x v="2"/>
    <n v="12"/>
    <n v="12"/>
    <s v="202512"/>
    <s v="Mar-26"/>
    <n v="-32164.39"/>
    <n v="-32.164389999999997"/>
  </r>
  <r>
    <d v="2026-03-06T00:00:00"/>
    <s v="OPT-NIFTY-10-Mar-2026-24500-P-E-I"/>
    <s v="NSE"/>
    <s v="Sell"/>
    <n v="1105"/>
    <n v="0"/>
    <n v="146.55000000000001"/>
    <n v="161937.75"/>
    <s v="#202603062700002766"/>
    <n v="161.86000000000001"/>
    <n v="57.53"/>
    <n v="0"/>
    <n v="0.17"/>
    <n v="493"/>
    <n v="99.16"/>
    <n v="811.72"/>
    <n v="2026"/>
    <n v="3"/>
    <x v="2"/>
    <n v="12"/>
    <n v="12"/>
    <s v="202512"/>
    <s v="Mar-26"/>
    <n v="161126.03"/>
    <n v="161.12602999999999"/>
  </r>
  <r>
    <d v="2026-03-06T00:00:00"/>
    <s v="OPT-NIFTY-10-Mar-2026-24500-P-E-I"/>
    <s v="NSE"/>
    <s v="Buy"/>
    <n v="260"/>
    <n v="0"/>
    <n v="157.55000000000001"/>
    <n v="40963"/>
    <s v="#202603062700002462"/>
    <n v="0"/>
    <n v="14.56"/>
    <n v="0"/>
    <n v="0.04"/>
    <n v="116"/>
    <n v="23.52"/>
    <n v="154.12"/>
    <n v="2026"/>
    <n v="3"/>
    <x v="2"/>
    <n v="12"/>
    <n v="12"/>
    <s v="202512"/>
    <s v="Mar-26"/>
    <n v="-41117.120000000003"/>
    <n v="-41.11712"/>
  </r>
  <r>
    <d v="2026-03-06T00:00:00"/>
    <s v="OPT-NIFTY-10-Mar-2026-24500-P-E-I"/>
    <s v="NSE"/>
    <s v="Buy"/>
    <n v="130"/>
    <n v="0"/>
    <n v="156.75"/>
    <n v="20377.5"/>
    <s v="#202603062700002085"/>
    <n v="0"/>
    <n v="7.24"/>
    <n v="0"/>
    <n v="0.02"/>
    <n v="58"/>
    <n v="11.74"/>
    <n v="77"/>
    <n v="2026"/>
    <n v="3"/>
    <x v="2"/>
    <n v="12"/>
    <n v="12"/>
    <s v="202512"/>
    <s v="Mar-26"/>
    <n v="-20454.5"/>
    <n v="-20.454499999999999"/>
  </r>
  <r>
    <d v="2026-03-06T00:00:00"/>
    <s v="OPT-NIFTY-10-Mar-2026-24500-P-E-I"/>
    <s v="NSE"/>
    <s v="Buy"/>
    <n v="390"/>
    <n v="0"/>
    <n v="150.55000000000001"/>
    <n v="58714.5"/>
    <s v="#202603062700001936"/>
    <n v="0"/>
    <n v="20.86"/>
    <n v="0"/>
    <n v="0.06"/>
    <n v="174"/>
    <n v="35.08"/>
    <n v="230"/>
    <n v="2026"/>
    <n v="3"/>
    <x v="2"/>
    <n v="12"/>
    <n v="12"/>
    <s v="202512"/>
    <s v="Mar-26"/>
    <n v="-58944.5"/>
    <n v="-58.944499999999998"/>
  </r>
  <r>
    <d v="2026-03-06T00:00:00"/>
    <s v="OPT-NIFTY-10-Mar-2026-24500-P-E-I"/>
    <s v="NSE"/>
    <s v="Buy"/>
    <n v="130"/>
    <n v="0"/>
    <n v="151.25"/>
    <n v="19662.5"/>
    <s v="#202603062700001414"/>
    <n v="0"/>
    <n v="6.99"/>
    <n v="0"/>
    <n v="0.02"/>
    <n v="58"/>
    <n v="11.7"/>
    <n v="76.709999999999994"/>
    <n v="2026"/>
    <n v="3"/>
    <x v="2"/>
    <n v="12"/>
    <n v="12"/>
    <s v="202512"/>
    <s v="Mar-26"/>
    <n v="-19739.21"/>
    <n v="-19.73921"/>
  </r>
  <r>
    <d v="2026-03-06T00:00:00"/>
    <s v="OPT-NIFTY-10-Mar-2026-24500-P-E-I"/>
    <s v="NSE"/>
    <s v="Buy"/>
    <n v="130"/>
    <n v="0"/>
    <n v="152.44999999999999"/>
    <n v="19818.5"/>
    <s v="#202603062700001365"/>
    <n v="0"/>
    <n v="7.04"/>
    <n v="0"/>
    <n v="0.02"/>
    <n v="58"/>
    <n v="11.72"/>
    <n v="76.78"/>
    <n v="2026"/>
    <n v="3"/>
    <x v="2"/>
    <n v="12"/>
    <n v="12"/>
    <s v="202512"/>
    <s v="Mar-26"/>
    <n v="-19895.28"/>
    <n v="-19.89528"/>
  </r>
  <r>
    <d v="2026-03-06T00:00:00"/>
    <s v="OPT-NIFTY-10-Mar-2026-24500-P-E-I"/>
    <s v="NSE"/>
    <s v="Buy"/>
    <n v="65"/>
    <n v="0"/>
    <n v="157.15"/>
    <n v="10214.75"/>
    <s v="#202603062700001296"/>
    <n v="0"/>
    <n v="3.63"/>
    <n v="0"/>
    <n v="0.01"/>
    <n v="29"/>
    <n v="5.88"/>
    <n v="38.520000000000003"/>
    <n v="2026"/>
    <n v="3"/>
    <x v="2"/>
    <n v="12"/>
    <n v="12"/>
    <s v="202512"/>
    <s v="Mar-26"/>
    <n v="-10253.27"/>
    <n v="-10.253270000000001"/>
  </r>
  <r>
    <d v="2026-03-09T00:00:00"/>
    <s v="OPT-NIFTY-10-Mar-2026-23750-C-E-I"/>
    <s v="NSE"/>
    <s v="Sell"/>
    <n v="390"/>
    <n v="0"/>
    <n v="309.89999999999998"/>
    <n v="120861"/>
    <s v="#202603092700012734"/>
    <n v="120.99"/>
    <n v="42.95"/>
    <n v="0"/>
    <n v="0.12"/>
    <n v="174"/>
    <n v="39.1"/>
    <n v="377.16"/>
    <n v="2026"/>
    <n v="3"/>
    <x v="2"/>
    <n v="12"/>
    <n v="12"/>
    <s v="202512"/>
    <s v="Mar-26"/>
    <n v="120483.84"/>
    <n v="120.48384"/>
  </r>
  <r>
    <d v="2026-03-09T00:00:00"/>
    <s v="OPT-NIFTY-10-Mar-2026-23750-C-E-I"/>
    <s v="NSE"/>
    <s v="Buy"/>
    <n v="65"/>
    <n v="0"/>
    <n v="241.6"/>
    <n v="15704"/>
    <s v="#202603092700007700"/>
    <n v="0"/>
    <n v="5.58"/>
    <n v="3"/>
    <n v="0.02"/>
    <n v="29"/>
    <n v="6.22"/>
    <n v="43.82"/>
    <n v="2026"/>
    <n v="3"/>
    <x v="2"/>
    <n v="12"/>
    <n v="12"/>
    <s v="202512"/>
    <s v="Mar-26"/>
    <n v="-15747.82"/>
    <n v="-15.747819999999999"/>
  </r>
  <r>
    <d v="2026-03-09T00:00:00"/>
    <s v="OPT-NIFTY-10-Mar-2026-23750-C-E-I"/>
    <s v="NSE"/>
    <s v="Buy"/>
    <n v="65"/>
    <n v="0"/>
    <n v="258.7"/>
    <n v="16815.5"/>
    <s v="#202603092700007658"/>
    <n v="0"/>
    <n v="5.97"/>
    <n v="0"/>
    <n v="0.02"/>
    <n v="29"/>
    <n v="6.3"/>
    <n v="41.29"/>
    <n v="2026"/>
    <n v="3"/>
    <x v="2"/>
    <n v="12"/>
    <n v="12"/>
    <s v="202512"/>
    <s v="Mar-26"/>
    <n v="-16856.79"/>
    <n v="-16.85679"/>
  </r>
  <r>
    <d v="2026-03-09T00:00:00"/>
    <s v="OPT-NIFTY-10-Mar-2026-23750-C-E-I"/>
    <s v="NSE"/>
    <s v="Buy"/>
    <n v="65"/>
    <n v="0"/>
    <n v="221.05"/>
    <n v="14368.25"/>
    <s v="#202603092700006559"/>
    <n v="0"/>
    <n v="5.1100000000000003"/>
    <n v="0"/>
    <n v="0.01"/>
    <n v="29"/>
    <n v="6.14"/>
    <n v="40.26"/>
    <n v="2026"/>
    <n v="3"/>
    <x v="2"/>
    <n v="12"/>
    <n v="12"/>
    <s v="202512"/>
    <s v="Mar-26"/>
    <n v="-14408.51"/>
    <n v="-14.40851"/>
  </r>
  <r>
    <d v="2026-03-09T00:00:00"/>
    <s v="OPT-NIFTY-10-Mar-2026-23750-C-E-I"/>
    <s v="NSE"/>
    <s v="Buy"/>
    <n v="65"/>
    <n v="0"/>
    <n v="230.25"/>
    <n v="14966.25"/>
    <s v="#202603092700006420"/>
    <n v="0"/>
    <n v="5.32"/>
    <n v="0"/>
    <n v="0.02"/>
    <n v="29"/>
    <n v="6.18"/>
    <n v="40.520000000000003"/>
    <n v="2026"/>
    <n v="3"/>
    <x v="2"/>
    <n v="12"/>
    <n v="12"/>
    <s v="202512"/>
    <s v="Mar-26"/>
    <n v="-15006.77"/>
    <n v="-15.006770000000001"/>
  </r>
  <r>
    <d v="2026-03-09T00:00:00"/>
    <s v="OPT-NIFTY-10-Mar-2026-23750-C-E-I"/>
    <s v="NSE"/>
    <s v="Buy"/>
    <n v="65"/>
    <n v="0"/>
    <n v="241.55"/>
    <n v="15700.75"/>
    <s v="#202603092700005636"/>
    <n v="0"/>
    <n v="5.58"/>
    <n v="0"/>
    <n v="0.02"/>
    <n v="29"/>
    <n v="6.22"/>
    <n v="40.82"/>
    <n v="2026"/>
    <n v="3"/>
    <x v="2"/>
    <n v="12"/>
    <n v="12"/>
    <s v="202512"/>
    <s v="Mar-26"/>
    <n v="-15741.57"/>
    <n v="-15.741569999999999"/>
  </r>
  <r>
    <d v="2026-03-09T00:00:00"/>
    <s v="OPT-NIFTY-10-Mar-2026-23750-C-E-I"/>
    <s v="NSE"/>
    <s v="Buy"/>
    <n v="65"/>
    <n v="0"/>
    <n v="266.3"/>
    <n v="17309.5"/>
    <s v="#202603092700005282"/>
    <n v="0"/>
    <n v="6.15"/>
    <n v="0"/>
    <n v="0.02"/>
    <n v="29"/>
    <n v="6.34"/>
    <n v="41.51"/>
    <n v="2026"/>
    <n v="3"/>
    <x v="2"/>
    <n v="12"/>
    <n v="12"/>
    <s v="202512"/>
    <s v="Mar-26"/>
    <n v="-17351.009999999998"/>
    <n v="-17.351009999999999"/>
  </r>
  <r>
    <d v="2026-04-10T00:00:00"/>
    <s v="OPT-NIFTY-13-Apr-2026-23900-C-E-I"/>
    <s v="NSE"/>
    <s v="Sell"/>
    <n v="780"/>
    <n v="0"/>
    <n v="202.9"/>
    <n v="158262"/>
    <s v="#202604102700014925"/>
    <n v="237.41"/>
    <n v="56.22"/>
    <n v="0"/>
    <n v="0.16"/>
    <n v="348"/>
    <n v="72.8"/>
    <n v="714.59"/>
    <n v="2026"/>
    <n v="4"/>
    <x v="3"/>
    <n v="1"/>
    <s v="01"/>
    <s v="202601"/>
    <s v="Apr-26"/>
    <n v="157547.41"/>
    <n v="157.54741000000001"/>
  </r>
  <r>
    <d v="2026-04-10T00:00:00"/>
    <s v="OPT-NIFTY-13-Apr-2026-23900-C-E-I"/>
    <s v="NSE"/>
    <s v="Buy"/>
    <n v="130"/>
    <n v="0"/>
    <n v="213.4"/>
    <n v="27742"/>
    <s v="#202604102700013120"/>
    <n v="0"/>
    <n v="9.86"/>
    <n v="0"/>
    <n v="0.03"/>
    <n v="58"/>
    <n v="12.22"/>
    <n v="80.11"/>
    <n v="2026"/>
    <n v="4"/>
    <x v="3"/>
    <n v="1"/>
    <s v="01"/>
    <s v="202601"/>
    <s v="Apr-26"/>
    <n v="-27822.11"/>
    <n v="-27.822110000000002"/>
  </r>
  <r>
    <d v="2026-04-10T00:00:00"/>
    <s v="OPT-NIFTY-13-Apr-2026-23900-C-E-I"/>
    <s v="NSE"/>
    <s v="Buy"/>
    <n v="130"/>
    <n v="0"/>
    <n v="216"/>
    <n v="28080"/>
    <s v="#202604102700013089"/>
    <n v="0"/>
    <n v="9.98"/>
    <n v="0"/>
    <n v="0.02"/>
    <n v="58"/>
    <n v="12.24"/>
    <n v="80.239999999999995"/>
    <n v="2026"/>
    <n v="4"/>
    <x v="3"/>
    <n v="1"/>
    <s v="01"/>
    <s v="202601"/>
    <s v="Apr-26"/>
    <n v="-28160.240000000002"/>
    <n v="-28.160240000000002"/>
  </r>
  <r>
    <d v="2026-04-10T00:00:00"/>
    <s v="OPT-NIFTY-13-Apr-2026-23900-C-E-I"/>
    <s v="NSE"/>
    <s v="Buy"/>
    <n v="520"/>
    <n v="0"/>
    <n v="230.94"/>
    <n v="120087.5"/>
    <s v="#202604102700012960"/>
    <n v="0"/>
    <n v="42.66"/>
    <n v="0"/>
    <n v="0.13"/>
    <n v="232"/>
    <n v="49.46"/>
    <n v="324.25"/>
    <n v="2026"/>
    <n v="4"/>
    <x v="3"/>
    <n v="1"/>
    <s v="01"/>
    <s v="202601"/>
    <s v="Apr-26"/>
    <n v="-120411.75"/>
    <n v="-120.41175"/>
  </r>
  <r>
    <d v="2026-04-10T00:00:00"/>
    <s v="OPT-NIFTY-13-Apr-2026-23900-C-E-I"/>
    <s v="NSE"/>
    <s v="Sell"/>
    <n v="650"/>
    <n v="0"/>
    <n v="214.9"/>
    <n v="139685"/>
    <s v="#202604102700011756"/>
    <n v="209.53"/>
    <n v="49.63"/>
    <n v="0"/>
    <n v="0.14000000000000001"/>
    <n v="290"/>
    <n v="61.16"/>
    <n v="610.46"/>
    <n v="2026"/>
    <n v="4"/>
    <x v="3"/>
    <n v="1"/>
    <s v="01"/>
    <s v="202601"/>
    <s v="Apr-26"/>
    <n v="139074.54"/>
    <n v="139.07454000000001"/>
  </r>
  <r>
    <d v="2026-04-10T00:00:00"/>
    <s v="OPT-NIFTY-13-Apr-2026-23900-C-E-I"/>
    <s v="NSE"/>
    <s v="Buy"/>
    <n v="130"/>
    <n v="0"/>
    <n v="201.25"/>
    <n v="26162.5"/>
    <s v="#202604102700007247"/>
    <n v="0"/>
    <n v="9.3000000000000007"/>
    <n v="0"/>
    <n v="0.03"/>
    <n v="58"/>
    <n v="12.12"/>
    <n v="79.45"/>
    <n v="2026"/>
    <n v="4"/>
    <x v="3"/>
    <n v="1"/>
    <s v="01"/>
    <s v="202601"/>
    <s v="Apr-26"/>
    <n v="-26241.95"/>
    <n v="-26.241949999999999"/>
  </r>
  <r>
    <d v="2026-04-10T00:00:00"/>
    <s v="OPT-NIFTY-13-Apr-2026-23900-C-E-I"/>
    <s v="NSE"/>
    <s v="Buy"/>
    <n v="455"/>
    <n v="0"/>
    <n v="212.58"/>
    <n v="96723.25"/>
    <s v="#202604102700007085"/>
    <n v="0"/>
    <n v="34.369999999999997"/>
    <n v="0"/>
    <n v="0.09"/>
    <n v="203"/>
    <n v="42.74"/>
    <n v="280.2"/>
    <n v="2026"/>
    <n v="4"/>
    <x v="3"/>
    <n v="1"/>
    <s v="01"/>
    <s v="202601"/>
    <s v="Apr-26"/>
    <n v="-97003.45"/>
    <n v="-97.003450000000001"/>
  </r>
  <r>
    <d v="2026-04-10T00:00:00"/>
    <s v="OPT-NIFTY-13-Apr-2026-23900-C-E-I"/>
    <s v="NSE"/>
    <s v="Buy"/>
    <n v="65"/>
    <n v="0"/>
    <n v="210.6"/>
    <n v="13689"/>
    <s v="#202604102700007045"/>
    <n v="0"/>
    <n v="4.8600000000000003"/>
    <n v="0"/>
    <n v="0.01"/>
    <n v="29"/>
    <n v="6.1"/>
    <n v="39.97"/>
    <n v="2026"/>
    <n v="4"/>
    <x v="3"/>
    <n v="1"/>
    <s v="01"/>
    <s v="202601"/>
    <s v="Apr-26"/>
    <n v="-13728.97"/>
    <n v="-13.728969999999999"/>
  </r>
  <r>
    <d v="2026-04-10T00:00:00"/>
    <s v="OPT-NIFTY-13-Apr-2026-23900-C-E-I"/>
    <s v="NSE"/>
    <s v="Sell"/>
    <n v="650"/>
    <n v="0"/>
    <n v="199.9"/>
    <n v="129935"/>
    <s v="#202604102700004011"/>
    <n v="195.08"/>
    <n v="46.17"/>
    <n v="0"/>
    <n v="0.13"/>
    <n v="290"/>
    <n v="60.54"/>
    <n v="591.91999999999996"/>
    <n v="2026"/>
    <n v="4"/>
    <x v="3"/>
    <n v="1"/>
    <s v="01"/>
    <s v="202601"/>
    <s v="Apr-26"/>
    <n v="129343.08"/>
    <n v="129.34308000000001"/>
  </r>
  <r>
    <d v="2026-04-10T00:00:00"/>
    <s v="OPT-NIFTY-13-Apr-2026-23900-C-E-I"/>
    <s v="NSE"/>
    <s v="Buy"/>
    <n v="325"/>
    <n v="0"/>
    <n v="181.25"/>
    <n v="58906.25"/>
    <s v="#202604102700002470"/>
    <n v="0"/>
    <n v="20.93"/>
    <n v="0"/>
    <n v="0.06"/>
    <n v="145"/>
    <n v="29.88"/>
    <n v="195.87"/>
    <n v="2026"/>
    <n v="4"/>
    <x v="3"/>
    <n v="1"/>
    <s v="01"/>
    <s v="202601"/>
    <s v="Apr-26"/>
    <n v="-59102.12"/>
    <n v="-59.102119999999999"/>
  </r>
  <r>
    <d v="2026-04-10T00:00:00"/>
    <s v="OPT-NIFTY-13-Apr-2026-23900-C-E-I"/>
    <s v="NSE"/>
    <s v="Buy"/>
    <n v="325"/>
    <n v="0"/>
    <n v="185.35"/>
    <n v="60238.75"/>
    <s v="#202604102700002418"/>
    <n v="0"/>
    <n v="21.4"/>
    <n v="13"/>
    <n v="0.06"/>
    <n v="145"/>
    <n v="29.96"/>
    <n v="209.42"/>
    <n v="2026"/>
    <n v="4"/>
    <x v="3"/>
    <n v="1"/>
    <s v="01"/>
    <s v="202601"/>
    <s v="Apr-26"/>
    <n v="-60448.17"/>
    <n v="-60.448169999999998"/>
  </r>
  <r>
    <d v="2026-04-13T00:00:00"/>
    <s v="OPT-NIFTY-13-Apr-2026-23800-C-E-I"/>
    <s v="NSE"/>
    <s v="Sell"/>
    <n v="1300"/>
    <n v="0"/>
    <n v="79.900000000000006"/>
    <n v="103870"/>
    <s v="#202604132700020594"/>
    <n v="156"/>
    <n v="36.909999999999997"/>
    <n v="0"/>
    <n v="0.11"/>
    <n v="580"/>
    <n v="111.06"/>
    <n v="884.08"/>
    <n v="2026"/>
    <n v="4"/>
    <x v="3"/>
    <n v="1"/>
    <s v="01"/>
    <s v="202601"/>
    <s v="Apr-26"/>
    <n v="102985.92"/>
    <n v="102.98591999999999"/>
  </r>
  <r>
    <d v="2026-04-13T00:00:00"/>
    <s v="OPT-NIFTY-13-Apr-2026-23800-C-E-I"/>
    <s v="NSE"/>
    <s v="Buy"/>
    <n v="650"/>
    <n v="0"/>
    <n v="60.51"/>
    <n v="39328.25"/>
    <s v="#202604132700020081"/>
    <n v="0"/>
    <n v="13.98"/>
    <n v="0"/>
    <n v="0.03"/>
    <n v="290"/>
    <n v="54.74"/>
    <n v="358.75"/>
    <n v="2026"/>
    <n v="4"/>
    <x v="3"/>
    <n v="1"/>
    <s v="01"/>
    <s v="202601"/>
    <s v="Apr-26"/>
    <n v="-39687"/>
    <n v="-39.686999999999998"/>
  </r>
  <r>
    <d v="2026-04-13T00:00:00"/>
    <s v="OPT-NIFTY-13-Apr-2026-23800-C-E-I"/>
    <s v="NSE"/>
    <s v="Buy"/>
    <n v="650"/>
    <n v="0"/>
    <n v="66.75"/>
    <n v="43387.5"/>
    <s v="#202604132700019957"/>
    <n v="0"/>
    <n v="15.41"/>
    <n v="2"/>
    <n v="0.04"/>
    <n v="290"/>
    <n v="54.98"/>
    <n v="362.43"/>
    <n v="2026"/>
    <n v="4"/>
    <x v="3"/>
    <n v="1"/>
    <s v="01"/>
    <s v="202601"/>
    <s v="Apr-26"/>
    <n v="-43749.93"/>
    <n v="-43.749929999999999"/>
  </r>
  <r>
    <d v="2026-04-15T00:00:00"/>
    <s v="OPT-NIFTY-21-Apr-2026-24200-P-E-I"/>
    <s v="NSE"/>
    <s v="Sell"/>
    <n v="650"/>
    <n v="0"/>
    <n v="215"/>
    <n v="139750"/>
    <s v="#202604152700012552"/>
    <n v="209.6"/>
    <n v="49.7"/>
    <n v="0"/>
    <n v="0.1"/>
    <n v="290"/>
    <n v="61.2"/>
    <n v="610.6"/>
    <n v="2026"/>
    <n v="4"/>
    <x v="3"/>
    <n v="1"/>
    <s v="01"/>
    <s v="202601"/>
    <s v="Apr-26"/>
    <n v="139139.4"/>
    <n v="139.13939999999999"/>
  </r>
  <r>
    <d v="2026-04-15T00:00:00"/>
    <s v="OPT-NIFTY-21-Apr-2026-24200-P-E-I"/>
    <s v="NSE"/>
    <s v="Buy"/>
    <n v="650"/>
    <n v="0"/>
    <n v="227.72"/>
    <n v="148018"/>
    <s v="#202604152700007010"/>
    <n v="0"/>
    <n v="52.59"/>
    <n v="0"/>
    <n v="0.14000000000000001"/>
    <n v="290"/>
    <n v="61.68"/>
    <n v="404.41"/>
    <n v="2026"/>
    <n v="4"/>
    <x v="3"/>
    <n v="1"/>
    <s v="01"/>
    <s v="202601"/>
    <s v="Apr-26"/>
    <n v="-148422.41"/>
    <n v="-148.42241000000001"/>
  </r>
  <r>
    <d v="2026-04-15T00:00:00"/>
    <s v="OPT-NIFTY-21-Apr-2026-24200-P-E-I"/>
    <s v="NSE"/>
    <s v="Sell"/>
    <n v="650"/>
    <n v="0"/>
    <n v="195.9"/>
    <n v="127335"/>
    <s v="#202604152700005712"/>
    <n v="191"/>
    <n v="45.24"/>
    <n v="0"/>
    <n v="0.13"/>
    <n v="290"/>
    <n v="60.36"/>
    <n v="586.73"/>
    <n v="2026"/>
    <n v="4"/>
    <x v="3"/>
    <n v="1"/>
    <s v="01"/>
    <s v="202601"/>
    <s v="Apr-26"/>
    <n v="126748.27"/>
    <n v="126.74827000000001"/>
  </r>
  <r>
    <d v="2026-04-15T00:00:00"/>
    <s v="OPT-NIFTY-21-Apr-2026-24200-P-E-I"/>
    <s v="NSE"/>
    <s v="Buy"/>
    <n v="325"/>
    <n v="0"/>
    <n v="191.25"/>
    <n v="62156.25"/>
    <s v="#202604152700004562"/>
    <n v="0"/>
    <n v="22.08"/>
    <n v="10"/>
    <n v="0.06"/>
    <n v="145"/>
    <n v="30.08"/>
    <n v="207.22"/>
    <n v="2026"/>
    <n v="4"/>
    <x v="3"/>
    <n v="1"/>
    <s v="01"/>
    <s v="202601"/>
    <s v="Apr-26"/>
    <n v="-62363.47"/>
    <n v="-62.36347"/>
  </r>
  <r>
    <d v="2026-04-15T00:00:00"/>
    <s v="OPT-NIFTY-21-Apr-2026-24200-P-E-I"/>
    <s v="NSE"/>
    <s v="Buy"/>
    <n v="325"/>
    <n v="0"/>
    <n v="201.25"/>
    <n v="65406.25"/>
    <s v="#202604152700004139"/>
    <n v="0"/>
    <n v="23.25"/>
    <n v="0"/>
    <n v="0.06"/>
    <n v="145"/>
    <n v="30.3"/>
    <n v="198.61"/>
    <n v="2026"/>
    <n v="4"/>
    <x v="3"/>
    <n v="1"/>
    <s v="01"/>
    <s v="202601"/>
    <s v="Apr-26"/>
    <n v="-65604.86"/>
    <n v="-65.604860000000002"/>
  </r>
  <r>
    <d v="2026-04-15T00:00:00"/>
    <s v="OPT-NIFTY-21-Apr-2026-24200-P-E-I"/>
    <s v="NSE"/>
    <s v="Sell"/>
    <n v="325"/>
    <n v="0"/>
    <n v="239.9"/>
    <n v="77967.5"/>
    <s v="#202604152700002409"/>
    <n v="117.37"/>
    <n v="27.7"/>
    <n v="0"/>
    <n v="0.08"/>
    <n v="145"/>
    <n v="31.1"/>
    <n v="321.25"/>
    <n v="2026"/>
    <n v="4"/>
    <x v="3"/>
    <n v="1"/>
    <s v="01"/>
    <s v="202601"/>
    <s v="Apr-26"/>
    <n v="77646.25"/>
    <n v="77.646249999999995"/>
  </r>
  <r>
    <d v="2026-04-15T00:00:00"/>
    <s v="OPT-NIFTY-21-Apr-2026-24200-P-E-I"/>
    <s v="NSE"/>
    <s v="Buy"/>
    <n v="325"/>
    <n v="0"/>
    <n v="222.26"/>
    <n v="72234.5"/>
    <s v="#202604152700002161"/>
    <n v="0"/>
    <n v="25.65"/>
    <n v="0"/>
    <n v="0.05"/>
    <n v="145"/>
    <n v="30.7"/>
    <n v="201.4"/>
    <n v="2026"/>
    <n v="4"/>
    <x v="3"/>
    <n v="1"/>
    <s v="01"/>
    <s v="202601"/>
    <s v="Apr-26"/>
    <n v="-72435.899999999994"/>
    <n v="-72.43589999999999"/>
  </r>
  <r>
    <d v="2026-04-16T00:00:00"/>
    <s v="OPT-NIFTY-21-Apr-2026-24250-P-E-I"/>
    <s v="NSE"/>
    <s v="Sell"/>
    <n v="585"/>
    <n v="0"/>
    <n v="269.89999999999998"/>
    <n v="157891.5"/>
    <s v="#202604162700009328"/>
    <n v="236.85"/>
    <n v="56.09"/>
    <n v="0"/>
    <n v="0.17"/>
    <n v="261"/>
    <n v="57.1"/>
    <n v="611.21"/>
    <n v="2026"/>
    <n v="4"/>
    <x v="3"/>
    <n v="1"/>
    <s v="01"/>
    <s v="202601"/>
    <s v="Apr-26"/>
    <n v="157280.29"/>
    <n v="157.28029000000001"/>
  </r>
  <r>
    <d v="2026-04-16T00:00:00"/>
    <s v="OPT-NIFTY-21-Apr-2026-24250-P-E-I"/>
    <s v="NSE"/>
    <s v="Buy"/>
    <n v="325"/>
    <n v="0"/>
    <n v="261.49"/>
    <n v="84984.25"/>
    <s v="#202604162700009055"/>
    <n v="0"/>
    <n v="30.2"/>
    <n v="0"/>
    <n v="0.1"/>
    <n v="145"/>
    <n v="31.6"/>
    <n v="206.9"/>
    <n v="2026"/>
    <n v="4"/>
    <x v="3"/>
    <n v="1"/>
    <s v="01"/>
    <s v="202601"/>
    <s v="Apr-26"/>
    <n v="-85191.15"/>
    <n v="-85.191149999999993"/>
  </r>
  <r>
    <d v="2026-04-16T00:00:00"/>
    <s v="OPT-NIFTY-21-Apr-2026-24250-P-E-I"/>
    <s v="NSE"/>
    <s v="Buy"/>
    <n v="260"/>
    <n v="0"/>
    <n v="263.52999999999997"/>
    <n v="68516.5"/>
    <s v="#202604162700008705"/>
    <n v="0"/>
    <n v="24.36"/>
    <n v="0"/>
    <n v="0.08"/>
    <n v="116"/>
    <n v="25.28"/>
    <n v="165.72"/>
    <n v="2026"/>
    <n v="4"/>
    <x v="3"/>
    <n v="1"/>
    <s v="01"/>
    <s v="202601"/>
    <s v="Apr-26"/>
    <n v="-68682.22"/>
    <n v="-68.682220000000001"/>
  </r>
  <r>
    <d v="2026-04-16T00:00:00"/>
    <s v="OPT-NIFTY-21-Apr-2026-24250-P-E-I"/>
    <s v="NSE"/>
    <s v="Sell"/>
    <n v="195"/>
    <n v="0"/>
    <n v="228.85"/>
    <n v="44625.75"/>
    <s v="#202604162700007455"/>
    <n v="66.94"/>
    <n v="15.86"/>
    <n v="0"/>
    <n v="0.04"/>
    <n v="87"/>
    <n v="18.52"/>
    <n v="188.36"/>
    <n v="2026"/>
    <n v="4"/>
    <x v="3"/>
    <n v="1"/>
    <s v="01"/>
    <s v="202601"/>
    <s v="Apr-26"/>
    <n v="44437.39"/>
    <n v="44.437390000000001"/>
  </r>
  <r>
    <d v="2026-04-16T00:00:00"/>
    <s v="OPT-NIFTY-21-Apr-2026-24250-P-E-I"/>
    <s v="NSE"/>
    <s v="Sell"/>
    <n v="650"/>
    <n v="0"/>
    <n v="209.9"/>
    <n v="136435"/>
    <s v="#202604162700006844"/>
    <n v="204.67"/>
    <n v="48.49"/>
    <n v="0"/>
    <n v="0.13"/>
    <n v="290"/>
    <n v="60.98"/>
    <n v="604.27"/>
    <n v="2026"/>
    <n v="4"/>
    <x v="3"/>
    <n v="1"/>
    <s v="01"/>
    <s v="202601"/>
    <s v="Apr-26"/>
    <n v="135830.73000000001"/>
    <n v="135.83073000000002"/>
  </r>
  <r>
    <d v="2026-04-16T00:00:00"/>
    <s v="OPT-NIFTY-21-Apr-2026-24250-P-E-I"/>
    <s v="NSE"/>
    <s v="Buy"/>
    <n v="195"/>
    <n v="0"/>
    <n v="186.35"/>
    <n v="36338.25"/>
    <s v="#202604162700003986"/>
    <n v="0"/>
    <n v="12.91"/>
    <n v="9.84"/>
    <n v="0.04"/>
    <n v="87"/>
    <n v="18"/>
    <n v="127.79"/>
    <n v="2026"/>
    <n v="4"/>
    <x v="3"/>
    <n v="1"/>
    <s v="01"/>
    <s v="202601"/>
    <s v="Apr-26"/>
    <n v="-36466.04"/>
    <n v="-36.46604"/>
  </r>
  <r>
    <d v="2026-04-16T00:00:00"/>
    <s v="OPT-NIFTY-21-Apr-2026-24250-P-E-I"/>
    <s v="NSE"/>
    <s v="Buy"/>
    <n v="650"/>
    <n v="0"/>
    <n v="193.17"/>
    <n v="125557.25"/>
    <s v="#202604162700003733"/>
    <n v="0"/>
    <n v="44.6"/>
    <n v="0"/>
    <n v="0.11"/>
    <n v="290"/>
    <n v="60.22"/>
    <n v="394.93"/>
    <n v="2026"/>
    <n v="4"/>
    <x v="3"/>
    <n v="1"/>
    <s v="01"/>
    <s v="202601"/>
    <s v="Apr-26"/>
    <n v="-125952.18"/>
    <n v="-125.95218"/>
  </r>
  <r>
    <d v="2026-04-16T00:00:00"/>
    <s v="OPT-NIFTY-21-Apr-2026-24350-C-E-I"/>
    <s v="NSE"/>
    <s v="Sell"/>
    <n v="975"/>
    <n v="0"/>
    <n v="170.15"/>
    <n v="165899.5"/>
    <s v="#202604162700003333"/>
    <n v="248.57"/>
    <n v="58.94"/>
    <n v="0"/>
    <n v="0.16"/>
    <n v="435"/>
    <n v="88.92"/>
    <n v="831.59"/>
    <n v="2026"/>
    <n v="4"/>
    <x v="3"/>
    <n v="1"/>
    <s v="01"/>
    <s v="202601"/>
    <s v="Apr-26"/>
    <n v="165067.91"/>
    <n v="165.06791000000001"/>
  </r>
  <r>
    <d v="2026-04-16T00:00:00"/>
    <s v="OPT-NIFTY-21-Apr-2026-24350-C-E-I"/>
    <s v="NSE"/>
    <s v="Buy"/>
    <n v="325"/>
    <n v="0"/>
    <n v="169.75"/>
    <n v="55168.75"/>
    <s v="#202604162700002579"/>
    <n v="0"/>
    <n v="19.600000000000001"/>
    <n v="5.16"/>
    <n v="0.06"/>
    <n v="145"/>
    <n v="29.64"/>
    <n v="199.46"/>
    <n v="2026"/>
    <n v="4"/>
    <x v="3"/>
    <n v="1"/>
    <s v="01"/>
    <s v="202601"/>
    <s v="Apr-26"/>
    <n v="-55368.21"/>
    <n v="-55.368209999999998"/>
  </r>
  <r>
    <d v="2026-04-16T00:00:00"/>
    <s v="OPT-NIFTY-21-Apr-2026-24350-C-E-I"/>
    <s v="NSE"/>
    <s v="Buy"/>
    <n v="650"/>
    <n v="0"/>
    <n v="180"/>
    <n v="117000"/>
    <s v="#202604162700002476"/>
    <n v="0"/>
    <n v="41.58"/>
    <n v="0"/>
    <n v="0.12"/>
    <n v="290"/>
    <n v="59.74"/>
    <n v="391.44"/>
    <n v="2026"/>
    <n v="4"/>
    <x v="3"/>
    <n v="1"/>
    <s v="01"/>
    <s v="202601"/>
    <s v="Apr-26"/>
    <n v="-117391.44"/>
    <n v="-117.39144"/>
  </r>
  <r>
    <d v="2026-04-17T00:00:00"/>
    <s v="OPT-NIFTY-21-Apr-2026-24200-C-E-I"/>
    <s v="NSE"/>
    <s v="Sell"/>
    <n v="585"/>
    <n v="0"/>
    <n v="221.4"/>
    <n v="129519"/>
    <s v="#202604172700011727"/>
    <n v="194.28"/>
    <n v="46.02"/>
    <n v="0"/>
    <n v="0.13"/>
    <n v="261"/>
    <n v="55.28"/>
    <n v="556.71"/>
    <n v="2026"/>
    <n v="4"/>
    <x v="3"/>
    <n v="1"/>
    <s v="01"/>
    <s v="202601"/>
    <s v="Apr-26"/>
    <n v="128962.29"/>
    <n v="128.96229"/>
  </r>
  <r>
    <d v="2026-04-17T00:00:00"/>
    <s v="OPT-NIFTY-21-Apr-2026-24200-C-E-I"/>
    <s v="NSE"/>
    <s v="Sell"/>
    <n v="130"/>
    <n v="0"/>
    <n v="229.9"/>
    <n v="29887"/>
    <s v="#202604172700011676"/>
    <n v="44.83"/>
    <n v="10.62"/>
    <n v="0"/>
    <n v="0.03"/>
    <n v="58"/>
    <n v="12.36"/>
    <n v="125.84"/>
    <n v="2026"/>
    <n v="4"/>
    <x v="3"/>
    <n v="1"/>
    <s v="01"/>
    <s v="202601"/>
    <s v="Apr-26"/>
    <n v="29761.16"/>
    <n v="29.76116"/>
  </r>
  <r>
    <d v="2026-04-17T00:00:00"/>
    <s v="OPT-NIFTY-21-Apr-2026-24200-C-E-I"/>
    <s v="NSE"/>
    <s v="Sell"/>
    <n v="65"/>
    <n v="0"/>
    <n v="229.9"/>
    <n v="14943.5"/>
    <s v="#202604172700010790"/>
    <n v="22.89"/>
    <n v="5.31"/>
    <n v="0"/>
    <n v="0.01"/>
    <n v="29"/>
    <n v="6.18"/>
    <n v="63.39"/>
    <n v="2026"/>
    <n v="4"/>
    <x v="3"/>
    <n v="1"/>
    <s v="01"/>
    <s v="202601"/>
    <s v="Apr-26"/>
    <n v="14880.11"/>
    <n v="14.88011"/>
  </r>
  <r>
    <d v="2026-04-17T00:00:00"/>
    <s v="OPT-NIFTY-21-Apr-2026-24200-C-E-I"/>
    <s v="NSE"/>
    <s v="Buy"/>
    <n v="130"/>
    <n v="0"/>
    <n v="202.5"/>
    <n v="26325"/>
    <s v="#202604172700006017"/>
    <n v="0"/>
    <n v="9.35"/>
    <n v="0"/>
    <n v="0.03"/>
    <n v="58"/>
    <n v="12.12"/>
    <n v="79.5"/>
    <n v="2026"/>
    <n v="4"/>
    <x v="3"/>
    <n v="1"/>
    <s v="01"/>
    <s v="202601"/>
    <s v="Apr-26"/>
    <n v="-26404.5"/>
    <n v="-26.404499999999999"/>
  </r>
  <r>
    <d v="2026-04-17T00:00:00"/>
    <s v="OPT-NIFTY-21-Apr-2026-24200-C-E-I"/>
    <s v="NSE"/>
    <s v="Buy"/>
    <n v="650"/>
    <n v="0"/>
    <n v="220.75"/>
    <n v="143487.5"/>
    <s v="#202604172700005172"/>
    <n v="0"/>
    <n v="50.98"/>
    <n v="5"/>
    <n v="0.13"/>
    <n v="290"/>
    <n v="61.4"/>
    <n v="407.51"/>
    <n v="2026"/>
    <n v="4"/>
    <x v="3"/>
    <n v="1"/>
    <s v="01"/>
    <s v="202601"/>
    <s v="Apr-26"/>
    <n v="-143895.01"/>
    <n v="-143.89501000000001"/>
  </r>
  <r>
    <d v="2026-04-20T00:00:00"/>
    <s v="OPT-NIFTY-21-Apr-2026-24450-C-E-I"/>
    <s v="NSE"/>
    <s v="Sell"/>
    <n v="1040"/>
    <n v="0"/>
    <n v="81.2"/>
    <n v="84448"/>
    <s v="#202604202700016718"/>
    <n v="126.67"/>
    <n v="30.01"/>
    <n v="0"/>
    <n v="0.09"/>
    <n v="464"/>
    <n v="88.94"/>
    <n v="709.71"/>
    <n v="2026"/>
    <n v="4"/>
    <x v="3"/>
    <n v="1"/>
    <s v="01"/>
    <s v="202601"/>
    <s v="Apr-26"/>
    <n v="83738.289999999994"/>
    <n v="83.738289999999992"/>
  </r>
  <r>
    <d v="2026-04-20T00:00:00"/>
    <s v="OPT-NIFTY-21-Apr-2026-24450-C-E-I"/>
    <s v="NSE"/>
    <s v="Buy"/>
    <n v="260"/>
    <n v="0"/>
    <n v="121.25"/>
    <n v="31525"/>
    <s v="#202604202700010273"/>
    <n v="0"/>
    <n v="11.2"/>
    <n v="0"/>
    <n v="0.03"/>
    <n v="116"/>
    <n v="22.9"/>
    <n v="150.13"/>
    <n v="2026"/>
    <n v="4"/>
    <x v="3"/>
    <n v="1"/>
    <s v="01"/>
    <s v="202601"/>
    <s v="Apr-26"/>
    <n v="-31675.13"/>
    <n v="-31.675129999999999"/>
  </r>
  <r>
    <d v="2026-04-20T00:00:00"/>
    <s v="OPT-NIFTY-21-Apr-2026-24450-C-E-I"/>
    <s v="NSE"/>
    <s v="Buy"/>
    <n v="780"/>
    <n v="0"/>
    <n v="121.25"/>
    <n v="94575"/>
    <s v="#202604202700007699"/>
    <n v="0"/>
    <n v="33.6"/>
    <n v="3.78"/>
    <n v="0.1"/>
    <n v="348"/>
    <n v="68.7"/>
    <n v="454.18"/>
    <n v="2026"/>
    <n v="4"/>
    <x v="3"/>
    <n v="1"/>
    <s v="01"/>
    <s v="202601"/>
    <s v="Apr-26"/>
    <n v="-95029.18"/>
    <n v="-95.029179999999997"/>
  </r>
  <r>
    <d v="2026-04-20T00:00:00"/>
    <s v="OPT-NIFTY-21-Apr-2026-24350-P-E-I"/>
    <s v="NSE"/>
    <s v="Sell"/>
    <n v="1040"/>
    <n v="0"/>
    <n v="100.9"/>
    <n v="104936"/>
    <s v="#202604202700007249"/>
    <n v="157.33000000000001"/>
    <n v="37.28"/>
    <n v="0"/>
    <n v="0.1"/>
    <n v="464"/>
    <n v="90.24"/>
    <n v="748.95"/>
    <n v="2026"/>
    <n v="4"/>
    <x v="3"/>
    <n v="1"/>
    <s v="01"/>
    <s v="202601"/>
    <s v="Apr-26"/>
    <n v="104187.05"/>
    <n v="104.18705"/>
  </r>
  <r>
    <d v="2026-04-20T00:00:00"/>
    <s v="OPT-NIFTY-21-Apr-2026-24350-P-E-I"/>
    <s v="NSE"/>
    <s v="Buy"/>
    <n v="195"/>
    <n v="0"/>
    <n v="152.27000000000001"/>
    <n v="29692"/>
    <s v="#202604202700004899"/>
    <n v="0"/>
    <n v="10.56"/>
    <n v="0"/>
    <n v="0.03"/>
    <n v="87"/>
    <n v="17.579999999999998"/>
    <n v="115.17"/>
    <n v="2026"/>
    <n v="4"/>
    <x v="3"/>
    <n v="1"/>
    <s v="01"/>
    <s v="202601"/>
    <s v="Apr-26"/>
    <n v="-29807.17"/>
    <n v="-29.807169999999999"/>
  </r>
  <r>
    <d v="2026-04-20T00:00:00"/>
    <s v="OPT-NIFTY-21-Apr-2026-24350-P-E-I"/>
    <s v="NSE"/>
    <s v="Buy"/>
    <n v="585"/>
    <n v="0"/>
    <n v="157.47999999999999"/>
    <n v="92124.5"/>
    <s v="#202604202700004807"/>
    <n v="0"/>
    <n v="32.729999999999997"/>
    <n v="5.22"/>
    <n v="0.09"/>
    <n v="261"/>
    <n v="52.92"/>
    <n v="351.96"/>
    <n v="2026"/>
    <n v="4"/>
    <x v="3"/>
    <n v="1"/>
    <s v="01"/>
    <s v="202601"/>
    <s v="Apr-26"/>
    <n v="-92476.46"/>
    <n v="-92.476460000000003"/>
  </r>
  <r>
    <d v="2026-04-20T00:00:00"/>
    <s v="OPT-NIFTY-21-Apr-2026-24350-P-E-I"/>
    <s v="NSE"/>
    <s v="Buy"/>
    <n v="260"/>
    <n v="0"/>
    <n v="150.55000000000001"/>
    <n v="39143"/>
    <s v="#202604202700004618"/>
    <n v="0"/>
    <n v="13.92"/>
    <n v="0"/>
    <n v="0.04"/>
    <n v="116"/>
    <n v="23.36"/>
    <n v="153.32"/>
    <n v="2026"/>
    <n v="4"/>
    <x v="3"/>
    <n v="1"/>
    <s v="01"/>
    <s v="202601"/>
    <s v="Apr-26"/>
    <n v="-39296.32"/>
    <n v="-39.296320000000001"/>
  </r>
  <r>
    <d v="2026-04-21T00:00:00"/>
    <s v="OPT-NIFTY-21-Apr-2026-24450-P-E-I"/>
    <s v="NSE"/>
    <s v="Sell"/>
    <n v="1040"/>
    <n v="0"/>
    <n v="3.5"/>
    <n v="3640"/>
    <s v="#202604212700015041"/>
    <n v="5.46"/>
    <n v="1.29"/>
    <n v="0"/>
    <n v="0"/>
    <n v="464"/>
    <n v="83.76"/>
    <n v="554.51"/>
    <n v="2026"/>
    <n v="4"/>
    <x v="3"/>
    <n v="1"/>
    <s v="01"/>
    <s v="202601"/>
    <s v="Apr-26"/>
    <n v="3085.49"/>
    <n v="3.0854899999999996"/>
  </r>
  <r>
    <d v="2026-04-21T00:00:00"/>
    <s v="OPT-NIFTY-21-Apr-2026-24450-P-E-I"/>
    <s v="NSE"/>
    <s v="Sell"/>
    <n v="1040"/>
    <n v="0"/>
    <n v="4"/>
    <n v="4160"/>
    <s v="#202604212700015021"/>
    <n v="6.24"/>
    <n v="1.48"/>
    <n v="0"/>
    <n v="0"/>
    <n v="464"/>
    <n v="83.78"/>
    <n v="555.5"/>
    <n v="2026"/>
    <n v="4"/>
    <x v="3"/>
    <n v="1"/>
    <s v="01"/>
    <s v="202601"/>
    <s v="Apr-26"/>
    <n v="3604.5"/>
    <n v="3.6044999999999998"/>
  </r>
  <r>
    <d v="2026-04-21T00:00:00"/>
    <s v="OPT-NIFTY-21-Apr-2026-24450-P-E-I"/>
    <s v="NSE"/>
    <s v="Sell"/>
    <n v="1040"/>
    <n v="0"/>
    <n v="4"/>
    <n v="4160"/>
    <s v="#202604212700015009"/>
    <n v="6.24"/>
    <n v="1.47"/>
    <n v="0"/>
    <n v="0"/>
    <n v="464"/>
    <n v="83.78"/>
    <n v="555.49"/>
    <n v="2026"/>
    <n v="4"/>
    <x v="3"/>
    <n v="1"/>
    <s v="01"/>
    <s v="202601"/>
    <s v="Apr-26"/>
    <n v="3604.51"/>
    <n v="3.6045100000000003"/>
  </r>
  <r>
    <d v="2026-04-21T00:00:00"/>
    <s v="OPT-NIFTY-21-Apr-2026-24450-P-E-I"/>
    <s v="NSE"/>
    <s v="Sell"/>
    <n v="1040"/>
    <n v="0"/>
    <n v="4"/>
    <n v="4160"/>
    <s v="#202604212700014996"/>
    <n v="6.06"/>
    <n v="1.48"/>
    <n v="0"/>
    <n v="0"/>
    <n v="464"/>
    <n v="83.78"/>
    <n v="555.32000000000005"/>
    <n v="2026"/>
    <n v="4"/>
    <x v="3"/>
    <n v="1"/>
    <s v="01"/>
    <s v="202601"/>
    <s v="Apr-26"/>
    <n v="3604.68"/>
    <n v="3.6046799999999997"/>
  </r>
  <r>
    <d v="2026-04-21T00:00:00"/>
    <s v="OPT-NIFTY-21-Apr-2026-24450-P-E-I"/>
    <s v="NSE"/>
    <s v="Buy"/>
    <n v="1040"/>
    <n v="0"/>
    <n v="9"/>
    <n v="9360"/>
    <s v="#202604212700011092"/>
    <n v="0"/>
    <n v="3.33"/>
    <n v="0"/>
    <n v="0"/>
    <n v="464"/>
    <n v="84.12"/>
    <n v="551.45000000000005"/>
    <n v="2026"/>
    <n v="4"/>
    <x v="3"/>
    <n v="1"/>
    <s v="01"/>
    <s v="202601"/>
    <s v="Apr-26"/>
    <n v="-9911.4500000000007"/>
    <n v="-9.9114500000000003"/>
  </r>
  <r>
    <d v="2026-04-21T00:00:00"/>
    <s v="OPT-NIFTY-21-Apr-2026-24450-P-E-I"/>
    <s v="NSE"/>
    <s v="Buy"/>
    <n v="1040"/>
    <n v="0"/>
    <n v="20.05"/>
    <n v="20852"/>
    <s v="#202604212700007060"/>
    <n v="0"/>
    <n v="7.41"/>
    <n v="4"/>
    <n v="0.02"/>
    <n v="464"/>
    <n v="84.86"/>
    <n v="560.29"/>
    <n v="2026"/>
    <n v="4"/>
    <x v="3"/>
    <n v="1"/>
    <s v="01"/>
    <s v="202601"/>
    <s v="Apr-26"/>
    <n v="-21412.29"/>
    <n v="-21.412290000000002"/>
  </r>
  <r>
    <d v="2026-04-21T00:00:00"/>
    <s v="OPT-NIFTY-21-Apr-2026-24450-P-E-I"/>
    <s v="NSE"/>
    <s v="Buy"/>
    <n v="1040"/>
    <n v="0"/>
    <n v="39.549999999999997"/>
    <n v="41132"/>
    <s v="#202604212700003835"/>
    <n v="0"/>
    <n v="14.62"/>
    <n v="0"/>
    <n v="0.05"/>
    <n v="464"/>
    <n v="86.18"/>
    <n v="564.85"/>
    <n v="2026"/>
    <n v="4"/>
    <x v="3"/>
    <n v="1"/>
    <s v="01"/>
    <s v="202601"/>
    <s v="Apr-26"/>
    <n v="-41696.85"/>
    <n v="-41.696849999999998"/>
  </r>
  <r>
    <d v="2026-04-21T00:00:00"/>
    <s v="OPT-NIFTY-21-Apr-2026-24450-P-E-I"/>
    <s v="NSE"/>
    <s v="Buy"/>
    <n v="1040"/>
    <n v="0"/>
    <n v="67.430000000000007"/>
    <n v="70131.75"/>
    <s v="#202604212700002391"/>
    <n v="0"/>
    <n v="24.93"/>
    <n v="0"/>
    <n v="0.06"/>
    <n v="464"/>
    <n v="88"/>
    <n v="576.99"/>
    <n v="2026"/>
    <n v="4"/>
    <x v="3"/>
    <n v="1"/>
    <s v="01"/>
    <s v="202601"/>
    <s v="Apr-26"/>
    <n v="-70708.740000000005"/>
    <n v="-70.708740000000006"/>
  </r>
  <r>
    <m/>
    <m/>
    <m/>
    <m/>
    <m/>
    <m/>
    <m/>
    <m/>
    <m/>
    <m/>
    <m/>
    <m/>
    <m/>
    <m/>
    <m/>
    <m/>
    <m/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84423-5329-4BFE-B364-13CEE861AD8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J1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h="1" x="4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8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Amnt(k)" fld="24" baseField="0" baseItem="0" numFmtId="2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6836C-6316-4558-B9B1-75A5ACA0606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E32" firstHeaderRow="1" firstDataRow="2" firstDataCol="2"/>
  <pivotFields count="24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4">
        <item x="1"/>
        <item h="1" x="2"/>
        <item x="0"/>
        <item h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compact="0" outline="0" showAll="0" defaultSubtotal="0">
      <items count="28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x="27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compact="0" outline="0" showAll="0" defaultSubtotal="0"/>
  </pivotFields>
  <rowFields count="2">
    <field x="21"/>
    <field x="22"/>
  </rowFields>
  <rowItems count="28">
    <i>
      <x/>
      <x v="4"/>
    </i>
    <i>
      <x v="1"/>
      <x v="3"/>
    </i>
    <i>
      <x v="2"/>
      <x v="7"/>
    </i>
    <i>
      <x v="3"/>
      <x/>
    </i>
    <i>
      <x v="4"/>
      <x v="8"/>
    </i>
    <i>
      <x v="5"/>
      <x v="6"/>
    </i>
    <i>
      <x v="6"/>
      <x v="5"/>
    </i>
    <i>
      <x v="7"/>
      <x v="1"/>
    </i>
    <i>
      <x v="8"/>
      <x v="11"/>
    </i>
    <i>
      <x v="9"/>
      <x v="10"/>
    </i>
    <i>
      <x v="10"/>
      <x v="9"/>
    </i>
    <i>
      <x v="11"/>
      <x v="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 t="grand">
      <x/>
    </i>
  </rowItems>
  <colFields count="1">
    <field x="3"/>
  </colFields>
  <colItems count="3">
    <i>
      <x/>
    </i>
    <i>
      <x v="2"/>
    </i>
    <i t="grand">
      <x/>
    </i>
  </colItems>
  <dataFields count="1">
    <dataField name="Sum of Amount" fld="23" baseField="21" baseItem="0"/>
  </dataFields>
  <formats count="1">
    <format dxfId="7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7CE3-DCC9-4C19-820C-17CF5F01F2DA}">
  <dimension ref="A3:L32"/>
  <sheetViews>
    <sheetView tabSelected="1" topLeftCell="A4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4.5703125" bestFit="1" customWidth="1"/>
    <col min="3" max="4" width="12.7109375" bestFit="1" customWidth="1"/>
    <col min="5" max="7" width="11.28515625" bestFit="1" customWidth="1"/>
    <col min="8" max="8" width="14.5703125" bestFit="1" customWidth="1"/>
    <col min="9" max="9" width="13.140625" bestFit="1" customWidth="1"/>
    <col min="10" max="10" width="15" style="3" bestFit="1" customWidth="1"/>
    <col min="11" max="11" width="15" style="13" bestFit="1" customWidth="1"/>
    <col min="12" max="12" width="15.7109375" bestFit="1" customWidth="1"/>
    <col min="13" max="13" width="12.7109375" bestFit="1" customWidth="1"/>
    <col min="14" max="14" width="21.42578125" bestFit="1" customWidth="1"/>
    <col min="15" max="15" width="15.7109375" bestFit="1" customWidth="1"/>
    <col min="16" max="16" width="17.85546875" bestFit="1" customWidth="1"/>
  </cols>
  <sheetData>
    <row r="3" spans="1:12" x14ac:dyDescent="0.25">
      <c r="A3" s="2" t="s">
        <v>940</v>
      </c>
      <c r="C3" s="2" t="s">
        <v>3</v>
      </c>
    </row>
    <row r="4" spans="1:12" x14ac:dyDescent="0.25">
      <c r="A4" s="2" t="s">
        <v>925</v>
      </c>
      <c r="B4" s="2" t="s">
        <v>923</v>
      </c>
      <c r="C4" t="s">
        <v>22</v>
      </c>
      <c r="D4" t="s">
        <v>18</v>
      </c>
      <c r="E4" t="s">
        <v>938</v>
      </c>
      <c r="K4"/>
      <c r="L4" s="15"/>
    </row>
    <row r="5" spans="1:12" x14ac:dyDescent="0.25">
      <c r="A5" t="s">
        <v>926</v>
      </c>
      <c r="B5" t="s">
        <v>941</v>
      </c>
      <c r="C5" s="31">
        <v>-324983.46000000008</v>
      </c>
      <c r="D5" s="31">
        <v>302680.02000000008</v>
      </c>
      <c r="E5" s="3">
        <v>-22303.440000000002</v>
      </c>
      <c r="K5"/>
      <c r="L5" s="3"/>
    </row>
    <row r="6" spans="1:12" x14ac:dyDescent="0.25">
      <c r="A6" t="s">
        <v>927</v>
      </c>
      <c r="B6" t="s">
        <v>942</v>
      </c>
      <c r="C6" s="31">
        <v>-1036200.639999999</v>
      </c>
      <c r="D6" s="31">
        <v>800886.87999999989</v>
      </c>
      <c r="E6" s="3">
        <v>-235313.75999999908</v>
      </c>
      <c r="I6" s="2" t="s">
        <v>1974</v>
      </c>
      <c r="J6" s="3" t="s">
        <v>1973</v>
      </c>
      <c r="K6"/>
    </row>
    <row r="7" spans="1:12" x14ac:dyDescent="0.25">
      <c r="A7" t="s">
        <v>928</v>
      </c>
      <c r="B7" t="s">
        <v>943</v>
      </c>
      <c r="C7" s="31">
        <v>-1259756.93</v>
      </c>
      <c r="D7" s="31">
        <v>1160105.22</v>
      </c>
      <c r="E7" s="3">
        <v>-99651.709999999963</v>
      </c>
      <c r="I7" s="21">
        <v>2023</v>
      </c>
      <c r="J7" s="3">
        <v>-357.26891000000006</v>
      </c>
      <c r="K7"/>
    </row>
    <row r="8" spans="1:12" x14ac:dyDescent="0.25">
      <c r="A8" t="s">
        <v>929</v>
      </c>
      <c r="B8" t="s">
        <v>944</v>
      </c>
      <c r="C8" s="31">
        <v>-451775.19000000018</v>
      </c>
      <c r="D8" s="31">
        <v>451274.97000000003</v>
      </c>
      <c r="E8" s="3">
        <v>-500.22000000014668</v>
      </c>
      <c r="I8" s="21">
        <v>2024</v>
      </c>
      <c r="J8" s="3">
        <v>-465.06252000000046</v>
      </c>
      <c r="K8"/>
    </row>
    <row r="9" spans="1:12" x14ac:dyDescent="0.25">
      <c r="A9" t="s">
        <v>930</v>
      </c>
      <c r="B9" t="s">
        <v>945</v>
      </c>
      <c r="C9" s="31">
        <v>-334783.49</v>
      </c>
      <c r="D9" s="31">
        <v>268321.19</v>
      </c>
      <c r="E9" s="3">
        <v>-66462.299999999988</v>
      </c>
      <c r="I9" s="21">
        <v>2025</v>
      </c>
      <c r="J9" s="3">
        <v>-67.826979999999935</v>
      </c>
      <c r="K9"/>
    </row>
    <row r="10" spans="1:12" x14ac:dyDescent="0.25">
      <c r="A10" t="s">
        <v>931</v>
      </c>
      <c r="B10" t="s">
        <v>946</v>
      </c>
      <c r="C10" s="31">
        <v>-180755.38999999996</v>
      </c>
      <c r="D10" s="31">
        <v>163476.40000000002</v>
      </c>
      <c r="E10" s="3">
        <v>-17278.989999999932</v>
      </c>
      <c r="I10" s="21">
        <v>2026</v>
      </c>
      <c r="J10" s="3">
        <v>-206.01739999999995</v>
      </c>
      <c r="K10"/>
    </row>
    <row r="11" spans="1:12" x14ac:dyDescent="0.25">
      <c r="A11" t="s">
        <v>932</v>
      </c>
      <c r="B11" t="s">
        <v>947</v>
      </c>
      <c r="C11" s="31">
        <v>-442984.75999999989</v>
      </c>
      <c r="D11" s="31">
        <v>401049.44</v>
      </c>
      <c r="E11" s="3">
        <v>-41935.319999999891</v>
      </c>
      <c r="I11" s="21" t="s">
        <v>938</v>
      </c>
      <c r="J11" s="3">
        <v>-1096.1758100000004</v>
      </c>
      <c r="K11"/>
    </row>
    <row r="12" spans="1:12" x14ac:dyDescent="0.25">
      <c r="A12" t="s">
        <v>933</v>
      </c>
      <c r="B12" t="s">
        <v>948</v>
      </c>
      <c r="C12" s="31">
        <v>-78718.23000000001</v>
      </c>
      <c r="D12" s="31">
        <v>42678.15</v>
      </c>
      <c r="E12" s="3">
        <v>-36040.080000000009</v>
      </c>
      <c r="K12"/>
    </row>
    <row r="13" spans="1:12" x14ac:dyDescent="0.25">
      <c r="A13" t="s">
        <v>934</v>
      </c>
      <c r="B13" t="s">
        <v>949</v>
      </c>
      <c r="C13" s="31">
        <v>-60074.16</v>
      </c>
      <c r="D13" s="31">
        <v>24702.29</v>
      </c>
      <c r="E13" s="3">
        <v>-35371.870000000003</v>
      </c>
      <c r="K13"/>
    </row>
    <row r="14" spans="1:12" x14ac:dyDescent="0.25">
      <c r="A14" t="s">
        <v>935</v>
      </c>
      <c r="B14" t="s">
        <v>950</v>
      </c>
      <c r="C14" s="31">
        <v>-50008.65</v>
      </c>
      <c r="D14" s="31">
        <v>13433.92</v>
      </c>
      <c r="E14" s="3">
        <v>-36574.730000000003</v>
      </c>
      <c r="K14"/>
    </row>
    <row r="15" spans="1:12" x14ac:dyDescent="0.25">
      <c r="A15" t="s">
        <v>936</v>
      </c>
      <c r="B15" t="s">
        <v>951</v>
      </c>
      <c r="C15" s="31">
        <v>-96498.76</v>
      </c>
      <c r="D15" s="31">
        <v>36606.089999999997</v>
      </c>
      <c r="E15" s="3">
        <v>-59892.67</v>
      </c>
      <c r="K15"/>
    </row>
    <row r="16" spans="1:12" x14ac:dyDescent="0.25">
      <c r="A16" t="s">
        <v>937</v>
      </c>
      <c r="B16" t="s">
        <v>952</v>
      </c>
      <c r="C16" s="31">
        <v>-1137513.8</v>
      </c>
      <c r="D16" s="31">
        <v>1021640.73</v>
      </c>
      <c r="E16" s="3">
        <v>-115873.07000000007</v>
      </c>
      <c r="K16"/>
    </row>
    <row r="17" spans="1:11" x14ac:dyDescent="0.25">
      <c r="A17" t="s">
        <v>1184</v>
      </c>
      <c r="B17" t="s">
        <v>998</v>
      </c>
      <c r="C17" s="31">
        <v>-312531.84999999998</v>
      </c>
      <c r="D17" s="31">
        <v>319830.33000000007</v>
      </c>
      <c r="E17" s="3">
        <v>7298.4800000000978</v>
      </c>
      <c r="K17"/>
    </row>
    <row r="18" spans="1:11" x14ac:dyDescent="0.25">
      <c r="A18" t="s">
        <v>1185</v>
      </c>
      <c r="B18" t="s">
        <v>999</v>
      </c>
      <c r="C18" s="31">
        <v>-969628.66999999958</v>
      </c>
      <c r="D18" s="31">
        <v>899765.9</v>
      </c>
      <c r="E18" s="3">
        <v>-69862.769999999553</v>
      </c>
      <c r="K18"/>
    </row>
    <row r="19" spans="1:11" x14ac:dyDescent="0.25">
      <c r="A19" t="s">
        <v>1417</v>
      </c>
      <c r="B19" t="s">
        <v>1418</v>
      </c>
      <c r="C19" s="31">
        <v>-270713.24999999994</v>
      </c>
      <c r="D19" s="31">
        <v>278144.27</v>
      </c>
      <c r="E19" s="3">
        <v>7431.0200000000768</v>
      </c>
      <c r="K19"/>
    </row>
    <row r="20" spans="1:11" x14ac:dyDescent="0.25">
      <c r="A20" t="s">
        <v>1419</v>
      </c>
      <c r="B20" t="s">
        <v>1420</v>
      </c>
      <c r="C20" s="31">
        <v>-560579.5</v>
      </c>
      <c r="D20" s="31">
        <v>517183.72999999986</v>
      </c>
      <c r="E20" s="3">
        <v>-43395.770000000135</v>
      </c>
      <c r="K20"/>
    </row>
    <row r="21" spans="1:11" x14ac:dyDescent="0.25">
      <c r="A21" t="s">
        <v>1952</v>
      </c>
      <c r="B21" t="s">
        <v>1953</v>
      </c>
      <c r="C21" s="31">
        <v>-321073.14999999991</v>
      </c>
      <c r="D21" s="31">
        <v>293203.83</v>
      </c>
      <c r="E21" s="3">
        <v>-27869.319999999891</v>
      </c>
      <c r="K21"/>
    </row>
    <row r="22" spans="1:11" x14ac:dyDescent="0.25">
      <c r="A22" t="s">
        <v>1954</v>
      </c>
      <c r="B22" t="s">
        <v>1955</v>
      </c>
      <c r="C22" s="31">
        <v>-3369.83</v>
      </c>
      <c r="D22" s="31">
        <v>680.25</v>
      </c>
      <c r="E22" s="3">
        <v>-2689.58</v>
      </c>
      <c r="K22"/>
    </row>
    <row r="23" spans="1:11" x14ac:dyDescent="0.25">
      <c r="A23" t="s">
        <v>1956</v>
      </c>
      <c r="B23" t="s">
        <v>1957</v>
      </c>
      <c r="C23" s="31">
        <v>-106578.14</v>
      </c>
      <c r="D23" s="31">
        <v>102674.41</v>
      </c>
      <c r="E23" s="3">
        <v>-3903.7299999999959</v>
      </c>
      <c r="K23"/>
    </row>
    <row r="24" spans="1:11" x14ac:dyDescent="0.25">
      <c r="A24" t="s">
        <v>1958</v>
      </c>
      <c r="B24" t="s">
        <v>1959</v>
      </c>
      <c r="C24" s="31">
        <v>-102235.85</v>
      </c>
      <c r="D24" s="31">
        <v>91856.930000000008</v>
      </c>
      <c r="E24" s="3">
        <v>-10378.919999999998</v>
      </c>
      <c r="K24"/>
    </row>
    <row r="25" spans="1:11" x14ac:dyDescent="0.25">
      <c r="A25" t="s">
        <v>1960</v>
      </c>
      <c r="B25" t="s">
        <v>1961</v>
      </c>
      <c r="C25" s="31">
        <v>-559683.58000000007</v>
      </c>
      <c r="D25" s="31">
        <v>504973.49</v>
      </c>
      <c r="E25" s="3">
        <v>-54710.090000000084</v>
      </c>
      <c r="K25"/>
    </row>
    <row r="26" spans="1:11" x14ac:dyDescent="0.25">
      <c r="A26" t="s">
        <v>1962</v>
      </c>
      <c r="B26" t="s">
        <v>1963</v>
      </c>
      <c r="C26" s="31">
        <v>-212935.82000000004</v>
      </c>
      <c r="D26" s="31">
        <v>168566.43</v>
      </c>
      <c r="E26" s="3">
        <v>-44369.390000000043</v>
      </c>
      <c r="K26"/>
    </row>
    <row r="27" spans="1:11" x14ac:dyDescent="0.25">
      <c r="A27" t="s">
        <v>1964</v>
      </c>
      <c r="B27" t="s">
        <v>1965</v>
      </c>
      <c r="C27" s="31">
        <v>-86135.890000000014</v>
      </c>
      <c r="D27" s="31">
        <v>122596.32</v>
      </c>
      <c r="E27" s="3">
        <v>36460.429999999993</v>
      </c>
      <c r="K27"/>
    </row>
    <row r="28" spans="1:11" x14ac:dyDescent="0.25">
      <c r="A28" t="s">
        <v>1966</v>
      </c>
      <c r="B28" t="s">
        <v>1967</v>
      </c>
      <c r="C28" s="31">
        <v>-235095.38</v>
      </c>
      <c r="D28" s="31">
        <v>235272.51000000004</v>
      </c>
      <c r="E28" s="3">
        <v>177.13000000003376</v>
      </c>
      <c r="K28"/>
    </row>
    <row r="29" spans="1:11" x14ac:dyDescent="0.25">
      <c r="A29" t="s">
        <v>1968</v>
      </c>
      <c r="B29" t="s">
        <v>1969</v>
      </c>
      <c r="C29" s="31">
        <v>-1295484.82</v>
      </c>
      <c r="D29" s="31">
        <v>1332195.2000000002</v>
      </c>
      <c r="E29" s="3">
        <v>36710.380000000121</v>
      </c>
      <c r="K29"/>
    </row>
    <row r="30" spans="1:11" x14ac:dyDescent="0.25">
      <c r="A30" t="s">
        <v>1970</v>
      </c>
      <c r="B30" t="s">
        <v>1971</v>
      </c>
      <c r="C30" s="31">
        <v>-696485.08000000007</v>
      </c>
      <c r="D30" s="31">
        <v>742626.96</v>
      </c>
      <c r="E30" s="3">
        <v>46141.879999999888</v>
      </c>
      <c r="K30"/>
    </row>
    <row r="31" spans="1:11" x14ac:dyDescent="0.25">
      <c r="A31" t="s">
        <v>2035</v>
      </c>
      <c r="B31" t="s">
        <v>2036</v>
      </c>
      <c r="C31" s="31">
        <v>-1956546.67</v>
      </c>
      <c r="D31" s="31">
        <v>1750529.27</v>
      </c>
      <c r="E31" s="3">
        <v>-206017.39999999991</v>
      </c>
      <c r="K31"/>
    </row>
    <row r="32" spans="1:11" x14ac:dyDescent="0.25">
      <c r="A32" t="s">
        <v>938</v>
      </c>
      <c r="C32" s="31">
        <v>-13143130.939999999</v>
      </c>
      <c r="D32" s="31">
        <v>12046955.129999999</v>
      </c>
      <c r="E32" s="3">
        <v>-1096175.8099999987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28"/>
  <sheetViews>
    <sheetView topLeftCell="H1517" zoomScaleNormal="100" workbookViewId="0">
      <selection activeCell="X1528" sqref="X1528"/>
    </sheetView>
  </sheetViews>
  <sheetFormatPr defaultRowHeight="15" x14ac:dyDescent="0.25"/>
  <cols>
    <col min="1" max="1" width="10.5703125" bestFit="1" customWidth="1"/>
    <col min="2" max="2" width="36.140625" bestFit="1" customWidth="1"/>
    <col min="16" max="16" width="15.140625" bestFit="1" customWidth="1"/>
    <col min="24" max="24" width="10.28515625" style="3" bestFit="1" customWidth="1"/>
    <col min="25" max="25" width="9.140625" style="3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8" t="s">
        <v>919</v>
      </c>
      <c r="R1" s="18" t="s">
        <v>920</v>
      </c>
      <c r="S1" s="18" t="s">
        <v>921</v>
      </c>
      <c r="T1" s="18" t="s">
        <v>922</v>
      </c>
      <c r="U1" s="18" t="s">
        <v>924</v>
      </c>
      <c r="V1" s="18" t="s">
        <v>925</v>
      </c>
      <c r="W1" s="18" t="s">
        <v>923</v>
      </c>
      <c r="X1" s="19" t="s">
        <v>939</v>
      </c>
      <c r="Y1" s="19" t="s">
        <v>1972</v>
      </c>
    </row>
    <row r="2" spans="1:25" x14ac:dyDescent="0.25">
      <c r="A2" s="1">
        <v>45300</v>
      </c>
      <c r="B2" t="s">
        <v>903</v>
      </c>
      <c r="C2" t="s">
        <v>17</v>
      </c>
      <c r="D2" t="s">
        <v>18</v>
      </c>
      <c r="E2">
        <v>600</v>
      </c>
      <c r="F2">
        <v>0</v>
      </c>
      <c r="G2">
        <v>51.9</v>
      </c>
      <c r="H2">
        <v>31140</v>
      </c>
      <c r="I2" t="s">
        <v>904</v>
      </c>
      <c r="J2">
        <v>19</v>
      </c>
      <c r="K2">
        <v>15.73</v>
      </c>
      <c r="L2">
        <v>0</v>
      </c>
      <c r="M2">
        <v>0.03</v>
      </c>
      <c r="N2">
        <v>300</v>
      </c>
      <c r="O2">
        <v>56.84</v>
      </c>
      <c r="P2">
        <v>391.6</v>
      </c>
      <c r="Q2" s="18">
        <f>YEAR(A2)</f>
        <v>2024</v>
      </c>
      <c r="R2" s="18">
        <f>MONTH(A2)</f>
        <v>1</v>
      </c>
      <c r="S2" s="18">
        <f>IF(R2&lt;4,Q2-1,Q2)</f>
        <v>2023</v>
      </c>
      <c r="T2" s="18">
        <f>IF(R2&lt;4,R2+9,R2-3)</f>
        <v>10</v>
      </c>
      <c r="U2" s="18">
        <f>IF(LEN(T2)=1,_xlfn.CONCAT(0,T2),T2)</f>
        <v>10</v>
      </c>
      <c r="V2" s="18" t="str">
        <f>_xlfn.CONCAT(S2,U2)</f>
        <v>202310</v>
      </c>
      <c r="W2" s="18" t="str">
        <f>_xlfn.CONCAT(TEXT(A2,"MMM"),"-",MID(Q2,3,2))</f>
        <v>Jan-24</v>
      </c>
      <c r="X2" s="19">
        <f>IFERROR(IF(D2="Sell",(H2-P2),-(H2+P2)),0)</f>
        <v>30748.400000000001</v>
      </c>
      <c r="Y2" s="19">
        <f>X2/1000</f>
        <v>30.7484</v>
      </c>
    </row>
    <row r="3" spans="1:25" x14ac:dyDescent="0.25">
      <c r="A3" s="1">
        <v>45300</v>
      </c>
      <c r="B3" t="s">
        <v>903</v>
      </c>
      <c r="C3" t="s">
        <v>17</v>
      </c>
      <c r="D3" t="s">
        <v>22</v>
      </c>
      <c r="E3">
        <v>40</v>
      </c>
      <c r="F3">
        <v>0</v>
      </c>
      <c r="G3">
        <v>17.7</v>
      </c>
      <c r="H3">
        <v>708</v>
      </c>
      <c r="I3" t="s">
        <v>905</v>
      </c>
      <c r="J3">
        <v>0</v>
      </c>
      <c r="K3">
        <v>0.36</v>
      </c>
      <c r="L3">
        <v>0</v>
      </c>
      <c r="M3">
        <v>0</v>
      </c>
      <c r="N3">
        <v>20</v>
      </c>
      <c r="O3">
        <v>3.66</v>
      </c>
      <c r="P3">
        <v>24.02</v>
      </c>
      <c r="Q3" s="18">
        <f>YEAR(A3)</f>
        <v>2024</v>
      </c>
      <c r="R3" s="18">
        <f>MONTH(A3)</f>
        <v>1</v>
      </c>
      <c r="S3" s="18">
        <f>IF(R3&lt;4,Q3-1,Q3)</f>
        <v>2023</v>
      </c>
      <c r="T3" s="18">
        <f>IF(R3&lt;4,R3+9,R3-3)</f>
        <v>10</v>
      </c>
      <c r="U3" s="18">
        <f>IF(LEN(T3)=1,_xlfn.CONCAT(0,T3),T3)</f>
        <v>10</v>
      </c>
      <c r="V3" s="18" t="str">
        <f>_xlfn.CONCAT(S3,U3)</f>
        <v>202310</v>
      </c>
      <c r="W3" s="18" t="str">
        <f>_xlfn.CONCAT(TEXT(A3,"MMM"),"-",MID(Q3,3,2))</f>
        <v>Jan-24</v>
      </c>
      <c r="X3" s="19">
        <f>IFERROR(IF(D3="Sell",(H3-P3),-(H3+P3)),0)</f>
        <v>-732.02</v>
      </c>
      <c r="Y3" s="19">
        <f>X3/1000</f>
        <v>-0.73202</v>
      </c>
    </row>
    <row r="4" spans="1:25" x14ac:dyDescent="0.25">
      <c r="A4" s="1">
        <v>45300</v>
      </c>
      <c r="B4" t="s">
        <v>903</v>
      </c>
      <c r="C4" t="s">
        <v>17</v>
      </c>
      <c r="D4" t="s">
        <v>22</v>
      </c>
      <c r="E4">
        <v>40</v>
      </c>
      <c r="F4">
        <v>0</v>
      </c>
      <c r="G4">
        <v>21.1</v>
      </c>
      <c r="H4">
        <v>844</v>
      </c>
      <c r="I4" t="s">
        <v>906</v>
      </c>
      <c r="J4">
        <v>0</v>
      </c>
      <c r="K4">
        <v>0.43</v>
      </c>
      <c r="L4">
        <v>0</v>
      </c>
      <c r="M4">
        <v>0</v>
      </c>
      <c r="N4">
        <v>20</v>
      </c>
      <c r="O4">
        <v>3.68</v>
      </c>
      <c r="P4">
        <v>24.11</v>
      </c>
      <c r="Q4" s="18">
        <f>YEAR(A4)</f>
        <v>2024</v>
      </c>
      <c r="R4" s="18">
        <f>MONTH(A4)</f>
        <v>1</v>
      </c>
      <c r="S4" s="18">
        <f>IF(R4&lt;4,Q4-1,Q4)</f>
        <v>2023</v>
      </c>
      <c r="T4" s="18">
        <f>IF(R4&lt;4,R4+9,R4-3)</f>
        <v>10</v>
      </c>
      <c r="U4" s="18">
        <f>IF(LEN(T4)=1,_xlfn.CONCAT(0,T4),T4)</f>
        <v>10</v>
      </c>
      <c r="V4" s="18" t="str">
        <f>_xlfn.CONCAT(S4,U4)</f>
        <v>202310</v>
      </c>
      <c r="W4" s="18" t="str">
        <f>_xlfn.CONCAT(TEXT(A4,"MMM"),"-",MID(Q4,3,2))</f>
        <v>Jan-24</v>
      </c>
      <c r="X4" s="19">
        <f>IFERROR(IF(D4="Sell",(H4-P4),-(H4+P4)),0)</f>
        <v>-868.11</v>
      </c>
      <c r="Y4" s="19">
        <f>X4/1000</f>
        <v>-0.86811000000000005</v>
      </c>
    </row>
    <row r="5" spans="1:25" x14ac:dyDescent="0.25">
      <c r="A5" s="1">
        <v>45300</v>
      </c>
      <c r="B5" t="s">
        <v>903</v>
      </c>
      <c r="C5" t="s">
        <v>17</v>
      </c>
      <c r="D5" t="s">
        <v>22</v>
      </c>
      <c r="E5">
        <v>40</v>
      </c>
      <c r="F5">
        <v>0</v>
      </c>
      <c r="G5">
        <v>23.3</v>
      </c>
      <c r="H5">
        <v>932</v>
      </c>
      <c r="I5" t="s">
        <v>907</v>
      </c>
      <c r="J5">
        <v>0</v>
      </c>
      <c r="K5">
        <v>0.47</v>
      </c>
      <c r="L5">
        <v>0</v>
      </c>
      <c r="M5">
        <v>0</v>
      </c>
      <c r="N5">
        <v>20</v>
      </c>
      <c r="O5">
        <v>3.68</v>
      </c>
      <c r="P5">
        <v>24.15</v>
      </c>
      <c r="Q5" s="18">
        <f>YEAR(A5)</f>
        <v>2024</v>
      </c>
      <c r="R5" s="18">
        <f>MONTH(A5)</f>
        <v>1</v>
      </c>
      <c r="S5" s="18">
        <f>IF(R5&lt;4,Q5-1,Q5)</f>
        <v>2023</v>
      </c>
      <c r="T5" s="18">
        <f>IF(R5&lt;4,R5+9,R5-3)</f>
        <v>10</v>
      </c>
      <c r="U5" s="18">
        <f>IF(LEN(T5)=1,_xlfn.CONCAT(0,T5),T5)</f>
        <v>10</v>
      </c>
      <c r="V5" s="18" t="str">
        <f>_xlfn.CONCAT(S5,U5)</f>
        <v>202310</v>
      </c>
      <c r="W5" s="18" t="str">
        <f>_xlfn.CONCAT(TEXT(A5,"MMM"),"-",MID(Q5,3,2))</f>
        <v>Jan-24</v>
      </c>
      <c r="X5" s="19">
        <f>IFERROR(IF(D5="Sell",(H5-P5),-(H5+P5)),0)</f>
        <v>-956.15</v>
      </c>
      <c r="Y5" s="19">
        <f>X5/1000</f>
        <v>-0.95614999999999994</v>
      </c>
    </row>
    <row r="6" spans="1:25" x14ac:dyDescent="0.25">
      <c r="A6" s="1">
        <v>45300</v>
      </c>
      <c r="B6" t="s">
        <v>903</v>
      </c>
      <c r="C6" t="s">
        <v>17</v>
      </c>
      <c r="D6" t="s">
        <v>22</v>
      </c>
      <c r="E6">
        <v>40</v>
      </c>
      <c r="F6">
        <v>0</v>
      </c>
      <c r="G6">
        <v>22.1</v>
      </c>
      <c r="H6">
        <v>884</v>
      </c>
      <c r="I6" t="s">
        <v>908</v>
      </c>
      <c r="J6">
        <v>0</v>
      </c>
      <c r="K6">
        <v>0.45</v>
      </c>
      <c r="L6">
        <v>0</v>
      </c>
      <c r="M6">
        <v>0</v>
      </c>
      <c r="N6">
        <v>20</v>
      </c>
      <c r="O6">
        <v>3.68</v>
      </c>
      <c r="P6">
        <v>24.13</v>
      </c>
      <c r="Q6" s="18">
        <f>YEAR(A6)</f>
        <v>2024</v>
      </c>
      <c r="R6" s="18">
        <f>MONTH(A6)</f>
        <v>1</v>
      </c>
      <c r="S6" s="18">
        <f>IF(R6&lt;4,Q6-1,Q6)</f>
        <v>2023</v>
      </c>
      <c r="T6" s="18">
        <f>IF(R6&lt;4,R6+9,R6-3)</f>
        <v>10</v>
      </c>
      <c r="U6" s="18">
        <f>IF(LEN(T6)=1,_xlfn.CONCAT(0,T6),T6)</f>
        <v>10</v>
      </c>
      <c r="V6" s="18" t="str">
        <f>_xlfn.CONCAT(S6,U6)</f>
        <v>202310</v>
      </c>
      <c r="W6" s="18" t="str">
        <f>_xlfn.CONCAT(TEXT(A6,"MMM"),"-",MID(Q6,3,2))</f>
        <v>Jan-24</v>
      </c>
      <c r="X6" s="19">
        <f>IFERROR(IF(D6="Sell",(H6-P6),-(H6+P6)),0)</f>
        <v>-908.13</v>
      </c>
      <c r="Y6" s="19">
        <f>X6/1000</f>
        <v>-0.90812999999999999</v>
      </c>
    </row>
    <row r="7" spans="1:25" x14ac:dyDescent="0.25">
      <c r="A7" s="1">
        <v>45300</v>
      </c>
      <c r="B7" t="s">
        <v>903</v>
      </c>
      <c r="C7" t="s">
        <v>17</v>
      </c>
      <c r="D7" t="s">
        <v>22</v>
      </c>
      <c r="E7">
        <v>40</v>
      </c>
      <c r="F7">
        <v>0</v>
      </c>
      <c r="G7">
        <v>23.05</v>
      </c>
      <c r="H7">
        <v>922</v>
      </c>
      <c r="I7" t="s">
        <v>909</v>
      </c>
      <c r="J7">
        <v>0</v>
      </c>
      <c r="K7">
        <v>0.47</v>
      </c>
      <c r="L7">
        <v>0</v>
      </c>
      <c r="M7">
        <v>0</v>
      </c>
      <c r="N7">
        <v>20</v>
      </c>
      <c r="O7">
        <v>3.68</v>
      </c>
      <c r="P7">
        <v>24.15</v>
      </c>
      <c r="Q7" s="18">
        <f>YEAR(A7)</f>
        <v>2024</v>
      </c>
      <c r="R7" s="18">
        <f>MONTH(A7)</f>
        <v>1</v>
      </c>
      <c r="S7" s="18">
        <f>IF(R7&lt;4,Q7-1,Q7)</f>
        <v>2023</v>
      </c>
      <c r="T7" s="18">
        <f>IF(R7&lt;4,R7+9,R7-3)</f>
        <v>10</v>
      </c>
      <c r="U7" s="18">
        <f>IF(LEN(T7)=1,_xlfn.CONCAT(0,T7),T7)</f>
        <v>10</v>
      </c>
      <c r="V7" s="18" t="str">
        <f>_xlfn.CONCAT(S7,U7)</f>
        <v>202310</v>
      </c>
      <c r="W7" s="18" t="str">
        <f>_xlfn.CONCAT(TEXT(A7,"MMM"),"-",MID(Q7,3,2))</f>
        <v>Jan-24</v>
      </c>
      <c r="X7" s="19">
        <f>IFERROR(IF(D7="Sell",(H7-P7),-(H7+P7)),0)</f>
        <v>-946.15</v>
      </c>
      <c r="Y7" s="19">
        <f>X7/1000</f>
        <v>-0.94614999999999994</v>
      </c>
    </row>
    <row r="8" spans="1:25" x14ac:dyDescent="0.25">
      <c r="A8" s="1">
        <v>45300</v>
      </c>
      <c r="B8" t="s">
        <v>903</v>
      </c>
      <c r="C8" t="s">
        <v>17</v>
      </c>
      <c r="D8" t="s">
        <v>22</v>
      </c>
      <c r="E8">
        <v>40</v>
      </c>
      <c r="F8">
        <v>0</v>
      </c>
      <c r="G8">
        <v>28.7</v>
      </c>
      <c r="H8">
        <v>1148</v>
      </c>
      <c r="I8" t="s">
        <v>910</v>
      </c>
      <c r="J8">
        <v>0</v>
      </c>
      <c r="K8">
        <v>0.57999999999999996</v>
      </c>
      <c r="L8">
        <v>0</v>
      </c>
      <c r="M8">
        <v>0</v>
      </c>
      <c r="N8">
        <v>20</v>
      </c>
      <c r="O8">
        <v>3.7</v>
      </c>
      <c r="P8">
        <v>24.28</v>
      </c>
      <c r="Q8" s="18">
        <f>YEAR(A8)</f>
        <v>2024</v>
      </c>
      <c r="R8" s="18">
        <f>MONTH(A8)</f>
        <v>1</v>
      </c>
      <c r="S8" s="18">
        <f>IF(R8&lt;4,Q8-1,Q8)</f>
        <v>2023</v>
      </c>
      <c r="T8" s="18">
        <f>IF(R8&lt;4,R8+9,R8-3)</f>
        <v>10</v>
      </c>
      <c r="U8" s="18">
        <f>IF(LEN(T8)=1,_xlfn.CONCAT(0,T8),T8)</f>
        <v>10</v>
      </c>
      <c r="V8" s="18" t="str">
        <f>_xlfn.CONCAT(S8,U8)</f>
        <v>202310</v>
      </c>
      <c r="W8" s="18" t="str">
        <f>_xlfn.CONCAT(TEXT(A8,"MMM"),"-",MID(Q8,3,2))</f>
        <v>Jan-24</v>
      </c>
      <c r="X8" s="19">
        <f>IFERROR(IF(D8="Sell",(H8-P8),-(H8+P8)),0)</f>
        <v>-1172.28</v>
      </c>
      <c r="Y8" s="19">
        <f>X8/1000</f>
        <v>-1.17228</v>
      </c>
    </row>
    <row r="9" spans="1:25" x14ac:dyDescent="0.25">
      <c r="A9" s="1">
        <v>45300</v>
      </c>
      <c r="B9" t="s">
        <v>903</v>
      </c>
      <c r="C9" t="s">
        <v>17</v>
      </c>
      <c r="D9" t="s">
        <v>22</v>
      </c>
      <c r="E9">
        <v>40</v>
      </c>
      <c r="F9">
        <v>0</v>
      </c>
      <c r="G9">
        <v>26.65</v>
      </c>
      <c r="H9">
        <v>1066</v>
      </c>
      <c r="I9" t="s">
        <v>911</v>
      </c>
      <c r="J9">
        <v>0</v>
      </c>
      <c r="K9">
        <v>0.54</v>
      </c>
      <c r="L9">
        <v>0</v>
      </c>
      <c r="M9">
        <v>0</v>
      </c>
      <c r="N9">
        <v>20</v>
      </c>
      <c r="O9">
        <v>3.7</v>
      </c>
      <c r="P9">
        <v>24.24</v>
      </c>
      <c r="Q9" s="18">
        <f>YEAR(A9)</f>
        <v>2024</v>
      </c>
      <c r="R9" s="18">
        <f>MONTH(A9)</f>
        <v>1</v>
      </c>
      <c r="S9" s="18">
        <f>IF(R9&lt;4,Q9-1,Q9)</f>
        <v>2023</v>
      </c>
      <c r="T9" s="18">
        <f>IF(R9&lt;4,R9+9,R9-3)</f>
        <v>10</v>
      </c>
      <c r="U9" s="18">
        <f>IF(LEN(T9)=1,_xlfn.CONCAT(0,T9),T9)</f>
        <v>10</v>
      </c>
      <c r="V9" s="18" t="str">
        <f>_xlfn.CONCAT(S9,U9)</f>
        <v>202310</v>
      </c>
      <c r="W9" s="18" t="str">
        <f>_xlfn.CONCAT(TEXT(A9,"MMM"),"-",MID(Q9,3,2))</f>
        <v>Jan-24</v>
      </c>
      <c r="X9" s="19">
        <f>IFERROR(IF(D9="Sell",(H9-P9),-(H9+P9)),0)</f>
        <v>-1090.24</v>
      </c>
      <c r="Y9" s="19">
        <f>X9/1000</f>
        <v>-1.0902400000000001</v>
      </c>
    </row>
    <row r="10" spans="1:25" x14ac:dyDescent="0.25">
      <c r="A10" s="1">
        <v>45300</v>
      </c>
      <c r="B10" t="s">
        <v>903</v>
      </c>
      <c r="C10" t="s">
        <v>17</v>
      </c>
      <c r="D10" t="s">
        <v>22</v>
      </c>
      <c r="E10">
        <v>40</v>
      </c>
      <c r="F10">
        <v>0</v>
      </c>
      <c r="G10">
        <v>29</v>
      </c>
      <c r="H10">
        <v>1160</v>
      </c>
      <c r="I10" t="s">
        <v>912</v>
      </c>
      <c r="J10">
        <v>0</v>
      </c>
      <c r="K10">
        <v>0.59</v>
      </c>
      <c r="L10">
        <v>0</v>
      </c>
      <c r="M10">
        <v>0</v>
      </c>
      <c r="N10">
        <v>20</v>
      </c>
      <c r="O10">
        <v>3.7</v>
      </c>
      <c r="P10">
        <v>24.29</v>
      </c>
      <c r="Q10" s="18">
        <f>YEAR(A10)</f>
        <v>2024</v>
      </c>
      <c r="R10" s="18">
        <f>MONTH(A10)</f>
        <v>1</v>
      </c>
      <c r="S10" s="18">
        <f>IF(R10&lt;4,Q10-1,Q10)</f>
        <v>2023</v>
      </c>
      <c r="T10" s="18">
        <f>IF(R10&lt;4,R10+9,R10-3)</f>
        <v>10</v>
      </c>
      <c r="U10" s="18">
        <f>IF(LEN(T10)=1,_xlfn.CONCAT(0,T10),T10)</f>
        <v>10</v>
      </c>
      <c r="V10" s="18" t="str">
        <f>_xlfn.CONCAT(S10,U10)</f>
        <v>202310</v>
      </c>
      <c r="W10" s="18" t="str">
        <f>_xlfn.CONCAT(TEXT(A10,"MMM"),"-",MID(Q10,3,2))</f>
        <v>Jan-24</v>
      </c>
      <c r="X10" s="19">
        <f>IFERROR(IF(D10="Sell",(H10-P10),-(H10+P10)),0)</f>
        <v>-1184.29</v>
      </c>
      <c r="Y10" s="19">
        <f>X10/1000</f>
        <v>-1.1842900000000001</v>
      </c>
    </row>
    <row r="11" spans="1:25" x14ac:dyDescent="0.25">
      <c r="A11" s="1">
        <v>45300</v>
      </c>
      <c r="B11" t="s">
        <v>903</v>
      </c>
      <c r="C11" t="s">
        <v>17</v>
      </c>
      <c r="D11" t="s">
        <v>22</v>
      </c>
      <c r="E11">
        <v>40</v>
      </c>
      <c r="F11">
        <v>0</v>
      </c>
      <c r="G11">
        <v>32.6</v>
      </c>
      <c r="H11">
        <v>1304</v>
      </c>
      <c r="I11" t="s">
        <v>913</v>
      </c>
      <c r="J11">
        <v>0</v>
      </c>
      <c r="K11">
        <v>0.66</v>
      </c>
      <c r="L11">
        <v>0</v>
      </c>
      <c r="M11">
        <v>0</v>
      </c>
      <c r="N11">
        <v>20</v>
      </c>
      <c r="O11">
        <v>3.72</v>
      </c>
      <c r="P11">
        <v>24.38</v>
      </c>
      <c r="Q11" s="18">
        <f>YEAR(A11)</f>
        <v>2024</v>
      </c>
      <c r="R11" s="18">
        <f>MONTH(A11)</f>
        <v>1</v>
      </c>
      <c r="S11" s="18">
        <f>IF(R11&lt;4,Q11-1,Q11)</f>
        <v>2023</v>
      </c>
      <c r="T11" s="18">
        <f>IF(R11&lt;4,R11+9,R11-3)</f>
        <v>10</v>
      </c>
      <c r="U11" s="18">
        <f>IF(LEN(T11)=1,_xlfn.CONCAT(0,T11),T11)</f>
        <v>10</v>
      </c>
      <c r="V11" s="18" t="str">
        <f>_xlfn.CONCAT(S11,U11)</f>
        <v>202310</v>
      </c>
      <c r="W11" s="18" t="str">
        <f>_xlfn.CONCAT(TEXT(A11,"MMM"),"-",MID(Q11,3,2))</f>
        <v>Jan-24</v>
      </c>
      <c r="X11" s="19">
        <f>IFERROR(IF(D11="Sell",(H11-P11),-(H11+P11)),0)</f>
        <v>-1328.38</v>
      </c>
      <c r="Y11" s="19">
        <f>X11/1000</f>
        <v>-1.3283800000000001</v>
      </c>
    </row>
    <row r="12" spans="1:25" x14ac:dyDescent="0.25">
      <c r="A12" s="1">
        <v>45300</v>
      </c>
      <c r="B12" t="s">
        <v>903</v>
      </c>
      <c r="C12" t="s">
        <v>17</v>
      </c>
      <c r="D12" t="s">
        <v>22</v>
      </c>
      <c r="E12">
        <v>40</v>
      </c>
      <c r="F12">
        <v>0</v>
      </c>
      <c r="G12">
        <v>33.85</v>
      </c>
      <c r="H12">
        <v>1354</v>
      </c>
      <c r="I12" t="s">
        <v>914</v>
      </c>
      <c r="J12">
        <v>0</v>
      </c>
      <c r="K12">
        <v>0.68</v>
      </c>
      <c r="L12">
        <v>0</v>
      </c>
      <c r="M12">
        <v>0</v>
      </c>
      <c r="N12">
        <v>20</v>
      </c>
      <c r="O12">
        <v>3.72</v>
      </c>
      <c r="P12">
        <v>24.4</v>
      </c>
      <c r="Q12" s="18">
        <f>YEAR(A12)</f>
        <v>2024</v>
      </c>
      <c r="R12" s="18">
        <f>MONTH(A12)</f>
        <v>1</v>
      </c>
      <c r="S12" s="18">
        <f>IF(R12&lt;4,Q12-1,Q12)</f>
        <v>2023</v>
      </c>
      <c r="T12" s="18">
        <f>IF(R12&lt;4,R12+9,R12-3)</f>
        <v>10</v>
      </c>
      <c r="U12" s="18">
        <f>IF(LEN(T12)=1,_xlfn.CONCAT(0,T12),T12)</f>
        <v>10</v>
      </c>
      <c r="V12" s="18" t="str">
        <f>_xlfn.CONCAT(S12,U12)</f>
        <v>202310</v>
      </c>
      <c r="W12" s="18" t="str">
        <f>_xlfn.CONCAT(TEXT(A12,"MMM"),"-",MID(Q12,3,2))</f>
        <v>Jan-24</v>
      </c>
      <c r="X12" s="19">
        <f>IFERROR(IF(D12="Sell",(H12-P12),-(H12+P12)),0)</f>
        <v>-1378.4</v>
      </c>
      <c r="Y12" s="19">
        <f>X12/1000</f>
        <v>-1.3784000000000001</v>
      </c>
    </row>
    <row r="13" spans="1:25" x14ac:dyDescent="0.25">
      <c r="A13" s="1">
        <v>45300</v>
      </c>
      <c r="B13" t="s">
        <v>903</v>
      </c>
      <c r="C13" t="s">
        <v>17</v>
      </c>
      <c r="D13" t="s">
        <v>22</v>
      </c>
      <c r="E13">
        <v>160</v>
      </c>
      <c r="F13">
        <v>0</v>
      </c>
      <c r="G13">
        <v>37.15</v>
      </c>
      <c r="H13">
        <v>5944</v>
      </c>
      <c r="I13" t="s">
        <v>915</v>
      </c>
      <c r="J13">
        <v>0</v>
      </c>
      <c r="K13">
        <v>3</v>
      </c>
      <c r="L13">
        <v>1</v>
      </c>
      <c r="M13">
        <v>0</v>
      </c>
      <c r="N13">
        <v>80</v>
      </c>
      <c r="O13">
        <v>14.94</v>
      </c>
      <c r="P13">
        <v>98.94</v>
      </c>
      <c r="Q13" s="18">
        <f>YEAR(A13)</f>
        <v>2024</v>
      </c>
      <c r="R13" s="18">
        <f>MONTH(A13)</f>
        <v>1</v>
      </c>
      <c r="S13" s="18">
        <f>IF(R13&lt;4,Q13-1,Q13)</f>
        <v>2023</v>
      </c>
      <c r="T13" s="18">
        <f>IF(R13&lt;4,R13+9,R13-3)</f>
        <v>10</v>
      </c>
      <c r="U13" s="18">
        <f>IF(LEN(T13)=1,_xlfn.CONCAT(0,T13),T13)</f>
        <v>10</v>
      </c>
      <c r="V13" s="18" t="str">
        <f>_xlfn.CONCAT(S13,U13)</f>
        <v>202310</v>
      </c>
      <c r="W13" s="18" t="str">
        <f>_xlfn.CONCAT(TEXT(A13,"MMM"),"-",MID(Q13,3,2))</f>
        <v>Jan-24</v>
      </c>
      <c r="X13" s="19">
        <f>IFERROR(IF(D13="Sell",(H13-P13),-(H13+P13)),0)</f>
        <v>-6042.94</v>
      </c>
      <c r="Y13" s="19">
        <f>X13/1000</f>
        <v>-6.0429399999999998</v>
      </c>
    </row>
    <row r="14" spans="1:25" x14ac:dyDescent="0.25">
      <c r="A14" s="1">
        <v>45300</v>
      </c>
      <c r="B14" t="s">
        <v>903</v>
      </c>
      <c r="C14" t="s">
        <v>17</v>
      </c>
      <c r="D14" t="s">
        <v>22</v>
      </c>
      <c r="E14">
        <v>40</v>
      </c>
      <c r="F14">
        <v>0</v>
      </c>
      <c r="G14">
        <v>35.5</v>
      </c>
      <c r="H14">
        <v>1420</v>
      </c>
      <c r="I14" t="s">
        <v>916</v>
      </c>
      <c r="J14">
        <v>0</v>
      </c>
      <c r="K14">
        <v>0.72</v>
      </c>
      <c r="L14">
        <v>0</v>
      </c>
      <c r="M14">
        <v>0</v>
      </c>
      <c r="N14">
        <v>20</v>
      </c>
      <c r="O14">
        <v>3.72</v>
      </c>
      <c r="P14">
        <v>24.44</v>
      </c>
      <c r="Q14" s="18">
        <f>YEAR(A14)</f>
        <v>2024</v>
      </c>
      <c r="R14" s="18">
        <f>MONTH(A14)</f>
        <v>1</v>
      </c>
      <c r="S14" s="18">
        <f>IF(R14&lt;4,Q14-1,Q14)</f>
        <v>2023</v>
      </c>
      <c r="T14" s="18">
        <f>IF(R14&lt;4,R14+9,R14-3)</f>
        <v>10</v>
      </c>
      <c r="U14" s="18">
        <f>IF(LEN(T14)=1,_xlfn.CONCAT(0,T14),T14)</f>
        <v>10</v>
      </c>
      <c r="V14" s="18" t="str">
        <f>_xlfn.CONCAT(S14,U14)</f>
        <v>202310</v>
      </c>
      <c r="W14" s="18" t="str">
        <f>_xlfn.CONCAT(TEXT(A14,"MMM"),"-",MID(Q14,3,2))</f>
        <v>Jan-24</v>
      </c>
      <c r="X14" s="19">
        <f>IFERROR(IF(D14="Sell",(H14-P14),-(H14+P14)),0)</f>
        <v>-1444.44</v>
      </c>
      <c r="Y14" s="19">
        <f>X14/1000</f>
        <v>-1.4444399999999999</v>
      </c>
    </row>
    <row r="15" spans="1:25" x14ac:dyDescent="0.25">
      <c r="A15" s="1">
        <v>45301</v>
      </c>
      <c r="B15" t="s">
        <v>887</v>
      </c>
      <c r="C15" t="s">
        <v>17</v>
      </c>
      <c r="D15" t="s">
        <v>22</v>
      </c>
      <c r="E15">
        <v>300</v>
      </c>
      <c r="F15">
        <v>0</v>
      </c>
      <c r="G15">
        <v>0.5</v>
      </c>
      <c r="H15">
        <v>150</v>
      </c>
      <c r="I15" t="s">
        <v>888</v>
      </c>
      <c r="J15">
        <v>0</v>
      </c>
      <c r="K15">
        <v>0.08</v>
      </c>
      <c r="L15">
        <v>0</v>
      </c>
      <c r="M15">
        <v>0</v>
      </c>
      <c r="N15">
        <v>400</v>
      </c>
      <c r="O15">
        <v>72.02</v>
      </c>
      <c r="P15">
        <v>472.1</v>
      </c>
      <c r="Q15" s="18">
        <f>YEAR(A15)</f>
        <v>2024</v>
      </c>
      <c r="R15" s="18">
        <f>MONTH(A15)</f>
        <v>1</v>
      </c>
      <c r="S15" s="18">
        <f>IF(R15&lt;4,Q15-1,Q15)</f>
        <v>2023</v>
      </c>
      <c r="T15" s="18">
        <f>IF(R15&lt;4,R15+9,R15-3)</f>
        <v>10</v>
      </c>
      <c r="U15" s="18">
        <f>IF(LEN(T15)=1,_xlfn.CONCAT(0,T15),T15)</f>
        <v>10</v>
      </c>
      <c r="V15" s="18" t="str">
        <f>_xlfn.CONCAT(S15,U15)</f>
        <v>202310</v>
      </c>
      <c r="W15" s="18" t="str">
        <f>_xlfn.CONCAT(TEXT(A15,"MMM"),"-",MID(Q15,3,2))</f>
        <v>Jan-24</v>
      </c>
      <c r="X15" s="19">
        <f>IFERROR(IF(D15="Sell",(H15-P15),-(H15+P15)),0)</f>
        <v>-622.1</v>
      </c>
      <c r="Y15" s="19">
        <f>X15/1000</f>
        <v>-0.62209999999999999</v>
      </c>
    </row>
    <row r="16" spans="1:25" x14ac:dyDescent="0.25">
      <c r="A16" s="1">
        <v>45301</v>
      </c>
      <c r="B16" t="s">
        <v>887</v>
      </c>
      <c r="C16" t="s">
        <v>17</v>
      </c>
      <c r="D16" t="s">
        <v>22</v>
      </c>
      <c r="E16">
        <v>900</v>
      </c>
      <c r="F16">
        <v>0</v>
      </c>
      <c r="G16">
        <v>0.5</v>
      </c>
      <c r="H16">
        <v>450</v>
      </c>
      <c r="I16" t="s">
        <v>889</v>
      </c>
      <c r="J16">
        <v>0</v>
      </c>
      <c r="K16">
        <v>0.23</v>
      </c>
      <c r="L16">
        <v>0.41</v>
      </c>
      <c r="M16">
        <v>0</v>
      </c>
      <c r="N16">
        <v>1200</v>
      </c>
      <c r="O16">
        <v>216.04</v>
      </c>
      <c r="P16">
        <v>1416.68</v>
      </c>
      <c r="Q16" s="18">
        <f>YEAR(A16)</f>
        <v>2024</v>
      </c>
      <c r="R16" s="18">
        <f>MONTH(A16)</f>
        <v>1</v>
      </c>
      <c r="S16" s="18">
        <f>IF(R16&lt;4,Q16-1,Q16)</f>
        <v>2023</v>
      </c>
      <c r="T16" s="18">
        <f>IF(R16&lt;4,R16+9,R16-3)</f>
        <v>10</v>
      </c>
      <c r="U16" s="18">
        <f>IF(LEN(T16)=1,_xlfn.CONCAT(0,T16),T16)</f>
        <v>10</v>
      </c>
      <c r="V16" s="18" t="str">
        <f>_xlfn.CONCAT(S16,U16)</f>
        <v>202310</v>
      </c>
      <c r="W16" s="18" t="str">
        <f>_xlfn.CONCAT(TEXT(A16,"MMM"),"-",MID(Q16,3,2))</f>
        <v>Jan-24</v>
      </c>
      <c r="X16" s="19">
        <f>IFERROR(IF(D16="Sell",(H16-P16),-(H16+P16)),0)</f>
        <v>-1866.68</v>
      </c>
      <c r="Y16" s="19">
        <f>X16/1000</f>
        <v>-1.8666800000000001</v>
      </c>
    </row>
    <row r="17" spans="1:25" x14ac:dyDescent="0.25">
      <c r="A17" s="1">
        <v>45301</v>
      </c>
      <c r="B17" t="s">
        <v>887</v>
      </c>
      <c r="C17" t="s">
        <v>17</v>
      </c>
      <c r="D17" t="s">
        <v>22</v>
      </c>
      <c r="E17">
        <v>900</v>
      </c>
      <c r="F17">
        <v>0</v>
      </c>
      <c r="G17">
        <v>0.7</v>
      </c>
      <c r="H17">
        <v>630</v>
      </c>
      <c r="I17" t="s">
        <v>890</v>
      </c>
      <c r="J17">
        <v>0</v>
      </c>
      <c r="K17">
        <v>0.33</v>
      </c>
      <c r="L17">
        <v>0</v>
      </c>
      <c r="M17">
        <v>0</v>
      </c>
      <c r="N17">
        <v>1200</v>
      </c>
      <c r="O17">
        <v>216.08</v>
      </c>
      <c r="P17">
        <v>1416.41</v>
      </c>
      <c r="Q17" s="18">
        <f>YEAR(A17)</f>
        <v>2024</v>
      </c>
      <c r="R17" s="18">
        <f>MONTH(A17)</f>
        <v>1</v>
      </c>
      <c r="S17" s="18">
        <f>IF(R17&lt;4,Q17-1,Q17)</f>
        <v>2023</v>
      </c>
      <c r="T17" s="18">
        <f>IF(R17&lt;4,R17+9,R17-3)</f>
        <v>10</v>
      </c>
      <c r="U17" s="18">
        <f>IF(LEN(T17)=1,_xlfn.CONCAT(0,T17),T17)</f>
        <v>10</v>
      </c>
      <c r="V17" s="18" t="str">
        <f>_xlfn.CONCAT(S17,U17)</f>
        <v>202310</v>
      </c>
      <c r="W17" s="18" t="str">
        <f>_xlfn.CONCAT(TEXT(A17,"MMM"),"-",MID(Q17,3,2))</f>
        <v>Jan-24</v>
      </c>
      <c r="X17" s="19">
        <f>IFERROR(IF(D17="Sell",(H17-P17),-(H17+P17)),0)</f>
        <v>-2046.41</v>
      </c>
      <c r="Y17" s="19">
        <f>X17/1000</f>
        <v>-2.0464100000000003</v>
      </c>
    </row>
    <row r="18" spans="1:25" x14ac:dyDescent="0.25">
      <c r="A18" s="1">
        <v>45301</v>
      </c>
      <c r="B18" t="s">
        <v>887</v>
      </c>
      <c r="C18" t="s">
        <v>17</v>
      </c>
      <c r="D18" t="s">
        <v>22</v>
      </c>
      <c r="E18">
        <v>900</v>
      </c>
      <c r="F18">
        <v>0</v>
      </c>
      <c r="G18">
        <v>1.3</v>
      </c>
      <c r="H18">
        <v>1170</v>
      </c>
      <c r="I18" t="s">
        <v>891</v>
      </c>
      <c r="J18">
        <v>0</v>
      </c>
      <c r="K18">
        <v>0.6</v>
      </c>
      <c r="L18">
        <v>0</v>
      </c>
      <c r="M18">
        <v>0</v>
      </c>
      <c r="N18">
        <v>1200</v>
      </c>
      <c r="O18">
        <v>216.1</v>
      </c>
      <c r="P18">
        <v>1416.7</v>
      </c>
      <c r="Q18" s="18">
        <f>YEAR(A18)</f>
        <v>2024</v>
      </c>
      <c r="R18" s="18">
        <f>MONTH(A18)</f>
        <v>1</v>
      </c>
      <c r="S18" s="18">
        <f>IF(R18&lt;4,Q18-1,Q18)</f>
        <v>2023</v>
      </c>
      <c r="T18" s="18">
        <f>IF(R18&lt;4,R18+9,R18-3)</f>
        <v>10</v>
      </c>
      <c r="U18" s="18">
        <f>IF(LEN(T18)=1,_xlfn.CONCAT(0,T18),T18)</f>
        <v>10</v>
      </c>
      <c r="V18" s="18" t="str">
        <f>_xlfn.CONCAT(S18,U18)</f>
        <v>202310</v>
      </c>
      <c r="W18" s="18" t="str">
        <f>_xlfn.CONCAT(TEXT(A18,"MMM"),"-",MID(Q18,3,2))</f>
        <v>Jan-24</v>
      </c>
      <c r="X18" s="19">
        <f>IFERROR(IF(D18="Sell",(H18-P18),-(H18+P18)),0)</f>
        <v>-2586.6999999999998</v>
      </c>
      <c r="Y18" s="19">
        <f>X18/1000</f>
        <v>-2.5867</v>
      </c>
    </row>
    <row r="19" spans="1:25" x14ac:dyDescent="0.25">
      <c r="A19" s="1">
        <v>45301</v>
      </c>
      <c r="B19" t="s">
        <v>887</v>
      </c>
      <c r="C19" t="s">
        <v>17</v>
      </c>
      <c r="D19" t="s">
        <v>22</v>
      </c>
      <c r="E19">
        <v>150</v>
      </c>
      <c r="F19">
        <v>0</v>
      </c>
      <c r="G19">
        <v>4</v>
      </c>
      <c r="H19">
        <v>600</v>
      </c>
      <c r="I19" t="s">
        <v>892</v>
      </c>
      <c r="J19">
        <v>0</v>
      </c>
      <c r="K19">
        <v>0.3</v>
      </c>
      <c r="L19">
        <v>0</v>
      </c>
      <c r="M19">
        <v>0</v>
      </c>
      <c r="N19">
        <v>200</v>
      </c>
      <c r="O19">
        <v>36.06</v>
      </c>
      <c r="P19">
        <v>236.36</v>
      </c>
      <c r="Q19" s="18">
        <f>YEAR(A19)</f>
        <v>2024</v>
      </c>
      <c r="R19" s="18">
        <f>MONTH(A19)</f>
        <v>1</v>
      </c>
      <c r="S19" s="18">
        <f>IF(R19&lt;4,Q19-1,Q19)</f>
        <v>2023</v>
      </c>
      <c r="T19" s="18">
        <f>IF(R19&lt;4,R19+9,R19-3)</f>
        <v>10</v>
      </c>
      <c r="U19" s="18">
        <f>IF(LEN(T19)=1,_xlfn.CONCAT(0,T19),T19)</f>
        <v>10</v>
      </c>
      <c r="V19" s="18" t="str">
        <f>_xlfn.CONCAT(S19,U19)</f>
        <v>202310</v>
      </c>
      <c r="W19" s="18" t="str">
        <f>_xlfn.CONCAT(TEXT(A19,"MMM"),"-",MID(Q19,3,2))</f>
        <v>Jan-24</v>
      </c>
      <c r="X19" s="19">
        <f>IFERROR(IF(D19="Sell",(H19-P19),-(H19+P19)),0)</f>
        <v>-836.36</v>
      </c>
      <c r="Y19" s="19">
        <f>X19/1000</f>
        <v>-0.83635999999999999</v>
      </c>
    </row>
    <row r="20" spans="1:25" x14ac:dyDescent="0.25">
      <c r="A20" s="1">
        <v>45301</v>
      </c>
      <c r="B20" t="s">
        <v>887</v>
      </c>
      <c r="C20" t="s">
        <v>17</v>
      </c>
      <c r="D20" t="s">
        <v>22</v>
      </c>
      <c r="E20">
        <v>510</v>
      </c>
      <c r="F20">
        <v>0</v>
      </c>
      <c r="G20">
        <v>4</v>
      </c>
      <c r="H20">
        <v>2040</v>
      </c>
      <c r="I20" t="s">
        <v>893</v>
      </c>
      <c r="J20">
        <v>0</v>
      </c>
      <c r="K20">
        <v>1.03</v>
      </c>
      <c r="L20">
        <v>0</v>
      </c>
      <c r="M20">
        <v>0</v>
      </c>
      <c r="N20">
        <v>680</v>
      </c>
      <c r="O20">
        <v>122.58</v>
      </c>
      <c r="P20">
        <v>803.61</v>
      </c>
      <c r="Q20" s="18">
        <f>YEAR(A20)</f>
        <v>2024</v>
      </c>
      <c r="R20" s="18">
        <f>MONTH(A20)</f>
        <v>1</v>
      </c>
      <c r="S20" s="18">
        <f>IF(R20&lt;4,Q20-1,Q20)</f>
        <v>2023</v>
      </c>
      <c r="T20" s="18">
        <f>IF(R20&lt;4,R20+9,R20-3)</f>
        <v>10</v>
      </c>
      <c r="U20" s="18">
        <f>IF(LEN(T20)=1,_xlfn.CONCAT(0,T20),T20)</f>
        <v>10</v>
      </c>
      <c r="V20" s="18" t="str">
        <f>_xlfn.CONCAT(S20,U20)</f>
        <v>202310</v>
      </c>
      <c r="W20" s="18" t="str">
        <f>_xlfn.CONCAT(TEXT(A20,"MMM"),"-",MID(Q20,3,2))</f>
        <v>Jan-24</v>
      </c>
      <c r="X20" s="19">
        <f>IFERROR(IF(D20="Sell",(H20-P20),-(H20+P20)),0)</f>
        <v>-2843.61</v>
      </c>
      <c r="Y20" s="19">
        <f>X20/1000</f>
        <v>-2.84361</v>
      </c>
    </row>
    <row r="21" spans="1:25" x14ac:dyDescent="0.25">
      <c r="A21" s="1">
        <v>45301</v>
      </c>
      <c r="B21" t="s">
        <v>887</v>
      </c>
      <c r="C21" t="s">
        <v>17</v>
      </c>
      <c r="D21" t="s">
        <v>22</v>
      </c>
      <c r="E21">
        <v>510</v>
      </c>
      <c r="F21">
        <v>0</v>
      </c>
      <c r="G21">
        <v>7</v>
      </c>
      <c r="H21">
        <v>3570</v>
      </c>
      <c r="I21" t="s">
        <v>894</v>
      </c>
      <c r="J21">
        <v>0</v>
      </c>
      <c r="K21">
        <v>1.8</v>
      </c>
      <c r="L21">
        <v>0</v>
      </c>
      <c r="M21">
        <v>0</v>
      </c>
      <c r="N21">
        <v>680</v>
      </c>
      <c r="O21">
        <v>122.72</v>
      </c>
      <c r="P21">
        <v>804.52</v>
      </c>
      <c r="Q21" s="18">
        <f>YEAR(A21)</f>
        <v>2024</v>
      </c>
      <c r="R21" s="18">
        <f>MONTH(A21)</f>
        <v>1</v>
      </c>
      <c r="S21" s="18">
        <f>IF(R21&lt;4,Q21-1,Q21)</f>
        <v>2023</v>
      </c>
      <c r="T21" s="18">
        <f>IF(R21&lt;4,R21+9,R21-3)</f>
        <v>10</v>
      </c>
      <c r="U21" s="18">
        <f>IF(LEN(T21)=1,_xlfn.CONCAT(0,T21),T21)</f>
        <v>10</v>
      </c>
      <c r="V21" s="18" t="str">
        <f>_xlfn.CONCAT(S21,U21)</f>
        <v>202310</v>
      </c>
      <c r="W21" s="18" t="str">
        <f>_xlfn.CONCAT(TEXT(A21,"MMM"),"-",MID(Q21,3,2))</f>
        <v>Jan-24</v>
      </c>
      <c r="X21" s="19">
        <f>IFERROR(IF(D21="Sell",(H21-P21),-(H21+P21)),0)</f>
        <v>-4374.5200000000004</v>
      </c>
      <c r="Y21" s="19">
        <f>X21/1000</f>
        <v>-4.3745200000000004</v>
      </c>
    </row>
    <row r="22" spans="1:25" x14ac:dyDescent="0.25">
      <c r="A22" s="1">
        <v>45301</v>
      </c>
      <c r="B22" t="s">
        <v>895</v>
      </c>
      <c r="C22" t="s">
        <v>17</v>
      </c>
      <c r="D22" t="s">
        <v>18</v>
      </c>
      <c r="E22">
        <v>650</v>
      </c>
      <c r="F22">
        <v>0</v>
      </c>
      <c r="G22">
        <v>31.5</v>
      </c>
      <c r="H22">
        <v>20475</v>
      </c>
      <c r="I22" t="s">
        <v>896</v>
      </c>
      <c r="J22">
        <v>13</v>
      </c>
      <c r="K22">
        <v>10.34</v>
      </c>
      <c r="L22">
        <v>0</v>
      </c>
      <c r="M22">
        <v>0.02</v>
      </c>
      <c r="N22">
        <v>20</v>
      </c>
      <c r="O22">
        <v>5.46</v>
      </c>
      <c r="P22">
        <v>48.82</v>
      </c>
      <c r="Q22" s="18">
        <f>YEAR(A22)</f>
        <v>2024</v>
      </c>
      <c r="R22" s="18">
        <f>MONTH(A22)</f>
        <v>1</v>
      </c>
      <c r="S22" s="18">
        <f>IF(R22&lt;4,Q22-1,Q22)</f>
        <v>2023</v>
      </c>
      <c r="T22" s="18">
        <f>IF(R22&lt;4,R22+9,R22-3)</f>
        <v>10</v>
      </c>
      <c r="U22" s="18">
        <f>IF(LEN(T22)=1,_xlfn.CONCAT(0,T22),T22)</f>
        <v>10</v>
      </c>
      <c r="V22" s="18" t="str">
        <f>_xlfn.CONCAT(S22,U22)</f>
        <v>202310</v>
      </c>
      <c r="W22" s="18" t="str">
        <f>_xlfn.CONCAT(TEXT(A22,"MMM"),"-",MID(Q22,3,2))</f>
        <v>Jan-24</v>
      </c>
      <c r="X22" s="19">
        <f>IFERROR(IF(D22="Sell",(H22-P22),-(H22+P22)),0)</f>
        <v>20426.18</v>
      </c>
      <c r="Y22" s="19">
        <f>X22/1000</f>
        <v>20.426179999999999</v>
      </c>
    </row>
    <row r="23" spans="1:25" x14ac:dyDescent="0.25">
      <c r="A23" s="1">
        <v>45301</v>
      </c>
      <c r="B23" t="s">
        <v>887</v>
      </c>
      <c r="C23" t="s">
        <v>17</v>
      </c>
      <c r="D23" t="s">
        <v>22</v>
      </c>
      <c r="E23">
        <v>210</v>
      </c>
      <c r="F23">
        <v>0</v>
      </c>
      <c r="G23">
        <v>11</v>
      </c>
      <c r="H23">
        <v>2310</v>
      </c>
      <c r="I23" t="s">
        <v>897</v>
      </c>
      <c r="J23">
        <v>0</v>
      </c>
      <c r="K23">
        <v>1.17</v>
      </c>
      <c r="L23">
        <v>0</v>
      </c>
      <c r="M23">
        <v>0</v>
      </c>
      <c r="N23">
        <v>280</v>
      </c>
      <c r="O23">
        <v>50.62</v>
      </c>
      <c r="P23">
        <v>331.79</v>
      </c>
      <c r="Q23" s="18">
        <f>YEAR(A23)</f>
        <v>2024</v>
      </c>
      <c r="R23" s="18">
        <f>MONTH(A23)</f>
        <v>1</v>
      </c>
      <c r="S23" s="18">
        <f>IF(R23&lt;4,Q23-1,Q23)</f>
        <v>2023</v>
      </c>
      <c r="T23" s="18">
        <f>IF(R23&lt;4,R23+9,R23-3)</f>
        <v>10</v>
      </c>
      <c r="U23" s="18">
        <f>IF(LEN(T23)=1,_xlfn.CONCAT(0,T23),T23)</f>
        <v>10</v>
      </c>
      <c r="V23" s="18" t="str">
        <f>_xlfn.CONCAT(S23,U23)</f>
        <v>202310</v>
      </c>
      <c r="W23" s="18" t="str">
        <f>_xlfn.CONCAT(TEXT(A23,"MMM"),"-",MID(Q23,3,2))</f>
        <v>Jan-24</v>
      </c>
      <c r="X23" s="19">
        <f>IFERROR(IF(D23="Sell",(H23-P23),-(H23+P23)),0)</f>
        <v>-2641.79</v>
      </c>
      <c r="Y23" s="19">
        <f>X23/1000</f>
        <v>-2.6417899999999999</v>
      </c>
    </row>
    <row r="24" spans="1:25" x14ac:dyDescent="0.25">
      <c r="A24" s="1">
        <v>45301</v>
      </c>
      <c r="B24" t="s">
        <v>887</v>
      </c>
      <c r="C24" t="s">
        <v>17</v>
      </c>
      <c r="D24" t="s">
        <v>22</v>
      </c>
      <c r="E24">
        <v>210</v>
      </c>
      <c r="F24">
        <v>0</v>
      </c>
      <c r="G24">
        <v>16</v>
      </c>
      <c r="H24">
        <v>3360</v>
      </c>
      <c r="I24" t="s">
        <v>898</v>
      </c>
      <c r="J24">
        <v>0</v>
      </c>
      <c r="K24">
        <v>1.69</v>
      </c>
      <c r="L24">
        <v>0</v>
      </c>
      <c r="M24">
        <v>0</v>
      </c>
      <c r="N24">
        <v>280</v>
      </c>
      <c r="O24">
        <v>50.7</v>
      </c>
      <c r="P24">
        <v>332.39</v>
      </c>
      <c r="Q24" s="18">
        <f>YEAR(A24)</f>
        <v>2024</v>
      </c>
      <c r="R24" s="18">
        <f>MONTH(A24)</f>
        <v>1</v>
      </c>
      <c r="S24" s="18">
        <f>IF(R24&lt;4,Q24-1,Q24)</f>
        <v>2023</v>
      </c>
      <c r="T24" s="18">
        <f>IF(R24&lt;4,R24+9,R24-3)</f>
        <v>10</v>
      </c>
      <c r="U24" s="18">
        <f>IF(LEN(T24)=1,_xlfn.CONCAT(0,T24),T24)</f>
        <v>10</v>
      </c>
      <c r="V24" s="18" t="str">
        <f>_xlfn.CONCAT(S24,U24)</f>
        <v>202310</v>
      </c>
      <c r="W24" s="18" t="str">
        <f>_xlfn.CONCAT(TEXT(A24,"MMM"),"-",MID(Q24,3,2))</f>
        <v>Jan-24</v>
      </c>
      <c r="X24" s="19">
        <f>IFERROR(IF(D24="Sell",(H24-P24),-(H24+P24)),0)</f>
        <v>-3692.39</v>
      </c>
      <c r="Y24" s="19">
        <f>X24/1000</f>
        <v>-3.6923900000000001</v>
      </c>
    </row>
    <row r="25" spans="1:25" x14ac:dyDescent="0.25">
      <c r="A25" s="1">
        <v>45301</v>
      </c>
      <c r="B25" t="s">
        <v>887</v>
      </c>
      <c r="C25" t="s">
        <v>17</v>
      </c>
      <c r="D25" t="s">
        <v>22</v>
      </c>
      <c r="E25">
        <v>210</v>
      </c>
      <c r="F25">
        <v>0</v>
      </c>
      <c r="G25">
        <v>19</v>
      </c>
      <c r="H25">
        <v>3990</v>
      </c>
      <c r="I25" t="s">
        <v>899</v>
      </c>
      <c r="J25">
        <v>0</v>
      </c>
      <c r="K25">
        <v>2.0099999999999998</v>
      </c>
      <c r="L25">
        <v>0</v>
      </c>
      <c r="M25">
        <v>0</v>
      </c>
      <c r="N25">
        <v>280</v>
      </c>
      <c r="O25">
        <v>50.76</v>
      </c>
      <c r="P25">
        <v>332.77</v>
      </c>
      <c r="Q25" s="18">
        <f>YEAR(A25)</f>
        <v>2024</v>
      </c>
      <c r="R25" s="18">
        <f>MONTH(A25)</f>
        <v>1</v>
      </c>
      <c r="S25" s="18">
        <f>IF(R25&lt;4,Q25-1,Q25)</f>
        <v>2023</v>
      </c>
      <c r="T25" s="18">
        <f>IF(R25&lt;4,R25+9,R25-3)</f>
        <v>10</v>
      </c>
      <c r="U25" s="18">
        <f>IF(LEN(T25)=1,_xlfn.CONCAT(0,T25),T25)</f>
        <v>10</v>
      </c>
      <c r="V25" s="18" t="str">
        <f>_xlfn.CONCAT(S25,U25)</f>
        <v>202310</v>
      </c>
      <c r="W25" s="18" t="str">
        <f>_xlfn.CONCAT(TEXT(A25,"MMM"),"-",MID(Q25,3,2))</f>
        <v>Jan-24</v>
      </c>
      <c r="X25" s="19">
        <f>IFERROR(IF(D25="Sell",(H25-P25),-(H25+P25)),0)</f>
        <v>-4322.7700000000004</v>
      </c>
      <c r="Y25" s="19">
        <f>X25/1000</f>
        <v>-4.3227700000000002</v>
      </c>
    </row>
    <row r="26" spans="1:25" x14ac:dyDescent="0.25">
      <c r="A26" s="1">
        <v>45301</v>
      </c>
      <c r="B26" t="s">
        <v>887</v>
      </c>
      <c r="C26" t="s">
        <v>17</v>
      </c>
      <c r="D26" t="s">
        <v>22</v>
      </c>
      <c r="E26">
        <v>105</v>
      </c>
      <c r="F26">
        <v>0</v>
      </c>
      <c r="G26">
        <v>33</v>
      </c>
      <c r="H26">
        <v>3465</v>
      </c>
      <c r="I26" t="s">
        <v>900</v>
      </c>
      <c r="J26">
        <v>0</v>
      </c>
      <c r="K26">
        <v>1.75</v>
      </c>
      <c r="L26">
        <v>0</v>
      </c>
      <c r="M26">
        <v>0</v>
      </c>
      <c r="N26">
        <v>140</v>
      </c>
      <c r="O26">
        <v>25.52</v>
      </c>
      <c r="P26">
        <v>167.27</v>
      </c>
      <c r="Q26" s="18">
        <f>YEAR(A26)</f>
        <v>2024</v>
      </c>
      <c r="R26" s="18">
        <f>MONTH(A26)</f>
        <v>1</v>
      </c>
      <c r="S26" s="18">
        <f>IF(R26&lt;4,Q26-1,Q26)</f>
        <v>2023</v>
      </c>
      <c r="T26" s="18">
        <f>IF(R26&lt;4,R26+9,R26-3)</f>
        <v>10</v>
      </c>
      <c r="U26" s="18">
        <f>IF(LEN(T26)=1,_xlfn.CONCAT(0,T26),T26)</f>
        <v>10</v>
      </c>
      <c r="V26" s="18" t="str">
        <f>_xlfn.CONCAT(S26,U26)</f>
        <v>202310</v>
      </c>
      <c r="W26" s="18" t="str">
        <f>_xlfn.CONCAT(TEXT(A26,"MMM"),"-",MID(Q26,3,2))</f>
        <v>Jan-24</v>
      </c>
      <c r="X26" s="19">
        <f>IFERROR(IF(D26="Sell",(H26-P26),-(H26+P26)),0)</f>
        <v>-3632.27</v>
      </c>
      <c r="Y26" s="19">
        <f>X26/1000</f>
        <v>-3.6322700000000001</v>
      </c>
    </row>
    <row r="27" spans="1:25" x14ac:dyDescent="0.25">
      <c r="A27" s="1">
        <v>45301</v>
      </c>
      <c r="B27" t="s">
        <v>887</v>
      </c>
      <c r="C27" t="s">
        <v>17</v>
      </c>
      <c r="D27" t="s">
        <v>22</v>
      </c>
      <c r="E27">
        <v>105</v>
      </c>
      <c r="F27">
        <v>0</v>
      </c>
      <c r="G27">
        <v>46.95</v>
      </c>
      <c r="H27">
        <v>4929.75</v>
      </c>
      <c r="I27" t="s">
        <v>901</v>
      </c>
      <c r="J27">
        <v>0</v>
      </c>
      <c r="K27">
        <v>2.5</v>
      </c>
      <c r="L27">
        <v>0</v>
      </c>
      <c r="M27">
        <v>0</v>
      </c>
      <c r="N27">
        <v>140</v>
      </c>
      <c r="O27">
        <v>25.64</v>
      </c>
      <c r="P27">
        <v>168.14</v>
      </c>
      <c r="Q27" s="18">
        <f>YEAR(A27)</f>
        <v>2024</v>
      </c>
      <c r="R27" s="18">
        <f>MONTH(A27)</f>
        <v>1</v>
      </c>
      <c r="S27" s="18">
        <f>IF(R27&lt;4,Q27-1,Q27)</f>
        <v>2023</v>
      </c>
      <c r="T27" s="18">
        <f>IF(R27&lt;4,R27+9,R27-3)</f>
        <v>10</v>
      </c>
      <c r="U27" s="18">
        <f>IF(LEN(T27)=1,_xlfn.CONCAT(0,T27),T27)</f>
        <v>10</v>
      </c>
      <c r="V27" s="18" t="str">
        <f>_xlfn.CONCAT(S27,U27)</f>
        <v>202310</v>
      </c>
      <c r="W27" s="18" t="str">
        <f>_xlfn.CONCAT(TEXT(A27,"MMM"),"-",MID(Q27,3,2))</f>
        <v>Jan-24</v>
      </c>
      <c r="X27" s="19">
        <f>IFERROR(IF(D27="Sell",(H27-P27),-(H27+P27)),0)</f>
        <v>-5097.8900000000003</v>
      </c>
      <c r="Y27" s="19">
        <f>X27/1000</f>
        <v>-5.0978900000000005</v>
      </c>
    </row>
    <row r="28" spans="1:25" x14ac:dyDescent="0.25">
      <c r="A28" s="1">
        <v>45301</v>
      </c>
      <c r="B28" t="s">
        <v>895</v>
      </c>
      <c r="C28" t="s">
        <v>17</v>
      </c>
      <c r="D28" t="s">
        <v>22</v>
      </c>
      <c r="E28">
        <v>650</v>
      </c>
      <c r="F28">
        <v>0</v>
      </c>
      <c r="G28">
        <v>30.45</v>
      </c>
      <c r="H28">
        <v>19792.5</v>
      </c>
      <c r="I28" t="s">
        <v>902</v>
      </c>
      <c r="J28">
        <v>0</v>
      </c>
      <c r="K28">
        <v>10</v>
      </c>
      <c r="L28">
        <v>0.59</v>
      </c>
      <c r="M28">
        <v>0.02</v>
      </c>
      <c r="N28">
        <v>20</v>
      </c>
      <c r="O28">
        <v>5.4</v>
      </c>
      <c r="P28">
        <v>36.01</v>
      </c>
      <c r="Q28" s="18">
        <f>YEAR(A28)</f>
        <v>2024</v>
      </c>
      <c r="R28" s="18">
        <f>MONTH(A28)</f>
        <v>1</v>
      </c>
      <c r="S28" s="18">
        <f>IF(R28&lt;4,Q28-1,Q28)</f>
        <v>2023</v>
      </c>
      <c r="T28" s="18">
        <f>IF(R28&lt;4,R28+9,R28-3)</f>
        <v>10</v>
      </c>
      <c r="U28" s="18">
        <f>IF(LEN(T28)=1,_xlfn.CONCAT(0,T28),T28)</f>
        <v>10</v>
      </c>
      <c r="V28" s="18" t="str">
        <f>_xlfn.CONCAT(S28,U28)</f>
        <v>202310</v>
      </c>
      <c r="W28" s="18" t="str">
        <f>_xlfn.CONCAT(TEXT(A28,"MMM"),"-",MID(Q28,3,2))</f>
        <v>Jan-24</v>
      </c>
      <c r="X28" s="19">
        <f>IFERROR(IF(D28="Sell",(H28-P28),-(H28+P28)),0)</f>
        <v>-19828.509999999998</v>
      </c>
      <c r="Y28" s="19">
        <f>X28/1000</f>
        <v>-19.828509999999998</v>
      </c>
    </row>
    <row r="29" spans="1:25" x14ac:dyDescent="0.25">
      <c r="A29" s="20">
        <v>45301</v>
      </c>
      <c r="B29" s="18" t="s">
        <v>887</v>
      </c>
      <c r="C29" s="18" t="s">
        <v>17</v>
      </c>
      <c r="D29" s="18" t="s">
        <v>917</v>
      </c>
      <c r="E29" s="18">
        <v>5010</v>
      </c>
      <c r="F29" s="18">
        <v>0</v>
      </c>
      <c r="G29" s="18">
        <v>0</v>
      </c>
      <c r="H29" s="18" t="s">
        <v>918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f>YEAR(A29)</f>
        <v>2024</v>
      </c>
      <c r="R29" s="18">
        <f>MONTH(A29)</f>
        <v>1</v>
      </c>
      <c r="S29" s="18">
        <f>IF(R29&lt;4,Q29-1,Q29)</f>
        <v>2023</v>
      </c>
      <c r="T29" s="18">
        <f>IF(R29&lt;4,R29+9,R29-3)</f>
        <v>10</v>
      </c>
      <c r="U29" s="18">
        <f>IF(LEN(T29)=1,_xlfn.CONCAT(0,T29),T29)</f>
        <v>10</v>
      </c>
      <c r="V29" s="18" t="str">
        <f>_xlfn.CONCAT(S29,U29)</f>
        <v>202310</v>
      </c>
      <c r="W29" s="18" t="str">
        <f>_xlfn.CONCAT(TEXT(A29,"MMM"),"-",MID(Q29,3,2))</f>
        <v>Jan-24</v>
      </c>
      <c r="X29" s="19">
        <f>IFERROR(IF(D29="Sell",(H29-P29),-(H29+P29)),0)</f>
        <v>0</v>
      </c>
      <c r="Y29" s="19">
        <f>X29/1000</f>
        <v>0</v>
      </c>
    </row>
    <row r="30" spans="1:25" x14ac:dyDescent="0.25">
      <c r="A30" s="1">
        <v>45302</v>
      </c>
      <c r="B30" t="s">
        <v>884</v>
      </c>
      <c r="C30" t="s">
        <v>17</v>
      </c>
      <c r="D30" t="s">
        <v>18</v>
      </c>
      <c r="E30">
        <v>40</v>
      </c>
      <c r="F30">
        <v>0</v>
      </c>
      <c r="G30">
        <v>105</v>
      </c>
      <c r="H30">
        <v>4200</v>
      </c>
      <c r="I30" t="s">
        <v>885</v>
      </c>
      <c r="J30">
        <v>3</v>
      </c>
      <c r="K30">
        <v>2.12</v>
      </c>
      <c r="L30">
        <v>0</v>
      </c>
      <c r="M30">
        <v>0</v>
      </c>
      <c r="N30">
        <v>20</v>
      </c>
      <c r="O30">
        <v>3.98</v>
      </c>
      <c r="P30">
        <v>29.1</v>
      </c>
      <c r="Q30" s="18">
        <f>YEAR(A30)</f>
        <v>2024</v>
      </c>
      <c r="R30" s="18">
        <f>MONTH(A30)</f>
        <v>1</v>
      </c>
      <c r="S30" s="18">
        <f>IF(R30&lt;4,Q30-1,Q30)</f>
        <v>2023</v>
      </c>
      <c r="T30" s="18">
        <f>IF(R30&lt;4,R30+9,R30-3)</f>
        <v>10</v>
      </c>
      <c r="U30" s="18">
        <f>IF(LEN(T30)=1,_xlfn.CONCAT(0,T30),T30)</f>
        <v>10</v>
      </c>
      <c r="V30" s="18" t="str">
        <f>_xlfn.CONCAT(S30,U30)</f>
        <v>202310</v>
      </c>
      <c r="W30" s="18" t="str">
        <f>_xlfn.CONCAT(TEXT(A30,"MMM"),"-",MID(Q30,3,2))</f>
        <v>Jan-24</v>
      </c>
      <c r="X30" s="19">
        <f>IFERROR(IF(D30="Sell",(H30-P30),-(H30+P30)),0)</f>
        <v>4170.8999999999996</v>
      </c>
      <c r="Y30" s="19">
        <f>X30/1000</f>
        <v>4.1708999999999996</v>
      </c>
    </row>
    <row r="31" spans="1:25" x14ac:dyDescent="0.25">
      <c r="A31" s="1">
        <v>45302</v>
      </c>
      <c r="B31" t="s">
        <v>884</v>
      </c>
      <c r="C31" t="s">
        <v>17</v>
      </c>
      <c r="D31" t="s">
        <v>22</v>
      </c>
      <c r="E31">
        <v>40</v>
      </c>
      <c r="F31">
        <v>0</v>
      </c>
      <c r="G31">
        <v>75.75</v>
      </c>
      <c r="H31">
        <v>3030</v>
      </c>
      <c r="I31" t="s">
        <v>886</v>
      </c>
      <c r="J31">
        <v>0</v>
      </c>
      <c r="K31">
        <v>1.53</v>
      </c>
      <c r="L31">
        <v>0</v>
      </c>
      <c r="M31">
        <v>0</v>
      </c>
      <c r="N31">
        <v>20</v>
      </c>
      <c r="O31">
        <v>3.88</v>
      </c>
      <c r="P31">
        <v>25.41</v>
      </c>
      <c r="Q31" s="18">
        <f>YEAR(A31)</f>
        <v>2024</v>
      </c>
      <c r="R31" s="18">
        <f>MONTH(A31)</f>
        <v>1</v>
      </c>
      <c r="S31" s="18">
        <f>IF(R31&lt;4,Q31-1,Q31)</f>
        <v>2023</v>
      </c>
      <c r="T31" s="18">
        <f>IF(R31&lt;4,R31+9,R31-3)</f>
        <v>10</v>
      </c>
      <c r="U31" s="18">
        <f>IF(LEN(T31)=1,_xlfn.CONCAT(0,T31),T31)</f>
        <v>10</v>
      </c>
      <c r="V31" s="18" t="str">
        <f>_xlfn.CONCAT(S31,U31)</f>
        <v>202310</v>
      </c>
      <c r="W31" s="18" t="str">
        <f>_xlfn.CONCAT(TEXT(A31,"MMM"),"-",MID(Q31,3,2))</f>
        <v>Jan-24</v>
      </c>
      <c r="X31" s="19">
        <f>IFERROR(IF(D31="Sell",(H31-P31),-(H31+P31)),0)</f>
        <v>-3055.41</v>
      </c>
      <c r="Y31" s="19">
        <f>X31/1000</f>
        <v>-3.0554099999999997</v>
      </c>
    </row>
    <row r="32" spans="1:25" x14ac:dyDescent="0.25">
      <c r="A32" s="1">
        <v>45308</v>
      </c>
      <c r="B32" t="s">
        <v>870</v>
      </c>
      <c r="C32" t="s">
        <v>17</v>
      </c>
      <c r="D32" t="s">
        <v>18</v>
      </c>
      <c r="E32">
        <v>600</v>
      </c>
      <c r="F32">
        <v>0</v>
      </c>
      <c r="G32">
        <v>16.149999999999999</v>
      </c>
      <c r="H32">
        <v>9690</v>
      </c>
      <c r="I32" t="s">
        <v>871</v>
      </c>
      <c r="J32">
        <v>6.06</v>
      </c>
      <c r="K32">
        <v>4.9000000000000004</v>
      </c>
      <c r="L32">
        <v>0</v>
      </c>
      <c r="M32">
        <v>0.01</v>
      </c>
      <c r="N32">
        <v>800</v>
      </c>
      <c r="O32">
        <v>144.88</v>
      </c>
      <c r="P32">
        <v>955.85</v>
      </c>
      <c r="Q32" s="18">
        <f>YEAR(A32)</f>
        <v>2024</v>
      </c>
      <c r="R32" s="18">
        <f>MONTH(A32)</f>
        <v>1</v>
      </c>
      <c r="S32" s="18">
        <f>IF(R32&lt;4,Q32-1,Q32)</f>
        <v>2023</v>
      </c>
      <c r="T32" s="18">
        <f>IF(R32&lt;4,R32+9,R32-3)</f>
        <v>10</v>
      </c>
      <c r="U32" s="18">
        <f>IF(LEN(T32)=1,_xlfn.CONCAT(0,T32),T32)</f>
        <v>10</v>
      </c>
      <c r="V32" s="18" t="str">
        <f>_xlfn.CONCAT(S32,U32)</f>
        <v>202310</v>
      </c>
      <c r="W32" s="18" t="str">
        <f>_xlfn.CONCAT(TEXT(A32,"MMM"),"-",MID(Q32,3,2))</f>
        <v>Jan-24</v>
      </c>
      <c r="X32" s="19">
        <f>IFERROR(IF(D32="Sell",(H32-P32),-(H32+P32)),0)</f>
        <v>8734.15</v>
      </c>
      <c r="Y32" s="19">
        <f>X32/1000</f>
        <v>8.7341499999999996</v>
      </c>
    </row>
    <row r="33" spans="1:25" x14ac:dyDescent="0.25">
      <c r="A33" s="1">
        <v>45308</v>
      </c>
      <c r="B33" t="s">
        <v>870</v>
      </c>
      <c r="C33" t="s">
        <v>17</v>
      </c>
      <c r="D33" t="s">
        <v>18</v>
      </c>
      <c r="E33">
        <v>900</v>
      </c>
      <c r="F33">
        <v>0</v>
      </c>
      <c r="G33">
        <v>16.149999999999999</v>
      </c>
      <c r="H33">
        <v>14535</v>
      </c>
      <c r="I33" t="s">
        <v>872</v>
      </c>
      <c r="J33">
        <v>8.9499999999999993</v>
      </c>
      <c r="K33">
        <v>7.34</v>
      </c>
      <c r="L33">
        <v>0</v>
      </c>
      <c r="M33">
        <v>0.01</v>
      </c>
      <c r="N33">
        <v>1200</v>
      </c>
      <c r="O33">
        <v>217.32</v>
      </c>
      <c r="P33">
        <v>1433.62</v>
      </c>
      <c r="Q33" s="18">
        <f>YEAR(A33)</f>
        <v>2024</v>
      </c>
      <c r="R33" s="18">
        <f>MONTH(A33)</f>
        <v>1</v>
      </c>
      <c r="S33" s="18">
        <f>IF(R33&lt;4,Q33-1,Q33)</f>
        <v>2023</v>
      </c>
      <c r="T33" s="18">
        <f>IF(R33&lt;4,R33+9,R33-3)</f>
        <v>10</v>
      </c>
      <c r="U33" s="18">
        <f>IF(LEN(T33)=1,_xlfn.CONCAT(0,T33),T33)</f>
        <v>10</v>
      </c>
      <c r="V33" s="18" t="str">
        <f>_xlfn.CONCAT(S33,U33)</f>
        <v>202310</v>
      </c>
      <c r="W33" s="18" t="str">
        <f>_xlfn.CONCAT(TEXT(A33,"MMM"),"-",MID(Q33,3,2))</f>
        <v>Jan-24</v>
      </c>
      <c r="X33" s="19">
        <f>IFERROR(IF(D33="Sell",(H33-P33),-(H33+P33)),0)</f>
        <v>13101.380000000001</v>
      </c>
      <c r="Y33" s="19">
        <f>X33/1000</f>
        <v>13.101380000000001</v>
      </c>
    </row>
    <row r="34" spans="1:25" x14ac:dyDescent="0.25">
      <c r="A34" s="1">
        <v>45308</v>
      </c>
      <c r="B34" t="s">
        <v>870</v>
      </c>
      <c r="C34" t="s">
        <v>17</v>
      </c>
      <c r="D34" t="s">
        <v>22</v>
      </c>
      <c r="E34">
        <v>300</v>
      </c>
      <c r="F34">
        <v>0</v>
      </c>
      <c r="G34">
        <v>31.75</v>
      </c>
      <c r="H34">
        <v>9525</v>
      </c>
      <c r="I34" t="s">
        <v>873</v>
      </c>
      <c r="J34">
        <v>0</v>
      </c>
      <c r="K34">
        <v>4.8</v>
      </c>
      <c r="L34">
        <v>0</v>
      </c>
      <c r="M34">
        <v>0</v>
      </c>
      <c r="N34">
        <v>400</v>
      </c>
      <c r="O34">
        <v>72.86</v>
      </c>
      <c r="P34">
        <v>477.66</v>
      </c>
      <c r="Q34" s="18">
        <f>YEAR(A34)</f>
        <v>2024</v>
      </c>
      <c r="R34" s="18">
        <f>MONTH(A34)</f>
        <v>1</v>
      </c>
      <c r="S34" s="18">
        <f>IF(R34&lt;4,Q34-1,Q34)</f>
        <v>2023</v>
      </c>
      <c r="T34" s="18">
        <f>IF(R34&lt;4,R34+9,R34-3)</f>
        <v>10</v>
      </c>
      <c r="U34" s="18">
        <f>IF(LEN(T34)=1,_xlfn.CONCAT(0,T34),T34)</f>
        <v>10</v>
      </c>
      <c r="V34" s="18" t="str">
        <f>_xlfn.CONCAT(S34,U34)</f>
        <v>202310</v>
      </c>
      <c r="W34" s="18" t="str">
        <f>_xlfn.CONCAT(TEXT(A34,"MMM"),"-",MID(Q34,3,2))</f>
        <v>Jan-24</v>
      </c>
      <c r="X34" s="19">
        <f>IFERROR(IF(D34="Sell",(H34-P34),-(H34+P34)),0)</f>
        <v>-10002.66</v>
      </c>
      <c r="Y34" s="19">
        <f>X34/1000</f>
        <v>-10.002660000000001</v>
      </c>
    </row>
    <row r="35" spans="1:25" x14ac:dyDescent="0.25">
      <c r="A35" s="1">
        <v>45308</v>
      </c>
      <c r="B35" t="s">
        <v>870</v>
      </c>
      <c r="C35" t="s">
        <v>17</v>
      </c>
      <c r="D35" t="s">
        <v>22</v>
      </c>
      <c r="E35">
        <v>300</v>
      </c>
      <c r="F35">
        <v>0</v>
      </c>
      <c r="G35">
        <v>40.25</v>
      </c>
      <c r="H35">
        <v>12075</v>
      </c>
      <c r="I35" t="s">
        <v>874</v>
      </c>
      <c r="J35">
        <v>0</v>
      </c>
      <c r="K35">
        <v>6.08</v>
      </c>
      <c r="L35">
        <v>0</v>
      </c>
      <c r="M35">
        <v>0</v>
      </c>
      <c r="N35">
        <v>400</v>
      </c>
      <c r="O35">
        <v>73.099999999999994</v>
      </c>
      <c r="P35">
        <v>479.18</v>
      </c>
      <c r="Q35" s="18">
        <f>YEAR(A35)</f>
        <v>2024</v>
      </c>
      <c r="R35" s="18">
        <f>MONTH(A35)</f>
        <v>1</v>
      </c>
      <c r="S35" s="18">
        <f>IF(R35&lt;4,Q35-1,Q35)</f>
        <v>2023</v>
      </c>
      <c r="T35" s="18">
        <f>IF(R35&lt;4,R35+9,R35-3)</f>
        <v>10</v>
      </c>
      <c r="U35" s="18">
        <f>IF(LEN(T35)=1,_xlfn.CONCAT(0,T35),T35)</f>
        <v>10</v>
      </c>
      <c r="V35" s="18" t="str">
        <f>_xlfn.CONCAT(S35,U35)</f>
        <v>202310</v>
      </c>
      <c r="W35" s="18" t="str">
        <f>_xlfn.CONCAT(TEXT(A35,"MMM"),"-",MID(Q35,3,2))</f>
        <v>Jan-24</v>
      </c>
      <c r="X35" s="19">
        <f>IFERROR(IF(D35="Sell",(H35-P35),-(H35+P35)),0)</f>
        <v>-12554.18</v>
      </c>
      <c r="Y35" s="19">
        <f>X35/1000</f>
        <v>-12.554180000000001</v>
      </c>
    </row>
    <row r="36" spans="1:25" x14ac:dyDescent="0.25">
      <c r="A36" s="1">
        <v>45308</v>
      </c>
      <c r="B36" t="s">
        <v>870</v>
      </c>
      <c r="C36" t="s">
        <v>17</v>
      </c>
      <c r="D36" t="s">
        <v>22</v>
      </c>
      <c r="E36">
        <v>300</v>
      </c>
      <c r="F36">
        <v>0</v>
      </c>
      <c r="G36">
        <v>49.15</v>
      </c>
      <c r="H36">
        <v>14745</v>
      </c>
      <c r="I36" t="s">
        <v>875</v>
      </c>
      <c r="J36">
        <v>0</v>
      </c>
      <c r="K36">
        <v>7.45</v>
      </c>
      <c r="L36">
        <v>2</v>
      </c>
      <c r="M36">
        <v>0.01</v>
      </c>
      <c r="N36">
        <v>400</v>
      </c>
      <c r="O36">
        <v>73.34</v>
      </c>
      <c r="P36">
        <v>482.8</v>
      </c>
      <c r="Q36" s="18">
        <f>YEAR(A36)</f>
        <v>2024</v>
      </c>
      <c r="R36" s="18">
        <f>MONTH(A36)</f>
        <v>1</v>
      </c>
      <c r="S36" s="18">
        <f>IF(R36&lt;4,Q36-1,Q36)</f>
        <v>2023</v>
      </c>
      <c r="T36" s="18">
        <f>IF(R36&lt;4,R36+9,R36-3)</f>
        <v>10</v>
      </c>
      <c r="U36" s="18">
        <f>IF(LEN(T36)=1,_xlfn.CONCAT(0,T36),T36)</f>
        <v>10</v>
      </c>
      <c r="V36" s="18" t="str">
        <f>_xlfn.CONCAT(S36,U36)</f>
        <v>202310</v>
      </c>
      <c r="W36" s="18" t="str">
        <f>_xlfn.CONCAT(TEXT(A36,"MMM"),"-",MID(Q36,3,2))</f>
        <v>Jan-24</v>
      </c>
      <c r="X36" s="19">
        <f>IFERROR(IF(D36="Sell",(H36-P36),-(H36+P36)),0)</f>
        <v>-15227.8</v>
      </c>
      <c r="Y36" s="19">
        <f>X36/1000</f>
        <v>-15.227799999999998</v>
      </c>
    </row>
    <row r="37" spans="1:25" x14ac:dyDescent="0.25">
      <c r="A37" s="1">
        <v>45308</v>
      </c>
      <c r="B37" t="s">
        <v>870</v>
      </c>
      <c r="C37" t="s">
        <v>17</v>
      </c>
      <c r="D37" t="s">
        <v>22</v>
      </c>
      <c r="E37">
        <v>150</v>
      </c>
      <c r="F37">
        <v>0</v>
      </c>
      <c r="G37">
        <v>43.45</v>
      </c>
      <c r="H37">
        <v>6517.5</v>
      </c>
      <c r="I37" t="s">
        <v>876</v>
      </c>
      <c r="J37">
        <v>0</v>
      </c>
      <c r="K37">
        <v>3.29</v>
      </c>
      <c r="L37">
        <v>0</v>
      </c>
      <c r="M37">
        <v>0.01</v>
      </c>
      <c r="N37">
        <v>200</v>
      </c>
      <c r="O37">
        <v>36.6</v>
      </c>
      <c r="P37">
        <v>239.9</v>
      </c>
      <c r="Q37" s="18">
        <f>YEAR(A37)</f>
        <v>2024</v>
      </c>
      <c r="R37" s="18">
        <f>MONTH(A37)</f>
        <v>1</v>
      </c>
      <c r="S37" s="18">
        <f>IF(R37&lt;4,Q37-1,Q37)</f>
        <v>2023</v>
      </c>
      <c r="T37" s="18">
        <f>IF(R37&lt;4,R37+9,R37-3)</f>
        <v>10</v>
      </c>
      <c r="U37" s="18">
        <f>IF(LEN(T37)=1,_xlfn.CONCAT(0,T37),T37)</f>
        <v>10</v>
      </c>
      <c r="V37" s="18" t="str">
        <f>_xlfn.CONCAT(S37,U37)</f>
        <v>202310</v>
      </c>
      <c r="W37" s="18" t="str">
        <f>_xlfn.CONCAT(TEXT(A37,"MMM"),"-",MID(Q37,3,2))</f>
        <v>Jan-24</v>
      </c>
      <c r="X37" s="19">
        <f>IFERROR(IF(D37="Sell",(H37-P37),-(H37+P37)),0)</f>
        <v>-6757.4</v>
      </c>
      <c r="Y37" s="19">
        <f>X37/1000</f>
        <v>-6.7573999999999996</v>
      </c>
    </row>
    <row r="38" spans="1:25" x14ac:dyDescent="0.25">
      <c r="A38" s="1">
        <v>45308</v>
      </c>
      <c r="B38" t="s">
        <v>870</v>
      </c>
      <c r="C38" t="s">
        <v>17</v>
      </c>
      <c r="D38" t="s">
        <v>22</v>
      </c>
      <c r="E38">
        <v>150</v>
      </c>
      <c r="F38">
        <v>0</v>
      </c>
      <c r="G38">
        <v>52.55</v>
      </c>
      <c r="H38">
        <v>7882.5</v>
      </c>
      <c r="I38" t="s">
        <v>877</v>
      </c>
      <c r="J38">
        <v>0</v>
      </c>
      <c r="K38">
        <v>3.98</v>
      </c>
      <c r="L38">
        <v>0</v>
      </c>
      <c r="M38">
        <v>0.01</v>
      </c>
      <c r="N38">
        <v>200</v>
      </c>
      <c r="O38">
        <v>36.72</v>
      </c>
      <c r="P38">
        <v>240.71</v>
      </c>
      <c r="Q38" s="18">
        <f>YEAR(A38)</f>
        <v>2024</v>
      </c>
      <c r="R38" s="18">
        <f>MONTH(A38)</f>
        <v>1</v>
      </c>
      <c r="S38" s="18">
        <f>IF(R38&lt;4,Q38-1,Q38)</f>
        <v>2023</v>
      </c>
      <c r="T38" s="18">
        <f>IF(R38&lt;4,R38+9,R38-3)</f>
        <v>10</v>
      </c>
      <c r="U38" s="18">
        <f>IF(LEN(T38)=1,_xlfn.CONCAT(0,T38),T38)</f>
        <v>10</v>
      </c>
      <c r="V38" s="18" t="str">
        <f>_xlfn.CONCAT(S38,U38)</f>
        <v>202310</v>
      </c>
      <c r="W38" s="18" t="str">
        <f>_xlfn.CONCAT(TEXT(A38,"MMM"),"-",MID(Q38,3,2))</f>
        <v>Jan-24</v>
      </c>
      <c r="X38" s="19">
        <f>IFERROR(IF(D38="Sell",(H38-P38),-(H38+P38)),0)</f>
        <v>-8123.21</v>
      </c>
      <c r="Y38" s="19">
        <f>X38/1000</f>
        <v>-8.1232100000000003</v>
      </c>
    </row>
    <row r="39" spans="1:25" x14ac:dyDescent="0.25">
      <c r="A39" s="1">
        <v>45308</v>
      </c>
      <c r="B39" t="s">
        <v>870</v>
      </c>
      <c r="C39" t="s">
        <v>17</v>
      </c>
      <c r="D39" t="s">
        <v>22</v>
      </c>
      <c r="E39">
        <v>150</v>
      </c>
      <c r="F39">
        <v>0</v>
      </c>
      <c r="G39">
        <v>54</v>
      </c>
      <c r="H39">
        <v>8100</v>
      </c>
      <c r="I39" t="s">
        <v>878</v>
      </c>
      <c r="J39">
        <v>0</v>
      </c>
      <c r="K39">
        <v>4.09</v>
      </c>
      <c r="L39">
        <v>0</v>
      </c>
      <c r="M39">
        <v>0.01</v>
      </c>
      <c r="N39">
        <v>200</v>
      </c>
      <c r="O39">
        <v>36.74</v>
      </c>
      <c r="P39">
        <v>240.84</v>
      </c>
      <c r="Q39" s="18">
        <f>YEAR(A39)</f>
        <v>2024</v>
      </c>
      <c r="R39" s="18">
        <f>MONTH(A39)</f>
        <v>1</v>
      </c>
      <c r="S39" s="18">
        <f>IF(R39&lt;4,Q39-1,Q39)</f>
        <v>2023</v>
      </c>
      <c r="T39" s="18">
        <f>IF(R39&lt;4,R39+9,R39-3)</f>
        <v>10</v>
      </c>
      <c r="U39" s="18">
        <f>IF(LEN(T39)=1,_xlfn.CONCAT(0,T39),T39)</f>
        <v>10</v>
      </c>
      <c r="V39" s="18" t="str">
        <f>_xlfn.CONCAT(S39,U39)</f>
        <v>202310</v>
      </c>
      <c r="W39" s="18" t="str">
        <f>_xlfn.CONCAT(TEXT(A39,"MMM"),"-",MID(Q39,3,2))</f>
        <v>Jan-24</v>
      </c>
      <c r="X39" s="19">
        <f>IFERROR(IF(D39="Sell",(H39-P39),-(H39+P39)),0)</f>
        <v>-8340.84</v>
      </c>
      <c r="Y39" s="19">
        <f>X39/1000</f>
        <v>-8.34084</v>
      </c>
    </row>
    <row r="40" spans="1:25" x14ac:dyDescent="0.25">
      <c r="A40" s="1">
        <v>45308</v>
      </c>
      <c r="B40" t="s">
        <v>870</v>
      </c>
      <c r="C40" t="s">
        <v>17</v>
      </c>
      <c r="D40" t="s">
        <v>22</v>
      </c>
      <c r="E40">
        <v>90</v>
      </c>
      <c r="F40">
        <v>0</v>
      </c>
      <c r="G40">
        <v>74</v>
      </c>
      <c r="H40">
        <v>6660</v>
      </c>
      <c r="I40" t="s">
        <v>879</v>
      </c>
      <c r="J40">
        <v>0</v>
      </c>
      <c r="K40">
        <v>3.36</v>
      </c>
      <c r="L40">
        <v>0</v>
      </c>
      <c r="M40">
        <v>0.01</v>
      </c>
      <c r="N40">
        <v>120</v>
      </c>
      <c r="O40">
        <v>22.2</v>
      </c>
      <c r="P40">
        <v>145.57</v>
      </c>
      <c r="Q40" s="18">
        <f>YEAR(A40)</f>
        <v>2024</v>
      </c>
      <c r="R40" s="18">
        <f>MONTH(A40)</f>
        <v>1</v>
      </c>
      <c r="S40" s="18">
        <f>IF(R40&lt;4,Q40-1,Q40)</f>
        <v>2023</v>
      </c>
      <c r="T40" s="18">
        <f>IF(R40&lt;4,R40+9,R40-3)</f>
        <v>10</v>
      </c>
      <c r="U40" s="18">
        <f>IF(LEN(T40)=1,_xlfn.CONCAT(0,T40),T40)</f>
        <v>10</v>
      </c>
      <c r="V40" s="18" t="str">
        <f>_xlfn.CONCAT(S40,U40)</f>
        <v>202310</v>
      </c>
      <c r="W40" s="18" t="str">
        <f>_xlfn.CONCAT(TEXT(A40,"MMM"),"-",MID(Q40,3,2))</f>
        <v>Jan-24</v>
      </c>
      <c r="X40" s="19">
        <f>IFERROR(IF(D40="Sell",(H40-P40),-(H40+P40)),0)</f>
        <v>-6805.57</v>
      </c>
      <c r="Y40" s="19">
        <f>X40/1000</f>
        <v>-6.8055699999999995</v>
      </c>
    </row>
    <row r="41" spans="1:25" x14ac:dyDescent="0.25">
      <c r="A41" s="1">
        <v>45308</v>
      </c>
      <c r="B41" t="s">
        <v>870</v>
      </c>
      <c r="C41" t="s">
        <v>17</v>
      </c>
      <c r="D41" t="s">
        <v>22</v>
      </c>
      <c r="E41">
        <v>15</v>
      </c>
      <c r="F41">
        <v>0</v>
      </c>
      <c r="G41">
        <v>77.75</v>
      </c>
      <c r="H41">
        <v>1166.25</v>
      </c>
      <c r="I41" t="s">
        <v>880</v>
      </c>
      <c r="J41">
        <v>0</v>
      </c>
      <c r="K41">
        <v>0.59</v>
      </c>
      <c r="L41">
        <v>0</v>
      </c>
      <c r="M41">
        <v>0</v>
      </c>
      <c r="N41">
        <v>20</v>
      </c>
      <c r="O41">
        <v>3.7</v>
      </c>
      <c r="P41">
        <v>24.29</v>
      </c>
      <c r="Q41" s="18">
        <f>YEAR(A41)</f>
        <v>2024</v>
      </c>
      <c r="R41" s="18">
        <f>MONTH(A41)</f>
        <v>1</v>
      </c>
      <c r="S41" s="18">
        <f>IF(R41&lt;4,Q41-1,Q41)</f>
        <v>2023</v>
      </c>
      <c r="T41" s="18">
        <f>IF(R41&lt;4,R41+9,R41-3)</f>
        <v>10</v>
      </c>
      <c r="U41" s="18">
        <f>IF(LEN(T41)=1,_xlfn.CONCAT(0,T41),T41)</f>
        <v>10</v>
      </c>
      <c r="V41" s="18" t="str">
        <f>_xlfn.CONCAT(S41,U41)</f>
        <v>202310</v>
      </c>
      <c r="W41" s="18" t="str">
        <f>_xlfn.CONCAT(TEXT(A41,"MMM"),"-",MID(Q41,3,2))</f>
        <v>Jan-24</v>
      </c>
      <c r="X41" s="19">
        <f>IFERROR(IF(D41="Sell",(H41-P41),-(H41+P41)),0)</f>
        <v>-1190.54</v>
      </c>
      <c r="Y41" s="19">
        <f>X41/1000</f>
        <v>-1.1905399999999999</v>
      </c>
    </row>
    <row r="42" spans="1:25" x14ac:dyDescent="0.25">
      <c r="A42" s="1">
        <v>45308</v>
      </c>
      <c r="B42" t="s">
        <v>870</v>
      </c>
      <c r="C42" t="s">
        <v>17</v>
      </c>
      <c r="D42" t="s">
        <v>22</v>
      </c>
      <c r="E42">
        <v>15</v>
      </c>
      <c r="F42">
        <v>0</v>
      </c>
      <c r="G42">
        <v>79</v>
      </c>
      <c r="H42">
        <v>1185</v>
      </c>
      <c r="I42" t="s">
        <v>881</v>
      </c>
      <c r="J42">
        <v>0</v>
      </c>
      <c r="K42">
        <v>0.6</v>
      </c>
      <c r="L42">
        <v>0</v>
      </c>
      <c r="M42">
        <v>0</v>
      </c>
      <c r="N42">
        <v>20</v>
      </c>
      <c r="O42">
        <v>3.7</v>
      </c>
      <c r="P42">
        <v>24.3</v>
      </c>
      <c r="Q42" s="18">
        <f>YEAR(A42)</f>
        <v>2024</v>
      </c>
      <c r="R42" s="18">
        <f>MONTH(A42)</f>
        <v>1</v>
      </c>
      <c r="S42" s="18">
        <f>IF(R42&lt;4,Q42-1,Q42)</f>
        <v>2023</v>
      </c>
      <c r="T42" s="18">
        <f>IF(R42&lt;4,R42+9,R42-3)</f>
        <v>10</v>
      </c>
      <c r="U42" s="18">
        <f>IF(LEN(T42)=1,_xlfn.CONCAT(0,T42),T42)</f>
        <v>10</v>
      </c>
      <c r="V42" s="18" t="str">
        <f>_xlfn.CONCAT(S42,U42)</f>
        <v>202310</v>
      </c>
      <c r="W42" s="18" t="str">
        <f>_xlfn.CONCAT(TEXT(A42,"MMM"),"-",MID(Q42,3,2))</f>
        <v>Jan-24</v>
      </c>
      <c r="X42" s="19">
        <f>IFERROR(IF(D42="Sell",(H42-P42),-(H42+P42)),0)</f>
        <v>-1209.3</v>
      </c>
      <c r="Y42" s="19">
        <f>X42/1000</f>
        <v>-1.2093</v>
      </c>
    </row>
    <row r="43" spans="1:25" x14ac:dyDescent="0.25">
      <c r="A43" s="1">
        <v>45308</v>
      </c>
      <c r="B43" t="s">
        <v>870</v>
      </c>
      <c r="C43" t="s">
        <v>17</v>
      </c>
      <c r="D43" t="s">
        <v>22</v>
      </c>
      <c r="E43">
        <v>15</v>
      </c>
      <c r="F43">
        <v>0</v>
      </c>
      <c r="G43">
        <v>80.650000000000006</v>
      </c>
      <c r="H43">
        <v>1209.75</v>
      </c>
      <c r="I43" t="s">
        <v>882</v>
      </c>
      <c r="J43">
        <v>0</v>
      </c>
      <c r="K43">
        <v>0.61</v>
      </c>
      <c r="L43">
        <v>0</v>
      </c>
      <c r="M43">
        <v>0</v>
      </c>
      <c r="N43">
        <v>20</v>
      </c>
      <c r="O43">
        <v>3.7</v>
      </c>
      <c r="P43">
        <v>24.31</v>
      </c>
      <c r="Q43" s="18">
        <f>YEAR(A43)</f>
        <v>2024</v>
      </c>
      <c r="R43" s="18">
        <f>MONTH(A43)</f>
        <v>1</v>
      </c>
      <c r="S43" s="18">
        <f>IF(R43&lt;4,Q43-1,Q43)</f>
        <v>2023</v>
      </c>
      <c r="T43" s="18">
        <f>IF(R43&lt;4,R43+9,R43-3)</f>
        <v>10</v>
      </c>
      <c r="U43" s="18">
        <f>IF(LEN(T43)=1,_xlfn.CONCAT(0,T43),T43)</f>
        <v>10</v>
      </c>
      <c r="V43" s="18" t="str">
        <f>_xlfn.CONCAT(S43,U43)</f>
        <v>202310</v>
      </c>
      <c r="W43" s="18" t="str">
        <f>_xlfn.CONCAT(TEXT(A43,"MMM"),"-",MID(Q43,3,2))</f>
        <v>Jan-24</v>
      </c>
      <c r="X43" s="19">
        <f>IFERROR(IF(D43="Sell",(H43-P43),-(H43+P43)),0)</f>
        <v>-1234.06</v>
      </c>
      <c r="Y43" s="19">
        <f>X43/1000</f>
        <v>-1.2340599999999999</v>
      </c>
    </row>
    <row r="44" spans="1:25" x14ac:dyDescent="0.25">
      <c r="A44" s="1">
        <v>45308</v>
      </c>
      <c r="B44" t="s">
        <v>870</v>
      </c>
      <c r="C44" t="s">
        <v>17</v>
      </c>
      <c r="D44" t="s">
        <v>22</v>
      </c>
      <c r="E44">
        <v>15</v>
      </c>
      <c r="F44">
        <v>0</v>
      </c>
      <c r="G44">
        <v>87.6</v>
      </c>
      <c r="H44">
        <v>1314</v>
      </c>
      <c r="I44" t="s">
        <v>883</v>
      </c>
      <c r="J44">
        <v>0</v>
      </c>
      <c r="K44">
        <v>0.66</v>
      </c>
      <c r="L44">
        <v>0</v>
      </c>
      <c r="M44">
        <v>0</v>
      </c>
      <c r="N44">
        <v>20</v>
      </c>
      <c r="O44">
        <v>3.72</v>
      </c>
      <c r="P44">
        <v>24.38</v>
      </c>
      <c r="Q44" s="18">
        <f>YEAR(A44)</f>
        <v>2024</v>
      </c>
      <c r="R44" s="18">
        <f>MONTH(A44)</f>
        <v>1</v>
      </c>
      <c r="S44" s="18">
        <f>IF(R44&lt;4,Q44-1,Q44)</f>
        <v>2023</v>
      </c>
      <c r="T44" s="18">
        <f>IF(R44&lt;4,R44+9,R44-3)</f>
        <v>10</v>
      </c>
      <c r="U44" s="18">
        <f>IF(LEN(T44)=1,_xlfn.CONCAT(0,T44),T44)</f>
        <v>10</v>
      </c>
      <c r="V44" s="18" t="str">
        <f>_xlfn.CONCAT(S44,U44)</f>
        <v>202310</v>
      </c>
      <c r="W44" s="18" t="str">
        <f>_xlfn.CONCAT(TEXT(A44,"MMM"),"-",MID(Q44,3,2))</f>
        <v>Jan-24</v>
      </c>
      <c r="X44" s="19">
        <f>IFERROR(IF(D44="Sell",(H44-P44),-(H44+P44)),0)</f>
        <v>-1338.38</v>
      </c>
      <c r="Y44" s="19">
        <f>X44/1000</f>
        <v>-1.3383800000000001</v>
      </c>
    </row>
    <row r="45" spans="1:25" x14ac:dyDescent="0.25">
      <c r="A45" s="1">
        <v>45309</v>
      </c>
      <c r="B45" t="s">
        <v>848</v>
      </c>
      <c r="C45" t="s">
        <v>17</v>
      </c>
      <c r="D45" t="s">
        <v>18</v>
      </c>
      <c r="E45">
        <v>50</v>
      </c>
      <c r="F45">
        <v>0</v>
      </c>
      <c r="G45">
        <v>28.55</v>
      </c>
      <c r="H45">
        <v>1427.5</v>
      </c>
      <c r="I45" t="s">
        <v>849</v>
      </c>
      <c r="J45">
        <v>0.89</v>
      </c>
      <c r="K45">
        <v>0.72</v>
      </c>
      <c r="L45">
        <v>0</v>
      </c>
      <c r="M45">
        <v>0</v>
      </c>
      <c r="N45">
        <v>20</v>
      </c>
      <c r="O45">
        <v>3.72</v>
      </c>
      <c r="P45">
        <v>25.33</v>
      </c>
      <c r="Q45" s="18">
        <f>YEAR(A45)</f>
        <v>2024</v>
      </c>
      <c r="R45" s="18">
        <f>MONTH(A45)</f>
        <v>1</v>
      </c>
      <c r="S45" s="18">
        <f>IF(R45&lt;4,Q45-1,Q45)</f>
        <v>2023</v>
      </c>
      <c r="T45" s="18">
        <f>IF(R45&lt;4,R45+9,R45-3)</f>
        <v>10</v>
      </c>
      <c r="U45" s="18">
        <f>IF(LEN(T45)=1,_xlfn.CONCAT(0,T45),T45)</f>
        <v>10</v>
      </c>
      <c r="V45" s="18" t="str">
        <f>_xlfn.CONCAT(S45,U45)</f>
        <v>202310</v>
      </c>
      <c r="W45" s="18" t="str">
        <f>_xlfn.CONCAT(TEXT(A45,"MMM"),"-",MID(Q45,3,2))</f>
        <v>Jan-24</v>
      </c>
      <c r="X45" s="19">
        <f>IFERROR(IF(D45="Sell",(H45-P45),-(H45+P45)),0)</f>
        <v>1402.17</v>
      </c>
      <c r="Y45" s="19">
        <f>X45/1000</f>
        <v>1.4021700000000001</v>
      </c>
    </row>
    <row r="46" spans="1:25" x14ac:dyDescent="0.25">
      <c r="A46" s="1">
        <v>45309</v>
      </c>
      <c r="B46" t="s">
        <v>848</v>
      </c>
      <c r="C46" t="s">
        <v>17</v>
      </c>
      <c r="D46" t="s">
        <v>22</v>
      </c>
      <c r="E46">
        <v>50</v>
      </c>
      <c r="F46">
        <v>0</v>
      </c>
      <c r="G46">
        <v>16.649999999999999</v>
      </c>
      <c r="H46">
        <v>832.5</v>
      </c>
      <c r="I46" t="s">
        <v>850</v>
      </c>
      <c r="J46">
        <v>0</v>
      </c>
      <c r="K46">
        <v>0.42</v>
      </c>
      <c r="L46">
        <v>0</v>
      </c>
      <c r="M46">
        <v>0</v>
      </c>
      <c r="N46">
        <v>20</v>
      </c>
      <c r="O46">
        <v>3.68</v>
      </c>
      <c r="P46">
        <v>24.1</v>
      </c>
      <c r="Q46" s="18">
        <f>YEAR(A46)</f>
        <v>2024</v>
      </c>
      <c r="R46" s="18">
        <f>MONTH(A46)</f>
        <v>1</v>
      </c>
      <c r="S46" s="18">
        <f>IF(R46&lt;4,Q46-1,Q46)</f>
        <v>2023</v>
      </c>
      <c r="T46" s="18">
        <f>IF(R46&lt;4,R46+9,R46-3)</f>
        <v>10</v>
      </c>
      <c r="U46" s="18">
        <f>IF(LEN(T46)=1,_xlfn.CONCAT(0,T46),T46)</f>
        <v>10</v>
      </c>
      <c r="V46" s="18" t="str">
        <f>_xlfn.CONCAT(S46,U46)</f>
        <v>202310</v>
      </c>
      <c r="W46" s="18" t="str">
        <f>_xlfn.CONCAT(TEXT(A46,"MMM"),"-",MID(Q46,3,2))</f>
        <v>Jan-24</v>
      </c>
      <c r="X46" s="19">
        <f>IFERROR(IF(D46="Sell",(H46-P46),-(H46+P46)),0)</f>
        <v>-856.6</v>
      </c>
      <c r="Y46" s="19">
        <f>X46/1000</f>
        <v>-0.85660000000000003</v>
      </c>
    </row>
    <row r="47" spans="1:25" x14ac:dyDescent="0.25">
      <c r="A47" s="1">
        <v>45309</v>
      </c>
      <c r="B47" t="s">
        <v>848</v>
      </c>
      <c r="C47" t="s">
        <v>17</v>
      </c>
      <c r="D47" t="s">
        <v>18</v>
      </c>
      <c r="E47">
        <v>100</v>
      </c>
      <c r="F47">
        <v>0</v>
      </c>
      <c r="G47">
        <v>21.6</v>
      </c>
      <c r="H47">
        <v>2160</v>
      </c>
      <c r="I47" t="s">
        <v>851</v>
      </c>
      <c r="J47">
        <v>1.35</v>
      </c>
      <c r="K47">
        <v>1.0900000000000001</v>
      </c>
      <c r="L47">
        <v>0</v>
      </c>
      <c r="M47">
        <v>0</v>
      </c>
      <c r="N47">
        <v>40</v>
      </c>
      <c r="O47">
        <v>7.4</v>
      </c>
      <c r="P47">
        <v>49.84</v>
      </c>
      <c r="Q47" s="18">
        <f>YEAR(A47)</f>
        <v>2024</v>
      </c>
      <c r="R47" s="18">
        <f>MONTH(A47)</f>
        <v>1</v>
      </c>
      <c r="S47" s="18">
        <f>IF(R47&lt;4,Q47-1,Q47)</f>
        <v>2023</v>
      </c>
      <c r="T47" s="18">
        <f>IF(R47&lt;4,R47+9,R47-3)</f>
        <v>10</v>
      </c>
      <c r="U47" s="18">
        <f>IF(LEN(T47)=1,_xlfn.CONCAT(0,T47),T47)</f>
        <v>10</v>
      </c>
      <c r="V47" s="18" t="str">
        <f>_xlfn.CONCAT(S47,U47)</f>
        <v>202310</v>
      </c>
      <c r="W47" s="18" t="str">
        <f>_xlfn.CONCAT(TEXT(A47,"MMM"),"-",MID(Q47,3,2))</f>
        <v>Jan-24</v>
      </c>
      <c r="X47" s="19">
        <f>IFERROR(IF(D47="Sell",(H47-P47),-(H47+P47)),0)</f>
        <v>2110.16</v>
      </c>
      <c r="Y47" s="19">
        <f>X47/1000</f>
        <v>2.11016</v>
      </c>
    </row>
    <row r="48" spans="1:25" x14ac:dyDescent="0.25">
      <c r="A48" s="1">
        <v>45309</v>
      </c>
      <c r="B48" t="s">
        <v>848</v>
      </c>
      <c r="C48" t="s">
        <v>17</v>
      </c>
      <c r="D48" t="s">
        <v>22</v>
      </c>
      <c r="E48">
        <v>100</v>
      </c>
      <c r="F48">
        <v>0</v>
      </c>
      <c r="G48">
        <v>10.8</v>
      </c>
      <c r="H48">
        <v>1080</v>
      </c>
      <c r="I48" t="s">
        <v>852</v>
      </c>
      <c r="J48">
        <v>0</v>
      </c>
      <c r="K48">
        <v>0.54</v>
      </c>
      <c r="L48">
        <v>0</v>
      </c>
      <c r="M48">
        <v>0</v>
      </c>
      <c r="N48">
        <v>40</v>
      </c>
      <c r="O48">
        <v>7.28</v>
      </c>
      <c r="P48">
        <v>47.82</v>
      </c>
      <c r="Q48" s="18">
        <f>YEAR(A48)</f>
        <v>2024</v>
      </c>
      <c r="R48" s="18">
        <f>MONTH(A48)</f>
        <v>1</v>
      </c>
      <c r="S48" s="18">
        <f>IF(R48&lt;4,Q48-1,Q48)</f>
        <v>2023</v>
      </c>
      <c r="T48" s="18">
        <f>IF(R48&lt;4,R48+9,R48-3)</f>
        <v>10</v>
      </c>
      <c r="U48" s="18">
        <f>IF(LEN(T48)=1,_xlfn.CONCAT(0,T48),T48)</f>
        <v>10</v>
      </c>
      <c r="V48" s="18" t="str">
        <f>_xlfn.CONCAT(S48,U48)</f>
        <v>202310</v>
      </c>
      <c r="W48" s="18" t="str">
        <f>_xlfn.CONCAT(TEXT(A48,"MMM"),"-",MID(Q48,3,2))</f>
        <v>Jan-24</v>
      </c>
      <c r="X48" s="19">
        <f>IFERROR(IF(D48="Sell",(H48-P48),-(H48+P48)),0)</f>
        <v>-1127.82</v>
      </c>
      <c r="Y48" s="19">
        <f>X48/1000</f>
        <v>-1.12782</v>
      </c>
    </row>
    <row r="49" spans="1:25" x14ac:dyDescent="0.25">
      <c r="A49" s="1">
        <v>45309</v>
      </c>
      <c r="B49" t="s">
        <v>853</v>
      </c>
      <c r="C49" t="s">
        <v>17</v>
      </c>
      <c r="D49" t="s">
        <v>18</v>
      </c>
      <c r="E49">
        <v>50</v>
      </c>
      <c r="F49">
        <v>0</v>
      </c>
      <c r="G49">
        <v>2.5</v>
      </c>
      <c r="H49">
        <v>125</v>
      </c>
      <c r="I49" t="s">
        <v>854</v>
      </c>
      <c r="J49">
        <v>0.08</v>
      </c>
      <c r="K49">
        <v>0.06</v>
      </c>
      <c r="L49">
        <v>0</v>
      </c>
      <c r="M49">
        <v>0</v>
      </c>
      <c r="N49">
        <v>20</v>
      </c>
      <c r="O49">
        <v>3.62</v>
      </c>
      <c r="P49">
        <v>23.76</v>
      </c>
      <c r="Q49" s="18">
        <f>YEAR(A49)</f>
        <v>2024</v>
      </c>
      <c r="R49" s="18">
        <f>MONTH(A49)</f>
        <v>1</v>
      </c>
      <c r="S49" s="18">
        <f>IF(R49&lt;4,Q49-1,Q49)</f>
        <v>2023</v>
      </c>
      <c r="T49" s="18">
        <f>IF(R49&lt;4,R49+9,R49-3)</f>
        <v>10</v>
      </c>
      <c r="U49" s="18">
        <f>IF(LEN(T49)=1,_xlfn.CONCAT(0,T49),T49)</f>
        <v>10</v>
      </c>
      <c r="V49" s="18" t="str">
        <f>_xlfn.CONCAT(S49,U49)</f>
        <v>202310</v>
      </c>
      <c r="W49" s="18" t="str">
        <f>_xlfn.CONCAT(TEXT(A49,"MMM"),"-",MID(Q49,3,2))</f>
        <v>Jan-24</v>
      </c>
      <c r="X49" s="19">
        <f>IFERROR(IF(D49="Sell",(H49-P49),-(H49+P49)),0)</f>
        <v>101.24</v>
      </c>
      <c r="Y49" s="19">
        <f>X49/1000</f>
        <v>0.10124</v>
      </c>
    </row>
    <row r="50" spans="1:25" x14ac:dyDescent="0.25">
      <c r="A50" s="1">
        <v>45309</v>
      </c>
      <c r="B50" t="s">
        <v>853</v>
      </c>
      <c r="C50" t="s">
        <v>17</v>
      </c>
      <c r="D50" t="s">
        <v>18</v>
      </c>
      <c r="E50">
        <v>50</v>
      </c>
      <c r="F50">
        <v>0</v>
      </c>
      <c r="G50">
        <v>2.5</v>
      </c>
      <c r="H50">
        <v>125</v>
      </c>
      <c r="I50" t="s">
        <v>855</v>
      </c>
      <c r="J50">
        <v>0.08</v>
      </c>
      <c r="K50">
        <v>0.06</v>
      </c>
      <c r="L50">
        <v>0</v>
      </c>
      <c r="M50">
        <v>0</v>
      </c>
      <c r="N50">
        <v>20</v>
      </c>
      <c r="O50">
        <v>3.62</v>
      </c>
      <c r="P50">
        <v>23.76</v>
      </c>
      <c r="Q50" s="18">
        <f>YEAR(A50)</f>
        <v>2024</v>
      </c>
      <c r="R50" s="18">
        <f>MONTH(A50)</f>
        <v>1</v>
      </c>
      <c r="S50" s="18">
        <f>IF(R50&lt;4,Q50-1,Q50)</f>
        <v>2023</v>
      </c>
      <c r="T50" s="18">
        <f>IF(R50&lt;4,R50+9,R50-3)</f>
        <v>10</v>
      </c>
      <c r="U50" s="18">
        <f>IF(LEN(T50)=1,_xlfn.CONCAT(0,T50),T50)</f>
        <v>10</v>
      </c>
      <c r="V50" s="18" t="str">
        <f>_xlfn.CONCAT(S50,U50)</f>
        <v>202310</v>
      </c>
      <c r="W50" s="18" t="str">
        <f>_xlfn.CONCAT(TEXT(A50,"MMM"),"-",MID(Q50,3,2))</f>
        <v>Jan-24</v>
      </c>
      <c r="X50" s="19">
        <f>IFERROR(IF(D50="Sell",(H50-P50),-(H50+P50)),0)</f>
        <v>101.24</v>
      </c>
      <c r="Y50" s="19">
        <f>X50/1000</f>
        <v>0.10124</v>
      </c>
    </row>
    <row r="51" spans="1:25" x14ac:dyDescent="0.25">
      <c r="A51" s="1">
        <v>45309</v>
      </c>
      <c r="B51" t="s">
        <v>853</v>
      </c>
      <c r="C51" t="s">
        <v>17</v>
      </c>
      <c r="D51" t="s">
        <v>18</v>
      </c>
      <c r="E51">
        <v>50</v>
      </c>
      <c r="F51">
        <v>0</v>
      </c>
      <c r="G51">
        <v>2.7</v>
      </c>
      <c r="H51">
        <v>135</v>
      </c>
      <c r="I51" t="s">
        <v>856</v>
      </c>
      <c r="J51">
        <v>0.08</v>
      </c>
      <c r="K51">
        <v>7.0000000000000007E-2</v>
      </c>
      <c r="L51">
        <v>0</v>
      </c>
      <c r="M51">
        <v>0</v>
      </c>
      <c r="N51">
        <v>20</v>
      </c>
      <c r="O51">
        <v>3.62</v>
      </c>
      <c r="P51">
        <v>23.77</v>
      </c>
      <c r="Q51" s="18">
        <f>YEAR(A51)</f>
        <v>2024</v>
      </c>
      <c r="R51" s="18">
        <f>MONTH(A51)</f>
        <v>1</v>
      </c>
      <c r="S51" s="18">
        <f>IF(R51&lt;4,Q51-1,Q51)</f>
        <v>2023</v>
      </c>
      <c r="T51" s="18">
        <f>IF(R51&lt;4,R51+9,R51-3)</f>
        <v>10</v>
      </c>
      <c r="U51" s="18">
        <f>IF(LEN(T51)=1,_xlfn.CONCAT(0,T51),T51)</f>
        <v>10</v>
      </c>
      <c r="V51" s="18" t="str">
        <f>_xlfn.CONCAT(S51,U51)</f>
        <v>202310</v>
      </c>
      <c r="W51" s="18" t="str">
        <f>_xlfn.CONCAT(TEXT(A51,"MMM"),"-",MID(Q51,3,2))</f>
        <v>Jan-24</v>
      </c>
      <c r="X51" s="19">
        <f>IFERROR(IF(D51="Sell",(H51-P51),-(H51+P51)),0)</f>
        <v>111.23</v>
      </c>
      <c r="Y51" s="19">
        <f>X51/1000</f>
        <v>0.11123000000000001</v>
      </c>
    </row>
    <row r="52" spans="1:25" x14ac:dyDescent="0.25">
      <c r="A52" s="1">
        <v>45309</v>
      </c>
      <c r="B52" t="s">
        <v>853</v>
      </c>
      <c r="C52" t="s">
        <v>17</v>
      </c>
      <c r="D52" t="s">
        <v>18</v>
      </c>
      <c r="E52">
        <v>50</v>
      </c>
      <c r="F52">
        <v>0</v>
      </c>
      <c r="G52">
        <v>2.95</v>
      </c>
      <c r="H52">
        <v>147.5</v>
      </c>
      <c r="I52" t="s">
        <v>857</v>
      </c>
      <c r="J52">
        <v>0.18</v>
      </c>
      <c r="K52">
        <v>7.0000000000000007E-2</v>
      </c>
      <c r="L52">
        <v>0</v>
      </c>
      <c r="M52">
        <v>0</v>
      </c>
      <c r="N52">
        <v>20</v>
      </c>
      <c r="O52">
        <v>3.62</v>
      </c>
      <c r="P52">
        <v>23.87</v>
      </c>
      <c r="Q52" s="18">
        <f>YEAR(A52)</f>
        <v>2024</v>
      </c>
      <c r="R52" s="18">
        <f>MONTH(A52)</f>
        <v>1</v>
      </c>
      <c r="S52" s="18">
        <f>IF(R52&lt;4,Q52-1,Q52)</f>
        <v>2023</v>
      </c>
      <c r="T52" s="18">
        <f>IF(R52&lt;4,R52+9,R52-3)</f>
        <v>10</v>
      </c>
      <c r="U52" s="18">
        <f>IF(LEN(T52)=1,_xlfn.CONCAT(0,T52),T52)</f>
        <v>10</v>
      </c>
      <c r="V52" s="18" t="str">
        <f>_xlfn.CONCAT(S52,U52)</f>
        <v>202310</v>
      </c>
      <c r="W52" s="18" t="str">
        <f>_xlfn.CONCAT(TEXT(A52,"MMM"),"-",MID(Q52,3,2))</f>
        <v>Jan-24</v>
      </c>
      <c r="X52" s="19">
        <f>IFERROR(IF(D52="Sell",(H52-P52),-(H52+P52)),0)</f>
        <v>123.63</v>
      </c>
      <c r="Y52" s="19">
        <f>X52/1000</f>
        <v>0.12362999999999999</v>
      </c>
    </row>
    <row r="53" spans="1:25" x14ac:dyDescent="0.25">
      <c r="A53" s="1">
        <v>45309</v>
      </c>
      <c r="B53" t="s">
        <v>853</v>
      </c>
      <c r="C53" t="s">
        <v>17</v>
      </c>
      <c r="D53" t="s">
        <v>22</v>
      </c>
      <c r="E53">
        <v>50</v>
      </c>
      <c r="F53">
        <v>0</v>
      </c>
      <c r="G53">
        <v>3.2</v>
      </c>
      <c r="H53">
        <v>160</v>
      </c>
      <c r="I53" t="s">
        <v>858</v>
      </c>
      <c r="J53">
        <v>0</v>
      </c>
      <c r="K53">
        <v>0.08</v>
      </c>
      <c r="L53">
        <v>0</v>
      </c>
      <c r="M53">
        <v>0</v>
      </c>
      <c r="N53">
        <v>20</v>
      </c>
      <c r="O53">
        <v>3.62</v>
      </c>
      <c r="P53">
        <v>23.7</v>
      </c>
      <c r="Q53" s="18">
        <f>YEAR(A53)</f>
        <v>2024</v>
      </c>
      <c r="R53" s="18">
        <f>MONTH(A53)</f>
        <v>1</v>
      </c>
      <c r="S53" s="18">
        <f>IF(R53&lt;4,Q53-1,Q53)</f>
        <v>2023</v>
      </c>
      <c r="T53" s="18">
        <f>IF(R53&lt;4,R53+9,R53-3)</f>
        <v>10</v>
      </c>
      <c r="U53" s="18">
        <f>IF(LEN(T53)=1,_xlfn.CONCAT(0,T53),T53)</f>
        <v>10</v>
      </c>
      <c r="V53" s="18" t="str">
        <f>_xlfn.CONCAT(S53,U53)</f>
        <v>202310</v>
      </c>
      <c r="W53" s="18" t="str">
        <f>_xlfn.CONCAT(TEXT(A53,"MMM"),"-",MID(Q53,3,2))</f>
        <v>Jan-24</v>
      </c>
      <c r="X53" s="19">
        <f>IFERROR(IF(D53="Sell",(H53-P53),-(H53+P53)),0)</f>
        <v>-183.7</v>
      </c>
      <c r="Y53" s="19">
        <f>X53/1000</f>
        <v>-0.1837</v>
      </c>
    </row>
    <row r="54" spans="1:25" x14ac:dyDescent="0.25">
      <c r="A54" s="1">
        <v>45309</v>
      </c>
      <c r="B54" t="s">
        <v>853</v>
      </c>
      <c r="C54" t="s">
        <v>17</v>
      </c>
      <c r="D54" t="s">
        <v>22</v>
      </c>
      <c r="E54">
        <v>50</v>
      </c>
      <c r="F54">
        <v>0</v>
      </c>
      <c r="G54">
        <v>3.7</v>
      </c>
      <c r="H54">
        <v>185</v>
      </c>
      <c r="I54" t="s">
        <v>859</v>
      </c>
      <c r="J54">
        <v>0</v>
      </c>
      <c r="K54">
        <v>0.09</v>
      </c>
      <c r="L54">
        <v>0</v>
      </c>
      <c r="M54">
        <v>0</v>
      </c>
      <c r="N54">
        <v>20</v>
      </c>
      <c r="O54">
        <v>3.62</v>
      </c>
      <c r="P54">
        <v>23.71</v>
      </c>
      <c r="Q54" s="18">
        <f>YEAR(A54)</f>
        <v>2024</v>
      </c>
      <c r="R54" s="18">
        <f>MONTH(A54)</f>
        <v>1</v>
      </c>
      <c r="S54" s="18">
        <f>IF(R54&lt;4,Q54-1,Q54)</f>
        <v>2023</v>
      </c>
      <c r="T54" s="18">
        <f>IF(R54&lt;4,R54+9,R54-3)</f>
        <v>10</v>
      </c>
      <c r="U54" s="18">
        <f>IF(LEN(T54)=1,_xlfn.CONCAT(0,T54),T54)</f>
        <v>10</v>
      </c>
      <c r="V54" s="18" t="str">
        <f>_xlfn.CONCAT(S54,U54)</f>
        <v>202310</v>
      </c>
      <c r="W54" s="18" t="str">
        <f>_xlfn.CONCAT(TEXT(A54,"MMM"),"-",MID(Q54,3,2))</f>
        <v>Jan-24</v>
      </c>
      <c r="X54" s="19">
        <f>IFERROR(IF(D54="Sell",(H54-P54),-(H54+P54)),0)</f>
        <v>-208.71</v>
      </c>
      <c r="Y54" s="19">
        <f>X54/1000</f>
        <v>-0.20871000000000001</v>
      </c>
    </row>
    <row r="55" spans="1:25" x14ac:dyDescent="0.25">
      <c r="A55" s="1">
        <v>45309</v>
      </c>
      <c r="B55" t="s">
        <v>853</v>
      </c>
      <c r="C55" t="s">
        <v>17</v>
      </c>
      <c r="D55" t="s">
        <v>22</v>
      </c>
      <c r="E55">
        <v>50</v>
      </c>
      <c r="F55">
        <v>0</v>
      </c>
      <c r="G55">
        <v>5.75</v>
      </c>
      <c r="H55">
        <v>287.5</v>
      </c>
      <c r="I55" t="s">
        <v>860</v>
      </c>
      <c r="J55">
        <v>0</v>
      </c>
      <c r="K55">
        <v>0.15</v>
      </c>
      <c r="L55">
        <v>0</v>
      </c>
      <c r="M55">
        <v>0</v>
      </c>
      <c r="N55">
        <v>20</v>
      </c>
      <c r="O55">
        <v>3.62</v>
      </c>
      <c r="P55">
        <v>23.77</v>
      </c>
      <c r="Q55" s="18">
        <f>YEAR(A55)</f>
        <v>2024</v>
      </c>
      <c r="R55" s="18">
        <f>MONTH(A55)</f>
        <v>1</v>
      </c>
      <c r="S55" s="18">
        <f>IF(R55&lt;4,Q55-1,Q55)</f>
        <v>2023</v>
      </c>
      <c r="T55" s="18">
        <f>IF(R55&lt;4,R55+9,R55-3)</f>
        <v>10</v>
      </c>
      <c r="U55" s="18">
        <f>IF(LEN(T55)=1,_xlfn.CONCAT(0,T55),T55)</f>
        <v>10</v>
      </c>
      <c r="V55" s="18" t="str">
        <f>_xlfn.CONCAT(S55,U55)</f>
        <v>202310</v>
      </c>
      <c r="W55" s="18" t="str">
        <f>_xlfn.CONCAT(TEXT(A55,"MMM"),"-",MID(Q55,3,2))</f>
        <v>Jan-24</v>
      </c>
      <c r="X55" s="19">
        <f>IFERROR(IF(D55="Sell",(H55-P55),-(H55+P55)),0)</f>
        <v>-311.27</v>
      </c>
      <c r="Y55" s="19">
        <f>X55/1000</f>
        <v>-0.31126999999999999</v>
      </c>
    </row>
    <row r="56" spans="1:25" x14ac:dyDescent="0.25">
      <c r="A56" s="1">
        <v>45309</v>
      </c>
      <c r="B56" t="s">
        <v>853</v>
      </c>
      <c r="C56" t="s">
        <v>17</v>
      </c>
      <c r="D56" t="s">
        <v>22</v>
      </c>
      <c r="E56">
        <v>50</v>
      </c>
      <c r="F56">
        <v>0</v>
      </c>
      <c r="G56">
        <v>6.35</v>
      </c>
      <c r="H56">
        <v>317.5</v>
      </c>
      <c r="I56" t="s">
        <v>861</v>
      </c>
      <c r="J56">
        <v>0</v>
      </c>
      <c r="K56">
        <v>0.16</v>
      </c>
      <c r="L56">
        <v>0</v>
      </c>
      <c r="M56">
        <v>0</v>
      </c>
      <c r="N56">
        <v>20</v>
      </c>
      <c r="O56">
        <v>3.62</v>
      </c>
      <c r="P56">
        <v>23.78</v>
      </c>
      <c r="Q56" s="18">
        <f>YEAR(A56)</f>
        <v>2024</v>
      </c>
      <c r="R56" s="18">
        <f>MONTH(A56)</f>
        <v>1</v>
      </c>
      <c r="S56" s="18">
        <f>IF(R56&lt;4,Q56-1,Q56)</f>
        <v>2023</v>
      </c>
      <c r="T56" s="18">
        <f>IF(R56&lt;4,R56+9,R56-3)</f>
        <v>10</v>
      </c>
      <c r="U56" s="18">
        <f>IF(LEN(T56)=1,_xlfn.CONCAT(0,T56),T56)</f>
        <v>10</v>
      </c>
      <c r="V56" s="18" t="str">
        <f>_xlfn.CONCAT(S56,U56)</f>
        <v>202310</v>
      </c>
      <c r="W56" s="18" t="str">
        <f>_xlfn.CONCAT(TEXT(A56,"MMM"),"-",MID(Q56,3,2))</f>
        <v>Jan-24</v>
      </c>
      <c r="X56" s="19">
        <f>IFERROR(IF(D56="Sell",(H56-P56),-(H56+P56)),0)</f>
        <v>-341.28</v>
      </c>
      <c r="Y56" s="19">
        <f>X56/1000</f>
        <v>-0.34127999999999997</v>
      </c>
    </row>
    <row r="57" spans="1:25" x14ac:dyDescent="0.25">
      <c r="A57" s="1">
        <v>45309</v>
      </c>
      <c r="B57" t="s">
        <v>862</v>
      </c>
      <c r="C57" t="s">
        <v>17</v>
      </c>
      <c r="D57" t="s">
        <v>18</v>
      </c>
      <c r="E57">
        <v>50</v>
      </c>
      <c r="F57">
        <v>0</v>
      </c>
      <c r="G57">
        <v>35.65</v>
      </c>
      <c r="H57">
        <v>1782.5</v>
      </c>
      <c r="I57" t="s">
        <v>863</v>
      </c>
      <c r="J57">
        <v>1.1100000000000001</v>
      </c>
      <c r="K57">
        <v>0.9</v>
      </c>
      <c r="L57">
        <v>0</v>
      </c>
      <c r="M57">
        <v>0</v>
      </c>
      <c r="N57">
        <v>20</v>
      </c>
      <c r="O57">
        <v>3.76</v>
      </c>
      <c r="P57">
        <v>25.77</v>
      </c>
      <c r="Q57" s="18">
        <f>YEAR(A57)</f>
        <v>2024</v>
      </c>
      <c r="R57" s="18">
        <f>MONTH(A57)</f>
        <v>1</v>
      </c>
      <c r="S57" s="18">
        <f>IF(R57&lt;4,Q57-1,Q57)</f>
        <v>2023</v>
      </c>
      <c r="T57" s="18">
        <f>IF(R57&lt;4,R57+9,R57-3)</f>
        <v>10</v>
      </c>
      <c r="U57" s="18">
        <f>IF(LEN(T57)=1,_xlfn.CONCAT(0,T57),T57)</f>
        <v>10</v>
      </c>
      <c r="V57" s="18" t="str">
        <f>_xlfn.CONCAT(S57,U57)</f>
        <v>202310</v>
      </c>
      <c r="W57" s="18" t="str">
        <f>_xlfn.CONCAT(TEXT(A57,"MMM"),"-",MID(Q57,3,2))</f>
        <v>Jan-24</v>
      </c>
      <c r="X57" s="19">
        <f>IFERROR(IF(D57="Sell",(H57-P57),-(H57+P57)),0)</f>
        <v>1756.73</v>
      </c>
      <c r="Y57" s="19">
        <f>X57/1000</f>
        <v>1.7567300000000001</v>
      </c>
    </row>
    <row r="58" spans="1:25" x14ac:dyDescent="0.25">
      <c r="A58" s="1">
        <v>45309</v>
      </c>
      <c r="B58" t="s">
        <v>862</v>
      </c>
      <c r="C58" t="s">
        <v>17</v>
      </c>
      <c r="D58" t="s">
        <v>18</v>
      </c>
      <c r="E58">
        <v>50</v>
      </c>
      <c r="F58">
        <v>0</v>
      </c>
      <c r="G58">
        <v>35.65</v>
      </c>
      <c r="H58">
        <v>1782.5</v>
      </c>
      <c r="I58" t="s">
        <v>864</v>
      </c>
      <c r="J58">
        <v>1.1100000000000001</v>
      </c>
      <c r="K58">
        <v>0.9</v>
      </c>
      <c r="L58">
        <v>0</v>
      </c>
      <c r="M58">
        <v>0</v>
      </c>
      <c r="N58">
        <v>20</v>
      </c>
      <c r="O58">
        <v>3.76</v>
      </c>
      <c r="P58">
        <v>25.77</v>
      </c>
      <c r="Q58" s="18">
        <f>YEAR(A58)</f>
        <v>2024</v>
      </c>
      <c r="R58" s="18">
        <f>MONTH(A58)</f>
        <v>1</v>
      </c>
      <c r="S58" s="18">
        <f>IF(R58&lt;4,Q58-1,Q58)</f>
        <v>2023</v>
      </c>
      <c r="T58" s="18">
        <f>IF(R58&lt;4,R58+9,R58-3)</f>
        <v>10</v>
      </c>
      <c r="U58" s="18">
        <f>IF(LEN(T58)=1,_xlfn.CONCAT(0,T58),T58)</f>
        <v>10</v>
      </c>
      <c r="V58" s="18" t="str">
        <f>_xlfn.CONCAT(S58,U58)</f>
        <v>202310</v>
      </c>
      <c r="W58" s="18" t="str">
        <f>_xlfn.CONCAT(TEXT(A58,"MMM"),"-",MID(Q58,3,2))</f>
        <v>Jan-24</v>
      </c>
      <c r="X58" s="19">
        <f>IFERROR(IF(D58="Sell",(H58-P58),-(H58+P58)),0)</f>
        <v>1756.73</v>
      </c>
      <c r="Y58" s="19">
        <f>X58/1000</f>
        <v>1.7567300000000001</v>
      </c>
    </row>
    <row r="59" spans="1:25" x14ac:dyDescent="0.25">
      <c r="A59" s="1">
        <v>45309</v>
      </c>
      <c r="B59" t="s">
        <v>862</v>
      </c>
      <c r="C59" t="s">
        <v>17</v>
      </c>
      <c r="D59" t="s">
        <v>22</v>
      </c>
      <c r="E59">
        <v>50</v>
      </c>
      <c r="F59">
        <v>0</v>
      </c>
      <c r="G59">
        <v>10.75</v>
      </c>
      <c r="H59">
        <v>537.5</v>
      </c>
      <c r="I59" t="s">
        <v>865</v>
      </c>
      <c r="J59">
        <v>0</v>
      </c>
      <c r="K59">
        <v>0.27</v>
      </c>
      <c r="L59">
        <v>0</v>
      </c>
      <c r="M59">
        <v>0</v>
      </c>
      <c r="N59">
        <v>20</v>
      </c>
      <c r="O59">
        <v>3.64</v>
      </c>
      <c r="P59">
        <v>23.91</v>
      </c>
      <c r="Q59" s="18">
        <f>YEAR(A59)</f>
        <v>2024</v>
      </c>
      <c r="R59" s="18">
        <f>MONTH(A59)</f>
        <v>1</v>
      </c>
      <c r="S59" s="18">
        <f>IF(R59&lt;4,Q59-1,Q59)</f>
        <v>2023</v>
      </c>
      <c r="T59" s="18">
        <f>IF(R59&lt;4,R59+9,R59-3)</f>
        <v>10</v>
      </c>
      <c r="U59" s="18">
        <f>IF(LEN(T59)=1,_xlfn.CONCAT(0,T59),T59)</f>
        <v>10</v>
      </c>
      <c r="V59" s="18" t="str">
        <f>_xlfn.CONCAT(S59,U59)</f>
        <v>202310</v>
      </c>
      <c r="W59" s="18" t="str">
        <f>_xlfn.CONCAT(TEXT(A59,"MMM"),"-",MID(Q59,3,2))</f>
        <v>Jan-24</v>
      </c>
      <c r="X59" s="19">
        <f>IFERROR(IF(D59="Sell",(H59-P59),-(H59+P59)),0)</f>
        <v>-561.41</v>
      </c>
      <c r="Y59" s="19">
        <f>X59/1000</f>
        <v>-0.56140999999999996</v>
      </c>
    </row>
    <row r="60" spans="1:25" x14ac:dyDescent="0.25">
      <c r="A60" s="1">
        <v>45309</v>
      </c>
      <c r="B60" t="s">
        <v>862</v>
      </c>
      <c r="C60" t="s">
        <v>17</v>
      </c>
      <c r="D60" t="s">
        <v>22</v>
      </c>
      <c r="E60">
        <v>50</v>
      </c>
      <c r="F60">
        <v>0</v>
      </c>
      <c r="G60">
        <v>10.6</v>
      </c>
      <c r="H60">
        <v>530</v>
      </c>
      <c r="I60" t="s">
        <v>866</v>
      </c>
      <c r="J60">
        <v>0</v>
      </c>
      <c r="K60">
        <v>0.27</v>
      </c>
      <c r="L60">
        <v>0</v>
      </c>
      <c r="M60">
        <v>0</v>
      </c>
      <c r="N60">
        <v>20</v>
      </c>
      <c r="O60">
        <v>3.64</v>
      </c>
      <c r="P60">
        <v>23.91</v>
      </c>
      <c r="Q60" s="18">
        <f>YEAR(A60)</f>
        <v>2024</v>
      </c>
      <c r="R60" s="18">
        <f>MONTH(A60)</f>
        <v>1</v>
      </c>
      <c r="S60" s="18">
        <f>IF(R60&lt;4,Q60-1,Q60)</f>
        <v>2023</v>
      </c>
      <c r="T60" s="18">
        <f>IF(R60&lt;4,R60+9,R60-3)</f>
        <v>10</v>
      </c>
      <c r="U60" s="18">
        <f>IF(LEN(T60)=1,_xlfn.CONCAT(0,T60),T60)</f>
        <v>10</v>
      </c>
      <c r="V60" s="18" t="str">
        <f>_xlfn.CONCAT(S60,U60)</f>
        <v>202310</v>
      </c>
      <c r="W60" s="18" t="str">
        <f>_xlfn.CONCAT(TEXT(A60,"MMM"),"-",MID(Q60,3,2))</f>
        <v>Jan-24</v>
      </c>
      <c r="X60" s="19">
        <f>IFERROR(IF(D60="Sell",(H60-P60),-(H60+P60)),0)</f>
        <v>-553.91</v>
      </c>
      <c r="Y60" s="19">
        <f>X60/1000</f>
        <v>-0.55391000000000001</v>
      </c>
    </row>
    <row r="61" spans="1:25" x14ac:dyDescent="0.25">
      <c r="A61" s="1">
        <v>45309</v>
      </c>
      <c r="B61" t="s">
        <v>867</v>
      </c>
      <c r="C61" t="s">
        <v>17</v>
      </c>
      <c r="D61" t="s">
        <v>18</v>
      </c>
      <c r="E61">
        <v>50</v>
      </c>
      <c r="F61">
        <v>0</v>
      </c>
      <c r="G61">
        <v>3.35</v>
      </c>
      <c r="H61">
        <v>167.5</v>
      </c>
      <c r="I61" t="s">
        <v>868</v>
      </c>
      <c r="J61">
        <v>0.1</v>
      </c>
      <c r="K61">
        <v>0.08</v>
      </c>
      <c r="L61">
        <v>0</v>
      </c>
      <c r="M61">
        <v>0</v>
      </c>
      <c r="N61">
        <v>20</v>
      </c>
      <c r="O61">
        <v>3.62</v>
      </c>
      <c r="P61">
        <v>23.8</v>
      </c>
      <c r="Q61" s="18">
        <f>YEAR(A61)</f>
        <v>2024</v>
      </c>
      <c r="R61" s="18">
        <f>MONTH(A61)</f>
        <v>1</v>
      </c>
      <c r="S61" s="18">
        <f>IF(R61&lt;4,Q61-1,Q61)</f>
        <v>2023</v>
      </c>
      <c r="T61" s="18">
        <f>IF(R61&lt;4,R61+9,R61-3)</f>
        <v>10</v>
      </c>
      <c r="U61" s="18">
        <f>IF(LEN(T61)=1,_xlfn.CONCAT(0,T61),T61)</f>
        <v>10</v>
      </c>
      <c r="V61" s="18" t="str">
        <f>_xlfn.CONCAT(S61,U61)</f>
        <v>202310</v>
      </c>
      <c r="W61" s="18" t="str">
        <f>_xlfn.CONCAT(TEXT(A61,"MMM"),"-",MID(Q61,3,2))</f>
        <v>Jan-24</v>
      </c>
      <c r="X61" s="19">
        <f>IFERROR(IF(D61="Sell",(H61-P61),-(H61+P61)),0)</f>
        <v>143.69999999999999</v>
      </c>
      <c r="Y61" s="19">
        <f>X61/1000</f>
        <v>0.14369999999999999</v>
      </c>
    </row>
    <row r="62" spans="1:25" x14ac:dyDescent="0.25">
      <c r="A62" s="1">
        <v>45309</v>
      </c>
      <c r="B62" t="s">
        <v>867</v>
      </c>
      <c r="C62" t="s">
        <v>17</v>
      </c>
      <c r="D62" t="s">
        <v>22</v>
      </c>
      <c r="E62">
        <v>50</v>
      </c>
      <c r="F62">
        <v>0</v>
      </c>
      <c r="G62">
        <v>9.5</v>
      </c>
      <c r="H62">
        <v>475</v>
      </c>
      <c r="I62" t="s">
        <v>869</v>
      </c>
      <c r="J62">
        <v>0</v>
      </c>
      <c r="K62">
        <v>0.24</v>
      </c>
      <c r="L62">
        <v>0</v>
      </c>
      <c r="M62">
        <v>0</v>
      </c>
      <c r="N62">
        <v>20</v>
      </c>
      <c r="O62">
        <v>3.64</v>
      </c>
      <c r="P62">
        <v>23.88</v>
      </c>
      <c r="Q62" s="18">
        <f>YEAR(A62)</f>
        <v>2024</v>
      </c>
      <c r="R62" s="18">
        <f>MONTH(A62)</f>
        <v>1</v>
      </c>
      <c r="S62" s="18">
        <f>IF(R62&lt;4,Q62-1,Q62)</f>
        <v>2023</v>
      </c>
      <c r="T62" s="18">
        <f>IF(R62&lt;4,R62+9,R62-3)</f>
        <v>10</v>
      </c>
      <c r="U62" s="18">
        <f>IF(LEN(T62)=1,_xlfn.CONCAT(0,T62),T62)</f>
        <v>10</v>
      </c>
      <c r="V62" s="18" t="str">
        <f>_xlfn.CONCAT(S62,U62)</f>
        <v>202310</v>
      </c>
      <c r="W62" s="18" t="str">
        <f>_xlfn.CONCAT(TEXT(A62,"MMM"),"-",MID(Q62,3,2))</f>
        <v>Jan-24</v>
      </c>
      <c r="X62" s="19">
        <f>IFERROR(IF(D62="Sell",(H62-P62),-(H62+P62)),0)</f>
        <v>-498.88</v>
      </c>
      <c r="Y62" s="19">
        <f>X62/1000</f>
        <v>-0.49887999999999999</v>
      </c>
    </row>
    <row r="63" spans="1:25" x14ac:dyDescent="0.25">
      <c r="A63" s="1">
        <v>45310</v>
      </c>
      <c r="B63" t="s">
        <v>844</v>
      </c>
      <c r="C63" t="s">
        <v>17</v>
      </c>
      <c r="D63" t="s">
        <v>18</v>
      </c>
      <c r="E63">
        <v>30</v>
      </c>
      <c r="F63">
        <v>0</v>
      </c>
      <c r="G63">
        <v>437.4</v>
      </c>
      <c r="H63">
        <v>13122</v>
      </c>
      <c r="I63" t="s">
        <v>845</v>
      </c>
      <c r="J63">
        <v>8</v>
      </c>
      <c r="K63">
        <v>6.63</v>
      </c>
      <c r="L63">
        <v>0</v>
      </c>
      <c r="M63">
        <v>0.01</v>
      </c>
      <c r="N63">
        <v>40</v>
      </c>
      <c r="O63">
        <v>8.4</v>
      </c>
      <c r="P63">
        <v>63.04</v>
      </c>
      <c r="Q63" s="18">
        <f>YEAR(A63)</f>
        <v>2024</v>
      </c>
      <c r="R63" s="18">
        <f>MONTH(A63)</f>
        <v>1</v>
      </c>
      <c r="S63" s="18">
        <f>IF(R63&lt;4,Q63-1,Q63)</f>
        <v>2023</v>
      </c>
      <c r="T63" s="18">
        <f>IF(R63&lt;4,R63+9,R63-3)</f>
        <v>10</v>
      </c>
      <c r="U63" s="18">
        <f>IF(LEN(T63)=1,_xlfn.CONCAT(0,T63),T63)</f>
        <v>10</v>
      </c>
      <c r="V63" s="18" t="str">
        <f>_xlfn.CONCAT(S63,U63)</f>
        <v>202310</v>
      </c>
      <c r="W63" s="18" t="str">
        <f>_xlfn.CONCAT(TEXT(A63,"MMM"),"-",MID(Q63,3,2))</f>
        <v>Jan-24</v>
      </c>
      <c r="X63" s="19">
        <f>IFERROR(IF(D63="Sell",(H63-P63),-(H63+P63)),0)</f>
        <v>13058.96</v>
      </c>
      <c r="Y63" s="19">
        <f>X63/1000</f>
        <v>13.058959999999999</v>
      </c>
    </row>
    <row r="64" spans="1:25" x14ac:dyDescent="0.25">
      <c r="A64" s="1">
        <v>45310</v>
      </c>
      <c r="B64" t="s">
        <v>844</v>
      </c>
      <c r="C64" t="s">
        <v>17</v>
      </c>
      <c r="D64" t="s">
        <v>22</v>
      </c>
      <c r="E64">
        <v>15</v>
      </c>
      <c r="F64">
        <v>0</v>
      </c>
      <c r="G64">
        <v>324</v>
      </c>
      <c r="H64">
        <v>4860</v>
      </c>
      <c r="I64" t="s">
        <v>846</v>
      </c>
      <c r="J64">
        <v>0</v>
      </c>
      <c r="K64">
        <v>2.4500000000000002</v>
      </c>
      <c r="L64">
        <v>0</v>
      </c>
      <c r="M64">
        <v>0</v>
      </c>
      <c r="N64">
        <v>20</v>
      </c>
      <c r="O64">
        <v>4.04</v>
      </c>
      <c r="P64">
        <v>26.49</v>
      </c>
      <c r="Q64" s="18">
        <f>YEAR(A64)</f>
        <v>2024</v>
      </c>
      <c r="R64" s="18">
        <f>MONTH(A64)</f>
        <v>1</v>
      </c>
      <c r="S64" s="18">
        <f>IF(R64&lt;4,Q64-1,Q64)</f>
        <v>2023</v>
      </c>
      <c r="T64" s="18">
        <f>IF(R64&lt;4,R64+9,R64-3)</f>
        <v>10</v>
      </c>
      <c r="U64" s="18">
        <f>IF(LEN(T64)=1,_xlfn.CONCAT(0,T64),T64)</f>
        <v>10</v>
      </c>
      <c r="V64" s="18" t="str">
        <f>_xlfn.CONCAT(S64,U64)</f>
        <v>202310</v>
      </c>
      <c r="W64" s="18" t="str">
        <f>_xlfn.CONCAT(TEXT(A64,"MMM"),"-",MID(Q64,3,2))</f>
        <v>Jan-24</v>
      </c>
      <c r="X64" s="19">
        <f>IFERROR(IF(D64="Sell",(H64-P64),-(H64+P64)),0)</f>
        <v>-4886.49</v>
      </c>
      <c r="Y64" s="19">
        <f>X64/1000</f>
        <v>-4.8864900000000002</v>
      </c>
    </row>
    <row r="65" spans="1:25" x14ac:dyDescent="0.25">
      <c r="A65" s="1">
        <v>45310</v>
      </c>
      <c r="B65" t="s">
        <v>844</v>
      </c>
      <c r="C65" t="s">
        <v>17</v>
      </c>
      <c r="D65" t="s">
        <v>22</v>
      </c>
      <c r="E65">
        <v>15</v>
      </c>
      <c r="F65">
        <v>0</v>
      </c>
      <c r="G65">
        <v>323.45</v>
      </c>
      <c r="H65">
        <v>4851.75</v>
      </c>
      <c r="I65" t="s">
        <v>847</v>
      </c>
      <c r="J65">
        <v>0</v>
      </c>
      <c r="K65">
        <v>2.4500000000000002</v>
      </c>
      <c r="L65">
        <v>0</v>
      </c>
      <c r="M65">
        <v>0</v>
      </c>
      <c r="N65">
        <v>20</v>
      </c>
      <c r="O65">
        <v>4.04</v>
      </c>
      <c r="P65">
        <v>26.49</v>
      </c>
      <c r="Q65" s="18">
        <f>YEAR(A65)</f>
        <v>2024</v>
      </c>
      <c r="R65" s="18">
        <f>MONTH(A65)</f>
        <v>1</v>
      </c>
      <c r="S65" s="18">
        <f>IF(R65&lt;4,Q65-1,Q65)</f>
        <v>2023</v>
      </c>
      <c r="T65" s="18">
        <f>IF(R65&lt;4,R65+9,R65-3)</f>
        <v>10</v>
      </c>
      <c r="U65" s="18">
        <f>IF(LEN(T65)=1,_xlfn.CONCAT(0,T65),T65)</f>
        <v>10</v>
      </c>
      <c r="V65" s="18" t="str">
        <f>_xlfn.CONCAT(S65,U65)</f>
        <v>202310</v>
      </c>
      <c r="W65" s="18" t="str">
        <f>_xlfn.CONCAT(TEXT(A65,"MMM"),"-",MID(Q65,3,2))</f>
        <v>Jan-24</v>
      </c>
      <c r="X65" s="19">
        <f>IFERROR(IF(D65="Sell",(H65-P65),-(H65+P65)),0)</f>
        <v>-4878.24</v>
      </c>
      <c r="Y65" s="19">
        <f>X65/1000</f>
        <v>-4.8782399999999999</v>
      </c>
    </row>
    <row r="66" spans="1:25" x14ac:dyDescent="0.25">
      <c r="A66" s="1">
        <v>45314</v>
      </c>
      <c r="B66" t="s">
        <v>828</v>
      </c>
      <c r="C66" t="s">
        <v>17</v>
      </c>
      <c r="D66" t="s">
        <v>18</v>
      </c>
      <c r="E66">
        <v>1250</v>
      </c>
      <c r="F66">
        <v>0</v>
      </c>
      <c r="G66">
        <v>4.5999999999999996</v>
      </c>
      <c r="H66">
        <v>5750</v>
      </c>
      <c r="I66" t="s">
        <v>829</v>
      </c>
      <c r="J66">
        <v>3.59</v>
      </c>
      <c r="K66">
        <v>2.9</v>
      </c>
      <c r="L66">
        <v>0</v>
      </c>
      <c r="M66">
        <v>0.01</v>
      </c>
      <c r="N66">
        <v>20</v>
      </c>
      <c r="O66">
        <v>4.12</v>
      </c>
      <c r="P66">
        <v>30.62</v>
      </c>
      <c r="Q66" s="18">
        <f>YEAR(A66)</f>
        <v>2024</v>
      </c>
      <c r="R66" s="18">
        <f>MONTH(A66)</f>
        <v>1</v>
      </c>
      <c r="S66" s="18">
        <f>IF(R66&lt;4,Q66-1,Q66)</f>
        <v>2023</v>
      </c>
      <c r="T66" s="18">
        <f>IF(R66&lt;4,R66+9,R66-3)</f>
        <v>10</v>
      </c>
      <c r="U66" s="18">
        <f>IF(LEN(T66)=1,_xlfn.CONCAT(0,T66),T66)</f>
        <v>10</v>
      </c>
      <c r="V66" s="18" t="str">
        <f>_xlfn.CONCAT(S66,U66)</f>
        <v>202310</v>
      </c>
      <c r="W66" s="18" t="str">
        <f>_xlfn.CONCAT(TEXT(A66,"MMM"),"-",MID(Q66,3,2))</f>
        <v>Jan-24</v>
      </c>
      <c r="X66" s="19">
        <f>IFERROR(IF(D66="Sell",(H66-P66),-(H66+P66)),0)</f>
        <v>5719.38</v>
      </c>
      <c r="Y66" s="19">
        <f>X66/1000</f>
        <v>5.7193800000000001</v>
      </c>
    </row>
    <row r="67" spans="1:25" x14ac:dyDescent="0.25">
      <c r="A67" s="1">
        <v>45314</v>
      </c>
      <c r="B67" t="s">
        <v>828</v>
      </c>
      <c r="C67" t="s">
        <v>17</v>
      </c>
      <c r="D67" t="s">
        <v>22</v>
      </c>
      <c r="E67">
        <v>1250</v>
      </c>
      <c r="F67">
        <v>0</v>
      </c>
      <c r="G67">
        <v>7.5</v>
      </c>
      <c r="H67">
        <v>9375</v>
      </c>
      <c r="I67" t="s">
        <v>830</v>
      </c>
      <c r="J67">
        <v>0</v>
      </c>
      <c r="K67">
        <v>4.7300000000000004</v>
      </c>
      <c r="L67">
        <v>0.71</v>
      </c>
      <c r="M67">
        <v>0.01</v>
      </c>
      <c r="N67">
        <v>20</v>
      </c>
      <c r="O67">
        <v>4.46</v>
      </c>
      <c r="P67">
        <v>29.91</v>
      </c>
      <c r="Q67" s="18">
        <f>YEAR(A67)</f>
        <v>2024</v>
      </c>
      <c r="R67" s="18">
        <f>MONTH(A67)</f>
        <v>1</v>
      </c>
      <c r="S67" s="18">
        <f>IF(R67&lt;4,Q67-1,Q67)</f>
        <v>2023</v>
      </c>
      <c r="T67" s="18">
        <f>IF(R67&lt;4,R67+9,R67-3)</f>
        <v>10</v>
      </c>
      <c r="U67" s="18">
        <f>IF(LEN(T67)=1,_xlfn.CONCAT(0,T67),T67)</f>
        <v>10</v>
      </c>
      <c r="V67" s="18" t="str">
        <f>_xlfn.CONCAT(S67,U67)</f>
        <v>202310</v>
      </c>
      <c r="W67" s="18" t="str">
        <f>_xlfn.CONCAT(TEXT(A67,"MMM"),"-",MID(Q67,3,2))</f>
        <v>Jan-24</v>
      </c>
      <c r="X67" s="19">
        <f>IFERROR(IF(D67="Sell",(H67-P67),-(H67+P67)),0)</f>
        <v>-9404.91</v>
      </c>
      <c r="Y67" s="19">
        <f>X67/1000</f>
        <v>-9.4049099999999992</v>
      </c>
    </row>
    <row r="68" spans="1:25" x14ac:dyDescent="0.25">
      <c r="A68" s="1">
        <v>45314</v>
      </c>
      <c r="B68" t="s">
        <v>831</v>
      </c>
      <c r="C68" t="s">
        <v>17</v>
      </c>
      <c r="D68" t="s">
        <v>18</v>
      </c>
      <c r="E68">
        <v>40</v>
      </c>
      <c r="F68">
        <v>0</v>
      </c>
      <c r="G68">
        <v>4.3499999999999996</v>
      </c>
      <c r="H68">
        <v>174</v>
      </c>
      <c r="I68" t="s">
        <v>832</v>
      </c>
      <c r="J68">
        <v>0.28000000000000003</v>
      </c>
      <c r="K68">
        <v>0.09</v>
      </c>
      <c r="L68">
        <v>0</v>
      </c>
      <c r="M68">
        <v>0</v>
      </c>
      <c r="N68">
        <v>20</v>
      </c>
      <c r="O68">
        <v>3.62</v>
      </c>
      <c r="P68">
        <v>23.99</v>
      </c>
      <c r="Q68" s="18">
        <f>YEAR(A68)</f>
        <v>2024</v>
      </c>
      <c r="R68" s="18">
        <f>MONTH(A68)</f>
        <v>1</v>
      </c>
      <c r="S68" s="18">
        <f>IF(R68&lt;4,Q68-1,Q68)</f>
        <v>2023</v>
      </c>
      <c r="T68" s="18">
        <f>IF(R68&lt;4,R68+9,R68-3)</f>
        <v>10</v>
      </c>
      <c r="U68" s="18">
        <f>IF(LEN(T68)=1,_xlfn.CONCAT(0,T68),T68)</f>
        <v>10</v>
      </c>
      <c r="V68" s="18" t="str">
        <f>_xlfn.CONCAT(S68,U68)</f>
        <v>202310</v>
      </c>
      <c r="W68" s="18" t="str">
        <f>_xlfn.CONCAT(TEXT(A68,"MMM"),"-",MID(Q68,3,2))</f>
        <v>Jan-24</v>
      </c>
      <c r="X68" s="19">
        <f>IFERROR(IF(D68="Sell",(H68-P68),-(H68+P68)),0)</f>
        <v>150.01</v>
      </c>
      <c r="Y68" s="19">
        <f>X68/1000</f>
        <v>0.15001</v>
      </c>
    </row>
    <row r="69" spans="1:25" x14ac:dyDescent="0.25">
      <c r="A69" s="1">
        <v>45314</v>
      </c>
      <c r="B69" t="s">
        <v>831</v>
      </c>
      <c r="C69" t="s">
        <v>17</v>
      </c>
      <c r="D69" t="s">
        <v>18</v>
      </c>
      <c r="E69">
        <v>160</v>
      </c>
      <c r="F69">
        <v>0</v>
      </c>
      <c r="G69">
        <v>5.75</v>
      </c>
      <c r="H69">
        <v>920</v>
      </c>
      <c r="I69" t="s">
        <v>833</v>
      </c>
      <c r="J69">
        <v>0.57999999999999996</v>
      </c>
      <c r="K69">
        <v>0.46</v>
      </c>
      <c r="L69">
        <v>0</v>
      </c>
      <c r="M69">
        <v>0</v>
      </c>
      <c r="N69">
        <v>80</v>
      </c>
      <c r="O69">
        <v>14.48</v>
      </c>
      <c r="P69">
        <v>95.52</v>
      </c>
      <c r="Q69" s="18">
        <f>YEAR(A69)</f>
        <v>2024</v>
      </c>
      <c r="R69" s="18">
        <f>MONTH(A69)</f>
        <v>1</v>
      </c>
      <c r="S69" s="18">
        <f>IF(R69&lt;4,Q69-1,Q69)</f>
        <v>2023</v>
      </c>
      <c r="T69" s="18">
        <f>IF(R69&lt;4,R69+9,R69-3)</f>
        <v>10</v>
      </c>
      <c r="U69" s="18">
        <f>IF(LEN(T69)=1,_xlfn.CONCAT(0,T69),T69)</f>
        <v>10</v>
      </c>
      <c r="V69" s="18" t="str">
        <f>_xlfn.CONCAT(S69,U69)</f>
        <v>202310</v>
      </c>
      <c r="W69" s="18" t="str">
        <f>_xlfn.CONCAT(TEXT(A69,"MMM"),"-",MID(Q69,3,2))</f>
        <v>Jan-24</v>
      </c>
      <c r="X69" s="19">
        <f>IFERROR(IF(D69="Sell",(H69-P69),-(H69+P69)),0)</f>
        <v>824.48</v>
      </c>
      <c r="Y69" s="19">
        <f>X69/1000</f>
        <v>0.82447999999999999</v>
      </c>
    </row>
    <row r="70" spans="1:25" x14ac:dyDescent="0.25">
      <c r="A70" s="1">
        <v>45314</v>
      </c>
      <c r="B70" t="s">
        <v>831</v>
      </c>
      <c r="C70" t="s">
        <v>17</v>
      </c>
      <c r="D70" t="s">
        <v>18</v>
      </c>
      <c r="E70">
        <v>40</v>
      </c>
      <c r="F70">
        <v>0</v>
      </c>
      <c r="G70">
        <v>5.8</v>
      </c>
      <c r="H70">
        <v>232</v>
      </c>
      <c r="I70" t="s">
        <v>834</v>
      </c>
      <c r="J70">
        <v>0.15</v>
      </c>
      <c r="K70">
        <v>0.12</v>
      </c>
      <c r="L70">
        <v>0</v>
      </c>
      <c r="M70">
        <v>0</v>
      </c>
      <c r="N70">
        <v>20</v>
      </c>
      <c r="O70">
        <v>3.62</v>
      </c>
      <c r="P70">
        <v>23.89</v>
      </c>
      <c r="Q70" s="18">
        <f>YEAR(A70)</f>
        <v>2024</v>
      </c>
      <c r="R70" s="18">
        <f>MONTH(A70)</f>
        <v>1</v>
      </c>
      <c r="S70" s="18">
        <f>IF(R70&lt;4,Q70-1,Q70)</f>
        <v>2023</v>
      </c>
      <c r="T70" s="18">
        <f>IF(R70&lt;4,R70+9,R70-3)</f>
        <v>10</v>
      </c>
      <c r="U70" s="18">
        <f>IF(LEN(T70)=1,_xlfn.CONCAT(0,T70),T70)</f>
        <v>10</v>
      </c>
      <c r="V70" s="18" t="str">
        <f>_xlfn.CONCAT(S70,U70)</f>
        <v>202310</v>
      </c>
      <c r="W70" s="18" t="str">
        <f>_xlfn.CONCAT(TEXT(A70,"MMM"),"-",MID(Q70,3,2))</f>
        <v>Jan-24</v>
      </c>
      <c r="X70" s="19">
        <f>IFERROR(IF(D70="Sell",(H70-P70),-(H70+P70)),0)</f>
        <v>208.11</v>
      </c>
      <c r="Y70" s="19">
        <f>X70/1000</f>
        <v>0.20811000000000002</v>
      </c>
    </row>
    <row r="71" spans="1:25" x14ac:dyDescent="0.25">
      <c r="A71" s="1">
        <v>45314</v>
      </c>
      <c r="B71" t="s">
        <v>835</v>
      </c>
      <c r="C71" t="s">
        <v>17</v>
      </c>
      <c r="D71" t="s">
        <v>18</v>
      </c>
      <c r="E71">
        <v>50</v>
      </c>
      <c r="F71">
        <v>0</v>
      </c>
      <c r="G71">
        <v>108.9</v>
      </c>
      <c r="H71">
        <v>5445</v>
      </c>
      <c r="I71" t="s">
        <v>836</v>
      </c>
      <c r="J71">
        <v>3.4</v>
      </c>
      <c r="K71">
        <v>2.75</v>
      </c>
      <c r="L71">
        <v>0</v>
      </c>
      <c r="M71">
        <v>0.01</v>
      </c>
      <c r="N71">
        <v>20</v>
      </c>
      <c r="O71">
        <v>4.0999999999999996</v>
      </c>
      <c r="P71">
        <v>30.26</v>
      </c>
      <c r="Q71" s="18">
        <f>YEAR(A71)</f>
        <v>2024</v>
      </c>
      <c r="R71" s="18">
        <f>MONTH(A71)</f>
        <v>1</v>
      </c>
      <c r="S71" s="18">
        <f>IF(R71&lt;4,Q71-1,Q71)</f>
        <v>2023</v>
      </c>
      <c r="T71" s="18">
        <f>IF(R71&lt;4,R71+9,R71-3)</f>
        <v>10</v>
      </c>
      <c r="U71" s="18">
        <f>IF(LEN(T71)=1,_xlfn.CONCAT(0,T71),T71)</f>
        <v>10</v>
      </c>
      <c r="V71" s="18" t="str">
        <f>_xlfn.CONCAT(S71,U71)</f>
        <v>202310</v>
      </c>
      <c r="W71" s="18" t="str">
        <f>_xlfn.CONCAT(TEXT(A71,"MMM"),"-",MID(Q71,3,2))</f>
        <v>Jan-24</v>
      </c>
      <c r="X71" s="19">
        <f>IFERROR(IF(D71="Sell",(H71-P71),-(H71+P71)),0)</f>
        <v>5414.74</v>
      </c>
      <c r="Y71" s="19">
        <f>X71/1000</f>
        <v>5.4147400000000001</v>
      </c>
    </row>
    <row r="72" spans="1:25" x14ac:dyDescent="0.25">
      <c r="A72" s="1">
        <v>45314</v>
      </c>
      <c r="B72" t="s">
        <v>831</v>
      </c>
      <c r="C72" t="s">
        <v>17</v>
      </c>
      <c r="D72" t="s">
        <v>22</v>
      </c>
      <c r="E72">
        <v>40</v>
      </c>
      <c r="F72">
        <v>0</v>
      </c>
      <c r="G72">
        <v>11.25</v>
      </c>
      <c r="H72">
        <v>450</v>
      </c>
      <c r="I72" t="s">
        <v>837</v>
      </c>
      <c r="J72">
        <v>0</v>
      </c>
      <c r="K72">
        <v>0.23</v>
      </c>
      <c r="L72">
        <v>0</v>
      </c>
      <c r="M72">
        <v>0</v>
      </c>
      <c r="N72">
        <v>20</v>
      </c>
      <c r="O72">
        <v>3.64</v>
      </c>
      <c r="P72">
        <v>23.87</v>
      </c>
      <c r="Q72" s="18">
        <f>YEAR(A72)</f>
        <v>2024</v>
      </c>
      <c r="R72" s="18">
        <f>MONTH(A72)</f>
        <v>1</v>
      </c>
      <c r="S72" s="18">
        <f>IF(R72&lt;4,Q72-1,Q72)</f>
        <v>2023</v>
      </c>
      <c r="T72" s="18">
        <f>IF(R72&lt;4,R72+9,R72-3)</f>
        <v>10</v>
      </c>
      <c r="U72" s="18">
        <f>IF(LEN(T72)=1,_xlfn.CONCAT(0,T72),T72)</f>
        <v>10</v>
      </c>
      <c r="V72" s="18" t="str">
        <f>_xlfn.CONCAT(S72,U72)</f>
        <v>202310</v>
      </c>
      <c r="W72" s="18" t="str">
        <f>_xlfn.CONCAT(TEXT(A72,"MMM"),"-",MID(Q72,3,2))</f>
        <v>Jan-24</v>
      </c>
      <c r="X72" s="19">
        <f>IFERROR(IF(D72="Sell",(H72-P72),-(H72+P72)),0)</f>
        <v>-473.87</v>
      </c>
      <c r="Y72" s="19">
        <f>X72/1000</f>
        <v>-0.47387000000000001</v>
      </c>
    </row>
    <row r="73" spans="1:25" x14ac:dyDescent="0.25">
      <c r="A73" s="1">
        <v>45314</v>
      </c>
      <c r="B73" t="s">
        <v>831</v>
      </c>
      <c r="C73" t="s">
        <v>17</v>
      </c>
      <c r="D73" t="s">
        <v>22</v>
      </c>
      <c r="E73">
        <v>40</v>
      </c>
      <c r="F73">
        <v>0</v>
      </c>
      <c r="G73">
        <v>16.55</v>
      </c>
      <c r="H73">
        <v>662</v>
      </c>
      <c r="I73" t="s">
        <v>838</v>
      </c>
      <c r="J73">
        <v>0</v>
      </c>
      <c r="K73">
        <v>0.33</v>
      </c>
      <c r="L73">
        <v>0</v>
      </c>
      <c r="M73">
        <v>0</v>
      </c>
      <c r="N73">
        <v>20</v>
      </c>
      <c r="O73">
        <v>3.66</v>
      </c>
      <c r="P73">
        <v>23.99</v>
      </c>
      <c r="Q73" s="18">
        <f>YEAR(A73)</f>
        <v>2024</v>
      </c>
      <c r="R73" s="18">
        <f>MONTH(A73)</f>
        <v>1</v>
      </c>
      <c r="S73" s="18">
        <f>IF(R73&lt;4,Q73-1,Q73)</f>
        <v>2023</v>
      </c>
      <c r="T73" s="18">
        <f>IF(R73&lt;4,R73+9,R73-3)</f>
        <v>10</v>
      </c>
      <c r="U73" s="18">
        <f>IF(LEN(T73)=1,_xlfn.CONCAT(0,T73),T73)</f>
        <v>10</v>
      </c>
      <c r="V73" s="18" t="str">
        <f>_xlfn.CONCAT(S73,U73)</f>
        <v>202310</v>
      </c>
      <c r="W73" s="18" t="str">
        <f>_xlfn.CONCAT(TEXT(A73,"MMM"),"-",MID(Q73,3,2))</f>
        <v>Jan-24</v>
      </c>
      <c r="X73" s="19">
        <f>IFERROR(IF(D73="Sell",(H73-P73),-(H73+P73)),0)</f>
        <v>-685.99</v>
      </c>
      <c r="Y73" s="19">
        <f>X73/1000</f>
        <v>-0.68598999999999999</v>
      </c>
    </row>
    <row r="74" spans="1:25" x14ac:dyDescent="0.25">
      <c r="A74" s="1">
        <v>45314</v>
      </c>
      <c r="B74" t="s">
        <v>831</v>
      </c>
      <c r="C74" t="s">
        <v>17</v>
      </c>
      <c r="D74" t="s">
        <v>22</v>
      </c>
      <c r="E74">
        <v>40</v>
      </c>
      <c r="F74">
        <v>0</v>
      </c>
      <c r="G74">
        <v>22.05</v>
      </c>
      <c r="H74">
        <v>882</v>
      </c>
      <c r="I74" t="s">
        <v>839</v>
      </c>
      <c r="J74">
        <v>0</v>
      </c>
      <c r="K74">
        <v>0.45</v>
      </c>
      <c r="L74">
        <v>0</v>
      </c>
      <c r="M74">
        <v>0</v>
      </c>
      <c r="N74">
        <v>20</v>
      </c>
      <c r="O74">
        <v>3.68</v>
      </c>
      <c r="P74">
        <v>24.13</v>
      </c>
      <c r="Q74" s="18">
        <f>YEAR(A74)</f>
        <v>2024</v>
      </c>
      <c r="R74" s="18">
        <f>MONTH(A74)</f>
        <v>1</v>
      </c>
      <c r="S74" s="18">
        <f>IF(R74&lt;4,Q74-1,Q74)</f>
        <v>2023</v>
      </c>
      <c r="T74" s="18">
        <f>IF(R74&lt;4,R74+9,R74-3)</f>
        <v>10</v>
      </c>
      <c r="U74" s="18">
        <f>IF(LEN(T74)=1,_xlfn.CONCAT(0,T74),T74)</f>
        <v>10</v>
      </c>
      <c r="V74" s="18" t="str">
        <f>_xlfn.CONCAT(S74,U74)</f>
        <v>202310</v>
      </c>
      <c r="W74" s="18" t="str">
        <f>_xlfn.CONCAT(TEXT(A74,"MMM"),"-",MID(Q74,3,2))</f>
        <v>Jan-24</v>
      </c>
      <c r="X74" s="19">
        <f>IFERROR(IF(D74="Sell",(H74-P74),-(H74+P74)),0)</f>
        <v>-906.13</v>
      </c>
      <c r="Y74" s="19">
        <f>X74/1000</f>
        <v>-0.90612999999999999</v>
      </c>
    </row>
    <row r="75" spans="1:25" x14ac:dyDescent="0.25">
      <c r="A75" s="1">
        <v>45314</v>
      </c>
      <c r="B75" t="s">
        <v>835</v>
      </c>
      <c r="C75" t="s">
        <v>17</v>
      </c>
      <c r="D75" t="s">
        <v>22</v>
      </c>
      <c r="E75">
        <v>50</v>
      </c>
      <c r="F75">
        <v>0</v>
      </c>
      <c r="G75">
        <v>75.7</v>
      </c>
      <c r="H75">
        <v>3785</v>
      </c>
      <c r="I75" t="s">
        <v>840</v>
      </c>
      <c r="J75">
        <v>0</v>
      </c>
      <c r="K75">
        <v>1.91</v>
      </c>
      <c r="L75">
        <v>0.11</v>
      </c>
      <c r="M75">
        <v>0</v>
      </c>
      <c r="N75">
        <v>20</v>
      </c>
      <c r="O75">
        <v>3.94</v>
      </c>
      <c r="P75">
        <v>25.96</v>
      </c>
      <c r="Q75" s="18">
        <f>YEAR(A75)</f>
        <v>2024</v>
      </c>
      <c r="R75" s="18">
        <f>MONTH(A75)</f>
        <v>1</v>
      </c>
      <c r="S75" s="18">
        <f>IF(R75&lt;4,Q75-1,Q75)</f>
        <v>2023</v>
      </c>
      <c r="T75" s="18">
        <f>IF(R75&lt;4,R75+9,R75-3)</f>
        <v>10</v>
      </c>
      <c r="U75" s="18">
        <f>IF(LEN(T75)=1,_xlfn.CONCAT(0,T75),T75)</f>
        <v>10</v>
      </c>
      <c r="V75" s="18" t="str">
        <f>_xlfn.CONCAT(S75,U75)</f>
        <v>202310</v>
      </c>
      <c r="W75" s="18" t="str">
        <f>_xlfn.CONCAT(TEXT(A75,"MMM"),"-",MID(Q75,3,2))</f>
        <v>Jan-24</v>
      </c>
      <c r="X75" s="19">
        <f>IFERROR(IF(D75="Sell",(H75-P75),-(H75+P75)),0)</f>
        <v>-3810.96</v>
      </c>
      <c r="Y75" s="19">
        <f>X75/1000</f>
        <v>-3.8109600000000001</v>
      </c>
    </row>
    <row r="76" spans="1:25" x14ac:dyDescent="0.25">
      <c r="A76" s="1">
        <v>45314</v>
      </c>
      <c r="B76" t="s">
        <v>831</v>
      </c>
      <c r="C76" t="s">
        <v>17</v>
      </c>
      <c r="D76" t="s">
        <v>22</v>
      </c>
      <c r="E76">
        <v>40</v>
      </c>
      <c r="F76">
        <v>0</v>
      </c>
      <c r="G76">
        <v>24.3</v>
      </c>
      <c r="H76">
        <v>972</v>
      </c>
      <c r="I76" t="s">
        <v>841</v>
      </c>
      <c r="J76">
        <v>0</v>
      </c>
      <c r="K76">
        <v>0.49</v>
      </c>
      <c r="L76">
        <v>0</v>
      </c>
      <c r="M76">
        <v>0</v>
      </c>
      <c r="N76">
        <v>20</v>
      </c>
      <c r="O76">
        <v>3.68</v>
      </c>
      <c r="P76">
        <v>24.17</v>
      </c>
      <c r="Q76" s="18">
        <f>YEAR(A76)</f>
        <v>2024</v>
      </c>
      <c r="R76" s="18">
        <f>MONTH(A76)</f>
        <v>1</v>
      </c>
      <c r="S76" s="18">
        <f>IF(R76&lt;4,Q76-1,Q76)</f>
        <v>2023</v>
      </c>
      <c r="T76" s="18">
        <f>IF(R76&lt;4,R76+9,R76-3)</f>
        <v>10</v>
      </c>
      <c r="U76" s="18">
        <f>IF(LEN(T76)=1,_xlfn.CONCAT(0,T76),T76)</f>
        <v>10</v>
      </c>
      <c r="V76" s="18" t="str">
        <f>_xlfn.CONCAT(S76,U76)</f>
        <v>202310</v>
      </c>
      <c r="W76" s="18" t="str">
        <f>_xlfn.CONCAT(TEXT(A76,"MMM"),"-",MID(Q76,3,2))</f>
        <v>Jan-24</v>
      </c>
      <c r="X76" s="19">
        <f>IFERROR(IF(D76="Sell",(H76-P76),-(H76+P76)),0)</f>
        <v>-996.17</v>
      </c>
      <c r="Y76" s="19">
        <f>X76/1000</f>
        <v>-0.99617</v>
      </c>
    </row>
    <row r="77" spans="1:25" x14ac:dyDescent="0.25">
      <c r="A77" s="1">
        <v>45314</v>
      </c>
      <c r="B77" t="s">
        <v>831</v>
      </c>
      <c r="C77" t="s">
        <v>17</v>
      </c>
      <c r="D77" t="s">
        <v>22</v>
      </c>
      <c r="E77">
        <v>40</v>
      </c>
      <c r="F77">
        <v>0</v>
      </c>
      <c r="G77">
        <v>30.1</v>
      </c>
      <c r="H77">
        <v>1204</v>
      </c>
      <c r="I77" t="s">
        <v>842</v>
      </c>
      <c r="J77">
        <v>0</v>
      </c>
      <c r="K77">
        <v>0.61</v>
      </c>
      <c r="L77">
        <v>0</v>
      </c>
      <c r="M77">
        <v>0</v>
      </c>
      <c r="N77">
        <v>20</v>
      </c>
      <c r="O77">
        <v>3.7</v>
      </c>
      <c r="P77">
        <v>24.31</v>
      </c>
      <c r="Q77" s="18">
        <f>YEAR(A77)</f>
        <v>2024</v>
      </c>
      <c r="R77" s="18">
        <f>MONTH(A77)</f>
        <v>1</v>
      </c>
      <c r="S77" s="18">
        <f>IF(R77&lt;4,Q77-1,Q77)</f>
        <v>2023</v>
      </c>
      <c r="T77" s="18">
        <f>IF(R77&lt;4,R77+9,R77-3)</f>
        <v>10</v>
      </c>
      <c r="U77" s="18">
        <f>IF(LEN(T77)=1,_xlfn.CONCAT(0,T77),T77)</f>
        <v>10</v>
      </c>
      <c r="V77" s="18" t="str">
        <f>_xlfn.CONCAT(S77,U77)</f>
        <v>202310</v>
      </c>
      <c r="W77" s="18" t="str">
        <f>_xlfn.CONCAT(TEXT(A77,"MMM"),"-",MID(Q77,3,2))</f>
        <v>Jan-24</v>
      </c>
      <c r="X77" s="19">
        <f>IFERROR(IF(D77="Sell",(H77-P77),-(H77+P77)),0)</f>
        <v>-1228.31</v>
      </c>
      <c r="Y77" s="19">
        <f>X77/1000</f>
        <v>-1.22831</v>
      </c>
    </row>
    <row r="78" spans="1:25" x14ac:dyDescent="0.25">
      <c r="A78" s="1">
        <v>45314</v>
      </c>
      <c r="B78" t="s">
        <v>831</v>
      </c>
      <c r="C78" t="s">
        <v>17</v>
      </c>
      <c r="D78" t="s">
        <v>22</v>
      </c>
      <c r="E78">
        <v>40</v>
      </c>
      <c r="F78">
        <v>0</v>
      </c>
      <c r="G78">
        <v>41.9</v>
      </c>
      <c r="H78">
        <v>1676</v>
      </c>
      <c r="I78" t="s">
        <v>843</v>
      </c>
      <c r="J78">
        <v>0</v>
      </c>
      <c r="K78">
        <v>0.85</v>
      </c>
      <c r="L78">
        <v>0.18</v>
      </c>
      <c r="M78">
        <v>0</v>
      </c>
      <c r="N78">
        <v>20</v>
      </c>
      <c r="O78">
        <v>3.76</v>
      </c>
      <c r="P78">
        <v>24.79</v>
      </c>
      <c r="Q78" s="18">
        <f>YEAR(A78)</f>
        <v>2024</v>
      </c>
      <c r="R78" s="18">
        <f>MONTH(A78)</f>
        <v>1</v>
      </c>
      <c r="S78" s="18">
        <f>IF(R78&lt;4,Q78-1,Q78)</f>
        <v>2023</v>
      </c>
      <c r="T78" s="18">
        <f>IF(R78&lt;4,R78+9,R78-3)</f>
        <v>10</v>
      </c>
      <c r="U78" s="18">
        <f>IF(LEN(T78)=1,_xlfn.CONCAT(0,T78),T78)</f>
        <v>10</v>
      </c>
      <c r="V78" s="18" t="str">
        <f>_xlfn.CONCAT(S78,U78)</f>
        <v>202310</v>
      </c>
      <c r="W78" s="18" t="str">
        <f>_xlfn.CONCAT(TEXT(A78,"MMM"),"-",MID(Q78,3,2))</f>
        <v>Jan-24</v>
      </c>
      <c r="X78" s="19">
        <f>IFERROR(IF(D78="Sell",(H78-P78),-(H78+P78)),0)</f>
        <v>-1700.79</v>
      </c>
      <c r="Y78" s="19">
        <f>X78/1000</f>
        <v>-1.70079</v>
      </c>
    </row>
    <row r="79" spans="1:25" x14ac:dyDescent="0.25">
      <c r="A79" s="1">
        <v>45315</v>
      </c>
      <c r="B79" t="s">
        <v>815</v>
      </c>
      <c r="C79" t="s">
        <v>17</v>
      </c>
      <c r="D79" t="s">
        <v>18</v>
      </c>
      <c r="E79">
        <v>15</v>
      </c>
      <c r="F79">
        <v>0</v>
      </c>
      <c r="G79">
        <v>402.3</v>
      </c>
      <c r="H79">
        <v>6034.5</v>
      </c>
      <c r="I79" t="s">
        <v>816</v>
      </c>
      <c r="J79">
        <v>3.45</v>
      </c>
      <c r="K79">
        <v>3.05</v>
      </c>
      <c r="L79">
        <v>0</v>
      </c>
      <c r="M79">
        <v>0.01</v>
      </c>
      <c r="N79">
        <v>20</v>
      </c>
      <c r="O79">
        <v>4.16</v>
      </c>
      <c r="P79">
        <v>30.67</v>
      </c>
      <c r="Q79" s="18">
        <f>YEAR(A79)</f>
        <v>2024</v>
      </c>
      <c r="R79" s="18">
        <f>MONTH(A79)</f>
        <v>1</v>
      </c>
      <c r="S79" s="18">
        <f>IF(R79&lt;4,Q79-1,Q79)</f>
        <v>2023</v>
      </c>
      <c r="T79" s="18">
        <f>IF(R79&lt;4,R79+9,R79-3)</f>
        <v>10</v>
      </c>
      <c r="U79" s="18">
        <f>IF(LEN(T79)=1,_xlfn.CONCAT(0,T79),T79)</f>
        <v>10</v>
      </c>
      <c r="V79" s="18" t="str">
        <f>_xlfn.CONCAT(S79,U79)</f>
        <v>202310</v>
      </c>
      <c r="W79" s="18" t="str">
        <f>_xlfn.CONCAT(TEXT(A79,"MMM"),"-",MID(Q79,3,2))</f>
        <v>Jan-24</v>
      </c>
      <c r="X79" s="19">
        <f>IFERROR(IF(D79="Sell",(H79-P79),-(H79+P79)),0)</f>
        <v>6003.83</v>
      </c>
      <c r="Y79" s="19">
        <f>X79/1000</f>
        <v>6.0038299999999998</v>
      </c>
    </row>
    <row r="80" spans="1:25" x14ac:dyDescent="0.25">
      <c r="A80" s="1">
        <v>45315</v>
      </c>
      <c r="B80" t="s">
        <v>815</v>
      </c>
      <c r="C80" t="s">
        <v>17</v>
      </c>
      <c r="D80" t="s">
        <v>22</v>
      </c>
      <c r="E80">
        <v>15</v>
      </c>
      <c r="F80">
        <v>0</v>
      </c>
      <c r="G80">
        <v>248.5</v>
      </c>
      <c r="H80">
        <v>3727.5</v>
      </c>
      <c r="I80" t="s">
        <v>817</v>
      </c>
      <c r="J80">
        <v>0</v>
      </c>
      <c r="K80">
        <v>1.88</v>
      </c>
      <c r="L80">
        <v>0</v>
      </c>
      <c r="M80">
        <v>0</v>
      </c>
      <c r="N80">
        <v>20</v>
      </c>
      <c r="O80">
        <v>3.94</v>
      </c>
      <c r="P80">
        <v>25.82</v>
      </c>
      <c r="Q80" s="18">
        <f>YEAR(A80)</f>
        <v>2024</v>
      </c>
      <c r="R80" s="18">
        <f>MONTH(A80)</f>
        <v>1</v>
      </c>
      <c r="S80" s="18">
        <f>IF(R80&lt;4,Q80-1,Q80)</f>
        <v>2023</v>
      </c>
      <c r="T80" s="18">
        <f>IF(R80&lt;4,R80+9,R80-3)</f>
        <v>10</v>
      </c>
      <c r="U80" s="18">
        <f>IF(LEN(T80)=1,_xlfn.CONCAT(0,T80),T80)</f>
        <v>10</v>
      </c>
      <c r="V80" s="18" t="str">
        <f>_xlfn.CONCAT(S80,U80)</f>
        <v>202310</v>
      </c>
      <c r="W80" s="18" t="str">
        <f>_xlfn.CONCAT(TEXT(A80,"MMM"),"-",MID(Q80,3,2))</f>
        <v>Jan-24</v>
      </c>
      <c r="X80" s="19">
        <f>IFERROR(IF(D80="Sell",(H80-P80),-(H80+P80)),0)</f>
        <v>-3753.32</v>
      </c>
      <c r="Y80" s="19">
        <f>X80/1000</f>
        <v>-3.75332</v>
      </c>
    </row>
    <row r="81" spans="1:25" x14ac:dyDescent="0.25">
      <c r="A81" s="1">
        <v>45315</v>
      </c>
      <c r="B81" t="s">
        <v>818</v>
      </c>
      <c r="C81" t="s">
        <v>17</v>
      </c>
      <c r="D81" t="s">
        <v>18</v>
      </c>
      <c r="E81">
        <v>15</v>
      </c>
      <c r="F81">
        <v>0</v>
      </c>
      <c r="G81">
        <v>116.25</v>
      </c>
      <c r="H81">
        <v>1743.75</v>
      </c>
      <c r="I81" t="s">
        <v>819</v>
      </c>
      <c r="J81">
        <v>1.0900000000000001</v>
      </c>
      <c r="K81">
        <v>0.88</v>
      </c>
      <c r="L81">
        <v>0</v>
      </c>
      <c r="M81">
        <v>0</v>
      </c>
      <c r="N81">
        <v>20</v>
      </c>
      <c r="O81">
        <v>3.76</v>
      </c>
      <c r="P81">
        <v>25.73</v>
      </c>
      <c r="Q81" s="18">
        <f>YEAR(A81)</f>
        <v>2024</v>
      </c>
      <c r="R81" s="18">
        <f>MONTH(A81)</f>
        <v>1</v>
      </c>
      <c r="S81" s="18">
        <f>IF(R81&lt;4,Q81-1,Q81)</f>
        <v>2023</v>
      </c>
      <c r="T81" s="18">
        <f>IF(R81&lt;4,R81+9,R81-3)</f>
        <v>10</v>
      </c>
      <c r="U81" s="18">
        <f>IF(LEN(T81)=1,_xlfn.CONCAT(0,T81),T81)</f>
        <v>10</v>
      </c>
      <c r="V81" s="18" t="str">
        <f>_xlfn.CONCAT(S81,U81)</f>
        <v>202310</v>
      </c>
      <c r="W81" s="18" t="str">
        <f>_xlfn.CONCAT(TEXT(A81,"MMM"),"-",MID(Q81,3,2))</f>
        <v>Jan-24</v>
      </c>
      <c r="X81" s="19">
        <f>IFERROR(IF(D81="Sell",(H81-P81),-(H81+P81)),0)</f>
        <v>1718.02</v>
      </c>
      <c r="Y81" s="19">
        <f>X81/1000</f>
        <v>1.7180199999999999</v>
      </c>
    </row>
    <row r="82" spans="1:25" x14ac:dyDescent="0.25">
      <c r="A82" s="1">
        <v>45315</v>
      </c>
      <c r="B82" t="s">
        <v>818</v>
      </c>
      <c r="C82" t="s">
        <v>17</v>
      </c>
      <c r="D82" t="s">
        <v>18</v>
      </c>
      <c r="E82">
        <v>15</v>
      </c>
      <c r="F82">
        <v>0</v>
      </c>
      <c r="G82">
        <v>116.25</v>
      </c>
      <c r="H82">
        <v>1743.75</v>
      </c>
      <c r="I82" t="s">
        <v>820</v>
      </c>
      <c r="J82">
        <v>1.0900000000000001</v>
      </c>
      <c r="K82">
        <v>0.88</v>
      </c>
      <c r="L82">
        <v>0</v>
      </c>
      <c r="M82">
        <v>0</v>
      </c>
      <c r="N82">
        <v>20</v>
      </c>
      <c r="O82">
        <v>3.76</v>
      </c>
      <c r="P82">
        <v>25.73</v>
      </c>
      <c r="Q82" s="18">
        <f>YEAR(A82)</f>
        <v>2024</v>
      </c>
      <c r="R82" s="18">
        <f>MONTH(A82)</f>
        <v>1</v>
      </c>
      <c r="S82" s="18">
        <f>IF(R82&lt;4,Q82-1,Q82)</f>
        <v>2023</v>
      </c>
      <c r="T82" s="18">
        <f>IF(R82&lt;4,R82+9,R82-3)</f>
        <v>10</v>
      </c>
      <c r="U82" s="18">
        <f>IF(LEN(T82)=1,_xlfn.CONCAT(0,T82),T82)</f>
        <v>10</v>
      </c>
      <c r="V82" s="18" t="str">
        <f>_xlfn.CONCAT(S82,U82)</f>
        <v>202310</v>
      </c>
      <c r="W82" s="18" t="str">
        <f>_xlfn.CONCAT(TEXT(A82,"MMM"),"-",MID(Q82,3,2))</f>
        <v>Jan-24</v>
      </c>
      <c r="X82" s="19">
        <f>IFERROR(IF(D82="Sell",(H82-P82),-(H82+P82)),0)</f>
        <v>1718.02</v>
      </c>
      <c r="Y82" s="19">
        <f>X82/1000</f>
        <v>1.7180199999999999</v>
      </c>
    </row>
    <row r="83" spans="1:25" x14ac:dyDescent="0.25">
      <c r="A83" s="1">
        <v>45315</v>
      </c>
      <c r="B83" t="s">
        <v>818</v>
      </c>
      <c r="C83" t="s">
        <v>17</v>
      </c>
      <c r="D83" t="s">
        <v>22</v>
      </c>
      <c r="E83">
        <v>15</v>
      </c>
      <c r="F83">
        <v>0</v>
      </c>
      <c r="G83">
        <v>95.8</v>
      </c>
      <c r="H83">
        <v>1437</v>
      </c>
      <c r="I83" t="s">
        <v>821</v>
      </c>
      <c r="J83">
        <v>0</v>
      </c>
      <c r="K83">
        <v>0.73</v>
      </c>
      <c r="L83">
        <v>0</v>
      </c>
      <c r="M83">
        <v>0</v>
      </c>
      <c r="N83">
        <v>20</v>
      </c>
      <c r="O83">
        <v>3.74</v>
      </c>
      <c r="P83">
        <v>24.47</v>
      </c>
      <c r="Q83" s="18">
        <f>YEAR(A83)</f>
        <v>2024</v>
      </c>
      <c r="R83" s="18">
        <f>MONTH(A83)</f>
        <v>1</v>
      </c>
      <c r="S83" s="18">
        <f>IF(R83&lt;4,Q83-1,Q83)</f>
        <v>2023</v>
      </c>
      <c r="T83" s="18">
        <f>IF(R83&lt;4,R83+9,R83-3)</f>
        <v>10</v>
      </c>
      <c r="U83" s="18">
        <f>IF(LEN(T83)=1,_xlfn.CONCAT(0,T83),T83)</f>
        <v>10</v>
      </c>
      <c r="V83" s="18" t="str">
        <f>_xlfn.CONCAT(S83,U83)</f>
        <v>202310</v>
      </c>
      <c r="W83" s="18" t="str">
        <f>_xlfn.CONCAT(TEXT(A83,"MMM"),"-",MID(Q83,3,2))</f>
        <v>Jan-24</v>
      </c>
      <c r="X83" s="19">
        <f>IFERROR(IF(D83="Sell",(H83-P83),-(H83+P83)),0)</f>
        <v>-1461.47</v>
      </c>
      <c r="Y83" s="19">
        <f>X83/1000</f>
        <v>-1.46147</v>
      </c>
    </row>
    <row r="84" spans="1:25" x14ac:dyDescent="0.25">
      <c r="A84" s="1">
        <v>45315</v>
      </c>
      <c r="B84" t="s">
        <v>818</v>
      </c>
      <c r="C84" t="s">
        <v>17</v>
      </c>
      <c r="D84" t="s">
        <v>22</v>
      </c>
      <c r="E84">
        <v>15</v>
      </c>
      <c r="F84">
        <v>0</v>
      </c>
      <c r="G84">
        <v>104.5</v>
      </c>
      <c r="H84">
        <v>1567.5</v>
      </c>
      <c r="I84" t="s">
        <v>822</v>
      </c>
      <c r="J84">
        <v>0</v>
      </c>
      <c r="K84">
        <v>0.79</v>
      </c>
      <c r="L84">
        <v>0</v>
      </c>
      <c r="M84">
        <v>0</v>
      </c>
      <c r="N84">
        <v>20</v>
      </c>
      <c r="O84">
        <v>3.74</v>
      </c>
      <c r="P84">
        <v>24.53</v>
      </c>
      <c r="Q84" s="18">
        <f>YEAR(A84)</f>
        <v>2024</v>
      </c>
      <c r="R84" s="18">
        <f>MONTH(A84)</f>
        <v>1</v>
      </c>
      <c r="S84" s="18">
        <f>IF(R84&lt;4,Q84-1,Q84)</f>
        <v>2023</v>
      </c>
      <c r="T84" s="18">
        <f>IF(R84&lt;4,R84+9,R84-3)</f>
        <v>10</v>
      </c>
      <c r="U84" s="18">
        <f>IF(LEN(T84)=1,_xlfn.CONCAT(0,T84),T84)</f>
        <v>10</v>
      </c>
      <c r="V84" s="18" t="str">
        <f>_xlfn.CONCAT(S84,U84)</f>
        <v>202310</v>
      </c>
      <c r="W84" s="18" t="str">
        <f>_xlfn.CONCAT(TEXT(A84,"MMM"),"-",MID(Q84,3,2))</f>
        <v>Jan-24</v>
      </c>
      <c r="X84" s="19">
        <f>IFERROR(IF(D84="Sell",(H84-P84),-(H84+P84)),0)</f>
        <v>-1592.03</v>
      </c>
      <c r="Y84" s="19">
        <f>X84/1000</f>
        <v>-1.5920300000000001</v>
      </c>
    </row>
    <row r="85" spans="1:25" x14ac:dyDescent="0.25">
      <c r="A85" s="1">
        <v>45315</v>
      </c>
      <c r="B85" t="s">
        <v>823</v>
      </c>
      <c r="C85" t="s">
        <v>17</v>
      </c>
      <c r="D85" t="s">
        <v>18</v>
      </c>
      <c r="E85">
        <v>15</v>
      </c>
      <c r="F85">
        <v>0</v>
      </c>
      <c r="G85">
        <v>286.60000000000002</v>
      </c>
      <c r="H85">
        <v>4299</v>
      </c>
      <c r="I85" t="s">
        <v>824</v>
      </c>
      <c r="J85">
        <v>2.69</v>
      </c>
      <c r="K85">
        <v>2.17</v>
      </c>
      <c r="L85">
        <v>0</v>
      </c>
      <c r="M85">
        <v>0</v>
      </c>
      <c r="N85">
        <v>20</v>
      </c>
      <c r="O85">
        <v>4</v>
      </c>
      <c r="P85">
        <v>28.86</v>
      </c>
      <c r="Q85" s="18">
        <f>YEAR(A85)</f>
        <v>2024</v>
      </c>
      <c r="R85" s="18">
        <f>MONTH(A85)</f>
        <v>1</v>
      </c>
      <c r="S85" s="18">
        <f>IF(R85&lt;4,Q85-1,Q85)</f>
        <v>2023</v>
      </c>
      <c r="T85" s="18">
        <f>IF(R85&lt;4,R85+9,R85-3)</f>
        <v>10</v>
      </c>
      <c r="U85" s="18">
        <f>IF(LEN(T85)=1,_xlfn.CONCAT(0,T85),T85)</f>
        <v>10</v>
      </c>
      <c r="V85" s="18" t="str">
        <f>_xlfn.CONCAT(S85,U85)</f>
        <v>202310</v>
      </c>
      <c r="W85" s="18" t="str">
        <f>_xlfn.CONCAT(TEXT(A85,"MMM"),"-",MID(Q85,3,2))</f>
        <v>Jan-24</v>
      </c>
      <c r="X85" s="19">
        <f>IFERROR(IF(D85="Sell",(H85-P85),-(H85+P85)),0)</f>
        <v>4270.1400000000003</v>
      </c>
      <c r="Y85" s="19">
        <f>X85/1000</f>
        <v>4.2701400000000005</v>
      </c>
    </row>
    <row r="86" spans="1:25" x14ac:dyDescent="0.25">
      <c r="A86" s="1">
        <v>45315</v>
      </c>
      <c r="B86" t="s">
        <v>823</v>
      </c>
      <c r="C86" t="s">
        <v>17</v>
      </c>
      <c r="D86" t="s">
        <v>18</v>
      </c>
      <c r="E86">
        <v>15</v>
      </c>
      <c r="F86">
        <v>0</v>
      </c>
      <c r="G86">
        <v>286.60000000000002</v>
      </c>
      <c r="H86">
        <v>4299</v>
      </c>
      <c r="I86" t="s">
        <v>825</v>
      </c>
      <c r="J86">
        <v>2.69</v>
      </c>
      <c r="K86">
        <v>2.17</v>
      </c>
      <c r="L86">
        <v>0</v>
      </c>
      <c r="M86">
        <v>0</v>
      </c>
      <c r="N86">
        <v>20</v>
      </c>
      <c r="O86">
        <v>4</v>
      </c>
      <c r="P86">
        <v>28.86</v>
      </c>
      <c r="Q86" s="18">
        <f>YEAR(A86)</f>
        <v>2024</v>
      </c>
      <c r="R86" s="18">
        <f>MONTH(A86)</f>
        <v>1</v>
      </c>
      <c r="S86" s="18">
        <f>IF(R86&lt;4,Q86-1,Q86)</f>
        <v>2023</v>
      </c>
      <c r="T86" s="18">
        <f>IF(R86&lt;4,R86+9,R86-3)</f>
        <v>10</v>
      </c>
      <c r="U86" s="18">
        <f>IF(LEN(T86)=1,_xlfn.CONCAT(0,T86),T86)</f>
        <v>10</v>
      </c>
      <c r="V86" s="18" t="str">
        <f>_xlfn.CONCAT(S86,U86)</f>
        <v>202310</v>
      </c>
      <c r="W86" s="18" t="str">
        <f>_xlfn.CONCAT(TEXT(A86,"MMM"),"-",MID(Q86,3,2))</f>
        <v>Jan-24</v>
      </c>
      <c r="X86" s="19">
        <f>IFERROR(IF(D86="Sell",(H86-P86),-(H86+P86)),0)</f>
        <v>4270.1400000000003</v>
      </c>
      <c r="Y86" s="19">
        <f>X86/1000</f>
        <v>4.2701400000000005</v>
      </c>
    </row>
    <row r="87" spans="1:25" x14ac:dyDescent="0.25">
      <c r="A87" s="1">
        <v>45315</v>
      </c>
      <c r="B87" t="s">
        <v>823</v>
      </c>
      <c r="C87" t="s">
        <v>17</v>
      </c>
      <c r="D87" t="s">
        <v>22</v>
      </c>
      <c r="E87">
        <v>15</v>
      </c>
      <c r="F87">
        <v>0</v>
      </c>
      <c r="G87">
        <v>157.19999999999999</v>
      </c>
      <c r="H87">
        <v>2358</v>
      </c>
      <c r="I87" t="s">
        <v>826</v>
      </c>
      <c r="J87">
        <v>0</v>
      </c>
      <c r="K87">
        <v>1.19</v>
      </c>
      <c r="L87">
        <v>0</v>
      </c>
      <c r="M87">
        <v>0</v>
      </c>
      <c r="N87">
        <v>20</v>
      </c>
      <c r="O87">
        <v>3.82</v>
      </c>
      <c r="P87">
        <v>25.01</v>
      </c>
      <c r="Q87" s="18">
        <f>YEAR(A87)</f>
        <v>2024</v>
      </c>
      <c r="R87" s="18">
        <f>MONTH(A87)</f>
        <v>1</v>
      </c>
      <c r="S87" s="18">
        <f>IF(R87&lt;4,Q87-1,Q87)</f>
        <v>2023</v>
      </c>
      <c r="T87" s="18">
        <f>IF(R87&lt;4,R87+9,R87-3)</f>
        <v>10</v>
      </c>
      <c r="U87" s="18">
        <f>IF(LEN(T87)=1,_xlfn.CONCAT(0,T87),T87)</f>
        <v>10</v>
      </c>
      <c r="V87" s="18" t="str">
        <f>_xlfn.CONCAT(S87,U87)</f>
        <v>202310</v>
      </c>
      <c r="W87" s="18" t="str">
        <f>_xlfn.CONCAT(TEXT(A87,"MMM"),"-",MID(Q87,3,2))</f>
        <v>Jan-24</v>
      </c>
      <c r="X87" s="19">
        <f>IFERROR(IF(D87="Sell",(H87-P87),-(H87+P87)),0)</f>
        <v>-2383.0100000000002</v>
      </c>
      <c r="Y87" s="19">
        <f>X87/1000</f>
        <v>-2.3830100000000001</v>
      </c>
    </row>
    <row r="88" spans="1:25" x14ac:dyDescent="0.25">
      <c r="A88" s="1">
        <v>45315</v>
      </c>
      <c r="B88" t="s">
        <v>823</v>
      </c>
      <c r="C88" t="s">
        <v>17</v>
      </c>
      <c r="D88" t="s">
        <v>22</v>
      </c>
      <c r="E88">
        <v>15</v>
      </c>
      <c r="F88">
        <v>0</v>
      </c>
      <c r="G88">
        <v>216.95</v>
      </c>
      <c r="H88">
        <v>3254.25</v>
      </c>
      <c r="I88" t="s">
        <v>827</v>
      </c>
      <c r="J88">
        <v>0</v>
      </c>
      <c r="K88">
        <v>1.64</v>
      </c>
      <c r="L88">
        <v>0</v>
      </c>
      <c r="M88">
        <v>0</v>
      </c>
      <c r="N88">
        <v>20</v>
      </c>
      <c r="O88">
        <v>3.9</v>
      </c>
      <c r="P88">
        <v>25.54</v>
      </c>
      <c r="Q88" s="18">
        <f>YEAR(A88)</f>
        <v>2024</v>
      </c>
      <c r="R88" s="18">
        <f>MONTH(A88)</f>
        <v>1</v>
      </c>
      <c r="S88" s="18">
        <f>IF(R88&lt;4,Q88-1,Q88)</f>
        <v>2023</v>
      </c>
      <c r="T88" s="18">
        <f>IF(R88&lt;4,R88+9,R88-3)</f>
        <v>10</v>
      </c>
      <c r="U88" s="18">
        <f>IF(LEN(T88)=1,_xlfn.CONCAT(0,T88),T88)</f>
        <v>10</v>
      </c>
      <c r="V88" s="18" t="str">
        <f>_xlfn.CONCAT(S88,U88)</f>
        <v>202310</v>
      </c>
      <c r="W88" s="18" t="str">
        <f>_xlfn.CONCAT(TEXT(A88,"MMM"),"-",MID(Q88,3,2))</f>
        <v>Jan-24</v>
      </c>
      <c r="X88" s="19">
        <f>IFERROR(IF(D88="Sell",(H88-P88),-(H88+P88)),0)</f>
        <v>-3279.79</v>
      </c>
      <c r="Y88" s="19">
        <f>X88/1000</f>
        <v>-3.2797899999999998</v>
      </c>
    </row>
    <row r="89" spans="1:25" x14ac:dyDescent="0.25">
      <c r="A89" s="1">
        <v>45316</v>
      </c>
      <c r="B89" t="s">
        <v>796</v>
      </c>
      <c r="C89" t="s">
        <v>17</v>
      </c>
      <c r="D89" t="s">
        <v>18</v>
      </c>
      <c r="E89">
        <v>100</v>
      </c>
      <c r="F89">
        <v>0</v>
      </c>
      <c r="G89">
        <v>57</v>
      </c>
      <c r="H89">
        <v>5700</v>
      </c>
      <c r="I89" t="s">
        <v>797</v>
      </c>
      <c r="J89">
        <v>3.56</v>
      </c>
      <c r="K89">
        <v>2.88</v>
      </c>
      <c r="L89">
        <v>0</v>
      </c>
      <c r="M89">
        <v>0.01</v>
      </c>
      <c r="N89">
        <v>40</v>
      </c>
      <c r="O89">
        <v>7.72</v>
      </c>
      <c r="P89">
        <v>54.17</v>
      </c>
      <c r="Q89" s="18">
        <f>YEAR(A89)</f>
        <v>2024</v>
      </c>
      <c r="R89" s="18">
        <f>MONTH(A89)</f>
        <v>1</v>
      </c>
      <c r="S89" s="18">
        <f>IF(R89&lt;4,Q89-1,Q89)</f>
        <v>2023</v>
      </c>
      <c r="T89" s="18">
        <f>IF(R89&lt;4,R89+9,R89-3)</f>
        <v>10</v>
      </c>
      <c r="U89" s="18">
        <f>IF(LEN(T89)=1,_xlfn.CONCAT(0,T89),T89)</f>
        <v>10</v>
      </c>
      <c r="V89" s="18" t="str">
        <f>_xlfn.CONCAT(S89,U89)</f>
        <v>202310</v>
      </c>
      <c r="W89" s="18" t="str">
        <f>_xlfn.CONCAT(TEXT(A89,"MMM"),"-",MID(Q89,3,2))</f>
        <v>Jan-24</v>
      </c>
      <c r="X89" s="19">
        <f>IFERROR(IF(D89="Sell",(H89-P89),-(H89+P89)),0)</f>
        <v>5645.83</v>
      </c>
      <c r="Y89" s="19">
        <f>X89/1000</f>
        <v>5.6458300000000001</v>
      </c>
    </row>
    <row r="90" spans="1:25" x14ac:dyDescent="0.25">
      <c r="A90" s="1">
        <v>45316</v>
      </c>
      <c r="B90" t="s">
        <v>796</v>
      </c>
      <c r="C90" t="s">
        <v>17</v>
      </c>
      <c r="D90" t="s">
        <v>22</v>
      </c>
      <c r="E90">
        <v>100</v>
      </c>
      <c r="F90">
        <v>0</v>
      </c>
      <c r="G90">
        <v>44.85</v>
      </c>
      <c r="H90">
        <v>4485</v>
      </c>
      <c r="I90" t="s">
        <v>798</v>
      </c>
      <c r="J90">
        <v>0</v>
      </c>
      <c r="K90">
        <v>2.2599999999999998</v>
      </c>
      <c r="L90">
        <v>0.37</v>
      </c>
      <c r="M90">
        <v>0</v>
      </c>
      <c r="N90">
        <v>40</v>
      </c>
      <c r="O90">
        <v>7.6</v>
      </c>
      <c r="P90">
        <v>50.23</v>
      </c>
      <c r="Q90" s="18">
        <f>YEAR(A90)</f>
        <v>2024</v>
      </c>
      <c r="R90" s="18">
        <f>MONTH(A90)</f>
        <v>1</v>
      </c>
      <c r="S90" s="18">
        <f>IF(R90&lt;4,Q90-1,Q90)</f>
        <v>2023</v>
      </c>
      <c r="T90" s="18">
        <f>IF(R90&lt;4,R90+9,R90-3)</f>
        <v>10</v>
      </c>
      <c r="U90" s="18">
        <f>IF(LEN(T90)=1,_xlfn.CONCAT(0,T90),T90)</f>
        <v>10</v>
      </c>
      <c r="V90" s="18" t="str">
        <f>_xlfn.CONCAT(S90,U90)</f>
        <v>202310</v>
      </c>
      <c r="W90" s="18" t="str">
        <f>_xlfn.CONCAT(TEXT(A90,"MMM"),"-",MID(Q90,3,2))</f>
        <v>Jan-24</v>
      </c>
      <c r="X90" s="19">
        <f>IFERROR(IF(D90="Sell",(H90-P90),-(H90+P90)),0)</f>
        <v>-4535.2299999999996</v>
      </c>
      <c r="Y90" s="19">
        <f>X90/1000</f>
        <v>-4.5352299999999994</v>
      </c>
    </row>
    <row r="91" spans="1:25" x14ac:dyDescent="0.25">
      <c r="A91" s="1">
        <v>45316</v>
      </c>
      <c r="B91" t="s">
        <v>796</v>
      </c>
      <c r="C91" t="s">
        <v>17</v>
      </c>
      <c r="D91" t="s">
        <v>18</v>
      </c>
      <c r="E91">
        <v>200</v>
      </c>
      <c r="F91">
        <v>0</v>
      </c>
      <c r="G91">
        <v>55</v>
      </c>
      <c r="H91">
        <v>11000</v>
      </c>
      <c r="I91" t="s">
        <v>799</v>
      </c>
      <c r="J91">
        <v>6.88</v>
      </c>
      <c r="K91">
        <v>5.56</v>
      </c>
      <c r="L91">
        <v>0</v>
      </c>
      <c r="M91">
        <v>0.01</v>
      </c>
      <c r="N91">
        <v>80</v>
      </c>
      <c r="O91">
        <v>15.42</v>
      </c>
      <c r="P91">
        <v>107.87</v>
      </c>
      <c r="Q91" s="18">
        <f>YEAR(A91)</f>
        <v>2024</v>
      </c>
      <c r="R91" s="18">
        <f>MONTH(A91)</f>
        <v>1</v>
      </c>
      <c r="S91" s="18">
        <f>IF(R91&lt;4,Q91-1,Q91)</f>
        <v>2023</v>
      </c>
      <c r="T91" s="18">
        <f>IF(R91&lt;4,R91+9,R91-3)</f>
        <v>10</v>
      </c>
      <c r="U91" s="18">
        <f>IF(LEN(T91)=1,_xlfn.CONCAT(0,T91),T91)</f>
        <v>10</v>
      </c>
      <c r="V91" s="18" t="str">
        <f>_xlfn.CONCAT(S91,U91)</f>
        <v>202310</v>
      </c>
      <c r="W91" s="18" t="str">
        <f>_xlfn.CONCAT(TEXT(A91,"MMM"),"-",MID(Q91,3,2))</f>
        <v>Jan-24</v>
      </c>
      <c r="X91" s="19">
        <f>IFERROR(IF(D91="Sell",(H91-P91),-(H91+P91)),0)</f>
        <v>10892.13</v>
      </c>
      <c r="Y91" s="19">
        <f>X91/1000</f>
        <v>10.89213</v>
      </c>
    </row>
    <row r="92" spans="1:25" x14ac:dyDescent="0.25">
      <c r="A92" s="1">
        <v>45316</v>
      </c>
      <c r="B92" t="s">
        <v>796</v>
      </c>
      <c r="C92" t="s">
        <v>17</v>
      </c>
      <c r="D92" t="s">
        <v>22</v>
      </c>
      <c r="E92">
        <v>200</v>
      </c>
      <c r="F92">
        <v>0</v>
      </c>
      <c r="G92">
        <v>45.4</v>
      </c>
      <c r="H92">
        <v>9080</v>
      </c>
      <c r="I92" t="s">
        <v>800</v>
      </c>
      <c r="J92">
        <v>0</v>
      </c>
      <c r="K92">
        <v>4.59</v>
      </c>
      <c r="L92">
        <v>0</v>
      </c>
      <c r="M92">
        <v>0</v>
      </c>
      <c r="N92">
        <v>80</v>
      </c>
      <c r="O92">
        <v>15.22</v>
      </c>
      <c r="P92">
        <v>99.81</v>
      </c>
      <c r="Q92" s="18">
        <f>YEAR(A92)</f>
        <v>2024</v>
      </c>
      <c r="R92" s="18">
        <f>MONTH(A92)</f>
        <v>1</v>
      </c>
      <c r="S92" s="18">
        <f>IF(R92&lt;4,Q92-1,Q92)</f>
        <v>2023</v>
      </c>
      <c r="T92" s="18">
        <f>IF(R92&lt;4,R92+9,R92-3)</f>
        <v>10</v>
      </c>
      <c r="U92" s="18">
        <f>IF(LEN(T92)=1,_xlfn.CONCAT(0,T92),T92)</f>
        <v>10</v>
      </c>
      <c r="V92" s="18" t="str">
        <f>_xlfn.CONCAT(S92,U92)</f>
        <v>202310</v>
      </c>
      <c r="W92" s="18" t="str">
        <f>_xlfn.CONCAT(TEXT(A92,"MMM"),"-",MID(Q92,3,2))</f>
        <v>Jan-24</v>
      </c>
      <c r="X92" s="19">
        <f>IFERROR(IF(D92="Sell",(H92-P92),-(H92+P92)),0)</f>
        <v>-9179.81</v>
      </c>
      <c r="Y92" s="19">
        <f>X92/1000</f>
        <v>-9.1798099999999998</v>
      </c>
    </row>
    <row r="93" spans="1:25" x14ac:dyDescent="0.25">
      <c r="A93" s="1">
        <v>45316</v>
      </c>
      <c r="B93" t="s">
        <v>801</v>
      </c>
      <c r="C93" t="s">
        <v>17</v>
      </c>
      <c r="D93" t="s">
        <v>18</v>
      </c>
      <c r="E93">
        <v>300</v>
      </c>
      <c r="F93">
        <v>0</v>
      </c>
      <c r="G93">
        <v>14.15</v>
      </c>
      <c r="H93">
        <v>4245</v>
      </c>
      <c r="I93" t="s">
        <v>802</v>
      </c>
      <c r="J93">
        <v>2.65</v>
      </c>
      <c r="K93">
        <v>2.15</v>
      </c>
      <c r="L93">
        <v>0</v>
      </c>
      <c r="M93">
        <v>0</v>
      </c>
      <c r="N93">
        <v>120</v>
      </c>
      <c r="O93">
        <v>21.98</v>
      </c>
      <c r="P93">
        <v>146.78</v>
      </c>
      <c r="Q93" s="18">
        <f>YEAR(A93)</f>
        <v>2024</v>
      </c>
      <c r="R93" s="18">
        <f>MONTH(A93)</f>
        <v>1</v>
      </c>
      <c r="S93" s="18">
        <f>IF(R93&lt;4,Q93-1,Q93)</f>
        <v>2023</v>
      </c>
      <c r="T93" s="18">
        <f>IF(R93&lt;4,R93+9,R93-3)</f>
        <v>10</v>
      </c>
      <c r="U93" s="18">
        <f>IF(LEN(T93)=1,_xlfn.CONCAT(0,T93),T93)</f>
        <v>10</v>
      </c>
      <c r="V93" s="18" t="str">
        <f>_xlfn.CONCAT(S93,U93)</f>
        <v>202310</v>
      </c>
      <c r="W93" s="18" t="str">
        <f>_xlfn.CONCAT(TEXT(A93,"MMM"),"-",MID(Q93,3,2))</f>
        <v>Jan-24</v>
      </c>
      <c r="X93" s="19">
        <f>IFERROR(IF(D93="Sell",(H93-P93),-(H93+P93)),0)</f>
        <v>4098.22</v>
      </c>
      <c r="Y93" s="19">
        <f>X93/1000</f>
        <v>4.0982200000000004</v>
      </c>
    </row>
    <row r="94" spans="1:25" x14ac:dyDescent="0.25">
      <c r="A94" s="1">
        <v>45316</v>
      </c>
      <c r="B94" t="s">
        <v>801</v>
      </c>
      <c r="C94" t="s">
        <v>17</v>
      </c>
      <c r="D94" t="s">
        <v>22</v>
      </c>
      <c r="E94">
        <v>100</v>
      </c>
      <c r="F94">
        <v>0</v>
      </c>
      <c r="G94">
        <v>19.75</v>
      </c>
      <c r="H94">
        <v>1975</v>
      </c>
      <c r="I94" t="s">
        <v>803</v>
      </c>
      <c r="J94">
        <v>0</v>
      </c>
      <c r="K94">
        <v>1</v>
      </c>
      <c r="L94">
        <v>0</v>
      </c>
      <c r="M94">
        <v>0</v>
      </c>
      <c r="N94">
        <v>40</v>
      </c>
      <c r="O94">
        <v>7.38</v>
      </c>
      <c r="P94">
        <v>48.38</v>
      </c>
      <c r="Q94" s="18">
        <f>YEAR(A94)</f>
        <v>2024</v>
      </c>
      <c r="R94" s="18">
        <f>MONTH(A94)</f>
        <v>1</v>
      </c>
      <c r="S94" s="18">
        <f>IF(R94&lt;4,Q94-1,Q94)</f>
        <v>2023</v>
      </c>
      <c r="T94" s="18">
        <f>IF(R94&lt;4,R94+9,R94-3)</f>
        <v>10</v>
      </c>
      <c r="U94" s="18">
        <f>IF(LEN(T94)=1,_xlfn.CONCAT(0,T94),T94)</f>
        <v>10</v>
      </c>
      <c r="V94" s="18" t="str">
        <f>_xlfn.CONCAT(S94,U94)</f>
        <v>202310</v>
      </c>
      <c r="W94" s="18" t="str">
        <f>_xlfn.CONCAT(TEXT(A94,"MMM"),"-",MID(Q94,3,2))</f>
        <v>Jan-24</v>
      </c>
      <c r="X94" s="19">
        <f>IFERROR(IF(D94="Sell",(H94-P94),-(H94+P94)),0)</f>
        <v>-2023.38</v>
      </c>
      <c r="Y94" s="19">
        <f>X94/1000</f>
        <v>-2.02338</v>
      </c>
    </row>
    <row r="95" spans="1:25" x14ac:dyDescent="0.25">
      <c r="A95" s="1">
        <v>45316</v>
      </c>
      <c r="B95" t="s">
        <v>801</v>
      </c>
      <c r="C95" t="s">
        <v>17</v>
      </c>
      <c r="D95" t="s">
        <v>22</v>
      </c>
      <c r="E95">
        <v>100</v>
      </c>
      <c r="F95">
        <v>0</v>
      </c>
      <c r="G95">
        <v>19.8</v>
      </c>
      <c r="H95">
        <v>1980</v>
      </c>
      <c r="I95" t="s">
        <v>804</v>
      </c>
      <c r="J95">
        <v>0</v>
      </c>
      <c r="K95">
        <v>1</v>
      </c>
      <c r="L95">
        <v>0.4</v>
      </c>
      <c r="M95">
        <v>0</v>
      </c>
      <c r="N95">
        <v>40</v>
      </c>
      <c r="O95">
        <v>7.38</v>
      </c>
      <c r="P95">
        <v>48.78</v>
      </c>
      <c r="Q95" s="18">
        <f>YEAR(A95)</f>
        <v>2024</v>
      </c>
      <c r="R95" s="18">
        <f>MONTH(A95)</f>
        <v>1</v>
      </c>
      <c r="S95" s="18">
        <f>IF(R95&lt;4,Q95-1,Q95)</f>
        <v>2023</v>
      </c>
      <c r="T95" s="18">
        <f>IF(R95&lt;4,R95+9,R95-3)</f>
        <v>10</v>
      </c>
      <c r="U95" s="18">
        <f>IF(LEN(T95)=1,_xlfn.CONCAT(0,T95),T95)</f>
        <v>10</v>
      </c>
      <c r="V95" s="18" t="str">
        <f>_xlfn.CONCAT(S95,U95)</f>
        <v>202310</v>
      </c>
      <c r="W95" s="18" t="str">
        <f>_xlfn.CONCAT(TEXT(A95,"MMM"),"-",MID(Q95,3,2))</f>
        <v>Jan-24</v>
      </c>
      <c r="X95" s="19">
        <f>IFERROR(IF(D95="Sell",(H95-P95),-(H95+P95)),0)</f>
        <v>-2028.78</v>
      </c>
      <c r="Y95" s="19">
        <f>X95/1000</f>
        <v>-2.0287799999999998</v>
      </c>
    </row>
    <row r="96" spans="1:25" x14ac:dyDescent="0.25">
      <c r="A96" s="1">
        <v>45316</v>
      </c>
      <c r="B96" t="s">
        <v>801</v>
      </c>
      <c r="C96" t="s">
        <v>17</v>
      </c>
      <c r="D96" t="s">
        <v>22</v>
      </c>
      <c r="E96">
        <v>100</v>
      </c>
      <c r="F96">
        <v>0</v>
      </c>
      <c r="G96">
        <v>21.55</v>
      </c>
      <c r="H96">
        <v>2155</v>
      </c>
      <c r="I96" t="s">
        <v>805</v>
      </c>
      <c r="J96">
        <v>0</v>
      </c>
      <c r="K96">
        <v>1.0900000000000001</v>
      </c>
      <c r="L96">
        <v>0</v>
      </c>
      <c r="M96">
        <v>0</v>
      </c>
      <c r="N96">
        <v>40</v>
      </c>
      <c r="O96">
        <v>7.4</v>
      </c>
      <c r="P96">
        <v>48.49</v>
      </c>
      <c r="Q96" s="18">
        <f>YEAR(A96)</f>
        <v>2024</v>
      </c>
      <c r="R96" s="18">
        <f>MONTH(A96)</f>
        <v>1</v>
      </c>
      <c r="S96" s="18">
        <f>IF(R96&lt;4,Q96-1,Q96)</f>
        <v>2023</v>
      </c>
      <c r="T96" s="18">
        <f>IF(R96&lt;4,R96+9,R96-3)</f>
        <v>10</v>
      </c>
      <c r="U96" s="18">
        <f>IF(LEN(T96)=1,_xlfn.CONCAT(0,T96),T96)</f>
        <v>10</v>
      </c>
      <c r="V96" s="18" t="str">
        <f>_xlfn.CONCAT(S96,U96)</f>
        <v>202310</v>
      </c>
      <c r="W96" s="18" t="str">
        <f>_xlfn.CONCAT(TEXT(A96,"MMM"),"-",MID(Q96,3,2))</f>
        <v>Jan-24</v>
      </c>
      <c r="X96" s="19">
        <f>IFERROR(IF(D96="Sell",(H96-P96),-(H96+P96)),0)</f>
        <v>-2203.4899999999998</v>
      </c>
      <c r="Y96" s="19">
        <f>X96/1000</f>
        <v>-2.2034899999999999</v>
      </c>
    </row>
    <row r="97" spans="1:25" x14ac:dyDescent="0.25">
      <c r="A97" s="1">
        <v>45316</v>
      </c>
      <c r="B97" t="s">
        <v>801</v>
      </c>
      <c r="C97" t="s">
        <v>17</v>
      </c>
      <c r="D97" t="s">
        <v>18</v>
      </c>
      <c r="E97">
        <v>100</v>
      </c>
      <c r="F97">
        <v>0</v>
      </c>
      <c r="G97">
        <v>15.95</v>
      </c>
      <c r="H97">
        <v>1595</v>
      </c>
      <c r="I97" t="s">
        <v>806</v>
      </c>
      <c r="J97">
        <v>1</v>
      </c>
      <c r="K97">
        <v>0.81</v>
      </c>
      <c r="L97">
        <v>0</v>
      </c>
      <c r="M97">
        <v>0</v>
      </c>
      <c r="N97">
        <v>40</v>
      </c>
      <c r="O97">
        <v>7.34</v>
      </c>
      <c r="P97">
        <v>49.15</v>
      </c>
      <c r="Q97" s="18">
        <f>YEAR(A97)</f>
        <v>2024</v>
      </c>
      <c r="R97" s="18">
        <f>MONTH(A97)</f>
        <v>1</v>
      </c>
      <c r="S97" s="18">
        <f>IF(R97&lt;4,Q97-1,Q97)</f>
        <v>2023</v>
      </c>
      <c r="T97" s="18">
        <f>IF(R97&lt;4,R97+9,R97-3)</f>
        <v>10</v>
      </c>
      <c r="U97" s="18">
        <f>IF(LEN(T97)=1,_xlfn.CONCAT(0,T97),T97)</f>
        <v>10</v>
      </c>
      <c r="V97" s="18" t="str">
        <f>_xlfn.CONCAT(S97,U97)</f>
        <v>202310</v>
      </c>
      <c r="W97" s="18" t="str">
        <f>_xlfn.CONCAT(TEXT(A97,"MMM"),"-",MID(Q97,3,2))</f>
        <v>Jan-24</v>
      </c>
      <c r="X97" s="19">
        <f>IFERROR(IF(D97="Sell",(H97-P97),-(H97+P97)),0)</f>
        <v>1545.85</v>
      </c>
      <c r="Y97" s="19">
        <f>X97/1000</f>
        <v>1.5458499999999999</v>
      </c>
    </row>
    <row r="98" spans="1:25" x14ac:dyDescent="0.25">
      <c r="A98" s="1">
        <v>45316</v>
      </c>
      <c r="B98" t="s">
        <v>801</v>
      </c>
      <c r="C98" t="s">
        <v>17</v>
      </c>
      <c r="D98" t="s">
        <v>22</v>
      </c>
      <c r="E98">
        <v>100</v>
      </c>
      <c r="F98">
        <v>0</v>
      </c>
      <c r="G98">
        <v>26.65</v>
      </c>
      <c r="H98">
        <v>2665</v>
      </c>
      <c r="I98" t="s">
        <v>807</v>
      </c>
      <c r="J98">
        <v>0</v>
      </c>
      <c r="K98">
        <v>1.35</v>
      </c>
      <c r="L98">
        <v>0</v>
      </c>
      <c r="M98">
        <v>0</v>
      </c>
      <c r="N98">
        <v>40</v>
      </c>
      <c r="O98">
        <v>7.44</v>
      </c>
      <c r="P98">
        <v>48.79</v>
      </c>
      <c r="Q98" s="18">
        <f>YEAR(A98)</f>
        <v>2024</v>
      </c>
      <c r="R98" s="18">
        <f>MONTH(A98)</f>
        <v>1</v>
      </c>
      <c r="S98" s="18">
        <f>IF(R98&lt;4,Q98-1,Q98)</f>
        <v>2023</v>
      </c>
      <c r="T98" s="18">
        <f>IF(R98&lt;4,R98+9,R98-3)</f>
        <v>10</v>
      </c>
      <c r="U98" s="18">
        <f>IF(LEN(T98)=1,_xlfn.CONCAT(0,T98),T98)</f>
        <v>10</v>
      </c>
      <c r="V98" s="18" t="str">
        <f>_xlfn.CONCAT(S98,U98)</f>
        <v>202310</v>
      </c>
      <c r="W98" s="18" t="str">
        <f>_xlfn.CONCAT(TEXT(A98,"MMM"),"-",MID(Q98,3,2))</f>
        <v>Jan-24</v>
      </c>
      <c r="X98" s="19">
        <f>IFERROR(IF(D98="Sell",(H98-P98),-(H98+P98)),0)</f>
        <v>-2713.79</v>
      </c>
      <c r="Y98" s="19">
        <f>X98/1000</f>
        <v>-2.7137899999999999</v>
      </c>
    </row>
    <row r="99" spans="1:25" x14ac:dyDescent="0.25">
      <c r="A99" s="1">
        <v>45316</v>
      </c>
      <c r="B99" t="s">
        <v>808</v>
      </c>
      <c r="C99" t="s">
        <v>17</v>
      </c>
      <c r="D99" t="s">
        <v>18</v>
      </c>
      <c r="E99">
        <v>50</v>
      </c>
      <c r="F99">
        <v>0</v>
      </c>
      <c r="G99">
        <v>116.1</v>
      </c>
      <c r="H99">
        <v>5805</v>
      </c>
      <c r="I99" t="s">
        <v>809</v>
      </c>
      <c r="J99">
        <v>3.63</v>
      </c>
      <c r="K99">
        <v>2.93</v>
      </c>
      <c r="L99">
        <v>0</v>
      </c>
      <c r="M99">
        <v>0.01</v>
      </c>
      <c r="N99">
        <v>20</v>
      </c>
      <c r="O99">
        <v>4.12</v>
      </c>
      <c r="P99">
        <v>30.69</v>
      </c>
      <c r="Q99" s="18">
        <f>YEAR(A99)</f>
        <v>2024</v>
      </c>
      <c r="R99" s="18">
        <f>MONTH(A99)</f>
        <v>1</v>
      </c>
      <c r="S99" s="18">
        <f>IF(R99&lt;4,Q99-1,Q99)</f>
        <v>2023</v>
      </c>
      <c r="T99" s="18">
        <f>IF(R99&lt;4,R99+9,R99-3)</f>
        <v>10</v>
      </c>
      <c r="U99" s="18">
        <f>IF(LEN(T99)=1,_xlfn.CONCAT(0,T99),T99)</f>
        <v>10</v>
      </c>
      <c r="V99" s="18" t="str">
        <f>_xlfn.CONCAT(S99,U99)</f>
        <v>202310</v>
      </c>
      <c r="W99" s="18" t="str">
        <f>_xlfn.CONCAT(TEXT(A99,"MMM"),"-",MID(Q99,3,2))</f>
        <v>Jan-24</v>
      </c>
      <c r="X99" s="19">
        <f>IFERROR(IF(D99="Sell",(H99-P99),-(H99+P99)),0)</f>
        <v>5774.31</v>
      </c>
      <c r="Y99" s="19">
        <f>X99/1000</f>
        <v>5.7743100000000007</v>
      </c>
    </row>
    <row r="100" spans="1:25" x14ac:dyDescent="0.25">
      <c r="A100" s="1">
        <v>45316</v>
      </c>
      <c r="B100" t="s">
        <v>801</v>
      </c>
      <c r="C100" t="s">
        <v>17</v>
      </c>
      <c r="D100" t="s">
        <v>18</v>
      </c>
      <c r="E100">
        <v>50</v>
      </c>
      <c r="F100">
        <v>0</v>
      </c>
      <c r="G100">
        <v>32.75</v>
      </c>
      <c r="H100">
        <v>1637.5</v>
      </c>
      <c r="I100" t="s">
        <v>810</v>
      </c>
      <c r="J100">
        <v>1.02</v>
      </c>
      <c r="K100">
        <v>0.83</v>
      </c>
      <c r="L100">
        <v>0</v>
      </c>
      <c r="M100">
        <v>0</v>
      </c>
      <c r="N100">
        <v>20</v>
      </c>
      <c r="O100">
        <v>3.74</v>
      </c>
      <c r="P100">
        <v>25.59</v>
      </c>
      <c r="Q100" s="18">
        <f>YEAR(A100)</f>
        <v>2024</v>
      </c>
      <c r="R100" s="18">
        <f>MONTH(A100)</f>
        <v>1</v>
      </c>
      <c r="S100" s="18">
        <f>IF(R100&lt;4,Q100-1,Q100)</f>
        <v>2023</v>
      </c>
      <c r="T100" s="18">
        <f>IF(R100&lt;4,R100+9,R100-3)</f>
        <v>10</v>
      </c>
      <c r="U100" s="18">
        <f>IF(LEN(T100)=1,_xlfn.CONCAT(0,T100),T100)</f>
        <v>10</v>
      </c>
      <c r="V100" s="18" t="str">
        <f>_xlfn.CONCAT(S100,U100)</f>
        <v>202310</v>
      </c>
      <c r="W100" s="18" t="str">
        <f>_xlfn.CONCAT(TEXT(A100,"MMM"),"-",MID(Q100,3,2))</f>
        <v>Jan-24</v>
      </c>
      <c r="X100" s="19">
        <f>IFERROR(IF(D100="Sell",(H100-P100),-(H100+P100)),0)</f>
        <v>1611.91</v>
      </c>
      <c r="Y100" s="19">
        <f>X100/1000</f>
        <v>1.6119100000000002</v>
      </c>
    </row>
    <row r="101" spans="1:25" x14ac:dyDescent="0.25">
      <c r="A101" s="1">
        <v>45316</v>
      </c>
      <c r="B101" t="s">
        <v>808</v>
      </c>
      <c r="C101" t="s">
        <v>17</v>
      </c>
      <c r="D101" t="s">
        <v>22</v>
      </c>
      <c r="E101">
        <v>50</v>
      </c>
      <c r="F101">
        <v>0</v>
      </c>
      <c r="G101">
        <v>83.7</v>
      </c>
      <c r="H101">
        <v>4185</v>
      </c>
      <c r="I101" t="s">
        <v>811</v>
      </c>
      <c r="J101">
        <v>0</v>
      </c>
      <c r="K101">
        <v>2.11</v>
      </c>
      <c r="L101">
        <v>0</v>
      </c>
      <c r="M101">
        <v>0</v>
      </c>
      <c r="N101">
        <v>20</v>
      </c>
      <c r="O101">
        <v>3.98</v>
      </c>
      <c r="P101">
        <v>26.09</v>
      </c>
      <c r="Q101" s="18">
        <f>YEAR(A101)</f>
        <v>2024</v>
      </c>
      <c r="R101" s="18">
        <f>MONTH(A101)</f>
        <v>1</v>
      </c>
      <c r="S101" s="18">
        <f>IF(R101&lt;4,Q101-1,Q101)</f>
        <v>2023</v>
      </c>
      <c r="T101" s="18">
        <f>IF(R101&lt;4,R101+9,R101-3)</f>
        <v>10</v>
      </c>
      <c r="U101" s="18">
        <f>IF(LEN(T101)=1,_xlfn.CONCAT(0,T101),T101)</f>
        <v>10</v>
      </c>
      <c r="V101" s="18" t="str">
        <f>_xlfn.CONCAT(S101,U101)</f>
        <v>202310</v>
      </c>
      <c r="W101" s="18" t="str">
        <f>_xlfn.CONCAT(TEXT(A101,"MMM"),"-",MID(Q101,3,2))</f>
        <v>Jan-24</v>
      </c>
      <c r="X101" s="19">
        <f>IFERROR(IF(D101="Sell",(H101-P101),-(H101+P101)),0)</f>
        <v>-4211.09</v>
      </c>
      <c r="Y101" s="19">
        <f>X101/1000</f>
        <v>-4.2110900000000004</v>
      </c>
    </row>
    <row r="102" spans="1:25" x14ac:dyDescent="0.25">
      <c r="A102" s="1">
        <v>45316</v>
      </c>
      <c r="B102" t="s">
        <v>808</v>
      </c>
      <c r="C102" t="s">
        <v>17</v>
      </c>
      <c r="D102" t="s">
        <v>18</v>
      </c>
      <c r="E102">
        <v>50</v>
      </c>
      <c r="F102">
        <v>0</v>
      </c>
      <c r="G102">
        <v>72.400000000000006</v>
      </c>
      <c r="H102">
        <v>3620</v>
      </c>
      <c r="I102" t="s">
        <v>812</v>
      </c>
      <c r="J102">
        <v>2.2599999999999998</v>
      </c>
      <c r="K102">
        <v>1.83</v>
      </c>
      <c r="L102">
        <v>0</v>
      </c>
      <c r="M102">
        <v>0</v>
      </c>
      <c r="N102">
        <v>20</v>
      </c>
      <c r="O102">
        <v>3.92</v>
      </c>
      <c r="P102">
        <v>28.01</v>
      </c>
      <c r="Q102" s="18">
        <f>YEAR(A102)</f>
        <v>2024</v>
      </c>
      <c r="R102" s="18">
        <f>MONTH(A102)</f>
        <v>1</v>
      </c>
      <c r="S102" s="18">
        <f>IF(R102&lt;4,Q102-1,Q102)</f>
        <v>2023</v>
      </c>
      <c r="T102" s="18">
        <f>IF(R102&lt;4,R102+9,R102-3)</f>
        <v>10</v>
      </c>
      <c r="U102" s="18">
        <f>IF(LEN(T102)=1,_xlfn.CONCAT(0,T102),T102)</f>
        <v>10</v>
      </c>
      <c r="V102" s="18" t="str">
        <f>_xlfn.CONCAT(S102,U102)</f>
        <v>202310</v>
      </c>
      <c r="W102" s="18" t="str">
        <f>_xlfn.CONCAT(TEXT(A102,"MMM"),"-",MID(Q102,3,2))</f>
        <v>Jan-24</v>
      </c>
      <c r="X102" s="19">
        <f>IFERROR(IF(D102="Sell",(H102-P102),-(H102+P102)),0)</f>
        <v>3591.99</v>
      </c>
      <c r="Y102" s="19">
        <f>X102/1000</f>
        <v>3.5919899999999996</v>
      </c>
    </row>
    <row r="103" spans="1:25" x14ac:dyDescent="0.25">
      <c r="A103" s="1">
        <v>45316</v>
      </c>
      <c r="B103" t="s">
        <v>808</v>
      </c>
      <c r="C103" t="s">
        <v>17</v>
      </c>
      <c r="D103" t="s">
        <v>22</v>
      </c>
      <c r="E103">
        <v>50</v>
      </c>
      <c r="F103">
        <v>0</v>
      </c>
      <c r="G103">
        <v>67.95</v>
      </c>
      <c r="H103">
        <v>3397.5</v>
      </c>
      <c r="I103" t="s">
        <v>813</v>
      </c>
      <c r="J103">
        <v>0</v>
      </c>
      <c r="K103">
        <v>1.72</v>
      </c>
      <c r="L103">
        <v>0.23</v>
      </c>
      <c r="M103">
        <v>0</v>
      </c>
      <c r="N103">
        <v>20</v>
      </c>
      <c r="O103">
        <v>3.9</v>
      </c>
      <c r="P103">
        <v>25.85</v>
      </c>
      <c r="Q103" s="18">
        <f>YEAR(A103)</f>
        <v>2024</v>
      </c>
      <c r="R103" s="18">
        <f>MONTH(A103)</f>
        <v>1</v>
      </c>
      <c r="S103" s="18">
        <f>IF(R103&lt;4,Q103-1,Q103)</f>
        <v>2023</v>
      </c>
      <c r="T103" s="18">
        <f>IF(R103&lt;4,R103+9,R103-3)</f>
        <v>10</v>
      </c>
      <c r="U103" s="18">
        <f>IF(LEN(T103)=1,_xlfn.CONCAT(0,T103),T103)</f>
        <v>10</v>
      </c>
      <c r="V103" s="18" t="str">
        <f>_xlfn.CONCAT(S103,U103)</f>
        <v>202310</v>
      </c>
      <c r="W103" s="18" t="str">
        <f>_xlfn.CONCAT(TEXT(A103,"MMM"),"-",MID(Q103,3,2))</f>
        <v>Jan-24</v>
      </c>
      <c r="X103" s="19">
        <f>IFERROR(IF(D103="Sell",(H103-P103),-(H103+P103)),0)</f>
        <v>-3423.35</v>
      </c>
      <c r="Y103" s="19">
        <f>X103/1000</f>
        <v>-3.4233500000000001</v>
      </c>
    </row>
    <row r="104" spans="1:25" x14ac:dyDescent="0.25">
      <c r="A104" s="1">
        <v>45316</v>
      </c>
      <c r="B104" t="s">
        <v>801</v>
      </c>
      <c r="C104" t="s">
        <v>17</v>
      </c>
      <c r="D104" t="s">
        <v>22</v>
      </c>
      <c r="E104">
        <v>50</v>
      </c>
      <c r="F104">
        <v>0</v>
      </c>
      <c r="G104">
        <v>89.05</v>
      </c>
      <c r="H104">
        <v>4452.5</v>
      </c>
      <c r="I104" t="s">
        <v>814</v>
      </c>
      <c r="J104">
        <v>0</v>
      </c>
      <c r="K104">
        <v>2.25</v>
      </c>
      <c r="L104">
        <v>0</v>
      </c>
      <c r="M104">
        <v>0</v>
      </c>
      <c r="N104">
        <v>20</v>
      </c>
      <c r="O104">
        <v>4</v>
      </c>
      <c r="P104">
        <v>26.25</v>
      </c>
      <c r="Q104" s="18">
        <f>YEAR(A104)</f>
        <v>2024</v>
      </c>
      <c r="R104" s="18">
        <f>MONTH(A104)</f>
        <v>1</v>
      </c>
      <c r="S104" s="18">
        <f>IF(R104&lt;4,Q104-1,Q104)</f>
        <v>2023</v>
      </c>
      <c r="T104" s="18">
        <f>IF(R104&lt;4,R104+9,R104-3)</f>
        <v>10</v>
      </c>
      <c r="U104" s="18">
        <f>IF(LEN(T104)=1,_xlfn.CONCAT(0,T104),T104)</f>
        <v>10</v>
      </c>
      <c r="V104" s="18" t="str">
        <f>_xlfn.CONCAT(S104,U104)</f>
        <v>202310</v>
      </c>
      <c r="W104" s="18" t="str">
        <f>_xlfn.CONCAT(TEXT(A104,"MMM"),"-",MID(Q104,3,2))</f>
        <v>Jan-24</v>
      </c>
      <c r="X104" s="19">
        <f>IFERROR(IF(D104="Sell",(H104-P104),-(H104+P104)),0)</f>
        <v>-4478.75</v>
      </c>
      <c r="Y104" s="19">
        <f>X104/1000</f>
        <v>-4.4787499999999998</v>
      </c>
    </row>
    <row r="105" spans="1:25" x14ac:dyDescent="0.25">
      <c r="A105" s="1">
        <v>45320</v>
      </c>
      <c r="B105" t="s">
        <v>779</v>
      </c>
      <c r="C105" t="s">
        <v>17</v>
      </c>
      <c r="D105" t="s">
        <v>18</v>
      </c>
      <c r="E105">
        <v>50</v>
      </c>
      <c r="F105">
        <v>0</v>
      </c>
      <c r="G105">
        <v>88.4</v>
      </c>
      <c r="H105">
        <v>4420</v>
      </c>
      <c r="I105" t="s">
        <v>780</v>
      </c>
      <c r="J105">
        <v>2.76</v>
      </c>
      <c r="K105">
        <v>2.23</v>
      </c>
      <c r="L105">
        <v>0</v>
      </c>
      <c r="M105">
        <v>0</v>
      </c>
      <c r="N105">
        <v>20</v>
      </c>
      <c r="O105">
        <v>4</v>
      </c>
      <c r="P105">
        <v>28.99</v>
      </c>
      <c r="Q105" s="18">
        <f>YEAR(A105)</f>
        <v>2024</v>
      </c>
      <c r="R105" s="18">
        <f>MONTH(A105)</f>
        <v>1</v>
      </c>
      <c r="S105" s="18">
        <f>IF(R105&lt;4,Q105-1,Q105)</f>
        <v>2023</v>
      </c>
      <c r="T105" s="18">
        <f>IF(R105&lt;4,R105+9,R105-3)</f>
        <v>10</v>
      </c>
      <c r="U105" s="18">
        <f>IF(LEN(T105)=1,_xlfn.CONCAT(0,T105),T105)</f>
        <v>10</v>
      </c>
      <c r="V105" s="18" t="str">
        <f>_xlfn.CONCAT(S105,U105)</f>
        <v>202310</v>
      </c>
      <c r="W105" s="18" t="str">
        <f>_xlfn.CONCAT(TEXT(A105,"MMM"),"-",MID(Q105,3,2))</f>
        <v>Jan-24</v>
      </c>
      <c r="X105" s="19">
        <f>IFERROR(IF(D105="Sell",(H105-P105),-(H105+P105)),0)</f>
        <v>4391.01</v>
      </c>
      <c r="Y105" s="19">
        <f>X105/1000</f>
        <v>4.3910100000000005</v>
      </c>
    </row>
    <row r="106" spans="1:25" x14ac:dyDescent="0.25">
      <c r="A106" s="1">
        <v>45320</v>
      </c>
      <c r="B106" t="s">
        <v>779</v>
      </c>
      <c r="C106" t="s">
        <v>17</v>
      </c>
      <c r="D106" t="s">
        <v>22</v>
      </c>
      <c r="E106">
        <v>50</v>
      </c>
      <c r="F106">
        <v>0</v>
      </c>
      <c r="G106">
        <v>95</v>
      </c>
      <c r="H106">
        <v>4750</v>
      </c>
      <c r="I106" t="s">
        <v>781</v>
      </c>
      <c r="J106">
        <v>0</v>
      </c>
      <c r="K106">
        <v>2.4</v>
      </c>
      <c r="L106">
        <v>0</v>
      </c>
      <c r="M106">
        <v>0</v>
      </c>
      <c r="N106">
        <v>20</v>
      </c>
      <c r="O106">
        <v>4.04</v>
      </c>
      <c r="P106">
        <v>26.44</v>
      </c>
      <c r="Q106" s="18">
        <f>YEAR(A106)</f>
        <v>2024</v>
      </c>
      <c r="R106" s="18">
        <f>MONTH(A106)</f>
        <v>1</v>
      </c>
      <c r="S106" s="18">
        <f>IF(R106&lt;4,Q106-1,Q106)</f>
        <v>2023</v>
      </c>
      <c r="T106" s="18">
        <f>IF(R106&lt;4,R106+9,R106-3)</f>
        <v>10</v>
      </c>
      <c r="U106" s="18">
        <f>IF(LEN(T106)=1,_xlfn.CONCAT(0,T106),T106)</f>
        <v>10</v>
      </c>
      <c r="V106" s="18" t="str">
        <f>_xlfn.CONCAT(S106,U106)</f>
        <v>202310</v>
      </c>
      <c r="W106" s="18" t="str">
        <f>_xlfn.CONCAT(TEXT(A106,"MMM"),"-",MID(Q106,3,2))</f>
        <v>Jan-24</v>
      </c>
      <c r="X106" s="19">
        <f>IFERROR(IF(D106="Sell",(H106-P106),-(H106+P106)),0)</f>
        <v>-4776.4399999999996</v>
      </c>
      <c r="Y106" s="19">
        <f>X106/1000</f>
        <v>-4.77644</v>
      </c>
    </row>
    <row r="107" spans="1:25" x14ac:dyDescent="0.25">
      <c r="A107" s="1">
        <v>45320</v>
      </c>
      <c r="B107" t="s">
        <v>779</v>
      </c>
      <c r="C107" t="s">
        <v>17</v>
      </c>
      <c r="D107" t="s">
        <v>18</v>
      </c>
      <c r="E107">
        <v>100</v>
      </c>
      <c r="F107">
        <v>0</v>
      </c>
      <c r="G107">
        <v>89</v>
      </c>
      <c r="H107">
        <v>8900</v>
      </c>
      <c r="I107" t="s">
        <v>782</v>
      </c>
      <c r="J107">
        <v>5.56</v>
      </c>
      <c r="K107">
        <v>4.49</v>
      </c>
      <c r="L107">
        <v>0</v>
      </c>
      <c r="M107">
        <v>0.01</v>
      </c>
      <c r="N107">
        <v>40</v>
      </c>
      <c r="O107">
        <v>8.02</v>
      </c>
      <c r="P107">
        <v>58.08</v>
      </c>
      <c r="Q107" s="18">
        <f>YEAR(A107)</f>
        <v>2024</v>
      </c>
      <c r="R107" s="18">
        <f>MONTH(A107)</f>
        <v>1</v>
      </c>
      <c r="S107" s="18">
        <f>IF(R107&lt;4,Q107-1,Q107)</f>
        <v>2023</v>
      </c>
      <c r="T107" s="18">
        <f>IF(R107&lt;4,R107+9,R107-3)</f>
        <v>10</v>
      </c>
      <c r="U107" s="18">
        <f>IF(LEN(T107)=1,_xlfn.CONCAT(0,T107),T107)</f>
        <v>10</v>
      </c>
      <c r="V107" s="18" t="str">
        <f>_xlfn.CONCAT(S107,U107)</f>
        <v>202310</v>
      </c>
      <c r="W107" s="18" t="str">
        <f>_xlfn.CONCAT(TEXT(A107,"MMM"),"-",MID(Q107,3,2))</f>
        <v>Jan-24</v>
      </c>
      <c r="X107" s="19">
        <f>IFERROR(IF(D107="Sell",(H107-P107),-(H107+P107)),0)</f>
        <v>8841.92</v>
      </c>
      <c r="Y107" s="19">
        <f>X107/1000</f>
        <v>8.84192</v>
      </c>
    </row>
    <row r="108" spans="1:25" x14ac:dyDescent="0.25">
      <c r="A108" s="1">
        <v>45320</v>
      </c>
      <c r="B108" t="s">
        <v>783</v>
      </c>
      <c r="C108" t="s">
        <v>17</v>
      </c>
      <c r="D108" t="s">
        <v>18</v>
      </c>
      <c r="E108">
        <v>225</v>
      </c>
      <c r="F108">
        <v>0</v>
      </c>
      <c r="G108">
        <v>0.4</v>
      </c>
      <c r="H108">
        <v>90</v>
      </c>
      <c r="I108" t="s">
        <v>784</v>
      </c>
      <c r="J108">
        <v>0.26</v>
      </c>
      <c r="K108">
        <v>0.05</v>
      </c>
      <c r="L108">
        <v>0</v>
      </c>
      <c r="M108">
        <v>0</v>
      </c>
      <c r="N108">
        <v>60</v>
      </c>
      <c r="O108">
        <v>10.8</v>
      </c>
      <c r="P108">
        <v>71.11</v>
      </c>
      <c r="Q108" s="18">
        <f>YEAR(A108)</f>
        <v>2024</v>
      </c>
      <c r="R108" s="18">
        <f>MONTH(A108)</f>
        <v>1</v>
      </c>
      <c r="S108" s="18">
        <f>IF(R108&lt;4,Q108-1,Q108)</f>
        <v>2023</v>
      </c>
      <c r="T108" s="18">
        <f>IF(R108&lt;4,R108+9,R108-3)</f>
        <v>10</v>
      </c>
      <c r="U108" s="18">
        <f>IF(LEN(T108)=1,_xlfn.CONCAT(0,T108),T108)</f>
        <v>10</v>
      </c>
      <c r="V108" s="18" t="str">
        <f>_xlfn.CONCAT(S108,U108)</f>
        <v>202310</v>
      </c>
      <c r="W108" s="18" t="str">
        <f>_xlfn.CONCAT(TEXT(A108,"MMM"),"-",MID(Q108,3,2))</f>
        <v>Jan-24</v>
      </c>
      <c r="X108" s="19">
        <f>IFERROR(IF(D108="Sell",(H108-P108),-(H108+P108)),0)</f>
        <v>18.89</v>
      </c>
      <c r="Y108" s="19">
        <f>X108/1000</f>
        <v>1.8890000000000001E-2</v>
      </c>
    </row>
    <row r="109" spans="1:25" x14ac:dyDescent="0.25">
      <c r="A109" s="1">
        <v>45320</v>
      </c>
      <c r="B109" t="s">
        <v>783</v>
      </c>
      <c r="C109" t="s">
        <v>17</v>
      </c>
      <c r="D109" t="s">
        <v>22</v>
      </c>
      <c r="E109">
        <v>150</v>
      </c>
      <c r="F109">
        <v>0</v>
      </c>
      <c r="G109">
        <v>2.2000000000000002</v>
      </c>
      <c r="H109">
        <v>330</v>
      </c>
      <c r="I109" t="s">
        <v>785</v>
      </c>
      <c r="J109">
        <v>0</v>
      </c>
      <c r="K109">
        <v>0.17</v>
      </c>
      <c r="L109">
        <v>0.02</v>
      </c>
      <c r="M109">
        <v>0</v>
      </c>
      <c r="N109">
        <v>40</v>
      </c>
      <c r="O109">
        <v>7.24</v>
      </c>
      <c r="P109">
        <v>47.43</v>
      </c>
      <c r="Q109" s="18">
        <f>YEAR(A109)</f>
        <v>2024</v>
      </c>
      <c r="R109" s="18">
        <f>MONTH(A109)</f>
        <v>1</v>
      </c>
      <c r="S109" s="18">
        <f>IF(R109&lt;4,Q109-1,Q109)</f>
        <v>2023</v>
      </c>
      <c r="T109" s="18">
        <f>IF(R109&lt;4,R109+9,R109-3)</f>
        <v>10</v>
      </c>
      <c r="U109" s="18">
        <f>IF(LEN(T109)=1,_xlfn.CONCAT(0,T109),T109)</f>
        <v>10</v>
      </c>
      <c r="V109" s="18" t="str">
        <f>_xlfn.CONCAT(S109,U109)</f>
        <v>202310</v>
      </c>
      <c r="W109" s="18" t="str">
        <f>_xlfn.CONCAT(TEXT(A109,"MMM"),"-",MID(Q109,3,2))</f>
        <v>Jan-24</v>
      </c>
      <c r="X109" s="19">
        <f>IFERROR(IF(D109="Sell",(H109-P109),-(H109+P109)),0)</f>
        <v>-377.43</v>
      </c>
      <c r="Y109" s="19">
        <f>X109/1000</f>
        <v>-0.37742999999999999</v>
      </c>
    </row>
    <row r="110" spans="1:25" x14ac:dyDescent="0.25">
      <c r="A110" s="1">
        <v>45320</v>
      </c>
      <c r="B110" t="s">
        <v>779</v>
      </c>
      <c r="C110" t="s">
        <v>17</v>
      </c>
      <c r="D110" t="s">
        <v>22</v>
      </c>
      <c r="E110">
        <v>50</v>
      </c>
      <c r="F110">
        <v>0</v>
      </c>
      <c r="G110">
        <v>105.45</v>
      </c>
      <c r="H110">
        <v>5272.5</v>
      </c>
      <c r="I110" t="s">
        <v>786</v>
      </c>
      <c r="J110">
        <v>0</v>
      </c>
      <c r="K110">
        <v>2.66</v>
      </c>
      <c r="L110">
        <v>0</v>
      </c>
      <c r="M110">
        <v>0.01</v>
      </c>
      <c r="N110">
        <v>20</v>
      </c>
      <c r="O110">
        <v>4.08</v>
      </c>
      <c r="P110">
        <v>26.75</v>
      </c>
      <c r="Q110" s="18">
        <f>YEAR(A110)</f>
        <v>2024</v>
      </c>
      <c r="R110" s="18">
        <f>MONTH(A110)</f>
        <v>1</v>
      </c>
      <c r="S110" s="18">
        <f>IF(R110&lt;4,Q110-1,Q110)</f>
        <v>2023</v>
      </c>
      <c r="T110" s="18">
        <f>IF(R110&lt;4,R110+9,R110-3)</f>
        <v>10</v>
      </c>
      <c r="U110" s="18">
        <f>IF(LEN(T110)=1,_xlfn.CONCAT(0,T110),T110)</f>
        <v>10</v>
      </c>
      <c r="V110" s="18" t="str">
        <f>_xlfn.CONCAT(S110,U110)</f>
        <v>202310</v>
      </c>
      <c r="W110" s="18" t="str">
        <f>_xlfn.CONCAT(TEXT(A110,"MMM"),"-",MID(Q110,3,2))</f>
        <v>Jan-24</v>
      </c>
      <c r="X110" s="19">
        <f>IFERROR(IF(D110="Sell",(H110-P110),-(H110+P110)),0)</f>
        <v>-5299.25</v>
      </c>
      <c r="Y110" s="19">
        <f>X110/1000</f>
        <v>-5.2992499999999998</v>
      </c>
    </row>
    <row r="111" spans="1:25" x14ac:dyDescent="0.25">
      <c r="A111" s="1">
        <v>45320</v>
      </c>
      <c r="B111" t="s">
        <v>783</v>
      </c>
      <c r="C111" t="s">
        <v>17</v>
      </c>
      <c r="D111" t="s">
        <v>22</v>
      </c>
      <c r="E111">
        <v>75</v>
      </c>
      <c r="F111">
        <v>0</v>
      </c>
      <c r="G111">
        <v>3.55</v>
      </c>
      <c r="H111">
        <v>266.25</v>
      </c>
      <c r="I111" t="s">
        <v>787</v>
      </c>
      <c r="J111">
        <v>0</v>
      </c>
      <c r="K111">
        <v>0.13</v>
      </c>
      <c r="L111">
        <v>0</v>
      </c>
      <c r="M111">
        <v>0</v>
      </c>
      <c r="N111">
        <v>20</v>
      </c>
      <c r="O111">
        <v>3.62</v>
      </c>
      <c r="P111">
        <v>23.75</v>
      </c>
      <c r="Q111" s="18">
        <f>YEAR(A111)</f>
        <v>2024</v>
      </c>
      <c r="R111" s="18">
        <f>MONTH(A111)</f>
        <v>1</v>
      </c>
      <c r="S111" s="18">
        <f>IF(R111&lt;4,Q111-1,Q111)</f>
        <v>2023</v>
      </c>
      <c r="T111" s="18">
        <f>IF(R111&lt;4,R111+9,R111-3)</f>
        <v>10</v>
      </c>
      <c r="U111" s="18">
        <f>IF(LEN(T111)=1,_xlfn.CONCAT(0,T111),T111)</f>
        <v>10</v>
      </c>
      <c r="V111" s="18" t="str">
        <f>_xlfn.CONCAT(S111,U111)</f>
        <v>202310</v>
      </c>
      <c r="W111" s="18" t="str">
        <f>_xlfn.CONCAT(TEXT(A111,"MMM"),"-",MID(Q111,3,2))</f>
        <v>Jan-24</v>
      </c>
      <c r="X111" s="19">
        <f>IFERROR(IF(D111="Sell",(H111-P111),-(H111+P111)),0)</f>
        <v>-290</v>
      </c>
      <c r="Y111" s="19">
        <f>X111/1000</f>
        <v>-0.28999999999999998</v>
      </c>
    </row>
    <row r="112" spans="1:25" x14ac:dyDescent="0.25">
      <c r="A112" s="1">
        <v>45320</v>
      </c>
      <c r="B112" t="s">
        <v>779</v>
      </c>
      <c r="C112" t="s">
        <v>17</v>
      </c>
      <c r="D112" t="s">
        <v>22</v>
      </c>
      <c r="E112">
        <v>50</v>
      </c>
      <c r="F112">
        <v>0</v>
      </c>
      <c r="G112">
        <v>120</v>
      </c>
      <c r="H112">
        <v>6000</v>
      </c>
      <c r="I112" t="s">
        <v>788</v>
      </c>
      <c r="J112">
        <v>0</v>
      </c>
      <c r="K112">
        <v>3.03</v>
      </c>
      <c r="L112">
        <v>0</v>
      </c>
      <c r="M112">
        <v>0.01</v>
      </c>
      <c r="N112">
        <v>20</v>
      </c>
      <c r="O112">
        <v>4.1399999999999997</v>
      </c>
      <c r="P112">
        <v>27.18</v>
      </c>
      <c r="Q112" s="18">
        <f>YEAR(A112)</f>
        <v>2024</v>
      </c>
      <c r="R112" s="18">
        <f>MONTH(A112)</f>
        <v>1</v>
      </c>
      <c r="S112" s="18">
        <f>IF(R112&lt;4,Q112-1,Q112)</f>
        <v>2023</v>
      </c>
      <c r="T112" s="18">
        <f>IF(R112&lt;4,R112+9,R112-3)</f>
        <v>10</v>
      </c>
      <c r="U112" s="18">
        <f>IF(LEN(T112)=1,_xlfn.CONCAT(0,T112),T112)</f>
        <v>10</v>
      </c>
      <c r="V112" s="18" t="str">
        <f>_xlfn.CONCAT(S112,U112)</f>
        <v>202310</v>
      </c>
      <c r="W112" s="18" t="str">
        <f>_xlfn.CONCAT(TEXT(A112,"MMM"),"-",MID(Q112,3,2))</f>
        <v>Jan-24</v>
      </c>
      <c r="X112" s="19">
        <f>IFERROR(IF(D112="Sell",(H112-P112),-(H112+P112)),0)</f>
        <v>-6027.18</v>
      </c>
      <c r="Y112" s="19">
        <f>X112/1000</f>
        <v>-6.0271800000000004</v>
      </c>
    </row>
    <row r="113" spans="1:25" x14ac:dyDescent="0.25">
      <c r="A113" s="1">
        <v>45320</v>
      </c>
      <c r="B113" t="s">
        <v>779</v>
      </c>
      <c r="C113" t="s">
        <v>17</v>
      </c>
      <c r="D113" t="s">
        <v>18</v>
      </c>
      <c r="E113">
        <v>50</v>
      </c>
      <c r="F113">
        <v>0</v>
      </c>
      <c r="G113">
        <v>117.75</v>
      </c>
      <c r="H113">
        <v>5887.5</v>
      </c>
      <c r="I113" t="s">
        <v>789</v>
      </c>
      <c r="J113">
        <v>3.68</v>
      </c>
      <c r="K113">
        <v>2.97</v>
      </c>
      <c r="L113">
        <v>0</v>
      </c>
      <c r="M113">
        <v>0.01</v>
      </c>
      <c r="N113">
        <v>20</v>
      </c>
      <c r="O113">
        <v>4.1399999999999997</v>
      </c>
      <c r="P113">
        <v>30.8</v>
      </c>
      <c r="Q113" s="18">
        <f>YEAR(A113)</f>
        <v>2024</v>
      </c>
      <c r="R113" s="18">
        <f>MONTH(A113)</f>
        <v>1</v>
      </c>
      <c r="S113" s="18">
        <f>IF(R113&lt;4,Q113-1,Q113)</f>
        <v>2023</v>
      </c>
      <c r="T113" s="18">
        <f>IF(R113&lt;4,R113+9,R113-3)</f>
        <v>10</v>
      </c>
      <c r="U113" s="18">
        <f>IF(LEN(T113)=1,_xlfn.CONCAT(0,T113),T113)</f>
        <v>10</v>
      </c>
      <c r="V113" s="18" t="str">
        <f>_xlfn.CONCAT(S113,U113)</f>
        <v>202310</v>
      </c>
      <c r="W113" s="18" t="str">
        <f>_xlfn.CONCAT(TEXT(A113,"MMM"),"-",MID(Q113,3,2))</f>
        <v>Jan-24</v>
      </c>
      <c r="X113" s="19">
        <f>IFERROR(IF(D113="Sell",(H113-P113),-(H113+P113)),0)</f>
        <v>5856.7</v>
      </c>
      <c r="Y113" s="19">
        <f>X113/1000</f>
        <v>5.8567</v>
      </c>
    </row>
    <row r="114" spans="1:25" x14ac:dyDescent="0.25">
      <c r="A114" s="1">
        <v>45320</v>
      </c>
      <c r="B114" t="s">
        <v>779</v>
      </c>
      <c r="C114" t="s">
        <v>17</v>
      </c>
      <c r="D114" t="s">
        <v>22</v>
      </c>
      <c r="E114">
        <v>50</v>
      </c>
      <c r="F114">
        <v>0</v>
      </c>
      <c r="G114">
        <v>114.2</v>
      </c>
      <c r="H114">
        <v>5710</v>
      </c>
      <c r="I114" t="s">
        <v>790</v>
      </c>
      <c r="J114">
        <v>0</v>
      </c>
      <c r="K114">
        <v>2.88</v>
      </c>
      <c r="L114">
        <v>0.96</v>
      </c>
      <c r="M114">
        <v>0.01</v>
      </c>
      <c r="N114">
        <v>20</v>
      </c>
      <c r="O114">
        <v>4.12</v>
      </c>
      <c r="P114">
        <v>27.97</v>
      </c>
      <c r="Q114" s="18">
        <f>YEAR(A114)</f>
        <v>2024</v>
      </c>
      <c r="R114" s="18">
        <f>MONTH(A114)</f>
        <v>1</v>
      </c>
      <c r="S114" s="18">
        <f>IF(R114&lt;4,Q114-1,Q114)</f>
        <v>2023</v>
      </c>
      <c r="T114" s="18">
        <f>IF(R114&lt;4,R114+9,R114-3)</f>
        <v>10</v>
      </c>
      <c r="U114" s="18">
        <f>IF(LEN(T114)=1,_xlfn.CONCAT(0,T114),T114)</f>
        <v>10</v>
      </c>
      <c r="V114" s="18" t="str">
        <f>_xlfn.CONCAT(S114,U114)</f>
        <v>202310</v>
      </c>
      <c r="W114" s="18" t="str">
        <f>_xlfn.CONCAT(TEXT(A114,"MMM"),"-",MID(Q114,3,2))</f>
        <v>Jan-24</v>
      </c>
      <c r="X114" s="19">
        <f>IFERROR(IF(D114="Sell",(H114-P114),-(H114+P114)),0)</f>
        <v>-5737.97</v>
      </c>
      <c r="Y114" s="19">
        <f>X114/1000</f>
        <v>-5.7379700000000007</v>
      </c>
    </row>
    <row r="115" spans="1:25" x14ac:dyDescent="0.25">
      <c r="A115" s="1">
        <v>45320</v>
      </c>
      <c r="B115" t="s">
        <v>791</v>
      </c>
      <c r="C115" t="s">
        <v>17</v>
      </c>
      <c r="D115" t="s">
        <v>18</v>
      </c>
      <c r="E115">
        <v>75</v>
      </c>
      <c r="F115">
        <v>0</v>
      </c>
      <c r="G115">
        <v>18.55</v>
      </c>
      <c r="H115">
        <v>1391.25</v>
      </c>
      <c r="I115" t="s">
        <v>792</v>
      </c>
      <c r="J115">
        <v>0.87</v>
      </c>
      <c r="K115">
        <v>0.7</v>
      </c>
      <c r="L115">
        <v>0</v>
      </c>
      <c r="M115">
        <v>0</v>
      </c>
      <c r="N115">
        <v>20</v>
      </c>
      <c r="O115">
        <v>3.72</v>
      </c>
      <c r="P115">
        <v>25.29</v>
      </c>
      <c r="Q115" s="18">
        <f>YEAR(A115)</f>
        <v>2024</v>
      </c>
      <c r="R115" s="18">
        <f>MONTH(A115)</f>
        <v>1</v>
      </c>
      <c r="S115" s="18">
        <f>IF(R115&lt;4,Q115-1,Q115)</f>
        <v>2023</v>
      </c>
      <c r="T115" s="18">
        <f>IF(R115&lt;4,R115+9,R115-3)</f>
        <v>10</v>
      </c>
      <c r="U115" s="18">
        <f>IF(LEN(T115)=1,_xlfn.CONCAT(0,T115),T115)</f>
        <v>10</v>
      </c>
      <c r="V115" s="18" t="str">
        <f>_xlfn.CONCAT(S115,U115)</f>
        <v>202310</v>
      </c>
      <c r="W115" s="18" t="str">
        <f>_xlfn.CONCAT(TEXT(A115,"MMM"),"-",MID(Q115,3,2))</f>
        <v>Jan-24</v>
      </c>
      <c r="X115" s="19">
        <f>IFERROR(IF(D115="Sell",(H115-P115),-(H115+P115)),0)</f>
        <v>1365.96</v>
      </c>
      <c r="Y115" s="19">
        <f>X115/1000</f>
        <v>1.3659600000000001</v>
      </c>
    </row>
    <row r="116" spans="1:25" x14ac:dyDescent="0.25">
      <c r="A116" s="1">
        <v>45320</v>
      </c>
      <c r="B116" t="s">
        <v>791</v>
      </c>
      <c r="C116" t="s">
        <v>17</v>
      </c>
      <c r="D116" t="s">
        <v>18</v>
      </c>
      <c r="E116">
        <v>75</v>
      </c>
      <c r="F116">
        <v>0</v>
      </c>
      <c r="G116">
        <v>18.55</v>
      </c>
      <c r="H116">
        <v>1391.25</v>
      </c>
      <c r="I116" t="s">
        <v>793</v>
      </c>
      <c r="J116">
        <v>0.87</v>
      </c>
      <c r="K116">
        <v>0.7</v>
      </c>
      <c r="L116">
        <v>0</v>
      </c>
      <c r="M116">
        <v>0</v>
      </c>
      <c r="N116">
        <v>20</v>
      </c>
      <c r="O116">
        <v>3.72</v>
      </c>
      <c r="P116">
        <v>25.29</v>
      </c>
      <c r="Q116" s="18">
        <f>YEAR(A116)</f>
        <v>2024</v>
      </c>
      <c r="R116" s="18">
        <f>MONTH(A116)</f>
        <v>1</v>
      </c>
      <c r="S116" s="18">
        <f>IF(R116&lt;4,Q116-1,Q116)</f>
        <v>2023</v>
      </c>
      <c r="T116" s="18">
        <f>IF(R116&lt;4,R116+9,R116-3)</f>
        <v>10</v>
      </c>
      <c r="U116" s="18">
        <f>IF(LEN(T116)=1,_xlfn.CONCAT(0,T116),T116)</f>
        <v>10</v>
      </c>
      <c r="V116" s="18" t="str">
        <f>_xlfn.CONCAT(S116,U116)</f>
        <v>202310</v>
      </c>
      <c r="W116" s="18" t="str">
        <f>_xlfn.CONCAT(TEXT(A116,"MMM"),"-",MID(Q116,3,2))</f>
        <v>Jan-24</v>
      </c>
      <c r="X116" s="19">
        <f>IFERROR(IF(D116="Sell",(H116-P116),-(H116+P116)),0)</f>
        <v>1365.96</v>
      </c>
      <c r="Y116" s="19">
        <f>X116/1000</f>
        <v>1.3659600000000001</v>
      </c>
    </row>
    <row r="117" spans="1:25" x14ac:dyDescent="0.25">
      <c r="A117" s="1">
        <v>45320</v>
      </c>
      <c r="B117" t="s">
        <v>791</v>
      </c>
      <c r="C117" t="s">
        <v>17</v>
      </c>
      <c r="D117" t="s">
        <v>22</v>
      </c>
      <c r="E117">
        <v>75</v>
      </c>
      <c r="F117">
        <v>0</v>
      </c>
      <c r="G117">
        <v>3.45</v>
      </c>
      <c r="H117">
        <v>258.75</v>
      </c>
      <c r="I117" t="s">
        <v>794</v>
      </c>
      <c r="J117">
        <v>0</v>
      </c>
      <c r="K117">
        <v>0.13</v>
      </c>
      <c r="L117">
        <v>0</v>
      </c>
      <c r="M117">
        <v>0</v>
      </c>
      <c r="N117">
        <v>20</v>
      </c>
      <c r="O117">
        <v>3.62</v>
      </c>
      <c r="P117">
        <v>23.75</v>
      </c>
      <c r="Q117" s="18">
        <f>YEAR(A117)</f>
        <v>2024</v>
      </c>
      <c r="R117" s="18">
        <f>MONTH(A117)</f>
        <v>1</v>
      </c>
      <c r="S117" s="18">
        <f>IF(R117&lt;4,Q117-1,Q117)</f>
        <v>2023</v>
      </c>
      <c r="T117" s="18">
        <f>IF(R117&lt;4,R117+9,R117-3)</f>
        <v>10</v>
      </c>
      <c r="U117" s="18">
        <f>IF(LEN(T117)=1,_xlfn.CONCAT(0,T117),T117)</f>
        <v>10</v>
      </c>
      <c r="V117" s="18" t="str">
        <f>_xlfn.CONCAT(S117,U117)</f>
        <v>202310</v>
      </c>
      <c r="W117" s="18" t="str">
        <f>_xlfn.CONCAT(TEXT(A117,"MMM"),"-",MID(Q117,3,2))</f>
        <v>Jan-24</v>
      </c>
      <c r="X117" s="19">
        <f>IFERROR(IF(D117="Sell",(H117-P117),-(H117+P117)),0)</f>
        <v>-282.5</v>
      </c>
      <c r="Y117" s="19">
        <f>X117/1000</f>
        <v>-0.28249999999999997</v>
      </c>
    </row>
    <row r="118" spans="1:25" x14ac:dyDescent="0.25">
      <c r="A118" s="1">
        <v>45320</v>
      </c>
      <c r="B118" t="s">
        <v>791</v>
      </c>
      <c r="C118" t="s">
        <v>17</v>
      </c>
      <c r="D118" t="s">
        <v>22</v>
      </c>
      <c r="E118">
        <v>75</v>
      </c>
      <c r="F118">
        <v>0</v>
      </c>
      <c r="G118">
        <v>3.55</v>
      </c>
      <c r="H118">
        <v>266.25</v>
      </c>
      <c r="I118" t="s">
        <v>795</v>
      </c>
      <c r="J118">
        <v>0</v>
      </c>
      <c r="K118">
        <v>0.13</v>
      </c>
      <c r="L118">
        <v>0.02</v>
      </c>
      <c r="M118">
        <v>0</v>
      </c>
      <c r="N118">
        <v>20</v>
      </c>
      <c r="O118">
        <v>3.62</v>
      </c>
      <c r="P118">
        <v>23.77</v>
      </c>
      <c r="Q118" s="18">
        <f>YEAR(A118)</f>
        <v>2024</v>
      </c>
      <c r="R118" s="18">
        <f>MONTH(A118)</f>
        <v>1</v>
      </c>
      <c r="S118" s="18">
        <f>IF(R118&lt;4,Q118-1,Q118)</f>
        <v>2023</v>
      </c>
      <c r="T118" s="18">
        <f>IF(R118&lt;4,R118+9,R118-3)</f>
        <v>10</v>
      </c>
      <c r="U118" s="18">
        <f>IF(LEN(T118)=1,_xlfn.CONCAT(0,T118),T118)</f>
        <v>10</v>
      </c>
      <c r="V118" s="18" t="str">
        <f>_xlfn.CONCAT(S118,U118)</f>
        <v>202310</v>
      </c>
      <c r="W118" s="18" t="str">
        <f>_xlfn.CONCAT(TEXT(A118,"MMM"),"-",MID(Q118,3,2))</f>
        <v>Jan-24</v>
      </c>
      <c r="X118" s="19">
        <f>IFERROR(IF(D118="Sell",(H118-P118),-(H118+P118)),0)</f>
        <v>-290.02</v>
      </c>
      <c r="Y118" s="19">
        <f>X118/1000</f>
        <v>-0.29002</v>
      </c>
    </row>
    <row r="119" spans="1:25" x14ac:dyDescent="0.25">
      <c r="A119" s="1">
        <v>45321</v>
      </c>
      <c r="B119" t="s">
        <v>763</v>
      </c>
      <c r="C119" t="s">
        <v>17</v>
      </c>
      <c r="D119" t="s">
        <v>18</v>
      </c>
      <c r="E119">
        <v>50</v>
      </c>
      <c r="F119">
        <v>0</v>
      </c>
      <c r="G119">
        <v>161.15</v>
      </c>
      <c r="H119">
        <v>8057.5</v>
      </c>
      <c r="I119" t="s">
        <v>764</v>
      </c>
      <c r="J119">
        <v>5.04</v>
      </c>
      <c r="K119">
        <v>4.07</v>
      </c>
      <c r="L119">
        <v>0</v>
      </c>
      <c r="M119">
        <v>0.01</v>
      </c>
      <c r="N119">
        <v>20</v>
      </c>
      <c r="O119">
        <v>4.34</v>
      </c>
      <c r="P119">
        <v>33.46</v>
      </c>
      <c r="Q119" s="18">
        <f>YEAR(A119)</f>
        <v>2024</v>
      </c>
      <c r="R119" s="18">
        <f>MONTH(A119)</f>
        <v>1</v>
      </c>
      <c r="S119" s="18">
        <f>IF(R119&lt;4,Q119-1,Q119)</f>
        <v>2023</v>
      </c>
      <c r="T119" s="18">
        <f>IF(R119&lt;4,R119+9,R119-3)</f>
        <v>10</v>
      </c>
      <c r="U119" s="18">
        <f>IF(LEN(T119)=1,_xlfn.CONCAT(0,T119),T119)</f>
        <v>10</v>
      </c>
      <c r="V119" s="18" t="str">
        <f>_xlfn.CONCAT(S119,U119)</f>
        <v>202310</v>
      </c>
      <c r="W119" s="18" t="str">
        <f>_xlfn.CONCAT(TEXT(A119,"MMM"),"-",MID(Q119,3,2))</f>
        <v>Jan-24</v>
      </c>
      <c r="X119" s="19">
        <f>IFERROR(IF(D119="Sell",(H119-P119),-(H119+P119)),0)</f>
        <v>8024.04</v>
      </c>
      <c r="Y119" s="19">
        <f>X119/1000</f>
        <v>8.0240399999999994</v>
      </c>
    </row>
    <row r="120" spans="1:25" x14ac:dyDescent="0.25">
      <c r="A120" s="1">
        <v>45321</v>
      </c>
      <c r="B120" t="s">
        <v>763</v>
      </c>
      <c r="C120" t="s">
        <v>17</v>
      </c>
      <c r="D120" t="s">
        <v>22</v>
      </c>
      <c r="E120">
        <v>50</v>
      </c>
      <c r="F120">
        <v>0</v>
      </c>
      <c r="G120">
        <v>137.94999999999999</v>
      </c>
      <c r="H120">
        <v>6897.5</v>
      </c>
      <c r="I120" t="s">
        <v>765</v>
      </c>
      <c r="J120">
        <v>0</v>
      </c>
      <c r="K120">
        <v>3.48</v>
      </c>
      <c r="L120">
        <v>0.21</v>
      </c>
      <c r="M120">
        <v>0.01</v>
      </c>
      <c r="N120">
        <v>20</v>
      </c>
      <c r="O120">
        <v>4.22</v>
      </c>
      <c r="P120">
        <v>27.92</v>
      </c>
      <c r="Q120" s="18">
        <f>YEAR(A120)</f>
        <v>2024</v>
      </c>
      <c r="R120" s="18">
        <f>MONTH(A120)</f>
        <v>1</v>
      </c>
      <c r="S120" s="18">
        <f>IF(R120&lt;4,Q120-1,Q120)</f>
        <v>2023</v>
      </c>
      <c r="T120" s="18">
        <f>IF(R120&lt;4,R120+9,R120-3)</f>
        <v>10</v>
      </c>
      <c r="U120" s="18">
        <f>IF(LEN(T120)=1,_xlfn.CONCAT(0,T120),T120)</f>
        <v>10</v>
      </c>
      <c r="V120" s="18" t="str">
        <f>_xlfn.CONCAT(S120,U120)</f>
        <v>202310</v>
      </c>
      <c r="W120" s="18" t="str">
        <f>_xlfn.CONCAT(TEXT(A120,"MMM"),"-",MID(Q120,3,2))</f>
        <v>Jan-24</v>
      </c>
      <c r="X120" s="19">
        <f>IFERROR(IF(D120="Sell",(H120-P120),-(H120+P120)),0)</f>
        <v>-6925.42</v>
      </c>
      <c r="Y120" s="19">
        <f>X120/1000</f>
        <v>-6.9254199999999999</v>
      </c>
    </row>
    <row r="121" spans="1:25" x14ac:dyDescent="0.25">
      <c r="A121" s="1">
        <v>45321</v>
      </c>
      <c r="B121" t="s">
        <v>766</v>
      </c>
      <c r="C121" t="s">
        <v>17</v>
      </c>
      <c r="D121" t="s">
        <v>18</v>
      </c>
      <c r="E121">
        <v>40</v>
      </c>
      <c r="F121">
        <v>0</v>
      </c>
      <c r="G121">
        <v>33.299999999999997</v>
      </c>
      <c r="H121">
        <v>1332</v>
      </c>
      <c r="I121" t="s">
        <v>767</v>
      </c>
      <c r="J121">
        <v>0.47</v>
      </c>
      <c r="K121">
        <v>0.67</v>
      </c>
      <c r="L121">
        <v>0</v>
      </c>
      <c r="M121">
        <v>0</v>
      </c>
      <c r="N121">
        <v>20</v>
      </c>
      <c r="O121">
        <v>3.72</v>
      </c>
      <c r="P121">
        <v>24.86</v>
      </c>
      <c r="Q121" s="18">
        <f>YEAR(A121)</f>
        <v>2024</v>
      </c>
      <c r="R121" s="18">
        <f>MONTH(A121)</f>
        <v>1</v>
      </c>
      <c r="S121" s="18">
        <f>IF(R121&lt;4,Q121-1,Q121)</f>
        <v>2023</v>
      </c>
      <c r="T121" s="18">
        <f>IF(R121&lt;4,R121+9,R121-3)</f>
        <v>10</v>
      </c>
      <c r="U121" s="18">
        <f>IF(LEN(T121)=1,_xlfn.CONCAT(0,T121),T121)</f>
        <v>10</v>
      </c>
      <c r="V121" s="18" t="str">
        <f>_xlfn.CONCAT(S121,U121)</f>
        <v>202310</v>
      </c>
      <c r="W121" s="18" t="str">
        <f>_xlfn.CONCAT(TEXT(A121,"MMM"),"-",MID(Q121,3,2))</f>
        <v>Jan-24</v>
      </c>
      <c r="X121" s="19">
        <f>IFERROR(IF(D121="Sell",(H121-P121),-(H121+P121)),0)</f>
        <v>1307.1400000000001</v>
      </c>
      <c r="Y121" s="19">
        <f>X121/1000</f>
        <v>1.3071400000000002</v>
      </c>
    </row>
    <row r="122" spans="1:25" x14ac:dyDescent="0.25">
      <c r="A122" s="1">
        <v>45321</v>
      </c>
      <c r="B122" t="s">
        <v>766</v>
      </c>
      <c r="C122" t="s">
        <v>17</v>
      </c>
      <c r="D122" t="s">
        <v>18</v>
      </c>
      <c r="E122">
        <v>40</v>
      </c>
      <c r="F122">
        <v>0</v>
      </c>
      <c r="G122">
        <v>33.5</v>
      </c>
      <c r="H122">
        <v>1340</v>
      </c>
      <c r="I122" t="s">
        <v>768</v>
      </c>
      <c r="J122">
        <v>0.84</v>
      </c>
      <c r="K122">
        <v>0.68</v>
      </c>
      <c r="L122">
        <v>0</v>
      </c>
      <c r="M122">
        <v>0</v>
      </c>
      <c r="N122">
        <v>20</v>
      </c>
      <c r="O122">
        <v>3.72</v>
      </c>
      <c r="P122">
        <v>25.24</v>
      </c>
      <c r="Q122" s="18">
        <f>YEAR(A122)</f>
        <v>2024</v>
      </c>
      <c r="R122" s="18">
        <f>MONTH(A122)</f>
        <v>1</v>
      </c>
      <c r="S122" s="18">
        <f>IF(R122&lt;4,Q122-1,Q122)</f>
        <v>2023</v>
      </c>
      <c r="T122" s="18">
        <f>IF(R122&lt;4,R122+9,R122-3)</f>
        <v>10</v>
      </c>
      <c r="U122" s="18">
        <f>IF(LEN(T122)=1,_xlfn.CONCAT(0,T122),T122)</f>
        <v>10</v>
      </c>
      <c r="V122" s="18" t="str">
        <f>_xlfn.CONCAT(S122,U122)</f>
        <v>202310</v>
      </c>
      <c r="W122" s="18" t="str">
        <f>_xlfn.CONCAT(TEXT(A122,"MMM"),"-",MID(Q122,3,2))</f>
        <v>Jan-24</v>
      </c>
      <c r="X122" s="19">
        <f>IFERROR(IF(D122="Sell",(H122-P122),-(H122+P122)),0)</f>
        <v>1314.76</v>
      </c>
      <c r="Y122" s="19">
        <f>X122/1000</f>
        <v>1.3147599999999999</v>
      </c>
    </row>
    <row r="123" spans="1:25" x14ac:dyDescent="0.25">
      <c r="A123" s="1">
        <v>45321</v>
      </c>
      <c r="B123" t="s">
        <v>766</v>
      </c>
      <c r="C123" t="s">
        <v>17</v>
      </c>
      <c r="D123" t="s">
        <v>18</v>
      </c>
      <c r="E123">
        <v>40</v>
      </c>
      <c r="F123">
        <v>0</v>
      </c>
      <c r="G123">
        <v>41.25</v>
      </c>
      <c r="H123">
        <v>1650</v>
      </c>
      <c r="I123" t="s">
        <v>769</v>
      </c>
      <c r="J123">
        <v>1.03</v>
      </c>
      <c r="K123">
        <v>0.83</v>
      </c>
      <c r="L123">
        <v>0</v>
      </c>
      <c r="M123">
        <v>0</v>
      </c>
      <c r="N123">
        <v>20</v>
      </c>
      <c r="O123">
        <v>3.74</v>
      </c>
      <c r="P123">
        <v>25.6</v>
      </c>
      <c r="Q123" s="18">
        <f>YEAR(A123)</f>
        <v>2024</v>
      </c>
      <c r="R123" s="18">
        <f>MONTH(A123)</f>
        <v>1</v>
      </c>
      <c r="S123" s="18">
        <f>IF(R123&lt;4,Q123-1,Q123)</f>
        <v>2023</v>
      </c>
      <c r="T123" s="18">
        <f>IF(R123&lt;4,R123+9,R123-3)</f>
        <v>10</v>
      </c>
      <c r="U123" s="18">
        <f>IF(LEN(T123)=1,_xlfn.CONCAT(0,T123),T123)</f>
        <v>10</v>
      </c>
      <c r="V123" s="18" t="str">
        <f>_xlfn.CONCAT(S123,U123)</f>
        <v>202310</v>
      </c>
      <c r="W123" s="18" t="str">
        <f>_xlfn.CONCAT(TEXT(A123,"MMM"),"-",MID(Q123,3,2))</f>
        <v>Jan-24</v>
      </c>
      <c r="X123" s="19">
        <f>IFERROR(IF(D123="Sell",(H123-P123),-(H123+P123)),0)</f>
        <v>1624.4</v>
      </c>
      <c r="Y123" s="19">
        <f>X123/1000</f>
        <v>1.6244000000000001</v>
      </c>
    </row>
    <row r="124" spans="1:25" x14ac:dyDescent="0.25">
      <c r="A124" s="1">
        <v>45321</v>
      </c>
      <c r="B124" t="s">
        <v>766</v>
      </c>
      <c r="C124" t="s">
        <v>17</v>
      </c>
      <c r="D124" t="s">
        <v>18</v>
      </c>
      <c r="E124">
        <v>40</v>
      </c>
      <c r="F124">
        <v>0</v>
      </c>
      <c r="G124">
        <v>35.700000000000003</v>
      </c>
      <c r="H124">
        <v>1428</v>
      </c>
      <c r="I124" t="s">
        <v>770</v>
      </c>
      <c r="J124">
        <v>0.89</v>
      </c>
      <c r="K124">
        <v>0.72</v>
      </c>
      <c r="L124">
        <v>0</v>
      </c>
      <c r="M124">
        <v>0</v>
      </c>
      <c r="N124">
        <v>20</v>
      </c>
      <c r="O124">
        <v>3.72</v>
      </c>
      <c r="P124">
        <v>25.33</v>
      </c>
      <c r="Q124" s="18">
        <f>YEAR(A124)</f>
        <v>2024</v>
      </c>
      <c r="R124" s="18">
        <f>MONTH(A124)</f>
        <v>1</v>
      </c>
      <c r="S124" s="18">
        <f>IF(R124&lt;4,Q124-1,Q124)</f>
        <v>2023</v>
      </c>
      <c r="T124" s="18">
        <f>IF(R124&lt;4,R124+9,R124-3)</f>
        <v>10</v>
      </c>
      <c r="U124" s="18">
        <f>IF(LEN(T124)=1,_xlfn.CONCAT(0,T124),T124)</f>
        <v>10</v>
      </c>
      <c r="V124" s="18" t="str">
        <f>_xlfn.CONCAT(S124,U124)</f>
        <v>202310</v>
      </c>
      <c r="W124" s="18" t="str">
        <f>_xlfn.CONCAT(TEXT(A124,"MMM"),"-",MID(Q124,3,2))</f>
        <v>Jan-24</v>
      </c>
      <c r="X124" s="19">
        <f>IFERROR(IF(D124="Sell",(H124-P124),-(H124+P124)),0)</f>
        <v>1402.67</v>
      </c>
      <c r="Y124" s="19">
        <f>X124/1000</f>
        <v>1.4026700000000001</v>
      </c>
    </row>
    <row r="125" spans="1:25" x14ac:dyDescent="0.25">
      <c r="A125" s="1">
        <v>45321</v>
      </c>
      <c r="B125" t="s">
        <v>766</v>
      </c>
      <c r="C125" t="s">
        <v>17</v>
      </c>
      <c r="D125" t="s">
        <v>18</v>
      </c>
      <c r="E125">
        <v>40</v>
      </c>
      <c r="F125">
        <v>0</v>
      </c>
      <c r="G125">
        <v>34.9</v>
      </c>
      <c r="H125">
        <v>1396</v>
      </c>
      <c r="I125" t="s">
        <v>771</v>
      </c>
      <c r="J125">
        <v>0.87</v>
      </c>
      <c r="K125">
        <v>0.7</v>
      </c>
      <c r="L125">
        <v>0</v>
      </c>
      <c r="M125">
        <v>0</v>
      </c>
      <c r="N125">
        <v>20</v>
      </c>
      <c r="O125">
        <v>3.72</v>
      </c>
      <c r="P125">
        <v>25.29</v>
      </c>
      <c r="Q125" s="18">
        <f>YEAR(A125)</f>
        <v>2024</v>
      </c>
      <c r="R125" s="18">
        <f>MONTH(A125)</f>
        <v>1</v>
      </c>
      <c r="S125" s="18">
        <f>IF(R125&lt;4,Q125-1,Q125)</f>
        <v>2023</v>
      </c>
      <c r="T125" s="18">
        <f>IF(R125&lt;4,R125+9,R125-3)</f>
        <v>10</v>
      </c>
      <c r="U125" s="18">
        <f>IF(LEN(T125)=1,_xlfn.CONCAT(0,T125),T125)</f>
        <v>10</v>
      </c>
      <c r="V125" s="18" t="str">
        <f>_xlfn.CONCAT(S125,U125)</f>
        <v>202310</v>
      </c>
      <c r="W125" s="18" t="str">
        <f>_xlfn.CONCAT(TEXT(A125,"MMM"),"-",MID(Q125,3,2))</f>
        <v>Jan-24</v>
      </c>
      <c r="X125" s="19">
        <f>IFERROR(IF(D125="Sell",(H125-P125),-(H125+P125)),0)</f>
        <v>1370.71</v>
      </c>
      <c r="Y125" s="19">
        <f>X125/1000</f>
        <v>1.3707100000000001</v>
      </c>
    </row>
    <row r="126" spans="1:25" x14ac:dyDescent="0.25">
      <c r="A126" s="1">
        <v>45321</v>
      </c>
      <c r="B126" t="s">
        <v>766</v>
      </c>
      <c r="C126" t="s">
        <v>17</v>
      </c>
      <c r="D126" t="s">
        <v>18</v>
      </c>
      <c r="E126">
        <v>40</v>
      </c>
      <c r="F126">
        <v>0</v>
      </c>
      <c r="G126">
        <v>34.549999999999997</v>
      </c>
      <c r="H126">
        <v>1382</v>
      </c>
      <c r="I126" t="s">
        <v>772</v>
      </c>
      <c r="J126">
        <v>0.86</v>
      </c>
      <c r="K126">
        <v>0.7</v>
      </c>
      <c r="L126">
        <v>0</v>
      </c>
      <c r="M126">
        <v>0</v>
      </c>
      <c r="N126">
        <v>20</v>
      </c>
      <c r="O126">
        <v>3.72</v>
      </c>
      <c r="P126">
        <v>25.28</v>
      </c>
      <c r="Q126" s="18">
        <f>YEAR(A126)</f>
        <v>2024</v>
      </c>
      <c r="R126" s="18">
        <f>MONTH(A126)</f>
        <v>1</v>
      </c>
      <c r="S126" s="18">
        <f>IF(R126&lt;4,Q126-1,Q126)</f>
        <v>2023</v>
      </c>
      <c r="T126" s="18">
        <f>IF(R126&lt;4,R126+9,R126-3)</f>
        <v>10</v>
      </c>
      <c r="U126" s="18">
        <f>IF(LEN(T126)=1,_xlfn.CONCAT(0,T126),T126)</f>
        <v>10</v>
      </c>
      <c r="V126" s="18" t="str">
        <f>_xlfn.CONCAT(S126,U126)</f>
        <v>202310</v>
      </c>
      <c r="W126" s="18" t="str">
        <f>_xlfn.CONCAT(TEXT(A126,"MMM"),"-",MID(Q126,3,2))</f>
        <v>Jan-24</v>
      </c>
      <c r="X126" s="19">
        <f>IFERROR(IF(D126="Sell",(H126-P126),-(H126+P126)),0)</f>
        <v>1356.72</v>
      </c>
      <c r="Y126" s="19">
        <f>X126/1000</f>
        <v>1.3567199999999999</v>
      </c>
    </row>
    <row r="127" spans="1:25" x14ac:dyDescent="0.25">
      <c r="A127" s="1">
        <v>45321</v>
      </c>
      <c r="B127" t="s">
        <v>766</v>
      </c>
      <c r="C127" t="s">
        <v>17</v>
      </c>
      <c r="D127" t="s">
        <v>22</v>
      </c>
      <c r="E127">
        <v>40</v>
      </c>
      <c r="F127">
        <v>0</v>
      </c>
      <c r="G127">
        <v>44.25</v>
      </c>
      <c r="H127">
        <v>1770</v>
      </c>
      <c r="I127" t="s">
        <v>773</v>
      </c>
      <c r="J127">
        <v>0</v>
      </c>
      <c r="K127">
        <v>0.89</v>
      </c>
      <c r="L127">
        <v>0</v>
      </c>
      <c r="M127">
        <v>0</v>
      </c>
      <c r="N127">
        <v>20</v>
      </c>
      <c r="O127">
        <v>3.76</v>
      </c>
      <c r="P127">
        <v>24.65</v>
      </c>
      <c r="Q127" s="18">
        <f>YEAR(A127)</f>
        <v>2024</v>
      </c>
      <c r="R127" s="18">
        <f>MONTH(A127)</f>
        <v>1</v>
      </c>
      <c r="S127" s="18">
        <f>IF(R127&lt;4,Q127-1,Q127)</f>
        <v>2023</v>
      </c>
      <c r="T127" s="18">
        <f>IF(R127&lt;4,R127+9,R127-3)</f>
        <v>10</v>
      </c>
      <c r="U127" s="18">
        <f>IF(LEN(T127)=1,_xlfn.CONCAT(0,T127),T127)</f>
        <v>10</v>
      </c>
      <c r="V127" s="18" t="str">
        <f>_xlfn.CONCAT(S127,U127)</f>
        <v>202310</v>
      </c>
      <c r="W127" s="18" t="str">
        <f>_xlfn.CONCAT(TEXT(A127,"MMM"),"-",MID(Q127,3,2))</f>
        <v>Jan-24</v>
      </c>
      <c r="X127" s="19">
        <f>IFERROR(IF(D127="Sell",(H127-P127),-(H127+P127)),0)</f>
        <v>-1794.65</v>
      </c>
      <c r="Y127" s="19">
        <f>X127/1000</f>
        <v>-1.7946500000000001</v>
      </c>
    </row>
    <row r="128" spans="1:25" x14ac:dyDescent="0.25">
      <c r="A128" s="1">
        <v>45321</v>
      </c>
      <c r="B128" t="s">
        <v>766</v>
      </c>
      <c r="C128" t="s">
        <v>17</v>
      </c>
      <c r="D128" t="s">
        <v>22</v>
      </c>
      <c r="E128">
        <v>40</v>
      </c>
      <c r="F128">
        <v>0</v>
      </c>
      <c r="G128">
        <v>48.5</v>
      </c>
      <c r="H128">
        <v>1940</v>
      </c>
      <c r="I128" t="s">
        <v>774</v>
      </c>
      <c r="J128">
        <v>0</v>
      </c>
      <c r="K128">
        <v>0.98</v>
      </c>
      <c r="L128">
        <v>0</v>
      </c>
      <c r="M128">
        <v>0</v>
      </c>
      <c r="N128">
        <v>20</v>
      </c>
      <c r="O128">
        <v>3.78</v>
      </c>
      <c r="P128">
        <v>24.76</v>
      </c>
      <c r="Q128" s="18">
        <f>YEAR(A128)</f>
        <v>2024</v>
      </c>
      <c r="R128" s="18">
        <f>MONTH(A128)</f>
        <v>1</v>
      </c>
      <c r="S128" s="18">
        <f>IF(R128&lt;4,Q128-1,Q128)</f>
        <v>2023</v>
      </c>
      <c r="T128" s="18">
        <f>IF(R128&lt;4,R128+9,R128-3)</f>
        <v>10</v>
      </c>
      <c r="U128" s="18">
        <f>IF(LEN(T128)=1,_xlfn.CONCAT(0,T128),T128)</f>
        <v>10</v>
      </c>
      <c r="V128" s="18" t="str">
        <f>_xlfn.CONCAT(S128,U128)</f>
        <v>202310</v>
      </c>
      <c r="W128" s="18" t="str">
        <f>_xlfn.CONCAT(TEXT(A128,"MMM"),"-",MID(Q128,3,2))</f>
        <v>Jan-24</v>
      </c>
      <c r="X128" s="19">
        <f>IFERROR(IF(D128="Sell",(H128-P128),-(H128+P128)),0)</f>
        <v>-1964.76</v>
      </c>
      <c r="Y128" s="19">
        <f>X128/1000</f>
        <v>-1.9647600000000001</v>
      </c>
    </row>
    <row r="129" spans="1:25" x14ac:dyDescent="0.25">
      <c r="A129" s="1">
        <v>45321</v>
      </c>
      <c r="B129" t="s">
        <v>766</v>
      </c>
      <c r="C129" t="s">
        <v>17</v>
      </c>
      <c r="D129" t="s">
        <v>22</v>
      </c>
      <c r="E129">
        <v>40</v>
      </c>
      <c r="F129">
        <v>0</v>
      </c>
      <c r="G129">
        <v>45.85</v>
      </c>
      <c r="H129">
        <v>1834</v>
      </c>
      <c r="I129" t="s">
        <v>775</v>
      </c>
      <c r="J129">
        <v>0</v>
      </c>
      <c r="K129">
        <v>0.93</v>
      </c>
      <c r="L129">
        <v>0.79</v>
      </c>
      <c r="M129">
        <v>0</v>
      </c>
      <c r="N129">
        <v>20</v>
      </c>
      <c r="O129">
        <v>3.76</v>
      </c>
      <c r="P129">
        <v>25.48</v>
      </c>
      <c r="Q129" s="18">
        <f>YEAR(A129)</f>
        <v>2024</v>
      </c>
      <c r="R129" s="18">
        <f>MONTH(A129)</f>
        <v>1</v>
      </c>
      <c r="S129" s="18">
        <f>IF(R129&lt;4,Q129-1,Q129)</f>
        <v>2023</v>
      </c>
      <c r="T129" s="18">
        <f>IF(R129&lt;4,R129+9,R129-3)</f>
        <v>10</v>
      </c>
      <c r="U129" s="18">
        <f>IF(LEN(T129)=1,_xlfn.CONCAT(0,T129),T129)</f>
        <v>10</v>
      </c>
      <c r="V129" s="18" t="str">
        <f>_xlfn.CONCAT(S129,U129)</f>
        <v>202310</v>
      </c>
      <c r="W129" s="18" t="str">
        <f>_xlfn.CONCAT(TEXT(A129,"MMM"),"-",MID(Q129,3,2))</f>
        <v>Jan-24</v>
      </c>
      <c r="X129" s="19">
        <f>IFERROR(IF(D129="Sell",(H129-P129),-(H129+P129)),0)</f>
        <v>-1859.48</v>
      </c>
      <c r="Y129" s="19">
        <f>X129/1000</f>
        <v>-1.85948</v>
      </c>
    </row>
    <row r="130" spans="1:25" x14ac:dyDescent="0.25">
      <c r="A130" s="1">
        <v>45321</v>
      </c>
      <c r="B130" t="s">
        <v>766</v>
      </c>
      <c r="C130" t="s">
        <v>17</v>
      </c>
      <c r="D130" t="s">
        <v>22</v>
      </c>
      <c r="E130">
        <v>40</v>
      </c>
      <c r="F130">
        <v>0</v>
      </c>
      <c r="G130">
        <v>48.35</v>
      </c>
      <c r="H130">
        <v>1934</v>
      </c>
      <c r="I130" t="s">
        <v>776</v>
      </c>
      <c r="J130">
        <v>0</v>
      </c>
      <c r="K130">
        <v>0.98</v>
      </c>
      <c r="L130">
        <v>0</v>
      </c>
      <c r="M130">
        <v>0</v>
      </c>
      <c r="N130">
        <v>20</v>
      </c>
      <c r="O130">
        <v>3.78</v>
      </c>
      <c r="P130">
        <v>24.76</v>
      </c>
      <c r="Q130" s="18">
        <f>YEAR(A130)</f>
        <v>2024</v>
      </c>
      <c r="R130" s="18">
        <f>MONTH(A130)</f>
        <v>1</v>
      </c>
      <c r="S130" s="18">
        <f>IF(R130&lt;4,Q130-1,Q130)</f>
        <v>2023</v>
      </c>
      <c r="T130" s="18">
        <f>IF(R130&lt;4,R130+9,R130-3)</f>
        <v>10</v>
      </c>
      <c r="U130" s="18">
        <f>IF(LEN(T130)=1,_xlfn.CONCAT(0,T130),T130)</f>
        <v>10</v>
      </c>
      <c r="V130" s="18" t="str">
        <f>_xlfn.CONCAT(S130,U130)</f>
        <v>202310</v>
      </c>
      <c r="W130" s="18" t="str">
        <f>_xlfn.CONCAT(TEXT(A130,"MMM"),"-",MID(Q130,3,2))</f>
        <v>Jan-24</v>
      </c>
      <c r="X130" s="19">
        <f>IFERROR(IF(D130="Sell",(H130-P130),-(H130+P130)),0)</f>
        <v>-1958.76</v>
      </c>
      <c r="Y130" s="19">
        <f>X130/1000</f>
        <v>-1.9587600000000001</v>
      </c>
    </row>
    <row r="131" spans="1:25" x14ac:dyDescent="0.25">
      <c r="A131" s="1">
        <v>45321</v>
      </c>
      <c r="B131" t="s">
        <v>766</v>
      </c>
      <c r="C131" t="s">
        <v>17</v>
      </c>
      <c r="D131" t="s">
        <v>22</v>
      </c>
      <c r="E131">
        <v>40</v>
      </c>
      <c r="F131">
        <v>0</v>
      </c>
      <c r="G131">
        <v>51.4</v>
      </c>
      <c r="H131">
        <v>2056</v>
      </c>
      <c r="I131" t="s">
        <v>777</v>
      </c>
      <c r="J131">
        <v>0</v>
      </c>
      <c r="K131">
        <v>1.04</v>
      </c>
      <c r="L131">
        <v>0</v>
      </c>
      <c r="M131">
        <v>0</v>
      </c>
      <c r="N131">
        <v>20</v>
      </c>
      <c r="O131">
        <v>3.78</v>
      </c>
      <c r="P131">
        <v>24.82</v>
      </c>
      <c r="Q131" s="18">
        <f>YEAR(A131)</f>
        <v>2024</v>
      </c>
      <c r="R131" s="18">
        <f>MONTH(A131)</f>
        <v>1</v>
      </c>
      <c r="S131" s="18">
        <f>IF(R131&lt;4,Q131-1,Q131)</f>
        <v>2023</v>
      </c>
      <c r="T131" s="18">
        <f>IF(R131&lt;4,R131+9,R131-3)</f>
        <v>10</v>
      </c>
      <c r="U131" s="18">
        <f>IF(LEN(T131)=1,_xlfn.CONCAT(0,T131),T131)</f>
        <v>10</v>
      </c>
      <c r="V131" s="18" t="str">
        <f>_xlfn.CONCAT(S131,U131)</f>
        <v>202310</v>
      </c>
      <c r="W131" s="18" t="str">
        <f>_xlfn.CONCAT(TEXT(A131,"MMM"),"-",MID(Q131,3,2))</f>
        <v>Jan-24</v>
      </c>
      <c r="X131" s="19">
        <f>IFERROR(IF(D131="Sell",(H131-P131),-(H131+P131)),0)</f>
        <v>-2080.8200000000002</v>
      </c>
      <c r="Y131" s="19">
        <f>X131/1000</f>
        <v>-2.0808200000000001</v>
      </c>
    </row>
    <row r="132" spans="1:25" x14ac:dyDescent="0.25">
      <c r="A132" s="1">
        <v>45321</v>
      </c>
      <c r="B132" t="s">
        <v>766</v>
      </c>
      <c r="C132" t="s">
        <v>17</v>
      </c>
      <c r="D132" t="s">
        <v>22</v>
      </c>
      <c r="E132">
        <v>40</v>
      </c>
      <c r="F132">
        <v>0</v>
      </c>
      <c r="G132">
        <v>52.5</v>
      </c>
      <c r="H132">
        <v>2100</v>
      </c>
      <c r="I132" t="s">
        <v>778</v>
      </c>
      <c r="J132">
        <v>0</v>
      </c>
      <c r="K132">
        <v>1.06</v>
      </c>
      <c r="L132">
        <v>0</v>
      </c>
      <c r="M132">
        <v>0</v>
      </c>
      <c r="N132">
        <v>20</v>
      </c>
      <c r="O132">
        <v>3.8</v>
      </c>
      <c r="P132">
        <v>24.86</v>
      </c>
      <c r="Q132" s="18">
        <f>YEAR(A132)</f>
        <v>2024</v>
      </c>
      <c r="R132" s="18">
        <f>MONTH(A132)</f>
        <v>1</v>
      </c>
      <c r="S132" s="18">
        <f>IF(R132&lt;4,Q132-1,Q132)</f>
        <v>2023</v>
      </c>
      <c r="T132" s="18">
        <f>IF(R132&lt;4,R132+9,R132-3)</f>
        <v>10</v>
      </c>
      <c r="U132" s="18">
        <f>IF(LEN(T132)=1,_xlfn.CONCAT(0,T132),T132)</f>
        <v>10</v>
      </c>
      <c r="V132" s="18" t="str">
        <f>_xlfn.CONCAT(S132,U132)</f>
        <v>202310</v>
      </c>
      <c r="W132" s="18" t="str">
        <f>_xlfn.CONCAT(TEXT(A132,"MMM"),"-",MID(Q132,3,2))</f>
        <v>Jan-24</v>
      </c>
      <c r="X132" s="19">
        <f>IFERROR(IF(D132="Sell",(H132-P132),-(H132+P132)),0)</f>
        <v>-2124.86</v>
      </c>
      <c r="Y132" s="19">
        <f>X132/1000</f>
        <v>-2.12486</v>
      </c>
    </row>
    <row r="133" spans="1:25" x14ac:dyDescent="0.25">
      <c r="A133" s="1">
        <v>45322</v>
      </c>
      <c r="B133" t="s">
        <v>755</v>
      </c>
      <c r="C133" t="s">
        <v>17</v>
      </c>
      <c r="D133" t="s">
        <v>18</v>
      </c>
      <c r="E133">
        <v>540</v>
      </c>
      <c r="F133">
        <v>0</v>
      </c>
      <c r="G133">
        <v>192.8</v>
      </c>
      <c r="H133">
        <v>104112</v>
      </c>
      <c r="I133" t="s">
        <v>756</v>
      </c>
      <c r="J133">
        <v>65.010000000000005</v>
      </c>
      <c r="K133">
        <v>52.57</v>
      </c>
      <c r="L133">
        <v>0</v>
      </c>
      <c r="M133">
        <v>0.11</v>
      </c>
      <c r="N133">
        <v>720</v>
      </c>
      <c r="O133">
        <v>139.08000000000001</v>
      </c>
      <c r="P133">
        <v>976.77</v>
      </c>
      <c r="Q133" s="18">
        <f>YEAR(A133)</f>
        <v>2024</v>
      </c>
      <c r="R133" s="18">
        <f>MONTH(A133)</f>
        <v>1</v>
      </c>
      <c r="S133" s="18">
        <f>IF(R133&lt;4,Q133-1,Q133)</f>
        <v>2023</v>
      </c>
      <c r="T133" s="18">
        <f>IF(R133&lt;4,R133+9,R133-3)</f>
        <v>10</v>
      </c>
      <c r="U133" s="18">
        <f>IF(LEN(T133)=1,_xlfn.CONCAT(0,T133),T133)</f>
        <v>10</v>
      </c>
      <c r="V133" s="18" t="str">
        <f>_xlfn.CONCAT(S133,U133)</f>
        <v>202310</v>
      </c>
      <c r="W133" s="18" t="str">
        <f>_xlfn.CONCAT(TEXT(A133,"MMM"),"-",MID(Q133,3,2))</f>
        <v>Jan-24</v>
      </c>
      <c r="X133" s="19">
        <f>IFERROR(IF(D133="Sell",(H133-P133),-(H133+P133)),0)</f>
        <v>103135.23</v>
      </c>
      <c r="Y133" s="19">
        <f>X133/1000</f>
        <v>103.13522999999999</v>
      </c>
    </row>
    <row r="134" spans="1:25" x14ac:dyDescent="0.25">
      <c r="A134" s="1">
        <v>45322</v>
      </c>
      <c r="B134" t="s">
        <v>755</v>
      </c>
      <c r="C134" t="s">
        <v>17</v>
      </c>
      <c r="D134" t="s">
        <v>22</v>
      </c>
      <c r="E134">
        <v>75</v>
      </c>
      <c r="F134">
        <v>0</v>
      </c>
      <c r="G134">
        <v>92</v>
      </c>
      <c r="H134">
        <v>6900</v>
      </c>
      <c r="I134" t="s">
        <v>757</v>
      </c>
      <c r="J134">
        <v>0</v>
      </c>
      <c r="K134">
        <v>3.49</v>
      </c>
      <c r="L134">
        <v>0</v>
      </c>
      <c r="M134">
        <v>0.01</v>
      </c>
      <c r="N134">
        <v>100</v>
      </c>
      <c r="O134">
        <v>18.62</v>
      </c>
      <c r="P134">
        <v>122.12</v>
      </c>
      <c r="Q134" s="18">
        <f>YEAR(A134)</f>
        <v>2024</v>
      </c>
      <c r="R134" s="18">
        <f>MONTH(A134)</f>
        <v>1</v>
      </c>
      <c r="S134" s="18">
        <f>IF(R134&lt;4,Q134-1,Q134)</f>
        <v>2023</v>
      </c>
      <c r="T134" s="18">
        <f>IF(R134&lt;4,R134+9,R134-3)</f>
        <v>10</v>
      </c>
      <c r="U134" s="18">
        <f>IF(LEN(T134)=1,_xlfn.CONCAT(0,T134),T134)</f>
        <v>10</v>
      </c>
      <c r="V134" s="18" t="str">
        <f>_xlfn.CONCAT(S134,U134)</f>
        <v>202310</v>
      </c>
      <c r="W134" s="18" t="str">
        <f>_xlfn.CONCAT(TEXT(A134,"MMM"),"-",MID(Q134,3,2))</f>
        <v>Jan-24</v>
      </c>
      <c r="X134" s="19">
        <f>IFERROR(IF(D134="Sell",(H134-P134),-(H134+P134)),0)</f>
        <v>-7022.12</v>
      </c>
      <c r="Y134" s="19">
        <f>X134/1000</f>
        <v>-7.0221200000000001</v>
      </c>
    </row>
    <row r="135" spans="1:25" x14ac:dyDescent="0.25">
      <c r="A135" s="1">
        <v>45322</v>
      </c>
      <c r="B135" t="s">
        <v>755</v>
      </c>
      <c r="C135" t="s">
        <v>17</v>
      </c>
      <c r="D135" t="s">
        <v>22</v>
      </c>
      <c r="E135">
        <v>75</v>
      </c>
      <c r="F135">
        <v>0</v>
      </c>
      <c r="G135">
        <v>90.55</v>
      </c>
      <c r="H135">
        <v>6791.25</v>
      </c>
      <c r="I135" t="s">
        <v>758</v>
      </c>
      <c r="J135">
        <v>0</v>
      </c>
      <c r="K135">
        <v>3.45</v>
      </c>
      <c r="L135">
        <v>0</v>
      </c>
      <c r="M135">
        <v>0</v>
      </c>
      <c r="N135">
        <v>100</v>
      </c>
      <c r="O135">
        <v>18.600000000000001</v>
      </c>
      <c r="P135">
        <v>122.05</v>
      </c>
      <c r="Q135" s="18">
        <f>YEAR(A135)</f>
        <v>2024</v>
      </c>
      <c r="R135" s="18">
        <f>MONTH(A135)</f>
        <v>1</v>
      </c>
      <c r="S135" s="18">
        <f>IF(R135&lt;4,Q135-1,Q135)</f>
        <v>2023</v>
      </c>
      <c r="T135" s="18">
        <f>IF(R135&lt;4,R135+9,R135-3)</f>
        <v>10</v>
      </c>
      <c r="U135" s="18">
        <f>IF(LEN(T135)=1,_xlfn.CONCAT(0,T135),T135)</f>
        <v>10</v>
      </c>
      <c r="V135" s="18" t="str">
        <f>_xlfn.CONCAT(S135,U135)</f>
        <v>202310</v>
      </c>
      <c r="W135" s="18" t="str">
        <f>_xlfn.CONCAT(TEXT(A135,"MMM"),"-",MID(Q135,3,2))</f>
        <v>Jan-24</v>
      </c>
      <c r="X135" s="19">
        <f>IFERROR(IF(D135="Sell",(H135-P135),-(H135+P135)),0)</f>
        <v>-6913.3</v>
      </c>
      <c r="Y135" s="19">
        <f>X135/1000</f>
        <v>-6.9133000000000004</v>
      </c>
    </row>
    <row r="136" spans="1:25" x14ac:dyDescent="0.25">
      <c r="A136" s="1">
        <v>45322</v>
      </c>
      <c r="B136" t="s">
        <v>755</v>
      </c>
      <c r="C136" t="s">
        <v>17</v>
      </c>
      <c r="D136" t="s">
        <v>22</v>
      </c>
      <c r="E136">
        <v>90</v>
      </c>
      <c r="F136">
        <v>0</v>
      </c>
      <c r="G136">
        <v>94.11</v>
      </c>
      <c r="H136">
        <v>8469.75</v>
      </c>
      <c r="I136" t="s">
        <v>759</v>
      </c>
      <c r="J136">
        <v>0</v>
      </c>
      <c r="K136">
        <v>4.2699999999999996</v>
      </c>
      <c r="L136">
        <v>0</v>
      </c>
      <c r="M136">
        <v>0.01</v>
      </c>
      <c r="N136">
        <v>120</v>
      </c>
      <c r="O136">
        <v>22.36</v>
      </c>
      <c r="P136">
        <v>146.63999999999999</v>
      </c>
      <c r="Q136" s="18">
        <f>YEAR(A136)</f>
        <v>2024</v>
      </c>
      <c r="R136" s="18">
        <f>MONTH(A136)</f>
        <v>1</v>
      </c>
      <c r="S136" s="18">
        <f>IF(R136&lt;4,Q136-1,Q136)</f>
        <v>2023</v>
      </c>
      <c r="T136" s="18">
        <f>IF(R136&lt;4,R136+9,R136-3)</f>
        <v>10</v>
      </c>
      <c r="U136" s="18">
        <f>IF(LEN(T136)=1,_xlfn.CONCAT(0,T136),T136)</f>
        <v>10</v>
      </c>
      <c r="V136" s="18" t="str">
        <f>_xlfn.CONCAT(S136,U136)</f>
        <v>202310</v>
      </c>
      <c r="W136" s="18" t="str">
        <f>_xlfn.CONCAT(TEXT(A136,"MMM"),"-",MID(Q136,3,2))</f>
        <v>Jan-24</v>
      </c>
      <c r="X136" s="19">
        <f>IFERROR(IF(D136="Sell",(H136-P136),-(H136+P136)),0)</f>
        <v>-8616.39</v>
      </c>
      <c r="Y136" s="19">
        <f>X136/1000</f>
        <v>-8.6163899999999991</v>
      </c>
    </row>
    <row r="137" spans="1:25" x14ac:dyDescent="0.25">
      <c r="A137" s="1">
        <v>45322</v>
      </c>
      <c r="B137" t="s">
        <v>755</v>
      </c>
      <c r="C137" t="s">
        <v>17</v>
      </c>
      <c r="D137" t="s">
        <v>22</v>
      </c>
      <c r="E137">
        <v>75</v>
      </c>
      <c r="F137">
        <v>0</v>
      </c>
      <c r="G137">
        <v>103.8</v>
      </c>
      <c r="H137">
        <v>7785</v>
      </c>
      <c r="I137" t="s">
        <v>760</v>
      </c>
      <c r="J137">
        <v>0</v>
      </c>
      <c r="K137">
        <v>3.94</v>
      </c>
      <c r="L137">
        <v>0</v>
      </c>
      <c r="M137">
        <v>0.01</v>
      </c>
      <c r="N137">
        <v>100</v>
      </c>
      <c r="O137">
        <v>18.7</v>
      </c>
      <c r="P137">
        <v>122.65</v>
      </c>
      <c r="Q137" s="18">
        <f>YEAR(A137)</f>
        <v>2024</v>
      </c>
      <c r="R137" s="18">
        <f>MONTH(A137)</f>
        <v>1</v>
      </c>
      <c r="S137" s="18">
        <f>IF(R137&lt;4,Q137-1,Q137)</f>
        <v>2023</v>
      </c>
      <c r="T137" s="18">
        <f>IF(R137&lt;4,R137+9,R137-3)</f>
        <v>10</v>
      </c>
      <c r="U137" s="18">
        <f>IF(LEN(T137)=1,_xlfn.CONCAT(0,T137),T137)</f>
        <v>10</v>
      </c>
      <c r="V137" s="18" t="str">
        <f>_xlfn.CONCAT(S137,U137)</f>
        <v>202310</v>
      </c>
      <c r="W137" s="18" t="str">
        <f>_xlfn.CONCAT(TEXT(A137,"MMM"),"-",MID(Q137,3,2))</f>
        <v>Jan-24</v>
      </c>
      <c r="X137" s="19">
        <f>IFERROR(IF(D137="Sell",(H137-P137),-(H137+P137)),0)</f>
        <v>-7907.65</v>
      </c>
      <c r="Y137" s="19">
        <f>X137/1000</f>
        <v>-7.9076499999999994</v>
      </c>
    </row>
    <row r="138" spans="1:25" x14ac:dyDescent="0.25">
      <c r="A138" s="1">
        <v>45322</v>
      </c>
      <c r="B138" t="s">
        <v>755</v>
      </c>
      <c r="C138" t="s">
        <v>17</v>
      </c>
      <c r="D138" t="s">
        <v>22</v>
      </c>
      <c r="E138">
        <v>210</v>
      </c>
      <c r="F138">
        <v>0</v>
      </c>
      <c r="G138">
        <v>103.1</v>
      </c>
      <c r="H138">
        <v>21651</v>
      </c>
      <c r="I138" t="s">
        <v>761</v>
      </c>
      <c r="J138">
        <v>0</v>
      </c>
      <c r="K138">
        <v>10.93</v>
      </c>
      <c r="L138">
        <v>2</v>
      </c>
      <c r="M138">
        <v>0.02</v>
      </c>
      <c r="N138">
        <v>280</v>
      </c>
      <c r="O138">
        <v>52.38</v>
      </c>
      <c r="P138">
        <v>345.33</v>
      </c>
      <c r="Q138" s="18">
        <f>YEAR(A138)</f>
        <v>2024</v>
      </c>
      <c r="R138" s="18">
        <f>MONTH(A138)</f>
        <v>1</v>
      </c>
      <c r="S138" s="18">
        <f>IF(R138&lt;4,Q138-1,Q138)</f>
        <v>2023</v>
      </c>
      <c r="T138" s="18">
        <f>IF(R138&lt;4,R138+9,R138-3)</f>
        <v>10</v>
      </c>
      <c r="U138" s="18">
        <f>IF(LEN(T138)=1,_xlfn.CONCAT(0,T138),T138)</f>
        <v>10</v>
      </c>
      <c r="V138" s="18" t="str">
        <f>_xlfn.CONCAT(S138,U138)</f>
        <v>202310</v>
      </c>
      <c r="W138" s="18" t="str">
        <f>_xlfn.CONCAT(TEXT(A138,"MMM"),"-",MID(Q138,3,2))</f>
        <v>Jan-24</v>
      </c>
      <c r="X138" s="19">
        <f>IFERROR(IF(D138="Sell",(H138-P138),-(H138+P138)),0)</f>
        <v>-21996.33</v>
      </c>
      <c r="Y138" s="19">
        <f>X138/1000</f>
        <v>-21.99633</v>
      </c>
    </row>
    <row r="139" spans="1:25" x14ac:dyDescent="0.25">
      <c r="A139" s="1">
        <v>45322</v>
      </c>
      <c r="B139" t="s">
        <v>755</v>
      </c>
      <c r="C139" t="s">
        <v>17</v>
      </c>
      <c r="D139" t="s">
        <v>22</v>
      </c>
      <c r="E139">
        <v>15</v>
      </c>
      <c r="F139">
        <v>0</v>
      </c>
      <c r="G139">
        <v>103.2</v>
      </c>
      <c r="H139">
        <v>1548</v>
      </c>
      <c r="I139" t="s">
        <v>762</v>
      </c>
      <c r="J139">
        <v>0</v>
      </c>
      <c r="K139">
        <v>0.78</v>
      </c>
      <c r="L139">
        <v>0</v>
      </c>
      <c r="M139">
        <v>0</v>
      </c>
      <c r="N139">
        <v>20</v>
      </c>
      <c r="O139">
        <v>3.74</v>
      </c>
      <c r="P139">
        <v>24.52</v>
      </c>
      <c r="Q139" s="18">
        <f>YEAR(A139)</f>
        <v>2024</v>
      </c>
      <c r="R139" s="18">
        <f>MONTH(A139)</f>
        <v>1</v>
      </c>
      <c r="S139" s="18">
        <f>IF(R139&lt;4,Q139-1,Q139)</f>
        <v>2023</v>
      </c>
      <c r="T139" s="18">
        <f>IF(R139&lt;4,R139+9,R139-3)</f>
        <v>10</v>
      </c>
      <c r="U139" s="18">
        <f>IF(LEN(T139)=1,_xlfn.CONCAT(0,T139),T139)</f>
        <v>10</v>
      </c>
      <c r="V139" s="18" t="str">
        <f>_xlfn.CONCAT(S139,U139)</f>
        <v>202310</v>
      </c>
      <c r="W139" s="18" t="str">
        <f>_xlfn.CONCAT(TEXT(A139,"MMM"),"-",MID(Q139,3,2))</f>
        <v>Jan-24</v>
      </c>
      <c r="X139" s="19">
        <f>IFERROR(IF(D139="Sell",(H139-P139),-(H139+P139)),0)</f>
        <v>-1572.52</v>
      </c>
      <c r="Y139" s="19">
        <f>X139/1000</f>
        <v>-1.5725199999999999</v>
      </c>
    </row>
    <row r="140" spans="1:25" x14ac:dyDescent="0.25">
      <c r="A140" s="1">
        <v>45323</v>
      </c>
      <c r="B140" t="s">
        <v>731</v>
      </c>
      <c r="C140" t="s">
        <v>17</v>
      </c>
      <c r="D140" t="s">
        <v>18</v>
      </c>
      <c r="E140">
        <v>330</v>
      </c>
      <c r="F140">
        <v>0</v>
      </c>
      <c r="G140">
        <v>432.88</v>
      </c>
      <c r="H140">
        <v>142851.75</v>
      </c>
      <c r="I140" t="s">
        <v>732</v>
      </c>
      <c r="J140">
        <v>89.29</v>
      </c>
      <c r="K140">
        <v>72.14</v>
      </c>
      <c r="L140">
        <v>0</v>
      </c>
      <c r="M140">
        <v>0.14000000000000001</v>
      </c>
      <c r="N140">
        <v>440</v>
      </c>
      <c r="O140">
        <v>92.2</v>
      </c>
      <c r="P140">
        <v>693.77</v>
      </c>
      <c r="Q140" s="18">
        <f>YEAR(A140)</f>
        <v>2024</v>
      </c>
      <c r="R140" s="18">
        <f>MONTH(A140)</f>
        <v>2</v>
      </c>
      <c r="S140" s="18">
        <f>IF(R140&lt;4,Q140-1,Q140)</f>
        <v>2023</v>
      </c>
      <c r="T140" s="18">
        <f>IF(R140&lt;4,R140+9,R140-3)</f>
        <v>11</v>
      </c>
      <c r="U140" s="18">
        <f>IF(LEN(T140)=1,_xlfn.CONCAT(0,T140),T140)</f>
        <v>11</v>
      </c>
      <c r="V140" s="18" t="str">
        <f>_xlfn.CONCAT(S140,U140)</f>
        <v>202311</v>
      </c>
      <c r="W140" s="18" t="str">
        <f>_xlfn.CONCAT(TEXT(A140,"MMM"),"-",MID(Q140,3,2))</f>
        <v>Feb-24</v>
      </c>
      <c r="X140" s="19">
        <f>IFERROR(IF(D140="Sell",(H140-P140),-(H140+P140)),0)</f>
        <v>142157.98000000001</v>
      </c>
      <c r="Y140" s="19">
        <f>X140/1000</f>
        <v>142.15798000000001</v>
      </c>
    </row>
    <row r="141" spans="1:25" x14ac:dyDescent="0.25">
      <c r="A141" s="1">
        <v>45323</v>
      </c>
      <c r="B141" t="s">
        <v>731</v>
      </c>
      <c r="C141" t="s">
        <v>17</v>
      </c>
      <c r="D141" t="s">
        <v>22</v>
      </c>
      <c r="E141">
        <v>45</v>
      </c>
      <c r="F141">
        <v>0</v>
      </c>
      <c r="G141">
        <v>327.75</v>
      </c>
      <c r="H141">
        <v>14748.75</v>
      </c>
      <c r="I141" t="s">
        <v>733</v>
      </c>
      <c r="J141">
        <v>0</v>
      </c>
      <c r="K141">
        <v>7.45</v>
      </c>
      <c r="L141">
        <v>0</v>
      </c>
      <c r="M141">
        <v>0.01</v>
      </c>
      <c r="N141">
        <v>60</v>
      </c>
      <c r="O141">
        <v>12.14</v>
      </c>
      <c r="P141">
        <v>79.599999999999994</v>
      </c>
      <c r="Q141" s="18">
        <f>YEAR(A141)</f>
        <v>2024</v>
      </c>
      <c r="R141" s="18">
        <f>MONTH(A141)</f>
        <v>2</v>
      </c>
      <c r="S141" s="18">
        <f>IF(R141&lt;4,Q141-1,Q141)</f>
        <v>2023</v>
      </c>
      <c r="T141" s="18">
        <f>IF(R141&lt;4,R141+9,R141-3)</f>
        <v>11</v>
      </c>
      <c r="U141" s="18">
        <f>IF(LEN(T141)=1,_xlfn.CONCAT(0,T141),T141)</f>
        <v>11</v>
      </c>
      <c r="V141" s="18" t="str">
        <f>_xlfn.CONCAT(S141,U141)</f>
        <v>202311</v>
      </c>
      <c r="W141" s="18" t="str">
        <f>_xlfn.CONCAT(TEXT(A141,"MMM"),"-",MID(Q141,3,2))</f>
        <v>Feb-24</v>
      </c>
      <c r="X141" s="19">
        <f>IFERROR(IF(D141="Sell",(H141-P141),-(H141+P141)),0)</f>
        <v>-14828.35</v>
      </c>
      <c r="Y141" s="19">
        <f>X141/1000</f>
        <v>-14.82835</v>
      </c>
    </row>
    <row r="142" spans="1:25" x14ac:dyDescent="0.25">
      <c r="A142" s="1">
        <v>45323</v>
      </c>
      <c r="B142" t="s">
        <v>731</v>
      </c>
      <c r="C142" t="s">
        <v>17</v>
      </c>
      <c r="D142" t="s">
        <v>22</v>
      </c>
      <c r="E142">
        <v>30</v>
      </c>
      <c r="F142">
        <v>0</v>
      </c>
      <c r="G142">
        <v>355.3</v>
      </c>
      <c r="H142">
        <v>10659</v>
      </c>
      <c r="I142" t="s">
        <v>734</v>
      </c>
      <c r="J142">
        <v>0</v>
      </c>
      <c r="K142">
        <v>5.38</v>
      </c>
      <c r="L142">
        <v>0</v>
      </c>
      <c r="M142">
        <v>0.01</v>
      </c>
      <c r="N142">
        <v>40</v>
      </c>
      <c r="O142">
        <v>8.18</v>
      </c>
      <c r="P142">
        <v>53.57</v>
      </c>
      <c r="Q142" s="18">
        <f>YEAR(A142)</f>
        <v>2024</v>
      </c>
      <c r="R142" s="18">
        <f>MONTH(A142)</f>
        <v>2</v>
      </c>
      <c r="S142" s="18">
        <f>IF(R142&lt;4,Q142-1,Q142)</f>
        <v>2023</v>
      </c>
      <c r="T142" s="18">
        <f>IF(R142&lt;4,R142+9,R142-3)</f>
        <v>11</v>
      </c>
      <c r="U142" s="18">
        <f>IF(LEN(T142)=1,_xlfn.CONCAT(0,T142),T142)</f>
        <v>11</v>
      </c>
      <c r="V142" s="18" t="str">
        <f>_xlfn.CONCAT(S142,U142)</f>
        <v>202311</v>
      </c>
      <c r="W142" s="18" t="str">
        <f>_xlfn.CONCAT(TEXT(A142,"MMM"),"-",MID(Q142,3,2))</f>
        <v>Feb-24</v>
      </c>
      <c r="X142" s="19">
        <f>IFERROR(IF(D142="Sell",(H142-P142),-(H142+P142)),0)</f>
        <v>-10712.57</v>
      </c>
      <c r="Y142" s="19">
        <f>X142/1000</f>
        <v>-10.712569999999999</v>
      </c>
    </row>
    <row r="143" spans="1:25" x14ac:dyDescent="0.25">
      <c r="A143" s="1">
        <v>45323</v>
      </c>
      <c r="B143" t="s">
        <v>731</v>
      </c>
      <c r="C143" t="s">
        <v>17</v>
      </c>
      <c r="D143" t="s">
        <v>22</v>
      </c>
      <c r="E143">
        <v>30</v>
      </c>
      <c r="F143">
        <v>0</v>
      </c>
      <c r="G143">
        <v>401.85</v>
      </c>
      <c r="H143">
        <v>12055.5</v>
      </c>
      <c r="I143" t="s">
        <v>735</v>
      </c>
      <c r="J143">
        <v>0</v>
      </c>
      <c r="K143">
        <v>6.09</v>
      </c>
      <c r="L143">
        <v>0</v>
      </c>
      <c r="M143">
        <v>0.01</v>
      </c>
      <c r="N143">
        <v>40</v>
      </c>
      <c r="O143">
        <v>8.3000000000000007</v>
      </c>
      <c r="P143">
        <v>54.4</v>
      </c>
      <c r="Q143" s="18">
        <f>YEAR(A143)</f>
        <v>2024</v>
      </c>
      <c r="R143" s="18">
        <f>MONTH(A143)</f>
        <v>2</v>
      </c>
      <c r="S143" s="18">
        <f>IF(R143&lt;4,Q143-1,Q143)</f>
        <v>2023</v>
      </c>
      <c r="T143" s="18">
        <f>IF(R143&lt;4,R143+9,R143-3)</f>
        <v>11</v>
      </c>
      <c r="U143" s="18">
        <f>IF(LEN(T143)=1,_xlfn.CONCAT(0,T143),T143)</f>
        <v>11</v>
      </c>
      <c r="V143" s="18" t="str">
        <f>_xlfn.CONCAT(S143,U143)</f>
        <v>202311</v>
      </c>
      <c r="W143" s="18" t="str">
        <f>_xlfn.CONCAT(TEXT(A143,"MMM"),"-",MID(Q143,3,2))</f>
        <v>Feb-24</v>
      </c>
      <c r="X143" s="19">
        <f>IFERROR(IF(D143="Sell",(H143-P143),-(H143+P143)),0)</f>
        <v>-12109.9</v>
      </c>
      <c r="Y143" s="19">
        <f>X143/1000</f>
        <v>-12.1099</v>
      </c>
    </row>
    <row r="144" spans="1:25" x14ac:dyDescent="0.25">
      <c r="A144" s="1">
        <v>45323</v>
      </c>
      <c r="B144" t="s">
        <v>731</v>
      </c>
      <c r="C144" t="s">
        <v>17</v>
      </c>
      <c r="D144" t="s">
        <v>22</v>
      </c>
      <c r="E144">
        <v>75</v>
      </c>
      <c r="F144">
        <v>0</v>
      </c>
      <c r="G144">
        <v>409.95</v>
      </c>
      <c r="H144">
        <v>30746.25</v>
      </c>
      <c r="I144" t="s">
        <v>736</v>
      </c>
      <c r="J144">
        <v>0</v>
      </c>
      <c r="K144">
        <v>15.53</v>
      </c>
      <c r="L144">
        <v>0</v>
      </c>
      <c r="M144">
        <v>0.03</v>
      </c>
      <c r="N144">
        <v>100</v>
      </c>
      <c r="O144">
        <v>20.8</v>
      </c>
      <c r="P144">
        <v>136.36000000000001</v>
      </c>
      <c r="Q144" s="18">
        <f>YEAR(A144)</f>
        <v>2024</v>
      </c>
      <c r="R144" s="18">
        <f>MONTH(A144)</f>
        <v>2</v>
      </c>
      <c r="S144" s="18">
        <f>IF(R144&lt;4,Q144-1,Q144)</f>
        <v>2023</v>
      </c>
      <c r="T144" s="18">
        <f>IF(R144&lt;4,R144+9,R144-3)</f>
        <v>11</v>
      </c>
      <c r="U144" s="18">
        <f>IF(LEN(T144)=1,_xlfn.CONCAT(0,T144),T144)</f>
        <v>11</v>
      </c>
      <c r="V144" s="18" t="str">
        <f>_xlfn.CONCAT(S144,U144)</f>
        <v>202311</v>
      </c>
      <c r="W144" s="18" t="str">
        <f>_xlfn.CONCAT(TEXT(A144,"MMM"),"-",MID(Q144,3,2))</f>
        <v>Feb-24</v>
      </c>
      <c r="X144" s="19">
        <f>IFERROR(IF(D144="Sell",(H144-P144),-(H144+P144)),0)</f>
        <v>-30882.61</v>
      </c>
      <c r="Y144" s="19">
        <f>X144/1000</f>
        <v>-30.88261</v>
      </c>
    </row>
    <row r="145" spans="1:25" x14ac:dyDescent="0.25">
      <c r="A145" s="1">
        <v>45323</v>
      </c>
      <c r="B145" t="s">
        <v>731</v>
      </c>
      <c r="C145" t="s">
        <v>17</v>
      </c>
      <c r="D145" t="s">
        <v>22</v>
      </c>
      <c r="E145">
        <v>75</v>
      </c>
      <c r="F145">
        <v>0</v>
      </c>
      <c r="G145">
        <v>418.81</v>
      </c>
      <c r="H145">
        <v>31410.75</v>
      </c>
      <c r="I145" t="s">
        <v>737</v>
      </c>
      <c r="J145">
        <v>0</v>
      </c>
      <c r="K145">
        <v>15.86</v>
      </c>
      <c r="L145">
        <v>3.75</v>
      </c>
      <c r="M145">
        <v>0.04</v>
      </c>
      <c r="N145">
        <v>100</v>
      </c>
      <c r="O145">
        <v>20.86</v>
      </c>
      <c r="P145">
        <v>140.51</v>
      </c>
      <c r="Q145" s="18">
        <f>YEAR(A145)</f>
        <v>2024</v>
      </c>
      <c r="R145" s="18">
        <f>MONTH(A145)</f>
        <v>2</v>
      </c>
      <c r="S145" s="18">
        <f>IF(R145&lt;4,Q145-1,Q145)</f>
        <v>2023</v>
      </c>
      <c r="T145" s="18">
        <f>IF(R145&lt;4,R145+9,R145-3)</f>
        <v>11</v>
      </c>
      <c r="U145" s="18">
        <f>IF(LEN(T145)=1,_xlfn.CONCAT(0,T145),T145)</f>
        <v>11</v>
      </c>
      <c r="V145" s="18" t="str">
        <f>_xlfn.CONCAT(S145,U145)</f>
        <v>202311</v>
      </c>
      <c r="W145" s="18" t="str">
        <f>_xlfn.CONCAT(TEXT(A145,"MMM"),"-",MID(Q145,3,2))</f>
        <v>Feb-24</v>
      </c>
      <c r="X145" s="19">
        <f>IFERROR(IF(D145="Sell",(H145-P145),-(H145+P145)),0)</f>
        <v>-31551.26</v>
      </c>
      <c r="Y145" s="19">
        <f>X145/1000</f>
        <v>-31.551259999999999</v>
      </c>
    </row>
    <row r="146" spans="1:25" x14ac:dyDescent="0.25">
      <c r="A146" s="1">
        <v>45323</v>
      </c>
      <c r="B146" t="s">
        <v>731</v>
      </c>
      <c r="C146" t="s">
        <v>17</v>
      </c>
      <c r="D146" t="s">
        <v>22</v>
      </c>
      <c r="E146">
        <v>60</v>
      </c>
      <c r="F146">
        <v>0</v>
      </c>
      <c r="G146">
        <v>431.9</v>
      </c>
      <c r="H146">
        <v>25914</v>
      </c>
      <c r="I146" t="s">
        <v>738</v>
      </c>
      <c r="J146">
        <v>0</v>
      </c>
      <c r="K146">
        <v>13.08</v>
      </c>
      <c r="L146">
        <v>0</v>
      </c>
      <c r="M146">
        <v>0.02</v>
      </c>
      <c r="N146">
        <v>80</v>
      </c>
      <c r="O146">
        <v>16.760000000000002</v>
      </c>
      <c r="P146">
        <v>109.86</v>
      </c>
      <c r="Q146" s="18">
        <f>YEAR(A146)</f>
        <v>2024</v>
      </c>
      <c r="R146" s="18">
        <f>MONTH(A146)</f>
        <v>2</v>
      </c>
      <c r="S146" s="18">
        <f>IF(R146&lt;4,Q146-1,Q146)</f>
        <v>2023</v>
      </c>
      <c r="T146" s="18">
        <f>IF(R146&lt;4,R146+9,R146-3)</f>
        <v>11</v>
      </c>
      <c r="U146" s="18">
        <f>IF(LEN(T146)=1,_xlfn.CONCAT(0,T146),T146)</f>
        <v>11</v>
      </c>
      <c r="V146" s="18" t="str">
        <f>_xlfn.CONCAT(S146,U146)</f>
        <v>202311</v>
      </c>
      <c r="W146" s="18" t="str">
        <f>_xlfn.CONCAT(TEXT(A146,"MMM"),"-",MID(Q146,3,2))</f>
        <v>Feb-24</v>
      </c>
      <c r="X146" s="19">
        <f>IFERROR(IF(D146="Sell",(H146-P146),-(H146+P146)),0)</f>
        <v>-26023.86</v>
      </c>
      <c r="Y146" s="19">
        <f>X146/1000</f>
        <v>-26.023859999999999</v>
      </c>
    </row>
    <row r="147" spans="1:25" x14ac:dyDescent="0.25">
      <c r="A147" s="1">
        <v>45323</v>
      </c>
      <c r="B147" t="s">
        <v>731</v>
      </c>
      <c r="C147" t="s">
        <v>17</v>
      </c>
      <c r="D147" t="s">
        <v>22</v>
      </c>
      <c r="E147">
        <v>15</v>
      </c>
      <c r="F147">
        <v>0</v>
      </c>
      <c r="G147">
        <v>427.35</v>
      </c>
      <c r="H147">
        <v>6410.25</v>
      </c>
      <c r="I147" t="s">
        <v>739</v>
      </c>
      <c r="J147">
        <v>0</v>
      </c>
      <c r="K147">
        <v>3.24</v>
      </c>
      <c r="L147">
        <v>0</v>
      </c>
      <c r="M147">
        <v>0.01</v>
      </c>
      <c r="N147">
        <v>20</v>
      </c>
      <c r="O147">
        <v>4.18</v>
      </c>
      <c r="P147">
        <v>27.43</v>
      </c>
      <c r="Q147" s="18">
        <f>YEAR(A147)</f>
        <v>2024</v>
      </c>
      <c r="R147" s="18">
        <f>MONTH(A147)</f>
        <v>2</v>
      </c>
      <c r="S147" s="18">
        <f>IF(R147&lt;4,Q147-1,Q147)</f>
        <v>2023</v>
      </c>
      <c r="T147" s="18">
        <f>IF(R147&lt;4,R147+9,R147-3)</f>
        <v>11</v>
      </c>
      <c r="U147" s="18">
        <f>IF(LEN(T147)=1,_xlfn.CONCAT(0,T147),T147)</f>
        <v>11</v>
      </c>
      <c r="V147" s="18" t="str">
        <f>_xlfn.CONCAT(S147,U147)</f>
        <v>202311</v>
      </c>
      <c r="W147" s="18" t="str">
        <f>_xlfn.CONCAT(TEXT(A147,"MMM"),"-",MID(Q147,3,2))</f>
        <v>Feb-24</v>
      </c>
      <c r="X147" s="19">
        <f>IFERROR(IF(D147="Sell",(H147-P147),-(H147+P147)),0)</f>
        <v>-6437.68</v>
      </c>
      <c r="Y147" s="19">
        <f>X147/1000</f>
        <v>-6.4376800000000003</v>
      </c>
    </row>
    <row r="148" spans="1:25" x14ac:dyDescent="0.25">
      <c r="A148" s="1">
        <v>45323</v>
      </c>
      <c r="B148" t="s">
        <v>740</v>
      </c>
      <c r="C148" t="s">
        <v>17</v>
      </c>
      <c r="D148" t="s">
        <v>18</v>
      </c>
      <c r="E148">
        <v>50</v>
      </c>
      <c r="F148">
        <v>0</v>
      </c>
      <c r="G148">
        <v>5.4</v>
      </c>
      <c r="H148">
        <v>270</v>
      </c>
      <c r="I148" t="s">
        <v>741</v>
      </c>
      <c r="J148">
        <v>0.33</v>
      </c>
      <c r="K148">
        <v>0.14000000000000001</v>
      </c>
      <c r="L148">
        <v>0</v>
      </c>
      <c r="M148">
        <v>0</v>
      </c>
      <c r="N148">
        <v>20</v>
      </c>
      <c r="O148">
        <v>3.62</v>
      </c>
      <c r="P148">
        <v>24.09</v>
      </c>
      <c r="Q148" s="18">
        <f>YEAR(A148)</f>
        <v>2024</v>
      </c>
      <c r="R148" s="18">
        <f>MONTH(A148)</f>
        <v>2</v>
      </c>
      <c r="S148" s="18">
        <f>IF(R148&lt;4,Q148-1,Q148)</f>
        <v>2023</v>
      </c>
      <c r="T148" s="18">
        <f>IF(R148&lt;4,R148+9,R148-3)</f>
        <v>11</v>
      </c>
      <c r="U148" s="18">
        <f>IF(LEN(T148)=1,_xlfn.CONCAT(0,T148),T148)</f>
        <v>11</v>
      </c>
      <c r="V148" s="18" t="str">
        <f>_xlfn.CONCAT(S148,U148)</f>
        <v>202311</v>
      </c>
      <c r="W148" s="18" t="str">
        <f>_xlfn.CONCAT(TEXT(A148,"MMM"),"-",MID(Q148,3,2))</f>
        <v>Feb-24</v>
      </c>
      <c r="X148" s="19">
        <f>IFERROR(IF(D148="Sell",(H148-P148),-(H148+P148)),0)</f>
        <v>245.91</v>
      </c>
      <c r="Y148" s="19">
        <f>X148/1000</f>
        <v>0.24590999999999999</v>
      </c>
    </row>
    <row r="149" spans="1:25" x14ac:dyDescent="0.25">
      <c r="A149" s="1">
        <v>45323</v>
      </c>
      <c r="B149" t="s">
        <v>740</v>
      </c>
      <c r="C149" t="s">
        <v>17</v>
      </c>
      <c r="D149" t="s">
        <v>18</v>
      </c>
      <c r="E149">
        <v>50</v>
      </c>
      <c r="F149">
        <v>0</v>
      </c>
      <c r="G149">
        <v>5.4</v>
      </c>
      <c r="H149">
        <v>270</v>
      </c>
      <c r="I149" t="s">
        <v>742</v>
      </c>
      <c r="J149">
        <v>0.17</v>
      </c>
      <c r="K149">
        <v>0.14000000000000001</v>
      </c>
      <c r="L149">
        <v>0</v>
      </c>
      <c r="M149">
        <v>0</v>
      </c>
      <c r="N149">
        <v>20</v>
      </c>
      <c r="O149">
        <v>3.62</v>
      </c>
      <c r="P149">
        <v>23.93</v>
      </c>
      <c r="Q149" s="18">
        <f>YEAR(A149)</f>
        <v>2024</v>
      </c>
      <c r="R149" s="18">
        <f>MONTH(A149)</f>
        <v>2</v>
      </c>
      <c r="S149" s="18">
        <f>IF(R149&lt;4,Q149-1,Q149)</f>
        <v>2023</v>
      </c>
      <c r="T149" s="18">
        <f>IF(R149&lt;4,R149+9,R149-3)</f>
        <v>11</v>
      </c>
      <c r="U149" s="18">
        <f>IF(LEN(T149)=1,_xlfn.CONCAT(0,T149),T149)</f>
        <v>11</v>
      </c>
      <c r="V149" s="18" t="str">
        <f>_xlfn.CONCAT(S149,U149)</f>
        <v>202311</v>
      </c>
      <c r="W149" s="18" t="str">
        <f>_xlfn.CONCAT(TEXT(A149,"MMM"),"-",MID(Q149,3,2))</f>
        <v>Feb-24</v>
      </c>
      <c r="X149" s="19">
        <f>IFERROR(IF(D149="Sell",(H149-P149),-(H149+P149)),0)</f>
        <v>246.07</v>
      </c>
      <c r="Y149" s="19">
        <f>X149/1000</f>
        <v>0.24606999999999998</v>
      </c>
    </row>
    <row r="150" spans="1:25" x14ac:dyDescent="0.25">
      <c r="A150" s="1">
        <v>45323</v>
      </c>
      <c r="B150" t="s">
        <v>740</v>
      </c>
      <c r="C150" t="s">
        <v>17</v>
      </c>
      <c r="D150" t="s">
        <v>22</v>
      </c>
      <c r="E150">
        <v>50</v>
      </c>
      <c r="F150">
        <v>0</v>
      </c>
      <c r="G150">
        <v>5.3</v>
      </c>
      <c r="H150">
        <v>265</v>
      </c>
      <c r="I150" t="s">
        <v>743</v>
      </c>
      <c r="J150">
        <v>0</v>
      </c>
      <c r="K150">
        <v>0.13</v>
      </c>
      <c r="L150">
        <v>0</v>
      </c>
      <c r="M150">
        <v>0</v>
      </c>
      <c r="N150">
        <v>20</v>
      </c>
      <c r="O150">
        <v>3.62</v>
      </c>
      <c r="P150">
        <v>23.75</v>
      </c>
      <c r="Q150" s="18">
        <f>YEAR(A150)</f>
        <v>2024</v>
      </c>
      <c r="R150" s="18">
        <f>MONTH(A150)</f>
        <v>2</v>
      </c>
      <c r="S150" s="18">
        <f>IF(R150&lt;4,Q150-1,Q150)</f>
        <v>2023</v>
      </c>
      <c r="T150" s="18">
        <f>IF(R150&lt;4,R150+9,R150-3)</f>
        <v>11</v>
      </c>
      <c r="U150" s="18">
        <f>IF(LEN(T150)=1,_xlfn.CONCAT(0,T150),T150)</f>
        <v>11</v>
      </c>
      <c r="V150" s="18" t="str">
        <f>_xlfn.CONCAT(S150,U150)</f>
        <v>202311</v>
      </c>
      <c r="W150" s="18" t="str">
        <f>_xlfn.CONCAT(TEXT(A150,"MMM"),"-",MID(Q150,3,2))</f>
        <v>Feb-24</v>
      </c>
      <c r="X150" s="19">
        <f>IFERROR(IF(D150="Sell",(H150-P150),-(H150+P150)),0)</f>
        <v>-288.75</v>
      </c>
      <c r="Y150" s="19">
        <f>X150/1000</f>
        <v>-0.28875000000000001</v>
      </c>
    </row>
    <row r="151" spans="1:25" x14ac:dyDescent="0.25">
      <c r="A151" s="1">
        <v>45323</v>
      </c>
      <c r="B151" t="s">
        <v>740</v>
      </c>
      <c r="C151" t="s">
        <v>17</v>
      </c>
      <c r="D151" t="s">
        <v>22</v>
      </c>
      <c r="E151">
        <v>50</v>
      </c>
      <c r="F151">
        <v>0</v>
      </c>
      <c r="G151">
        <v>5.0999999999999996</v>
      </c>
      <c r="H151">
        <v>255</v>
      </c>
      <c r="I151" t="s">
        <v>744</v>
      </c>
      <c r="J151">
        <v>0</v>
      </c>
      <c r="K151">
        <v>0.13</v>
      </c>
      <c r="L151">
        <v>0.02</v>
      </c>
      <c r="M151">
        <v>0</v>
      </c>
      <c r="N151">
        <v>20</v>
      </c>
      <c r="O151">
        <v>3.62</v>
      </c>
      <c r="P151">
        <v>23.77</v>
      </c>
      <c r="Q151" s="18">
        <f>YEAR(A151)</f>
        <v>2024</v>
      </c>
      <c r="R151" s="18">
        <f>MONTH(A151)</f>
        <v>2</v>
      </c>
      <c r="S151" s="18">
        <f>IF(R151&lt;4,Q151-1,Q151)</f>
        <v>2023</v>
      </c>
      <c r="T151" s="18">
        <f>IF(R151&lt;4,R151+9,R151-3)</f>
        <v>11</v>
      </c>
      <c r="U151" s="18">
        <f>IF(LEN(T151)=1,_xlfn.CONCAT(0,T151),T151)</f>
        <v>11</v>
      </c>
      <c r="V151" s="18" t="str">
        <f>_xlfn.CONCAT(S151,U151)</f>
        <v>202311</v>
      </c>
      <c r="W151" s="18" t="str">
        <f>_xlfn.CONCAT(TEXT(A151,"MMM"),"-",MID(Q151,3,2))</f>
        <v>Feb-24</v>
      </c>
      <c r="X151" s="19">
        <f>IFERROR(IF(D151="Sell",(H151-P151),-(H151+P151)),0)</f>
        <v>-278.77</v>
      </c>
      <c r="Y151" s="19">
        <f>X151/1000</f>
        <v>-0.27876999999999996</v>
      </c>
    </row>
    <row r="152" spans="1:25" x14ac:dyDescent="0.25">
      <c r="A152" s="1">
        <v>45323</v>
      </c>
      <c r="B152" t="s">
        <v>745</v>
      </c>
      <c r="C152" t="s">
        <v>17</v>
      </c>
      <c r="D152" t="s">
        <v>18</v>
      </c>
      <c r="E152">
        <v>150</v>
      </c>
      <c r="F152">
        <v>0</v>
      </c>
      <c r="G152">
        <v>97.9</v>
      </c>
      <c r="H152">
        <v>14685</v>
      </c>
      <c r="I152" t="s">
        <v>746</v>
      </c>
      <c r="J152">
        <v>9.18</v>
      </c>
      <c r="K152">
        <v>7.42</v>
      </c>
      <c r="L152">
        <v>0</v>
      </c>
      <c r="M152">
        <v>0.01</v>
      </c>
      <c r="N152">
        <v>60</v>
      </c>
      <c r="O152">
        <v>12.14</v>
      </c>
      <c r="P152">
        <v>88.75</v>
      </c>
      <c r="Q152" s="18">
        <f>YEAR(A152)</f>
        <v>2024</v>
      </c>
      <c r="R152" s="18">
        <f>MONTH(A152)</f>
        <v>2</v>
      </c>
      <c r="S152" s="18">
        <f>IF(R152&lt;4,Q152-1,Q152)</f>
        <v>2023</v>
      </c>
      <c r="T152" s="18">
        <f>IF(R152&lt;4,R152+9,R152-3)</f>
        <v>11</v>
      </c>
      <c r="U152" s="18">
        <f>IF(LEN(T152)=1,_xlfn.CONCAT(0,T152),T152)</f>
        <v>11</v>
      </c>
      <c r="V152" s="18" t="str">
        <f>_xlfn.CONCAT(S152,U152)</f>
        <v>202311</v>
      </c>
      <c r="W152" s="18" t="str">
        <f>_xlfn.CONCAT(TEXT(A152,"MMM"),"-",MID(Q152,3,2))</f>
        <v>Feb-24</v>
      </c>
      <c r="X152" s="19">
        <f>IFERROR(IF(D152="Sell",(H152-P152),-(H152+P152)),0)</f>
        <v>14596.25</v>
      </c>
      <c r="Y152" s="19">
        <f>X152/1000</f>
        <v>14.59625</v>
      </c>
    </row>
    <row r="153" spans="1:25" x14ac:dyDescent="0.25">
      <c r="A153" s="1">
        <v>45323</v>
      </c>
      <c r="B153" t="s">
        <v>745</v>
      </c>
      <c r="C153" t="s">
        <v>17</v>
      </c>
      <c r="D153" t="s">
        <v>22</v>
      </c>
      <c r="E153">
        <v>150</v>
      </c>
      <c r="F153">
        <v>0</v>
      </c>
      <c r="G153">
        <v>76.05</v>
      </c>
      <c r="H153">
        <v>11407.5</v>
      </c>
      <c r="I153" t="s">
        <v>747</v>
      </c>
      <c r="J153">
        <v>0</v>
      </c>
      <c r="K153">
        <v>5.76</v>
      </c>
      <c r="L153">
        <v>0</v>
      </c>
      <c r="M153">
        <v>0.01</v>
      </c>
      <c r="N153">
        <v>60</v>
      </c>
      <c r="O153">
        <v>11.84</v>
      </c>
      <c r="P153">
        <v>77.61</v>
      </c>
      <c r="Q153" s="18">
        <f>YEAR(A153)</f>
        <v>2024</v>
      </c>
      <c r="R153" s="18">
        <f>MONTH(A153)</f>
        <v>2</v>
      </c>
      <c r="S153" s="18">
        <f>IF(R153&lt;4,Q153-1,Q153)</f>
        <v>2023</v>
      </c>
      <c r="T153" s="18">
        <f>IF(R153&lt;4,R153+9,R153-3)</f>
        <v>11</v>
      </c>
      <c r="U153" s="18">
        <f>IF(LEN(T153)=1,_xlfn.CONCAT(0,T153),T153)</f>
        <v>11</v>
      </c>
      <c r="V153" s="18" t="str">
        <f>_xlfn.CONCAT(S153,U153)</f>
        <v>202311</v>
      </c>
      <c r="W153" s="18" t="str">
        <f>_xlfn.CONCAT(TEXT(A153,"MMM"),"-",MID(Q153,3,2))</f>
        <v>Feb-24</v>
      </c>
      <c r="X153" s="19">
        <f>IFERROR(IF(D153="Sell",(H153-P153),-(H153+P153)),0)</f>
        <v>-11485.11</v>
      </c>
      <c r="Y153" s="19">
        <f>X153/1000</f>
        <v>-11.485110000000001</v>
      </c>
    </row>
    <row r="154" spans="1:25" x14ac:dyDescent="0.25">
      <c r="A154" s="1">
        <v>45323</v>
      </c>
      <c r="B154" t="s">
        <v>745</v>
      </c>
      <c r="C154" t="s">
        <v>17</v>
      </c>
      <c r="D154" t="s">
        <v>18</v>
      </c>
      <c r="E154">
        <v>350</v>
      </c>
      <c r="F154">
        <v>0</v>
      </c>
      <c r="G154">
        <v>72</v>
      </c>
      <c r="H154">
        <v>25200</v>
      </c>
      <c r="I154" t="s">
        <v>748</v>
      </c>
      <c r="J154">
        <v>15.75</v>
      </c>
      <c r="K154">
        <v>12.73</v>
      </c>
      <c r="L154">
        <v>0</v>
      </c>
      <c r="M154">
        <v>0.03</v>
      </c>
      <c r="N154">
        <v>140</v>
      </c>
      <c r="O154">
        <v>27.5</v>
      </c>
      <c r="P154">
        <v>196.01</v>
      </c>
      <c r="Q154" s="18">
        <f>YEAR(A154)</f>
        <v>2024</v>
      </c>
      <c r="R154" s="18">
        <f>MONTH(A154)</f>
        <v>2</v>
      </c>
      <c r="S154" s="18">
        <f>IF(R154&lt;4,Q154-1,Q154)</f>
        <v>2023</v>
      </c>
      <c r="T154" s="18">
        <f>IF(R154&lt;4,R154+9,R154-3)</f>
        <v>11</v>
      </c>
      <c r="U154" s="18">
        <f>IF(LEN(T154)=1,_xlfn.CONCAT(0,T154),T154)</f>
        <v>11</v>
      </c>
      <c r="V154" s="18" t="str">
        <f>_xlfn.CONCAT(S154,U154)</f>
        <v>202311</v>
      </c>
      <c r="W154" s="18" t="str">
        <f>_xlfn.CONCAT(TEXT(A154,"MMM"),"-",MID(Q154,3,2))</f>
        <v>Feb-24</v>
      </c>
      <c r="X154" s="19">
        <f>IFERROR(IF(D154="Sell",(H154-P154),-(H154+P154)),0)</f>
        <v>25003.99</v>
      </c>
      <c r="Y154" s="19">
        <f>X154/1000</f>
        <v>25.003990000000002</v>
      </c>
    </row>
    <row r="155" spans="1:25" x14ac:dyDescent="0.25">
      <c r="A155" s="1">
        <v>45323</v>
      </c>
      <c r="B155" t="s">
        <v>749</v>
      </c>
      <c r="C155" t="s">
        <v>17</v>
      </c>
      <c r="D155" t="s">
        <v>18</v>
      </c>
      <c r="E155">
        <v>15</v>
      </c>
      <c r="F155">
        <v>0</v>
      </c>
      <c r="G155">
        <v>564.65</v>
      </c>
      <c r="H155">
        <v>8469.75</v>
      </c>
      <c r="I155" t="s">
        <v>750</v>
      </c>
      <c r="J155">
        <v>5.29</v>
      </c>
      <c r="K155">
        <v>4.28</v>
      </c>
      <c r="L155">
        <v>0</v>
      </c>
      <c r="M155">
        <v>0.01</v>
      </c>
      <c r="N155">
        <v>20</v>
      </c>
      <c r="O155">
        <v>4.38</v>
      </c>
      <c r="P155">
        <v>33.96</v>
      </c>
      <c r="Q155" s="18">
        <f>YEAR(A155)</f>
        <v>2024</v>
      </c>
      <c r="R155" s="18">
        <f>MONTH(A155)</f>
        <v>2</v>
      </c>
      <c r="S155" s="18">
        <f>IF(R155&lt;4,Q155-1,Q155)</f>
        <v>2023</v>
      </c>
      <c r="T155" s="18">
        <f>IF(R155&lt;4,R155+9,R155-3)</f>
        <v>11</v>
      </c>
      <c r="U155" s="18">
        <f>IF(LEN(T155)=1,_xlfn.CONCAT(0,T155),T155)</f>
        <v>11</v>
      </c>
      <c r="V155" s="18" t="str">
        <f>_xlfn.CONCAT(S155,U155)</f>
        <v>202311</v>
      </c>
      <c r="W155" s="18" t="str">
        <f>_xlfn.CONCAT(TEXT(A155,"MMM"),"-",MID(Q155,3,2))</f>
        <v>Feb-24</v>
      </c>
      <c r="X155" s="19">
        <f>IFERROR(IF(D155="Sell",(H155-P155),-(H155+P155)),0)</f>
        <v>8435.7900000000009</v>
      </c>
      <c r="Y155" s="19">
        <f>X155/1000</f>
        <v>8.4357900000000008</v>
      </c>
    </row>
    <row r="156" spans="1:25" x14ac:dyDescent="0.25">
      <c r="A156" s="1">
        <v>45323</v>
      </c>
      <c r="B156" t="s">
        <v>745</v>
      </c>
      <c r="C156" t="s">
        <v>17</v>
      </c>
      <c r="D156" t="s">
        <v>22</v>
      </c>
      <c r="E156">
        <v>150</v>
      </c>
      <c r="F156">
        <v>0</v>
      </c>
      <c r="G156">
        <v>59</v>
      </c>
      <c r="H156">
        <v>8850</v>
      </c>
      <c r="I156" t="s">
        <v>751</v>
      </c>
      <c r="J156">
        <v>0</v>
      </c>
      <c r="K156">
        <v>4.47</v>
      </c>
      <c r="L156">
        <v>0</v>
      </c>
      <c r="M156">
        <v>0.01</v>
      </c>
      <c r="N156">
        <v>60</v>
      </c>
      <c r="O156">
        <v>11.6</v>
      </c>
      <c r="P156">
        <v>76.08</v>
      </c>
      <c r="Q156" s="18">
        <f>YEAR(A156)</f>
        <v>2024</v>
      </c>
      <c r="R156" s="18">
        <f>MONTH(A156)</f>
        <v>2</v>
      </c>
      <c r="S156" s="18">
        <f>IF(R156&lt;4,Q156-1,Q156)</f>
        <v>2023</v>
      </c>
      <c r="T156" s="18">
        <f>IF(R156&lt;4,R156+9,R156-3)</f>
        <v>11</v>
      </c>
      <c r="U156" s="18">
        <f>IF(LEN(T156)=1,_xlfn.CONCAT(0,T156),T156)</f>
        <v>11</v>
      </c>
      <c r="V156" s="18" t="str">
        <f>_xlfn.CONCAT(S156,U156)</f>
        <v>202311</v>
      </c>
      <c r="W156" s="18" t="str">
        <f>_xlfn.CONCAT(TEXT(A156,"MMM"),"-",MID(Q156,3,2))</f>
        <v>Feb-24</v>
      </c>
      <c r="X156" s="19">
        <f>IFERROR(IF(D156="Sell",(H156-P156),-(H156+P156)),0)</f>
        <v>-8926.08</v>
      </c>
      <c r="Y156" s="19">
        <f>X156/1000</f>
        <v>-8.9260800000000007</v>
      </c>
    </row>
    <row r="157" spans="1:25" x14ac:dyDescent="0.25">
      <c r="A157" s="1">
        <v>45323</v>
      </c>
      <c r="B157" t="s">
        <v>749</v>
      </c>
      <c r="C157" t="s">
        <v>17</v>
      </c>
      <c r="D157" t="s">
        <v>22</v>
      </c>
      <c r="E157">
        <v>15</v>
      </c>
      <c r="F157">
        <v>0</v>
      </c>
      <c r="G157">
        <v>527.9</v>
      </c>
      <c r="H157">
        <v>7918.5</v>
      </c>
      <c r="I157" t="s">
        <v>752</v>
      </c>
      <c r="J157">
        <v>0</v>
      </c>
      <c r="K157">
        <v>4</v>
      </c>
      <c r="L157">
        <v>0.24</v>
      </c>
      <c r="M157">
        <v>0.01</v>
      </c>
      <c r="N157">
        <v>20</v>
      </c>
      <c r="O157">
        <v>4.32</v>
      </c>
      <c r="P157">
        <v>28.57</v>
      </c>
      <c r="Q157" s="18">
        <f>YEAR(A157)</f>
        <v>2024</v>
      </c>
      <c r="R157" s="18">
        <f>MONTH(A157)</f>
        <v>2</v>
      </c>
      <c r="S157" s="18">
        <f>IF(R157&lt;4,Q157-1,Q157)</f>
        <v>2023</v>
      </c>
      <c r="T157" s="18">
        <f>IF(R157&lt;4,R157+9,R157-3)</f>
        <v>11</v>
      </c>
      <c r="U157" s="18">
        <f>IF(LEN(T157)=1,_xlfn.CONCAT(0,T157),T157)</f>
        <v>11</v>
      </c>
      <c r="V157" s="18" t="str">
        <f>_xlfn.CONCAT(S157,U157)</f>
        <v>202311</v>
      </c>
      <c r="W157" s="18" t="str">
        <f>_xlfn.CONCAT(TEXT(A157,"MMM"),"-",MID(Q157,3,2))</f>
        <v>Feb-24</v>
      </c>
      <c r="X157" s="19">
        <f>IFERROR(IF(D157="Sell",(H157-P157),-(H157+P157)),0)</f>
        <v>-7947.07</v>
      </c>
      <c r="Y157" s="19">
        <f>X157/1000</f>
        <v>-7.9470700000000001</v>
      </c>
    </row>
    <row r="158" spans="1:25" x14ac:dyDescent="0.25">
      <c r="A158" s="1">
        <v>45323</v>
      </c>
      <c r="B158" t="s">
        <v>745</v>
      </c>
      <c r="C158" t="s">
        <v>17</v>
      </c>
      <c r="D158" t="s">
        <v>22</v>
      </c>
      <c r="E158">
        <v>150</v>
      </c>
      <c r="F158">
        <v>0</v>
      </c>
      <c r="G158">
        <v>63.67</v>
      </c>
      <c r="H158">
        <v>9550</v>
      </c>
      <c r="I158" t="s">
        <v>753</v>
      </c>
      <c r="J158">
        <v>0</v>
      </c>
      <c r="K158">
        <v>4.82</v>
      </c>
      <c r="L158">
        <v>0.99</v>
      </c>
      <c r="M158">
        <v>0.01</v>
      </c>
      <c r="N158">
        <v>60</v>
      </c>
      <c r="O158">
        <v>11.66</v>
      </c>
      <c r="P158">
        <v>77.48</v>
      </c>
      <c r="Q158" s="18">
        <f>YEAR(A158)</f>
        <v>2024</v>
      </c>
      <c r="R158" s="18">
        <f>MONTH(A158)</f>
        <v>2</v>
      </c>
      <c r="S158" s="18">
        <f>IF(R158&lt;4,Q158-1,Q158)</f>
        <v>2023</v>
      </c>
      <c r="T158" s="18">
        <f>IF(R158&lt;4,R158+9,R158-3)</f>
        <v>11</v>
      </c>
      <c r="U158" s="18">
        <f>IF(LEN(T158)=1,_xlfn.CONCAT(0,T158),T158)</f>
        <v>11</v>
      </c>
      <c r="V158" s="18" t="str">
        <f>_xlfn.CONCAT(S158,U158)</f>
        <v>202311</v>
      </c>
      <c r="W158" s="18" t="str">
        <f>_xlfn.CONCAT(TEXT(A158,"MMM"),"-",MID(Q158,3,2))</f>
        <v>Feb-24</v>
      </c>
      <c r="X158" s="19">
        <f>IFERROR(IF(D158="Sell",(H158-P158),-(H158+P158)),0)</f>
        <v>-9627.48</v>
      </c>
      <c r="Y158" s="19">
        <f>X158/1000</f>
        <v>-9.6274800000000003</v>
      </c>
    </row>
    <row r="159" spans="1:25" x14ac:dyDescent="0.25">
      <c r="A159" s="1">
        <v>45323</v>
      </c>
      <c r="B159" t="s">
        <v>745</v>
      </c>
      <c r="C159" t="s">
        <v>17</v>
      </c>
      <c r="D159" t="s">
        <v>22</v>
      </c>
      <c r="E159">
        <v>50</v>
      </c>
      <c r="F159">
        <v>0</v>
      </c>
      <c r="G159">
        <v>65.400000000000006</v>
      </c>
      <c r="H159">
        <v>3270</v>
      </c>
      <c r="I159" t="s">
        <v>754</v>
      </c>
      <c r="J159">
        <v>0</v>
      </c>
      <c r="K159">
        <v>1.65</v>
      </c>
      <c r="L159">
        <v>0</v>
      </c>
      <c r="M159">
        <v>0</v>
      </c>
      <c r="N159">
        <v>20</v>
      </c>
      <c r="O159">
        <v>3.9</v>
      </c>
      <c r="P159">
        <v>25.55</v>
      </c>
      <c r="Q159" s="18">
        <f>YEAR(A159)</f>
        <v>2024</v>
      </c>
      <c r="R159" s="18">
        <f>MONTH(A159)</f>
        <v>2</v>
      </c>
      <c r="S159" s="18">
        <f>IF(R159&lt;4,Q159-1,Q159)</f>
        <v>2023</v>
      </c>
      <c r="T159" s="18">
        <f>IF(R159&lt;4,R159+9,R159-3)</f>
        <v>11</v>
      </c>
      <c r="U159" s="18">
        <f>IF(LEN(T159)=1,_xlfn.CONCAT(0,T159),T159)</f>
        <v>11</v>
      </c>
      <c r="V159" s="18" t="str">
        <f>_xlfn.CONCAT(S159,U159)</f>
        <v>202311</v>
      </c>
      <c r="W159" s="18" t="str">
        <f>_xlfn.CONCAT(TEXT(A159,"MMM"),"-",MID(Q159,3,2))</f>
        <v>Feb-24</v>
      </c>
      <c r="X159" s="19">
        <f>IFERROR(IF(D159="Sell",(H159-P159),-(H159+P159)),0)</f>
        <v>-3295.55</v>
      </c>
      <c r="Y159" s="19">
        <f>X159/1000</f>
        <v>-3.29555</v>
      </c>
    </row>
    <row r="160" spans="1:25" x14ac:dyDescent="0.25">
      <c r="A160" s="1">
        <v>45324</v>
      </c>
      <c r="B160" t="s">
        <v>714</v>
      </c>
      <c r="C160" t="s">
        <v>17</v>
      </c>
      <c r="D160" t="s">
        <v>22</v>
      </c>
      <c r="E160">
        <v>700</v>
      </c>
      <c r="F160">
        <v>0</v>
      </c>
      <c r="G160">
        <v>45.25</v>
      </c>
      <c r="H160">
        <v>31675</v>
      </c>
      <c r="I160" t="s">
        <v>727</v>
      </c>
      <c r="J160">
        <v>0</v>
      </c>
      <c r="K160">
        <v>16</v>
      </c>
      <c r="L160">
        <v>0.86</v>
      </c>
      <c r="M160">
        <v>0.03</v>
      </c>
      <c r="N160">
        <v>20</v>
      </c>
      <c r="O160">
        <v>6.48</v>
      </c>
      <c r="P160">
        <v>43.37</v>
      </c>
      <c r="Q160" s="18">
        <f>YEAR(A160)</f>
        <v>2024</v>
      </c>
      <c r="R160" s="18">
        <f>MONTH(A160)</f>
        <v>2</v>
      </c>
      <c r="S160" s="18">
        <f>IF(R160&lt;4,Q160-1,Q160)</f>
        <v>2023</v>
      </c>
      <c r="T160" s="18">
        <f>IF(R160&lt;4,R160+9,R160-3)</f>
        <v>11</v>
      </c>
      <c r="U160" s="18">
        <f>IF(LEN(T160)=1,_xlfn.CONCAT(0,T160),T160)</f>
        <v>11</v>
      </c>
      <c r="V160" s="18" t="str">
        <f>_xlfn.CONCAT(S160,U160)</f>
        <v>202311</v>
      </c>
      <c r="W160" s="18" t="str">
        <f>_xlfn.CONCAT(TEXT(A160,"MMM"),"-",MID(Q160,3,2))</f>
        <v>Feb-24</v>
      </c>
      <c r="X160" s="19">
        <f>IFERROR(IF(D160="Sell",(H160-P160),-(H160+P160)),0)</f>
        <v>-31718.37</v>
      </c>
      <c r="Y160" s="19">
        <f>X160/1000</f>
        <v>-31.71837</v>
      </c>
    </row>
    <row r="161" spans="1:25" x14ac:dyDescent="0.25">
      <c r="A161" s="1">
        <v>45324</v>
      </c>
      <c r="B161" t="s">
        <v>728</v>
      </c>
      <c r="C161" t="s">
        <v>17</v>
      </c>
      <c r="D161" t="s">
        <v>18</v>
      </c>
      <c r="E161">
        <v>50</v>
      </c>
      <c r="F161">
        <v>0</v>
      </c>
      <c r="G161">
        <v>83.3</v>
      </c>
      <c r="H161">
        <v>4165</v>
      </c>
      <c r="I161" t="s">
        <v>729</v>
      </c>
      <c r="J161">
        <v>3</v>
      </c>
      <c r="K161">
        <v>2.1</v>
      </c>
      <c r="L161">
        <v>0</v>
      </c>
      <c r="M161">
        <v>0</v>
      </c>
      <c r="N161">
        <v>20</v>
      </c>
      <c r="O161">
        <v>3.98</v>
      </c>
      <c r="P161">
        <v>29.08</v>
      </c>
      <c r="Q161" s="18">
        <f>YEAR(A161)</f>
        <v>2024</v>
      </c>
      <c r="R161" s="18">
        <f>MONTH(A161)</f>
        <v>2</v>
      </c>
      <c r="S161" s="18">
        <f>IF(R161&lt;4,Q161-1,Q161)</f>
        <v>2023</v>
      </c>
      <c r="T161" s="18">
        <f>IF(R161&lt;4,R161+9,R161-3)</f>
        <v>11</v>
      </c>
      <c r="U161" s="18">
        <f>IF(LEN(T161)=1,_xlfn.CONCAT(0,T161),T161)</f>
        <v>11</v>
      </c>
      <c r="V161" s="18" t="str">
        <f>_xlfn.CONCAT(S161,U161)</f>
        <v>202311</v>
      </c>
      <c r="W161" s="18" t="str">
        <f>_xlfn.CONCAT(TEXT(A161,"MMM"),"-",MID(Q161,3,2))</f>
        <v>Feb-24</v>
      </c>
      <c r="X161" s="19">
        <f>IFERROR(IF(D161="Sell",(H161-P161),-(H161+P161)),0)</f>
        <v>4135.92</v>
      </c>
      <c r="Y161" s="19">
        <f>X161/1000</f>
        <v>4.1359200000000005</v>
      </c>
    </row>
    <row r="162" spans="1:25" x14ac:dyDescent="0.25">
      <c r="A162" s="1">
        <v>45324</v>
      </c>
      <c r="B162" t="s">
        <v>728</v>
      </c>
      <c r="C162" t="s">
        <v>17</v>
      </c>
      <c r="D162" t="s">
        <v>22</v>
      </c>
      <c r="E162">
        <v>50</v>
      </c>
      <c r="F162">
        <v>0</v>
      </c>
      <c r="G162">
        <v>90.95</v>
      </c>
      <c r="H162">
        <v>4547.5</v>
      </c>
      <c r="I162" t="s">
        <v>730</v>
      </c>
      <c r="J162">
        <v>0</v>
      </c>
      <c r="K162">
        <v>2.2999999999999998</v>
      </c>
      <c r="L162">
        <v>0.14000000000000001</v>
      </c>
      <c r="M162">
        <v>0</v>
      </c>
      <c r="N162">
        <v>20</v>
      </c>
      <c r="O162">
        <v>4.0199999999999996</v>
      </c>
      <c r="P162">
        <v>26.46</v>
      </c>
      <c r="Q162" s="18">
        <f>YEAR(A162)</f>
        <v>2024</v>
      </c>
      <c r="R162" s="18">
        <f>MONTH(A162)</f>
        <v>2</v>
      </c>
      <c r="S162" s="18">
        <f>IF(R162&lt;4,Q162-1,Q162)</f>
        <v>2023</v>
      </c>
      <c r="T162" s="18">
        <f>IF(R162&lt;4,R162+9,R162-3)</f>
        <v>11</v>
      </c>
      <c r="U162" s="18">
        <f>IF(LEN(T162)=1,_xlfn.CONCAT(0,T162),T162)</f>
        <v>11</v>
      </c>
      <c r="V162" s="18" t="str">
        <f>_xlfn.CONCAT(S162,U162)</f>
        <v>202311</v>
      </c>
      <c r="W162" s="18" t="str">
        <f>_xlfn.CONCAT(TEXT(A162,"MMM"),"-",MID(Q162,3,2))</f>
        <v>Feb-24</v>
      </c>
      <c r="X162" s="19">
        <f>IFERROR(IF(D162="Sell",(H162-P162),-(H162+P162)),0)</f>
        <v>-4573.96</v>
      </c>
      <c r="Y162" s="19">
        <f>X162/1000</f>
        <v>-4.5739600000000005</v>
      </c>
    </row>
    <row r="163" spans="1:25" x14ac:dyDescent="0.25">
      <c r="A163" s="1">
        <v>45327</v>
      </c>
      <c r="B163" t="s">
        <v>716</v>
      </c>
      <c r="C163" t="s">
        <v>17</v>
      </c>
      <c r="D163" t="s">
        <v>18</v>
      </c>
      <c r="E163">
        <v>400</v>
      </c>
      <c r="F163">
        <v>0</v>
      </c>
      <c r="G163">
        <v>122.7</v>
      </c>
      <c r="H163">
        <v>49080</v>
      </c>
      <c r="I163" t="s">
        <v>717</v>
      </c>
      <c r="J163">
        <v>30.68</v>
      </c>
      <c r="K163">
        <v>24.78</v>
      </c>
      <c r="L163">
        <v>0</v>
      </c>
      <c r="M163">
        <v>0.05</v>
      </c>
      <c r="N163">
        <v>200</v>
      </c>
      <c r="O163">
        <v>40.46</v>
      </c>
      <c r="P163">
        <v>295.97000000000003</v>
      </c>
      <c r="Q163" s="18">
        <f>YEAR(A163)</f>
        <v>2024</v>
      </c>
      <c r="R163" s="18">
        <f>MONTH(A163)</f>
        <v>2</v>
      </c>
      <c r="S163" s="18">
        <f>IF(R163&lt;4,Q163-1,Q163)</f>
        <v>2023</v>
      </c>
      <c r="T163" s="18">
        <f>IF(R163&lt;4,R163+9,R163-3)</f>
        <v>11</v>
      </c>
      <c r="U163" s="18">
        <f>IF(LEN(T163)=1,_xlfn.CONCAT(0,T163),T163)</f>
        <v>11</v>
      </c>
      <c r="V163" s="18" t="str">
        <f>_xlfn.CONCAT(S163,U163)</f>
        <v>202311</v>
      </c>
      <c r="W163" s="18" t="str">
        <f>_xlfn.CONCAT(TEXT(A163,"MMM"),"-",MID(Q163,3,2))</f>
        <v>Feb-24</v>
      </c>
      <c r="X163" s="19">
        <f>IFERROR(IF(D163="Sell",(H163-P163),-(H163+P163)),0)</f>
        <v>48784.03</v>
      </c>
      <c r="Y163" s="19">
        <f>X163/1000</f>
        <v>48.784030000000001</v>
      </c>
    </row>
    <row r="164" spans="1:25" x14ac:dyDescent="0.25">
      <c r="A164" s="1">
        <v>45327</v>
      </c>
      <c r="B164" t="s">
        <v>716</v>
      </c>
      <c r="C164" t="s">
        <v>17</v>
      </c>
      <c r="D164" t="s">
        <v>22</v>
      </c>
      <c r="E164">
        <v>400</v>
      </c>
      <c r="F164">
        <v>0</v>
      </c>
      <c r="G164">
        <v>90.03</v>
      </c>
      <c r="H164">
        <v>36012</v>
      </c>
      <c r="I164" t="s">
        <v>718</v>
      </c>
      <c r="J164">
        <v>0</v>
      </c>
      <c r="K164">
        <v>18.190000000000001</v>
      </c>
      <c r="L164">
        <v>2</v>
      </c>
      <c r="M164">
        <v>0.03</v>
      </c>
      <c r="N164">
        <v>200</v>
      </c>
      <c r="O164">
        <v>39.28</v>
      </c>
      <c r="P164">
        <v>259.5</v>
      </c>
      <c r="Q164" s="18">
        <f>YEAR(A164)</f>
        <v>2024</v>
      </c>
      <c r="R164" s="18">
        <f>MONTH(A164)</f>
        <v>2</v>
      </c>
      <c r="S164" s="18">
        <f>IF(R164&lt;4,Q164-1,Q164)</f>
        <v>2023</v>
      </c>
      <c r="T164" s="18">
        <f>IF(R164&lt;4,R164+9,R164-3)</f>
        <v>11</v>
      </c>
      <c r="U164" s="18">
        <f>IF(LEN(T164)=1,_xlfn.CONCAT(0,T164),T164)</f>
        <v>11</v>
      </c>
      <c r="V164" s="18" t="str">
        <f>_xlfn.CONCAT(S164,U164)</f>
        <v>202311</v>
      </c>
      <c r="W164" s="18" t="str">
        <f>_xlfn.CONCAT(TEXT(A164,"MMM"),"-",MID(Q164,3,2))</f>
        <v>Feb-24</v>
      </c>
      <c r="X164" s="19">
        <f>IFERROR(IF(D164="Sell",(H164-P164),-(H164+P164)),0)</f>
        <v>-36271.5</v>
      </c>
      <c r="Y164" s="19">
        <f>X164/1000</f>
        <v>-36.271500000000003</v>
      </c>
    </row>
    <row r="165" spans="1:25" x14ac:dyDescent="0.25">
      <c r="A165" s="1">
        <v>45327</v>
      </c>
      <c r="B165" t="s">
        <v>716</v>
      </c>
      <c r="C165" t="s">
        <v>17</v>
      </c>
      <c r="D165" t="s">
        <v>18</v>
      </c>
      <c r="E165">
        <v>320</v>
      </c>
      <c r="F165">
        <v>0</v>
      </c>
      <c r="G165">
        <v>80</v>
      </c>
      <c r="H165">
        <v>25600</v>
      </c>
      <c r="I165" t="s">
        <v>719</v>
      </c>
      <c r="J165">
        <v>16</v>
      </c>
      <c r="K165">
        <v>12.93</v>
      </c>
      <c r="L165">
        <v>0</v>
      </c>
      <c r="M165">
        <v>0.03</v>
      </c>
      <c r="N165">
        <v>160</v>
      </c>
      <c r="O165">
        <v>31.14</v>
      </c>
      <c r="P165">
        <v>220.1</v>
      </c>
      <c r="Q165" s="18">
        <f>YEAR(A165)</f>
        <v>2024</v>
      </c>
      <c r="R165" s="18">
        <f>MONTH(A165)</f>
        <v>2</v>
      </c>
      <c r="S165" s="18">
        <f>IF(R165&lt;4,Q165-1,Q165)</f>
        <v>2023</v>
      </c>
      <c r="T165" s="18">
        <f>IF(R165&lt;4,R165+9,R165-3)</f>
        <v>11</v>
      </c>
      <c r="U165" s="18">
        <f>IF(LEN(T165)=1,_xlfn.CONCAT(0,T165),T165)</f>
        <v>11</v>
      </c>
      <c r="V165" s="18" t="str">
        <f>_xlfn.CONCAT(S165,U165)</f>
        <v>202311</v>
      </c>
      <c r="W165" s="18" t="str">
        <f>_xlfn.CONCAT(TEXT(A165,"MMM"),"-",MID(Q165,3,2))</f>
        <v>Feb-24</v>
      </c>
      <c r="X165" s="19">
        <f>IFERROR(IF(D165="Sell",(H165-P165),-(H165+P165)),0)</f>
        <v>25379.9</v>
      </c>
      <c r="Y165" s="19">
        <f>X165/1000</f>
        <v>25.379900000000003</v>
      </c>
    </row>
    <row r="166" spans="1:25" x14ac:dyDescent="0.25">
      <c r="A166" s="1">
        <v>45327</v>
      </c>
      <c r="B166" t="s">
        <v>716</v>
      </c>
      <c r="C166" t="s">
        <v>17</v>
      </c>
      <c r="D166" t="s">
        <v>22</v>
      </c>
      <c r="E166">
        <v>40</v>
      </c>
      <c r="F166">
        <v>0</v>
      </c>
      <c r="G166">
        <v>106.25</v>
      </c>
      <c r="H166">
        <v>4250</v>
      </c>
      <c r="I166" t="s">
        <v>720</v>
      </c>
      <c r="J166">
        <v>0</v>
      </c>
      <c r="K166">
        <v>2.15</v>
      </c>
      <c r="L166">
        <v>0</v>
      </c>
      <c r="M166">
        <v>0</v>
      </c>
      <c r="N166">
        <v>20</v>
      </c>
      <c r="O166">
        <v>3.98</v>
      </c>
      <c r="P166">
        <v>26.13</v>
      </c>
      <c r="Q166" s="18">
        <f>YEAR(A166)</f>
        <v>2024</v>
      </c>
      <c r="R166" s="18">
        <f>MONTH(A166)</f>
        <v>2</v>
      </c>
      <c r="S166" s="18">
        <f>IF(R166&lt;4,Q166-1,Q166)</f>
        <v>2023</v>
      </c>
      <c r="T166" s="18">
        <f>IF(R166&lt;4,R166+9,R166-3)</f>
        <v>11</v>
      </c>
      <c r="U166" s="18">
        <f>IF(LEN(T166)=1,_xlfn.CONCAT(0,T166),T166)</f>
        <v>11</v>
      </c>
      <c r="V166" s="18" t="str">
        <f>_xlfn.CONCAT(S166,U166)</f>
        <v>202311</v>
      </c>
      <c r="W166" s="18" t="str">
        <f>_xlfn.CONCAT(TEXT(A166,"MMM"),"-",MID(Q166,3,2))</f>
        <v>Feb-24</v>
      </c>
      <c r="X166" s="19">
        <f>IFERROR(IF(D166="Sell",(H166-P166),-(H166+P166)),0)</f>
        <v>-4276.13</v>
      </c>
      <c r="Y166" s="19">
        <f>X166/1000</f>
        <v>-4.2761300000000002</v>
      </c>
    </row>
    <row r="167" spans="1:25" x14ac:dyDescent="0.25">
      <c r="A167" s="1">
        <v>45327</v>
      </c>
      <c r="B167" t="s">
        <v>716</v>
      </c>
      <c r="C167" t="s">
        <v>17</v>
      </c>
      <c r="D167" t="s">
        <v>22</v>
      </c>
      <c r="E167">
        <v>40</v>
      </c>
      <c r="F167">
        <v>0</v>
      </c>
      <c r="G167">
        <v>104.75</v>
      </c>
      <c r="H167">
        <v>4190</v>
      </c>
      <c r="I167" t="s">
        <v>721</v>
      </c>
      <c r="J167">
        <v>0</v>
      </c>
      <c r="K167">
        <v>2.12</v>
      </c>
      <c r="L167">
        <v>0</v>
      </c>
      <c r="M167">
        <v>0</v>
      </c>
      <c r="N167">
        <v>20</v>
      </c>
      <c r="O167">
        <v>3.98</v>
      </c>
      <c r="P167">
        <v>26.1</v>
      </c>
      <c r="Q167" s="18">
        <f>YEAR(A167)</f>
        <v>2024</v>
      </c>
      <c r="R167" s="18">
        <f>MONTH(A167)</f>
        <v>2</v>
      </c>
      <c r="S167" s="18">
        <f>IF(R167&lt;4,Q167-1,Q167)</f>
        <v>2023</v>
      </c>
      <c r="T167" s="18">
        <f>IF(R167&lt;4,R167+9,R167-3)</f>
        <v>11</v>
      </c>
      <c r="U167" s="18">
        <f>IF(LEN(T167)=1,_xlfn.CONCAT(0,T167),T167)</f>
        <v>11</v>
      </c>
      <c r="V167" s="18" t="str">
        <f>_xlfn.CONCAT(S167,U167)</f>
        <v>202311</v>
      </c>
      <c r="W167" s="18" t="str">
        <f>_xlfn.CONCAT(TEXT(A167,"MMM"),"-",MID(Q167,3,2))</f>
        <v>Feb-24</v>
      </c>
      <c r="X167" s="19">
        <f>IFERROR(IF(D167="Sell",(H167-P167),-(H167+P167)),0)</f>
        <v>-4216.1000000000004</v>
      </c>
      <c r="Y167" s="19">
        <f>X167/1000</f>
        <v>-4.2161</v>
      </c>
    </row>
    <row r="168" spans="1:25" x14ac:dyDescent="0.25">
      <c r="A168" s="1">
        <v>45327</v>
      </c>
      <c r="B168" t="s">
        <v>716</v>
      </c>
      <c r="C168" t="s">
        <v>17</v>
      </c>
      <c r="D168" t="s">
        <v>22</v>
      </c>
      <c r="E168">
        <v>80</v>
      </c>
      <c r="F168">
        <v>0</v>
      </c>
      <c r="G168">
        <v>106.25</v>
      </c>
      <c r="H168">
        <v>8500</v>
      </c>
      <c r="I168" t="s">
        <v>722</v>
      </c>
      <c r="J168">
        <v>0</v>
      </c>
      <c r="K168">
        <v>4.29</v>
      </c>
      <c r="L168">
        <v>0</v>
      </c>
      <c r="M168">
        <v>0.01</v>
      </c>
      <c r="N168">
        <v>40</v>
      </c>
      <c r="O168">
        <v>7.98</v>
      </c>
      <c r="P168">
        <v>52.28</v>
      </c>
      <c r="Q168" s="18">
        <f>YEAR(A168)</f>
        <v>2024</v>
      </c>
      <c r="R168" s="18">
        <f>MONTH(A168)</f>
        <v>2</v>
      </c>
      <c r="S168" s="18">
        <f>IF(R168&lt;4,Q168-1,Q168)</f>
        <v>2023</v>
      </c>
      <c r="T168" s="18">
        <f>IF(R168&lt;4,R168+9,R168-3)</f>
        <v>11</v>
      </c>
      <c r="U168" s="18">
        <f>IF(LEN(T168)=1,_xlfn.CONCAT(0,T168),T168)</f>
        <v>11</v>
      </c>
      <c r="V168" s="18" t="str">
        <f>_xlfn.CONCAT(S168,U168)</f>
        <v>202311</v>
      </c>
      <c r="W168" s="18" t="str">
        <f>_xlfn.CONCAT(TEXT(A168,"MMM"),"-",MID(Q168,3,2))</f>
        <v>Feb-24</v>
      </c>
      <c r="X168" s="19">
        <f>IFERROR(IF(D168="Sell",(H168-P168),-(H168+P168)),0)</f>
        <v>-8552.2800000000007</v>
      </c>
      <c r="Y168" s="19">
        <f>X168/1000</f>
        <v>-8.5522800000000014</v>
      </c>
    </row>
    <row r="169" spans="1:25" x14ac:dyDescent="0.25">
      <c r="A169" s="1">
        <v>45327</v>
      </c>
      <c r="B169" t="s">
        <v>716</v>
      </c>
      <c r="C169" t="s">
        <v>17</v>
      </c>
      <c r="D169" t="s">
        <v>22</v>
      </c>
      <c r="E169">
        <v>160</v>
      </c>
      <c r="F169">
        <v>0</v>
      </c>
      <c r="G169">
        <v>122.2</v>
      </c>
      <c r="H169">
        <v>19552</v>
      </c>
      <c r="I169" t="s">
        <v>723</v>
      </c>
      <c r="J169">
        <v>0</v>
      </c>
      <c r="K169">
        <v>9.8800000000000008</v>
      </c>
      <c r="L169">
        <v>0</v>
      </c>
      <c r="M169">
        <v>0.01</v>
      </c>
      <c r="N169">
        <v>80</v>
      </c>
      <c r="O169">
        <v>16.18</v>
      </c>
      <c r="P169">
        <v>106.07</v>
      </c>
      <c r="Q169" s="18">
        <f>YEAR(A169)</f>
        <v>2024</v>
      </c>
      <c r="R169" s="18">
        <f>MONTH(A169)</f>
        <v>2</v>
      </c>
      <c r="S169" s="18">
        <f>IF(R169&lt;4,Q169-1,Q169)</f>
        <v>2023</v>
      </c>
      <c r="T169" s="18">
        <f>IF(R169&lt;4,R169+9,R169-3)</f>
        <v>11</v>
      </c>
      <c r="U169" s="18">
        <f>IF(LEN(T169)=1,_xlfn.CONCAT(0,T169),T169)</f>
        <v>11</v>
      </c>
      <c r="V169" s="18" t="str">
        <f>_xlfn.CONCAT(S169,U169)</f>
        <v>202311</v>
      </c>
      <c r="W169" s="18" t="str">
        <f>_xlfn.CONCAT(TEXT(A169,"MMM"),"-",MID(Q169,3,2))</f>
        <v>Feb-24</v>
      </c>
      <c r="X169" s="19">
        <f>IFERROR(IF(D169="Sell",(H169-P169),-(H169+P169)),0)</f>
        <v>-19658.07</v>
      </c>
      <c r="Y169" s="19">
        <f>X169/1000</f>
        <v>-19.658069999999999</v>
      </c>
    </row>
    <row r="170" spans="1:25" x14ac:dyDescent="0.25">
      <c r="A170" s="1">
        <v>45327</v>
      </c>
      <c r="B170" t="s">
        <v>716</v>
      </c>
      <c r="C170" t="s">
        <v>17</v>
      </c>
      <c r="D170" t="s">
        <v>18</v>
      </c>
      <c r="E170">
        <v>80</v>
      </c>
      <c r="F170">
        <v>0</v>
      </c>
      <c r="G170">
        <v>88</v>
      </c>
      <c r="H170">
        <v>7040</v>
      </c>
      <c r="I170" t="s">
        <v>724</v>
      </c>
      <c r="J170">
        <v>4.33</v>
      </c>
      <c r="K170">
        <v>3.56</v>
      </c>
      <c r="L170">
        <v>0</v>
      </c>
      <c r="M170">
        <v>0.01</v>
      </c>
      <c r="N170">
        <v>40</v>
      </c>
      <c r="O170">
        <v>7.84</v>
      </c>
      <c r="P170">
        <v>55.74</v>
      </c>
      <c r="Q170" s="18">
        <f>YEAR(A170)</f>
        <v>2024</v>
      </c>
      <c r="R170" s="18">
        <f>MONTH(A170)</f>
        <v>2</v>
      </c>
      <c r="S170" s="18">
        <f>IF(R170&lt;4,Q170-1,Q170)</f>
        <v>2023</v>
      </c>
      <c r="T170" s="18">
        <f>IF(R170&lt;4,R170+9,R170-3)</f>
        <v>11</v>
      </c>
      <c r="U170" s="18">
        <f>IF(LEN(T170)=1,_xlfn.CONCAT(0,T170),T170)</f>
        <v>11</v>
      </c>
      <c r="V170" s="18" t="str">
        <f>_xlfn.CONCAT(S170,U170)</f>
        <v>202311</v>
      </c>
      <c r="W170" s="18" t="str">
        <f>_xlfn.CONCAT(TEXT(A170,"MMM"),"-",MID(Q170,3,2))</f>
        <v>Feb-24</v>
      </c>
      <c r="X170" s="19">
        <f>IFERROR(IF(D170="Sell",(H170-P170),-(H170+P170)),0)</f>
        <v>6984.26</v>
      </c>
      <c r="Y170" s="19">
        <f>X170/1000</f>
        <v>6.9842599999999999</v>
      </c>
    </row>
    <row r="171" spans="1:25" x14ac:dyDescent="0.25">
      <c r="A171" s="1">
        <v>45327</v>
      </c>
      <c r="B171" t="s">
        <v>716</v>
      </c>
      <c r="C171" t="s">
        <v>17</v>
      </c>
      <c r="D171" t="s">
        <v>22</v>
      </c>
      <c r="E171">
        <v>40</v>
      </c>
      <c r="F171">
        <v>0</v>
      </c>
      <c r="G171">
        <v>76.5</v>
      </c>
      <c r="H171">
        <v>3060</v>
      </c>
      <c r="I171" t="s">
        <v>725</v>
      </c>
      <c r="J171">
        <v>0</v>
      </c>
      <c r="K171">
        <v>1.55</v>
      </c>
      <c r="L171">
        <v>0</v>
      </c>
      <c r="M171">
        <v>0</v>
      </c>
      <c r="N171">
        <v>20</v>
      </c>
      <c r="O171">
        <v>3.88</v>
      </c>
      <c r="P171">
        <v>25.43</v>
      </c>
      <c r="Q171" s="18">
        <f>YEAR(A171)</f>
        <v>2024</v>
      </c>
      <c r="R171" s="18">
        <f>MONTH(A171)</f>
        <v>2</v>
      </c>
      <c r="S171" s="18">
        <f>IF(R171&lt;4,Q171-1,Q171)</f>
        <v>2023</v>
      </c>
      <c r="T171" s="18">
        <f>IF(R171&lt;4,R171+9,R171-3)</f>
        <v>11</v>
      </c>
      <c r="U171" s="18">
        <f>IF(LEN(T171)=1,_xlfn.CONCAT(0,T171),T171)</f>
        <v>11</v>
      </c>
      <c r="V171" s="18" t="str">
        <f>_xlfn.CONCAT(S171,U171)</f>
        <v>202311</v>
      </c>
      <c r="W171" s="18" t="str">
        <f>_xlfn.CONCAT(TEXT(A171,"MMM"),"-",MID(Q171,3,2))</f>
        <v>Feb-24</v>
      </c>
      <c r="X171" s="19">
        <f>IFERROR(IF(D171="Sell",(H171-P171),-(H171+P171)),0)</f>
        <v>-3085.43</v>
      </c>
      <c r="Y171" s="19">
        <f>X171/1000</f>
        <v>-3.0854299999999997</v>
      </c>
    </row>
    <row r="172" spans="1:25" x14ac:dyDescent="0.25">
      <c r="A172" s="1">
        <v>45327</v>
      </c>
      <c r="B172" t="s">
        <v>716</v>
      </c>
      <c r="C172" t="s">
        <v>17</v>
      </c>
      <c r="D172" t="s">
        <v>22</v>
      </c>
      <c r="E172">
        <v>40</v>
      </c>
      <c r="F172">
        <v>0</v>
      </c>
      <c r="G172">
        <v>93.1</v>
      </c>
      <c r="H172">
        <v>3724</v>
      </c>
      <c r="I172" t="s">
        <v>726</v>
      </c>
      <c r="J172">
        <v>0</v>
      </c>
      <c r="K172">
        <v>1.88</v>
      </c>
      <c r="L172">
        <v>0</v>
      </c>
      <c r="M172">
        <v>0</v>
      </c>
      <c r="N172">
        <v>20</v>
      </c>
      <c r="O172">
        <v>3.94</v>
      </c>
      <c r="P172">
        <v>25.82</v>
      </c>
      <c r="Q172" s="18">
        <f>YEAR(A172)</f>
        <v>2024</v>
      </c>
      <c r="R172" s="18">
        <f>MONTH(A172)</f>
        <v>2</v>
      </c>
      <c r="S172" s="18">
        <f>IF(R172&lt;4,Q172-1,Q172)</f>
        <v>2023</v>
      </c>
      <c r="T172" s="18">
        <f>IF(R172&lt;4,R172+9,R172-3)</f>
        <v>11</v>
      </c>
      <c r="U172" s="18">
        <f>IF(LEN(T172)=1,_xlfn.CONCAT(0,T172),T172)</f>
        <v>11</v>
      </c>
      <c r="V172" s="18" t="str">
        <f>_xlfn.CONCAT(S172,U172)</f>
        <v>202311</v>
      </c>
      <c r="W172" s="18" t="str">
        <f>_xlfn.CONCAT(TEXT(A172,"MMM"),"-",MID(Q172,3,2))</f>
        <v>Feb-24</v>
      </c>
      <c r="X172" s="19">
        <f>IFERROR(IF(D172="Sell",(H172-P172),-(H172+P172)),0)</f>
        <v>-3749.82</v>
      </c>
      <c r="Y172" s="19">
        <f>X172/1000</f>
        <v>-3.7498200000000002</v>
      </c>
    </row>
    <row r="173" spans="1:25" x14ac:dyDescent="0.25">
      <c r="A173" s="1">
        <v>45328</v>
      </c>
      <c r="B173" t="s">
        <v>714</v>
      </c>
      <c r="C173" t="s">
        <v>17</v>
      </c>
      <c r="D173" t="s">
        <v>18</v>
      </c>
      <c r="E173">
        <v>700</v>
      </c>
      <c r="F173">
        <v>0</v>
      </c>
      <c r="G173">
        <v>50.05</v>
      </c>
      <c r="H173">
        <v>35035</v>
      </c>
      <c r="I173" t="s">
        <v>715</v>
      </c>
      <c r="J173">
        <v>22</v>
      </c>
      <c r="K173">
        <v>17.690000000000001</v>
      </c>
      <c r="L173">
        <v>0</v>
      </c>
      <c r="M173">
        <v>0.04</v>
      </c>
      <c r="N173">
        <v>20</v>
      </c>
      <c r="O173">
        <v>6.8</v>
      </c>
      <c r="P173">
        <v>66.53</v>
      </c>
      <c r="Q173" s="18">
        <f>YEAR(A173)</f>
        <v>2024</v>
      </c>
      <c r="R173" s="18">
        <f>MONTH(A173)</f>
        <v>2</v>
      </c>
      <c r="S173" s="18">
        <f>IF(R173&lt;4,Q173-1,Q173)</f>
        <v>2023</v>
      </c>
      <c r="T173" s="18">
        <f>IF(R173&lt;4,R173+9,R173-3)</f>
        <v>11</v>
      </c>
      <c r="U173" s="18">
        <f>IF(LEN(T173)=1,_xlfn.CONCAT(0,T173),T173)</f>
        <v>11</v>
      </c>
      <c r="V173" s="18" t="str">
        <f>_xlfn.CONCAT(S173,U173)</f>
        <v>202311</v>
      </c>
      <c r="W173" s="18" t="str">
        <f>_xlfn.CONCAT(TEXT(A173,"MMM"),"-",MID(Q173,3,2))</f>
        <v>Feb-24</v>
      </c>
      <c r="X173" s="19">
        <f>IFERROR(IF(D173="Sell",(H173-P173),-(H173+P173)),0)</f>
        <v>34968.47</v>
      </c>
      <c r="Y173" s="19">
        <f>X173/1000</f>
        <v>34.968470000000003</v>
      </c>
    </row>
    <row r="174" spans="1:25" x14ac:dyDescent="0.25">
      <c r="A174" s="1">
        <v>45329</v>
      </c>
      <c r="B174" t="s">
        <v>700</v>
      </c>
      <c r="C174" t="s">
        <v>17</v>
      </c>
      <c r="D174" t="s">
        <v>18</v>
      </c>
      <c r="E174">
        <v>225</v>
      </c>
      <c r="F174">
        <v>0</v>
      </c>
      <c r="G174">
        <v>29.25</v>
      </c>
      <c r="H174">
        <v>6581.25</v>
      </c>
      <c r="I174" t="s">
        <v>701</v>
      </c>
      <c r="J174">
        <v>3.95</v>
      </c>
      <c r="K174">
        <v>3.3</v>
      </c>
      <c r="L174">
        <v>0</v>
      </c>
      <c r="M174">
        <v>0</v>
      </c>
      <c r="N174">
        <v>300</v>
      </c>
      <c r="O174">
        <v>54.6</v>
      </c>
      <c r="P174">
        <v>361.85</v>
      </c>
      <c r="Q174" s="18">
        <f>YEAR(A174)</f>
        <v>2024</v>
      </c>
      <c r="R174" s="18">
        <f>MONTH(A174)</f>
        <v>2</v>
      </c>
      <c r="S174" s="18">
        <f>IF(R174&lt;4,Q174-1,Q174)</f>
        <v>2023</v>
      </c>
      <c r="T174" s="18">
        <f>IF(R174&lt;4,R174+9,R174-3)</f>
        <v>11</v>
      </c>
      <c r="U174" s="18">
        <f>IF(LEN(T174)=1,_xlfn.CONCAT(0,T174),T174)</f>
        <v>11</v>
      </c>
      <c r="V174" s="18" t="str">
        <f>_xlfn.CONCAT(S174,U174)</f>
        <v>202311</v>
      </c>
      <c r="W174" s="18" t="str">
        <f>_xlfn.CONCAT(TEXT(A174,"MMM"),"-",MID(Q174,3,2))</f>
        <v>Feb-24</v>
      </c>
      <c r="X174" s="19">
        <f>IFERROR(IF(D174="Sell",(H174-P174),-(H174+P174)),0)</f>
        <v>6219.4</v>
      </c>
      <c r="Y174" s="19">
        <f>X174/1000</f>
        <v>6.2193999999999994</v>
      </c>
    </row>
    <row r="175" spans="1:25" x14ac:dyDescent="0.25">
      <c r="A175" s="1">
        <v>45329</v>
      </c>
      <c r="B175" t="s">
        <v>700</v>
      </c>
      <c r="C175" t="s">
        <v>17</v>
      </c>
      <c r="D175" t="s">
        <v>22</v>
      </c>
      <c r="E175">
        <v>225</v>
      </c>
      <c r="F175">
        <v>0</v>
      </c>
      <c r="G175">
        <v>38</v>
      </c>
      <c r="H175">
        <v>8550</v>
      </c>
      <c r="I175" t="s">
        <v>702</v>
      </c>
      <c r="J175">
        <v>0</v>
      </c>
      <c r="K175">
        <v>4.32</v>
      </c>
      <c r="L175">
        <v>0.26</v>
      </c>
      <c r="M175">
        <v>0.01</v>
      </c>
      <c r="N175">
        <v>300</v>
      </c>
      <c r="O175">
        <v>54.78</v>
      </c>
      <c r="P175">
        <v>359.37</v>
      </c>
      <c r="Q175" s="18">
        <f>YEAR(A175)</f>
        <v>2024</v>
      </c>
      <c r="R175" s="18">
        <f>MONTH(A175)</f>
        <v>2</v>
      </c>
      <c r="S175" s="18">
        <f>IF(R175&lt;4,Q175-1,Q175)</f>
        <v>2023</v>
      </c>
      <c r="T175" s="18">
        <f>IF(R175&lt;4,R175+9,R175-3)</f>
        <v>11</v>
      </c>
      <c r="U175" s="18">
        <f>IF(LEN(T175)=1,_xlfn.CONCAT(0,T175),T175)</f>
        <v>11</v>
      </c>
      <c r="V175" s="18" t="str">
        <f>_xlfn.CONCAT(S175,U175)</f>
        <v>202311</v>
      </c>
      <c r="W175" s="18" t="str">
        <f>_xlfn.CONCAT(TEXT(A175,"MMM"),"-",MID(Q175,3,2))</f>
        <v>Feb-24</v>
      </c>
      <c r="X175" s="19">
        <f>IFERROR(IF(D175="Sell",(H175-P175),-(H175+P175)),0)</f>
        <v>-8909.3700000000008</v>
      </c>
      <c r="Y175" s="19">
        <f>X175/1000</f>
        <v>-8.9093700000000009</v>
      </c>
    </row>
    <row r="176" spans="1:25" x14ac:dyDescent="0.25">
      <c r="A176" s="1">
        <v>45329</v>
      </c>
      <c r="B176" t="s">
        <v>703</v>
      </c>
      <c r="C176" t="s">
        <v>17</v>
      </c>
      <c r="D176" t="s">
        <v>18</v>
      </c>
      <c r="E176">
        <v>135</v>
      </c>
      <c r="F176">
        <v>0</v>
      </c>
      <c r="G176">
        <v>14.3</v>
      </c>
      <c r="H176">
        <v>1930.5</v>
      </c>
      <c r="I176" t="s">
        <v>704</v>
      </c>
      <c r="J176">
        <v>1.2</v>
      </c>
      <c r="K176">
        <v>0.98</v>
      </c>
      <c r="L176">
        <v>0</v>
      </c>
      <c r="M176">
        <v>0</v>
      </c>
      <c r="N176">
        <v>180</v>
      </c>
      <c r="O176">
        <v>32.58</v>
      </c>
      <c r="P176">
        <v>214.76</v>
      </c>
      <c r="Q176" s="18">
        <f>YEAR(A176)</f>
        <v>2024</v>
      </c>
      <c r="R176" s="18">
        <f>MONTH(A176)</f>
        <v>2</v>
      </c>
      <c r="S176" s="18">
        <f>IF(R176&lt;4,Q176-1,Q176)</f>
        <v>2023</v>
      </c>
      <c r="T176" s="18">
        <f>IF(R176&lt;4,R176+9,R176-3)</f>
        <v>11</v>
      </c>
      <c r="U176" s="18">
        <f>IF(LEN(T176)=1,_xlfn.CONCAT(0,T176),T176)</f>
        <v>11</v>
      </c>
      <c r="V176" s="18" t="str">
        <f>_xlfn.CONCAT(S176,U176)</f>
        <v>202311</v>
      </c>
      <c r="W176" s="18" t="str">
        <f>_xlfn.CONCAT(TEXT(A176,"MMM"),"-",MID(Q176,3,2))</f>
        <v>Feb-24</v>
      </c>
      <c r="X176" s="19">
        <f>IFERROR(IF(D176="Sell",(H176-P176),-(H176+P176)),0)</f>
        <v>1715.74</v>
      </c>
      <c r="Y176" s="19">
        <f>X176/1000</f>
        <v>1.71574</v>
      </c>
    </row>
    <row r="177" spans="1:25" x14ac:dyDescent="0.25">
      <c r="A177" s="1">
        <v>45329</v>
      </c>
      <c r="B177" t="s">
        <v>703</v>
      </c>
      <c r="C177" t="s">
        <v>17</v>
      </c>
      <c r="D177" t="s">
        <v>18</v>
      </c>
      <c r="E177">
        <v>900</v>
      </c>
      <c r="F177">
        <v>0</v>
      </c>
      <c r="G177">
        <v>15.15</v>
      </c>
      <c r="H177">
        <v>13635</v>
      </c>
      <c r="I177" t="s">
        <v>705</v>
      </c>
      <c r="J177">
        <v>8.52</v>
      </c>
      <c r="K177">
        <v>6.89</v>
      </c>
      <c r="L177">
        <v>0</v>
      </c>
      <c r="M177">
        <v>0.02</v>
      </c>
      <c r="N177">
        <v>1200</v>
      </c>
      <c r="O177">
        <v>217.24</v>
      </c>
      <c r="P177">
        <v>1432.67</v>
      </c>
      <c r="Q177" s="18">
        <f>YEAR(A177)</f>
        <v>2024</v>
      </c>
      <c r="R177" s="18">
        <f>MONTH(A177)</f>
        <v>2</v>
      </c>
      <c r="S177" s="18">
        <f>IF(R177&lt;4,Q177-1,Q177)</f>
        <v>2023</v>
      </c>
      <c r="T177" s="18">
        <f>IF(R177&lt;4,R177+9,R177-3)</f>
        <v>11</v>
      </c>
      <c r="U177" s="18">
        <f>IF(LEN(T177)=1,_xlfn.CONCAT(0,T177),T177)</f>
        <v>11</v>
      </c>
      <c r="V177" s="18" t="str">
        <f>_xlfn.CONCAT(S177,U177)</f>
        <v>202311</v>
      </c>
      <c r="W177" s="18" t="str">
        <f>_xlfn.CONCAT(TEXT(A177,"MMM"),"-",MID(Q177,3,2))</f>
        <v>Feb-24</v>
      </c>
      <c r="X177" s="19">
        <f>IFERROR(IF(D177="Sell",(H177-P177),-(H177+P177)),0)</f>
        <v>12202.33</v>
      </c>
      <c r="Y177" s="19">
        <f>X177/1000</f>
        <v>12.20233</v>
      </c>
    </row>
    <row r="178" spans="1:25" x14ac:dyDescent="0.25">
      <c r="A178" s="1">
        <v>45329</v>
      </c>
      <c r="B178" t="s">
        <v>703</v>
      </c>
      <c r="C178" t="s">
        <v>17</v>
      </c>
      <c r="D178" t="s">
        <v>22</v>
      </c>
      <c r="E178">
        <v>345</v>
      </c>
      <c r="F178">
        <v>0</v>
      </c>
      <c r="G178">
        <v>16.899999999999999</v>
      </c>
      <c r="H178">
        <v>5830.5</v>
      </c>
      <c r="I178" t="s">
        <v>706</v>
      </c>
      <c r="J178">
        <v>0</v>
      </c>
      <c r="K178">
        <v>2.95</v>
      </c>
      <c r="L178">
        <v>0</v>
      </c>
      <c r="M178">
        <v>0</v>
      </c>
      <c r="N178">
        <v>460</v>
      </c>
      <c r="O178">
        <v>83.34</v>
      </c>
      <c r="P178">
        <v>546.29</v>
      </c>
      <c r="Q178" s="18">
        <f>YEAR(A178)</f>
        <v>2024</v>
      </c>
      <c r="R178" s="18">
        <f>MONTH(A178)</f>
        <v>2</v>
      </c>
      <c r="S178" s="18">
        <f>IF(R178&lt;4,Q178-1,Q178)</f>
        <v>2023</v>
      </c>
      <c r="T178" s="18">
        <f>IF(R178&lt;4,R178+9,R178-3)</f>
        <v>11</v>
      </c>
      <c r="U178" s="18">
        <f>IF(LEN(T178)=1,_xlfn.CONCAT(0,T178),T178)</f>
        <v>11</v>
      </c>
      <c r="V178" s="18" t="str">
        <f>_xlfn.CONCAT(S178,U178)</f>
        <v>202311</v>
      </c>
      <c r="W178" s="18" t="str">
        <f>_xlfn.CONCAT(TEXT(A178,"MMM"),"-",MID(Q178,3,2))</f>
        <v>Feb-24</v>
      </c>
      <c r="X178" s="19">
        <f>IFERROR(IF(D178="Sell",(H178-P178),-(H178+P178)),0)</f>
        <v>-6376.79</v>
      </c>
      <c r="Y178" s="19">
        <f>X178/1000</f>
        <v>-6.3767899999999997</v>
      </c>
    </row>
    <row r="179" spans="1:25" x14ac:dyDescent="0.25">
      <c r="A179" s="1">
        <v>45329</v>
      </c>
      <c r="B179" t="s">
        <v>703</v>
      </c>
      <c r="C179" t="s">
        <v>17</v>
      </c>
      <c r="D179" t="s">
        <v>22</v>
      </c>
      <c r="E179">
        <v>345</v>
      </c>
      <c r="F179">
        <v>0</v>
      </c>
      <c r="G179">
        <v>23.35</v>
      </c>
      <c r="H179">
        <v>8055.75</v>
      </c>
      <c r="I179" t="s">
        <v>707</v>
      </c>
      <c r="J179">
        <v>0</v>
      </c>
      <c r="K179">
        <v>4.07</v>
      </c>
      <c r="L179">
        <v>0.99</v>
      </c>
      <c r="M179">
        <v>0.01</v>
      </c>
      <c r="N179">
        <v>460</v>
      </c>
      <c r="O179">
        <v>83.54</v>
      </c>
      <c r="P179">
        <v>548.61</v>
      </c>
      <c r="Q179" s="18">
        <f>YEAR(A179)</f>
        <v>2024</v>
      </c>
      <c r="R179" s="18">
        <f>MONTH(A179)</f>
        <v>2</v>
      </c>
      <c r="S179" s="18">
        <f>IF(R179&lt;4,Q179-1,Q179)</f>
        <v>2023</v>
      </c>
      <c r="T179" s="18">
        <f>IF(R179&lt;4,R179+9,R179-3)</f>
        <v>11</v>
      </c>
      <c r="U179" s="18">
        <f>IF(LEN(T179)=1,_xlfn.CONCAT(0,T179),T179)</f>
        <v>11</v>
      </c>
      <c r="V179" s="18" t="str">
        <f>_xlfn.CONCAT(S179,U179)</f>
        <v>202311</v>
      </c>
      <c r="W179" s="18" t="str">
        <f>_xlfn.CONCAT(TEXT(A179,"MMM"),"-",MID(Q179,3,2))</f>
        <v>Feb-24</v>
      </c>
      <c r="X179" s="19">
        <f>IFERROR(IF(D179="Sell",(H179-P179),-(H179+P179)),0)</f>
        <v>-8604.36</v>
      </c>
      <c r="Y179" s="19">
        <f>X179/1000</f>
        <v>-8.6043599999999998</v>
      </c>
    </row>
    <row r="180" spans="1:25" x14ac:dyDescent="0.25">
      <c r="A180" s="1">
        <v>45329</v>
      </c>
      <c r="B180" t="s">
        <v>703</v>
      </c>
      <c r="C180" t="s">
        <v>17</v>
      </c>
      <c r="D180" t="s">
        <v>22</v>
      </c>
      <c r="E180">
        <v>60</v>
      </c>
      <c r="F180">
        <v>0</v>
      </c>
      <c r="G180">
        <v>41.6</v>
      </c>
      <c r="H180">
        <v>2496</v>
      </c>
      <c r="I180" t="s">
        <v>708</v>
      </c>
      <c r="J180">
        <v>0</v>
      </c>
      <c r="K180">
        <v>1.26</v>
      </c>
      <c r="L180">
        <v>0</v>
      </c>
      <c r="M180">
        <v>0</v>
      </c>
      <c r="N180">
        <v>80</v>
      </c>
      <c r="O180">
        <v>14.62</v>
      </c>
      <c r="P180">
        <v>95.88</v>
      </c>
      <c r="Q180" s="18">
        <f>YEAR(A180)</f>
        <v>2024</v>
      </c>
      <c r="R180" s="18">
        <f>MONTH(A180)</f>
        <v>2</v>
      </c>
      <c r="S180" s="18">
        <f>IF(R180&lt;4,Q180-1,Q180)</f>
        <v>2023</v>
      </c>
      <c r="T180" s="18">
        <f>IF(R180&lt;4,R180+9,R180-3)</f>
        <v>11</v>
      </c>
      <c r="U180" s="18">
        <f>IF(LEN(T180)=1,_xlfn.CONCAT(0,T180),T180)</f>
        <v>11</v>
      </c>
      <c r="V180" s="18" t="str">
        <f>_xlfn.CONCAT(S180,U180)</f>
        <v>202311</v>
      </c>
      <c r="W180" s="18" t="str">
        <f>_xlfn.CONCAT(TEXT(A180,"MMM"),"-",MID(Q180,3,2))</f>
        <v>Feb-24</v>
      </c>
      <c r="X180" s="19">
        <f>IFERROR(IF(D180="Sell",(H180-P180),-(H180+P180)),0)</f>
        <v>-2591.88</v>
      </c>
      <c r="Y180" s="19">
        <f>X180/1000</f>
        <v>-2.5918800000000002</v>
      </c>
    </row>
    <row r="181" spans="1:25" x14ac:dyDescent="0.25">
      <c r="A181" s="1">
        <v>45329</v>
      </c>
      <c r="B181" t="s">
        <v>703</v>
      </c>
      <c r="C181" t="s">
        <v>17</v>
      </c>
      <c r="D181" t="s">
        <v>22</v>
      </c>
      <c r="E181">
        <v>45</v>
      </c>
      <c r="F181">
        <v>0</v>
      </c>
      <c r="G181">
        <v>42.65</v>
      </c>
      <c r="H181">
        <v>1919.25</v>
      </c>
      <c r="I181" t="s">
        <v>709</v>
      </c>
      <c r="J181">
        <v>0</v>
      </c>
      <c r="K181">
        <v>0.97</v>
      </c>
      <c r="L181">
        <v>0</v>
      </c>
      <c r="M181">
        <v>0</v>
      </c>
      <c r="N181">
        <v>60</v>
      </c>
      <c r="O181">
        <v>10.98</v>
      </c>
      <c r="P181">
        <v>71.95</v>
      </c>
      <c r="Q181" s="18">
        <f>YEAR(A181)</f>
        <v>2024</v>
      </c>
      <c r="R181" s="18">
        <f>MONTH(A181)</f>
        <v>2</v>
      </c>
      <c r="S181" s="18">
        <f>IF(R181&lt;4,Q181-1,Q181)</f>
        <v>2023</v>
      </c>
      <c r="T181" s="18">
        <f>IF(R181&lt;4,R181+9,R181-3)</f>
        <v>11</v>
      </c>
      <c r="U181" s="18">
        <f>IF(LEN(T181)=1,_xlfn.CONCAT(0,T181),T181)</f>
        <v>11</v>
      </c>
      <c r="V181" s="18" t="str">
        <f>_xlfn.CONCAT(S181,U181)</f>
        <v>202311</v>
      </c>
      <c r="W181" s="18" t="str">
        <f>_xlfn.CONCAT(TEXT(A181,"MMM"),"-",MID(Q181,3,2))</f>
        <v>Feb-24</v>
      </c>
      <c r="X181" s="19">
        <f>IFERROR(IF(D181="Sell",(H181-P181),-(H181+P181)),0)</f>
        <v>-1991.2</v>
      </c>
      <c r="Y181" s="19">
        <f>X181/1000</f>
        <v>-1.9912000000000001</v>
      </c>
    </row>
    <row r="182" spans="1:25" x14ac:dyDescent="0.25">
      <c r="A182" s="1">
        <v>45329</v>
      </c>
      <c r="B182" t="s">
        <v>703</v>
      </c>
      <c r="C182" t="s">
        <v>17</v>
      </c>
      <c r="D182" t="s">
        <v>22</v>
      </c>
      <c r="E182">
        <v>240</v>
      </c>
      <c r="F182">
        <v>0</v>
      </c>
      <c r="G182">
        <v>47.09</v>
      </c>
      <c r="H182">
        <v>11301</v>
      </c>
      <c r="I182" t="s">
        <v>710</v>
      </c>
      <c r="J182">
        <v>0</v>
      </c>
      <c r="K182">
        <v>5.71</v>
      </c>
      <c r="L182">
        <v>0</v>
      </c>
      <c r="M182">
        <v>0</v>
      </c>
      <c r="N182">
        <v>320</v>
      </c>
      <c r="O182">
        <v>58.64</v>
      </c>
      <c r="P182">
        <v>384.35</v>
      </c>
      <c r="Q182" s="18">
        <f>YEAR(A182)</f>
        <v>2024</v>
      </c>
      <c r="R182" s="18">
        <f>MONTH(A182)</f>
        <v>2</v>
      </c>
      <c r="S182" s="18">
        <f>IF(R182&lt;4,Q182-1,Q182)</f>
        <v>2023</v>
      </c>
      <c r="T182" s="18">
        <f>IF(R182&lt;4,R182+9,R182-3)</f>
        <v>11</v>
      </c>
      <c r="U182" s="18">
        <f>IF(LEN(T182)=1,_xlfn.CONCAT(0,T182),T182)</f>
        <v>11</v>
      </c>
      <c r="V182" s="18" t="str">
        <f>_xlfn.CONCAT(S182,U182)</f>
        <v>202311</v>
      </c>
      <c r="W182" s="18" t="str">
        <f>_xlfn.CONCAT(TEXT(A182,"MMM"),"-",MID(Q182,3,2))</f>
        <v>Feb-24</v>
      </c>
      <c r="X182" s="19">
        <f>IFERROR(IF(D182="Sell",(H182-P182),-(H182+P182)),0)</f>
        <v>-11685.35</v>
      </c>
      <c r="Y182" s="19">
        <f>X182/1000</f>
        <v>-11.68535</v>
      </c>
    </row>
    <row r="183" spans="1:25" x14ac:dyDescent="0.25">
      <c r="A183" s="1">
        <v>45329</v>
      </c>
      <c r="B183" t="s">
        <v>686</v>
      </c>
      <c r="C183" t="s">
        <v>17</v>
      </c>
      <c r="D183" t="s">
        <v>18</v>
      </c>
      <c r="E183">
        <v>250</v>
      </c>
      <c r="F183">
        <v>0</v>
      </c>
      <c r="G183">
        <v>85.05</v>
      </c>
      <c r="H183">
        <v>21262.5</v>
      </c>
      <c r="I183" t="s">
        <v>711</v>
      </c>
      <c r="J183">
        <v>13.29</v>
      </c>
      <c r="K183">
        <v>10.74</v>
      </c>
      <c r="L183">
        <v>0</v>
      </c>
      <c r="M183">
        <v>0.02</v>
      </c>
      <c r="N183">
        <v>100</v>
      </c>
      <c r="O183">
        <v>19.940000000000001</v>
      </c>
      <c r="P183">
        <v>143.99</v>
      </c>
      <c r="Q183" s="18">
        <f>YEAR(A183)</f>
        <v>2024</v>
      </c>
      <c r="R183" s="18">
        <f>MONTH(A183)</f>
        <v>2</v>
      </c>
      <c r="S183" s="18">
        <f>IF(R183&lt;4,Q183-1,Q183)</f>
        <v>2023</v>
      </c>
      <c r="T183" s="18">
        <f>IF(R183&lt;4,R183+9,R183-3)</f>
        <v>11</v>
      </c>
      <c r="U183" s="18">
        <f>IF(LEN(T183)=1,_xlfn.CONCAT(0,T183),T183)</f>
        <v>11</v>
      </c>
      <c r="V183" s="18" t="str">
        <f>_xlfn.CONCAT(S183,U183)</f>
        <v>202311</v>
      </c>
      <c r="W183" s="18" t="str">
        <f>_xlfn.CONCAT(TEXT(A183,"MMM"),"-",MID(Q183,3,2))</f>
        <v>Feb-24</v>
      </c>
      <c r="X183" s="19">
        <f>IFERROR(IF(D183="Sell",(H183-P183),-(H183+P183)),0)</f>
        <v>21118.51</v>
      </c>
      <c r="Y183" s="19">
        <f>X183/1000</f>
        <v>21.118509999999997</v>
      </c>
    </row>
    <row r="184" spans="1:25" x14ac:dyDescent="0.25">
      <c r="A184" s="1">
        <v>45329</v>
      </c>
      <c r="B184" t="s">
        <v>686</v>
      </c>
      <c r="C184" t="s">
        <v>17</v>
      </c>
      <c r="D184" t="s">
        <v>22</v>
      </c>
      <c r="E184">
        <v>200</v>
      </c>
      <c r="F184">
        <v>0</v>
      </c>
      <c r="G184">
        <v>98.45</v>
      </c>
      <c r="H184">
        <v>19690</v>
      </c>
      <c r="I184" t="s">
        <v>712</v>
      </c>
      <c r="J184">
        <v>0</v>
      </c>
      <c r="K184">
        <v>9.94</v>
      </c>
      <c r="L184">
        <v>0.75</v>
      </c>
      <c r="M184">
        <v>0.02</v>
      </c>
      <c r="N184">
        <v>80</v>
      </c>
      <c r="O184">
        <v>16.2</v>
      </c>
      <c r="P184">
        <v>106.91</v>
      </c>
      <c r="Q184" s="18">
        <f>YEAR(A184)</f>
        <v>2024</v>
      </c>
      <c r="R184" s="18">
        <f>MONTH(A184)</f>
        <v>2</v>
      </c>
      <c r="S184" s="18">
        <f>IF(R184&lt;4,Q184-1,Q184)</f>
        <v>2023</v>
      </c>
      <c r="T184" s="18">
        <f>IF(R184&lt;4,R184+9,R184-3)</f>
        <v>11</v>
      </c>
      <c r="U184" s="18">
        <f>IF(LEN(T184)=1,_xlfn.CONCAT(0,T184),T184)</f>
        <v>11</v>
      </c>
      <c r="V184" s="18" t="str">
        <f>_xlfn.CONCAT(S184,U184)</f>
        <v>202311</v>
      </c>
      <c r="W184" s="18" t="str">
        <f>_xlfn.CONCAT(TEXT(A184,"MMM"),"-",MID(Q184,3,2))</f>
        <v>Feb-24</v>
      </c>
      <c r="X184" s="19">
        <f>IFERROR(IF(D184="Sell",(H184-P184),-(H184+P184)),0)</f>
        <v>-19796.91</v>
      </c>
      <c r="Y184" s="19">
        <f>X184/1000</f>
        <v>-19.79691</v>
      </c>
    </row>
    <row r="185" spans="1:25" x14ac:dyDescent="0.25">
      <c r="A185" s="1">
        <v>45329</v>
      </c>
      <c r="B185" t="s">
        <v>686</v>
      </c>
      <c r="C185" t="s">
        <v>17</v>
      </c>
      <c r="D185" t="s">
        <v>22</v>
      </c>
      <c r="E185">
        <v>50</v>
      </c>
      <c r="F185">
        <v>0</v>
      </c>
      <c r="G185">
        <v>103.8</v>
      </c>
      <c r="H185">
        <v>5190</v>
      </c>
      <c r="I185" t="s">
        <v>713</v>
      </c>
      <c r="J185">
        <v>0</v>
      </c>
      <c r="K185">
        <v>2.62</v>
      </c>
      <c r="L185">
        <v>0</v>
      </c>
      <c r="M185">
        <v>0.01</v>
      </c>
      <c r="N185">
        <v>20</v>
      </c>
      <c r="O185">
        <v>4.08</v>
      </c>
      <c r="P185">
        <v>26.71</v>
      </c>
      <c r="Q185" s="18">
        <f>YEAR(A185)</f>
        <v>2024</v>
      </c>
      <c r="R185" s="18">
        <f>MONTH(A185)</f>
        <v>2</v>
      </c>
      <c r="S185" s="18">
        <f>IF(R185&lt;4,Q185-1,Q185)</f>
        <v>2023</v>
      </c>
      <c r="T185" s="18">
        <f>IF(R185&lt;4,R185+9,R185-3)</f>
        <v>11</v>
      </c>
      <c r="U185" s="18">
        <f>IF(LEN(T185)=1,_xlfn.CONCAT(0,T185),T185)</f>
        <v>11</v>
      </c>
      <c r="V185" s="18" t="str">
        <f>_xlfn.CONCAT(S185,U185)</f>
        <v>202311</v>
      </c>
      <c r="W185" s="18" t="str">
        <f>_xlfn.CONCAT(TEXT(A185,"MMM"),"-",MID(Q185,3,2))</f>
        <v>Feb-24</v>
      </c>
      <c r="X185" s="19">
        <f>IFERROR(IF(D185="Sell",(H185-P185),-(H185+P185)),0)</f>
        <v>-5216.71</v>
      </c>
      <c r="Y185" s="19">
        <f>X185/1000</f>
        <v>-5.21671</v>
      </c>
    </row>
    <row r="186" spans="1:25" x14ac:dyDescent="0.25">
      <c r="A186" s="1">
        <v>45330</v>
      </c>
      <c r="B186" t="s">
        <v>683</v>
      </c>
      <c r="C186" t="s">
        <v>17</v>
      </c>
      <c r="D186" t="s">
        <v>18</v>
      </c>
      <c r="E186">
        <v>50</v>
      </c>
      <c r="F186">
        <v>0</v>
      </c>
      <c r="G186">
        <v>17.95</v>
      </c>
      <c r="H186">
        <v>897.5</v>
      </c>
      <c r="I186" t="s">
        <v>684</v>
      </c>
      <c r="J186">
        <v>0.75</v>
      </c>
      <c r="K186">
        <v>0.45</v>
      </c>
      <c r="L186">
        <v>0</v>
      </c>
      <c r="M186">
        <v>0</v>
      </c>
      <c r="N186">
        <v>20</v>
      </c>
      <c r="O186">
        <v>3.68</v>
      </c>
      <c r="P186">
        <v>24.88</v>
      </c>
      <c r="Q186" s="18">
        <f>YEAR(A186)</f>
        <v>2024</v>
      </c>
      <c r="R186" s="18">
        <f>MONTH(A186)</f>
        <v>2</v>
      </c>
      <c r="S186" s="18">
        <f>IF(R186&lt;4,Q186-1,Q186)</f>
        <v>2023</v>
      </c>
      <c r="T186" s="18">
        <f>IF(R186&lt;4,R186+9,R186-3)</f>
        <v>11</v>
      </c>
      <c r="U186" s="18">
        <f>IF(LEN(T186)=1,_xlfn.CONCAT(0,T186),T186)</f>
        <v>11</v>
      </c>
      <c r="V186" s="18" t="str">
        <f>_xlfn.CONCAT(S186,U186)</f>
        <v>202311</v>
      </c>
      <c r="W186" s="18" t="str">
        <f>_xlfn.CONCAT(TEXT(A186,"MMM"),"-",MID(Q186,3,2))</f>
        <v>Feb-24</v>
      </c>
      <c r="X186" s="19">
        <f>IFERROR(IF(D186="Sell",(H186-P186),-(H186+P186)),0)</f>
        <v>872.62</v>
      </c>
      <c r="Y186" s="19">
        <f>X186/1000</f>
        <v>0.87261999999999995</v>
      </c>
    </row>
    <row r="187" spans="1:25" x14ac:dyDescent="0.25">
      <c r="A187" s="1">
        <v>45330</v>
      </c>
      <c r="B187" t="s">
        <v>683</v>
      </c>
      <c r="C187" t="s">
        <v>17</v>
      </c>
      <c r="D187" t="s">
        <v>22</v>
      </c>
      <c r="E187">
        <v>50</v>
      </c>
      <c r="F187">
        <v>0</v>
      </c>
      <c r="G187">
        <v>25.2</v>
      </c>
      <c r="H187">
        <v>1260</v>
      </c>
      <c r="I187" t="s">
        <v>685</v>
      </c>
      <c r="J187">
        <v>0</v>
      </c>
      <c r="K187">
        <v>0.64</v>
      </c>
      <c r="L187">
        <v>0</v>
      </c>
      <c r="M187">
        <v>0</v>
      </c>
      <c r="N187">
        <v>20</v>
      </c>
      <c r="O187">
        <v>3.72</v>
      </c>
      <c r="P187">
        <v>24.36</v>
      </c>
      <c r="Q187" s="18">
        <f>YEAR(A187)</f>
        <v>2024</v>
      </c>
      <c r="R187" s="18">
        <f>MONTH(A187)</f>
        <v>2</v>
      </c>
      <c r="S187" s="18">
        <f>IF(R187&lt;4,Q187-1,Q187)</f>
        <v>2023</v>
      </c>
      <c r="T187" s="18">
        <f>IF(R187&lt;4,R187+9,R187-3)</f>
        <v>11</v>
      </c>
      <c r="U187" s="18">
        <f>IF(LEN(T187)=1,_xlfn.CONCAT(0,T187),T187)</f>
        <v>11</v>
      </c>
      <c r="V187" s="18" t="str">
        <f>_xlfn.CONCAT(S187,U187)</f>
        <v>202311</v>
      </c>
      <c r="W187" s="18" t="str">
        <f>_xlfn.CONCAT(TEXT(A187,"MMM"),"-",MID(Q187,3,2))</f>
        <v>Feb-24</v>
      </c>
      <c r="X187" s="19">
        <f>IFERROR(IF(D187="Sell",(H187-P187),-(H187+P187)),0)</f>
        <v>-1284.3599999999999</v>
      </c>
      <c r="Y187" s="19">
        <f>X187/1000</f>
        <v>-1.2843599999999999</v>
      </c>
    </row>
    <row r="188" spans="1:25" x14ac:dyDescent="0.25">
      <c r="A188" s="1">
        <v>45330</v>
      </c>
      <c r="B188" t="s">
        <v>686</v>
      </c>
      <c r="C188" t="s">
        <v>17</v>
      </c>
      <c r="D188" t="s">
        <v>18</v>
      </c>
      <c r="E188">
        <v>250</v>
      </c>
      <c r="F188">
        <v>0</v>
      </c>
      <c r="G188">
        <v>2.1</v>
      </c>
      <c r="H188">
        <v>525</v>
      </c>
      <c r="I188" t="s">
        <v>687</v>
      </c>
      <c r="J188">
        <v>0.33</v>
      </c>
      <c r="K188">
        <v>0.27</v>
      </c>
      <c r="L188">
        <v>0</v>
      </c>
      <c r="M188">
        <v>0</v>
      </c>
      <c r="N188">
        <v>100</v>
      </c>
      <c r="O188">
        <v>18.04</v>
      </c>
      <c r="P188">
        <v>118.64</v>
      </c>
      <c r="Q188" s="18">
        <f>YEAR(A188)</f>
        <v>2024</v>
      </c>
      <c r="R188" s="18">
        <f>MONTH(A188)</f>
        <v>2</v>
      </c>
      <c r="S188" s="18">
        <f>IF(R188&lt;4,Q188-1,Q188)</f>
        <v>2023</v>
      </c>
      <c r="T188" s="18">
        <f>IF(R188&lt;4,R188+9,R188-3)</f>
        <v>11</v>
      </c>
      <c r="U188" s="18">
        <f>IF(LEN(T188)=1,_xlfn.CONCAT(0,T188),T188)</f>
        <v>11</v>
      </c>
      <c r="V188" s="18" t="str">
        <f>_xlfn.CONCAT(S188,U188)</f>
        <v>202311</v>
      </c>
      <c r="W188" s="18" t="str">
        <f>_xlfn.CONCAT(TEXT(A188,"MMM"),"-",MID(Q188,3,2))</f>
        <v>Feb-24</v>
      </c>
      <c r="X188" s="19">
        <f>IFERROR(IF(D188="Sell",(H188-P188),-(H188+P188)),0)</f>
        <v>406.36</v>
      </c>
      <c r="Y188" s="19">
        <f>X188/1000</f>
        <v>0.40636</v>
      </c>
    </row>
    <row r="189" spans="1:25" x14ac:dyDescent="0.25">
      <c r="A189" s="1">
        <v>45330</v>
      </c>
      <c r="B189" t="s">
        <v>686</v>
      </c>
      <c r="C189" t="s">
        <v>17</v>
      </c>
      <c r="D189" t="s">
        <v>18</v>
      </c>
      <c r="E189">
        <v>50</v>
      </c>
      <c r="F189">
        <v>0</v>
      </c>
      <c r="G189">
        <v>2.65</v>
      </c>
      <c r="H189">
        <v>132.5</v>
      </c>
      <c r="I189" t="s">
        <v>688</v>
      </c>
      <c r="J189">
        <v>0.08</v>
      </c>
      <c r="K189">
        <v>7.0000000000000007E-2</v>
      </c>
      <c r="L189">
        <v>0</v>
      </c>
      <c r="M189">
        <v>0</v>
      </c>
      <c r="N189">
        <v>20</v>
      </c>
      <c r="O189">
        <v>3.62</v>
      </c>
      <c r="P189">
        <v>23.77</v>
      </c>
      <c r="Q189" s="18">
        <f>YEAR(A189)</f>
        <v>2024</v>
      </c>
      <c r="R189" s="18">
        <f>MONTH(A189)</f>
        <v>2</v>
      </c>
      <c r="S189" s="18">
        <f>IF(R189&lt;4,Q189-1,Q189)</f>
        <v>2023</v>
      </c>
      <c r="T189" s="18">
        <f>IF(R189&lt;4,R189+9,R189-3)</f>
        <v>11</v>
      </c>
      <c r="U189" s="18">
        <f>IF(LEN(T189)=1,_xlfn.CONCAT(0,T189),T189)</f>
        <v>11</v>
      </c>
      <c r="V189" s="18" t="str">
        <f>_xlfn.CONCAT(S189,U189)</f>
        <v>202311</v>
      </c>
      <c r="W189" s="18" t="str">
        <f>_xlfn.CONCAT(TEXT(A189,"MMM"),"-",MID(Q189,3,2))</f>
        <v>Feb-24</v>
      </c>
      <c r="X189" s="19">
        <f>IFERROR(IF(D189="Sell",(H189-P189),-(H189+P189)),0)</f>
        <v>108.73</v>
      </c>
      <c r="Y189" s="19">
        <f>X189/1000</f>
        <v>0.10873000000000001</v>
      </c>
    </row>
    <row r="190" spans="1:25" x14ac:dyDescent="0.25">
      <c r="A190" s="1">
        <v>45330</v>
      </c>
      <c r="B190" t="s">
        <v>686</v>
      </c>
      <c r="C190" t="s">
        <v>17</v>
      </c>
      <c r="D190" t="s">
        <v>18</v>
      </c>
      <c r="E190">
        <v>50</v>
      </c>
      <c r="F190">
        <v>0</v>
      </c>
      <c r="G190">
        <v>2.65</v>
      </c>
      <c r="H190">
        <v>132.5</v>
      </c>
      <c r="I190" t="s">
        <v>689</v>
      </c>
      <c r="J190">
        <v>0.08</v>
      </c>
      <c r="K190">
        <v>7.0000000000000007E-2</v>
      </c>
      <c r="L190">
        <v>0</v>
      </c>
      <c r="M190">
        <v>0</v>
      </c>
      <c r="N190">
        <v>20</v>
      </c>
      <c r="O190">
        <v>3.62</v>
      </c>
      <c r="P190">
        <v>23.77</v>
      </c>
      <c r="Q190" s="18">
        <f>YEAR(A190)</f>
        <v>2024</v>
      </c>
      <c r="R190" s="18">
        <f>MONTH(A190)</f>
        <v>2</v>
      </c>
      <c r="S190" s="18">
        <f>IF(R190&lt;4,Q190-1,Q190)</f>
        <v>2023</v>
      </c>
      <c r="T190" s="18">
        <f>IF(R190&lt;4,R190+9,R190-3)</f>
        <v>11</v>
      </c>
      <c r="U190" s="18">
        <f>IF(LEN(T190)=1,_xlfn.CONCAT(0,T190),T190)</f>
        <v>11</v>
      </c>
      <c r="V190" s="18" t="str">
        <f>_xlfn.CONCAT(S190,U190)</f>
        <v>202311</v>
      </c>
      <c r="W190" s="18" t="str">
        <f>_xlfn.CONCAT(TEXT(A190,"MMM"),"-",MID(Q190,3,2))</f>
        <v>Feb-24</v>
      </c>
      <c r="X190" s="19">
        <f>IFERROR(IF(D190="Sell",(H190-P190),-(H190+P190)),0)</f>
        <v>108.73</v>
      </c>
      <c r="Y190" s="19">
        <f>X190/1000</f>
        <v>0.10873000000000001</v>
      </c>
    </row>
    <row r="191" spans="1:25" x14ac:dyDescent="0.25">
      <c r="A191" s="1">
        <v>45330</v>
      </c>
      <c r="B191" t="s">
        <v>686</v>
      </c>
      <c r="C191" t="s">
        <v>17</v>
      </c>
      <c r="D191" t="s">
        <v>22</v>
      </c>
      <c r="E191">
        <v>50</v>
      </c>
      <c r="F191">
        <v>0</v>
      </c>
      <c r="G191">
        <v>3.15</v>
      </c>
      <c r="H191">
        <v>157.5</v>
      </c>
      <c r="I191" t="s">
        <v>690</v>
      </c>
      <c r="J191">
        <v>0</v>
      </c>
      <c r="K191">
        <v>0.08</v>
      </c>
      <c r="L191">
        <v>0</v>
      </c>
      <c r="M191">
        <v>0</v>
      </c>
      <c r="N191">
        <v>20</v>
      </c>
      <c r="O191">
        <v>3.62</v>
      </c>
      <c r="P191">
        <v>23.7</v>
      </c>
      <c r="Q191" s="18">
        <f>YEAR(A191)</f>
        <v>2024</v>
      </c>
      <c r="R191" s="18">
        <f>MONTH(A191)</f>
        <v>2</v>
      </c>
      <c r="S191" s="18">
        <f>IF(R191&lt;4,Q191-1,Q191)</f>
        <v>2023</v>
      </c>
      <c r="T191" s="18">
        <f>IF(R191&lt;4,R191+9,R191-3)</f>
        <v>11</v>
      </c>
      <c r="U191" s="18">
        <f>IF(LEN(T191)=1,_xlfn.CONCAT(0,T191),T191)</f>
        <v>11</v>
      </c>
      <c r="V191" s="18" t="str">
        <f>_xlfn.CONCAT(S191,U191)</f>
        <v>202311</v>
      </c>
      <c r="W191" s="18" t="str">
        <f>_xlfn.CONCAT(TEXT(A191,"MMM"),"-",MID(Q191,3,2))</f>
        <v>Feb-24</v>
      </c>
      <c r="X191" s="19">
        <f>IFERROR(IF(D191="Sell",(H191-P191),-(H191+P191)),0)</f>
        <v>-181.2</v>
      </c>
      <c r="Y191" s="19">
        <f>X191/1000</f>
        <v>-0.1812</v>
      </c>
    </row>
    <row r="192" spans="1:25" x14ac:dyDescent="0.25">
      <c r="A192" s="1">
        <v>45330</v>
      </c>
      <c r="B192" t="s">
        <v>686</v>
      </c>
      <c r="C192" t="s">
        <v>17</v>
      </c>
      <c r="D192" t="s">
        <v>22</v>
      </c>
      <c r="E192">
        <v>50</v>
      </c>
      <c r="F192">
        <v>0</v>
      </c>
      <c r="G192">
        <v>3.15</v>
      </c>
      <c r="H192">
        <v>157.5</v>
      </c>
      <c r="I192" t="s">
        <v>691</v>
      </c>
      <c r="J192">
        <v>0</v>
      </c>
      <c r="K192">
        <v>0.08</v>
      </c>
      <c r="L192">
        <v>0</v>
      </c>
      <c r="M192">
        <v>0</v>
      </c>
      <c r="N192">
        <v>20</v>
      </c>
      <c r="O192">
        <v>3.62</v>
      </c>
      <c r="P192">
        <v>23.7</v>
      </c>
      <c r="Q192" s="18">
        <f>YEAR(A192)</f>
        <v>2024</v>
      </c>
      <c r="R192" s="18">
        <f>MONTH(A192)</f>
        <v>2</v>
      </c>
      <c r="S192" s="18">
        <f>IF(R192&lt;4,Q192-1,Q192)</f>
        <v>2023</v>
      </c>
      <c r="T192" s="18">
        <f>IF(R192&lt;4,R192+9,R192-3)</f>
        <v>11</v>
      </c>
      <c r="U192" s="18">
        <f>IF(LEN(T192)=1,_xlfn.CONCAT(0,T192),T192)</f>
        <v>11</v>
      </c>
      <c r="V192" s="18" t="str">
        <f>_xlfn.CONCAT(S192,U192)</f>
        <v>202311</v>
      </c>
      <c r="W192" s="18" t="str">
        <f>_xlfn.CONCAT(TEXT(A192,"MMM"),"-",MID(Q192,3,2))</f>
        <v>Feb-24</v>
      </c>
      <c r="X192" s="19">
        <f>IFERROR(IF(D192="Sell",(H192-P192),-(H192+P192)),0)</f>
        <v>-181.2</v>
      </c>
      <c r="Y192" s="19">
        <f>X192/1000</f>
        <v>-0.1812</v>
      </c>
    </row>
    <row r="193" spans="1:25" x14ac:dyDescent="0.25">
      <c r="A193" s="1">
        <v>45330</v>
      </c>
      <c r="B193" t="s">
        <v>686</v>
      </c>
      <c r="C193" t="s">
        <v>17</v>
      </c>
      <c r="D193" t="s">
        <v>22</v>
      </c>
      <c r="E193">
        <v>50</v>
      </c>
      <c r="F193">
        <v>0</v>
      </c>
      <c r="G193">
        <v>2.95</v>
      </c>
      <c r="H193">
        <v>147.5</v>
      </c>
      <c r="I193" t="s">
        <v>692</v>
      </c>
      <c r="J193">
        <v>0</v>
      </c>
      <c r="K193">
        <v>7.0000000000000007E-2</v>
      </c>
      <c r="L193">
        <v>0</v>
      </c>
      <c r="M193">
        <v>0</v>
      </c>
      <c r="N193">
        <v>20</v>
      </c>
      <c r="O193">
        <v>3.62</v>
      </c>
      <c r="P193">
        <v>23.69</v>
      </c>
      <c r="Q193" s="18">
        <f>YEAR(A193)</f>
        <v>2024</v>
      </c>
      <c r="R193" s="18">
        <f>MONTH(A193)</f>
        <v>2</v>
      </c>
      <c r="S193" s="18">
        <f>IF(R193&lt;4,Q193-1,Q193)</f>
        <v>2023</v>
      </c>
      <c r="T193" s="18">
        <f>IF(R193&lt;4,R193+9,R193-3)</f>
        <v>11</v>
      </c>
      <c r="U193" s="18">
        <f>IF(LEN(T193)=1,_xlfn.CONCAT(0,T193),T193)</f>
        <v>11</v>
      </c>
      <c r="V193" s="18" t="str">
        <f>_xlfn.CONCAT(S193,U193)</f>
        <v>202311</v>
      </c>
      <c r="W193" s="18" t="str">
        <f>_xlfn.CONCAT(TEXT(A193,"MMM"),"-",MID(Q193,3,2))</f>
        <v>Feb-24</v>
      </c>
      <c r="X193" s="19">
        <f>IFERROR(IF(D193="Sell",(H193-P193),-(H193+P193)),0)</f>
        <v>-171.19</v>
      </c>
      <c r="Y193" s="19">
        <f>X193/1000</f>
        <v>-0.17119000000000001</v>
      </c>
    </row>
    <row r="194" spans="1:25" x14ac:dyDescent="0.25">
      <c r="A194" s="1">
        <v>45330</v>
      </c>
      <c r="B194" t="s">
        <v>686</v>
      </c>
      <c r="C194" t="s">
        <v>17</v>
      </c>
      <c r="D194" t="s">
        <v>22</v>
      </c>
      <c r="E194">
        <v>50</v>
      </c>
      <c r="F194">
        <v>0</v>
      </c>
      <c r="G194">
        <v>3.15</v>
      </c>
      <c r="H194">
        <v>157.5</v>
      </c>
      <c r="I194" t="s">
        <v>693</v>
      </c>
      <c r="J194">
        <v>0</v>
      </c>
      <c r="K194">
        <v>0.08</v>
      </c>
      <c r="L194">
        <v>0</v>
      </c>
      <c r="M194">
        <v>0</v>
      </c>
      <c r="N194">
        <v>20</v>
      </c>
      <c r="O194">
        <v>3.62</v>
      </c>
      <c r="P194">
        <v>23.7</v>
      </c>
      <c r="Q194" s="18">
        <f>YEAR(A194)</f>
        <v>2024</v>
      </c>
      <c r="R194" s="18">
        <f>MONTH(A194)</f>
        <v>2</v>
      </c>
      <c r="S194" s="18">
        <f>IF(R194&lt;4,Q194-1,Q194)</f>
        <v>2023</v>
      </c>
      <c r="T194" s="18">
        <f>IF(R194&lt;4,R194+9,R194-3)</f>
        <v>11</v>
      </c>
      <c r="U194" s="18">
        <f>IF(LEN(T194)=1,_xlfn.CONCAT(0,T194),T194)</f>
        <v>11</v>
      </c>
      <c r="V194" s="18" t="str">
        <f>_xlfn.CONCAT(S194,U194)</f>
        <v>202311</v>
      </c>
      <c r="W194" s="18" t="str">
        <f>_xlfn.CONCAT(TEXT(A194,"MMM"),"-",MID(Q194,3,2))</f>
        <v>Feb-24</v>
      </c>
      <c r="X194" s="19">
        <f>IFERROR(IF(D194="Sell",(H194-P194),-(H194+P194)),0)</f>
        <v>-181.2</v>
      </c>
      <c r="Y194" s="19">
        <f>X194/1000</f>
        <v>-0.1812</v>
      </c>
    </row>
    <row r="195" spans="1:25" x14ac:dyDescent="0.25">
      <c r="A195" s="1">
        <v>45330</v>
      </c>
      <c r="B195" t="s">
        <v>686</v>
      </c>
      <c r="C195" t="s">
        <v>17</v>
      </c>
      <c r="D195" t="s">
        <v>22</v>
      </c>
      <c r="E195">
        <v>50</v>
      </c>
      <c r="F195">
        <v>0</v>
      </c>
      <c r="G195">
        <v>3.25</v>
      </c>
      <c r="H195">
        <v>162.5</v>
      </c>
      <c r="I195" t="s">
        <v>694</v>
      </c>
      <c r="J195">
        <v>0</v>
      </c>
      <c r="K195">
        <v>0.08</v>
      </c>
      <c r="L195">
        <v>0</v>
      </c>
      <c r="M195">
        <v>0</v>
      </c>
      <c r="N195">
        <v>20</v>
      </c>
      <c r="O195">
        <v>3.62</v>
      </c>
      <c r="P195">
        <v>23.7</v>
      </c>
      <c r="Q195" s="18">
        <f>YEAR(A195)</f>
        <v>2024</v>
      </c>
      <c r="R195" s="18">
        <f>MONTH(A195)</f>
        <v>2</v>
      </c>
      <c r="S195" s="18">
        <f>IF(R195&lt;4,Q195-1,Q195)</f>
        <v>2023</v>
      </c>
      <c r="T195" s="18">
        <f>IF(R195&lt;4,R195+9,R195-3)</f>
        <v>11</v>
      </c>
      <c r="U195" s="18">
        <f>IF(LEN(T195)=1,_xlfn.CONCAT(0,T195),T195)</f>
        <v>11</v>
      </c>
      <c r="V195" s="18" t="str">
        <f>_xlfn.CONCAT(S195,U195)</f>
        <v>202311</v>
      </c>
      <c r="W195" s="18" t="str">
        <f>_xlfn.CONCAT(TEXT(A195,"MMM"),"-",MID(Q195,3,2))</f>
        <v>Feb-24</v>
      </c>
      <c r="X195" s="19">
        <f>IFERROR(IF(D195="Sell",(H195-P195),-(H195+P195)),0)</f>
        <v>-186.2</v>
      </c>
      <c r="Y195" s="19">
        <f>X195/1000</f>
        <v>-0.18619999999999998</v>
      </c>
    </row>
    <row r="196" spans="1:25" x14ac:dyDescent="0.25">
      <c r="A196" s="1">
        <v>45330</v>
      </c>
      <c r="B196" t="s">
        <v>686</v>
      </c>
      <c r="C196" t="s">
        <v>17</v>
      </c>
      <c r="D196" t="s">
        <v>22</v>
      </c>
      <c r="E196">
        <v>50</v>
      </c>
      <c r="F196">
        <v>0</v>
      </c>
      <c r="G196">
        <v>5.9</v>
      </c>
      <c r="H196">
        <v>295</v>
      </c>
      <c r="I196" t="s">
        <v>695</v>
      </c>
      <c r="J196">
        <v>0</v>
      </c>
      <c r="K196">
        <v>0.15</v>
      </c>
      <c r="L196">
        <v>0</v>
      </c>
      <c r="M196">
        <v>0</v>
      </c>
      <c r="N196">
        <v>20</v>
      </c>
      <c r="O196">
        <v>3.62</v>
      </c>
      <c r="P196">
        <v>23.77</v>
      </c>
      <c r="Q196" s="18">
        <f>YEAR(A196)</f>
        <v>2024</v>
      </c>
      <c r="R196" s="18">
        <f>MONTH(A196)</f>
        <v>2</v>
      </c>
      <c r="S196" s="18">
        <f>IF(R196&lt;4,Q196-1,Q196)</f>
        <v>2023</v>
      </c>
      <c r="T196" s="18">
        <f>IF(R196&lt;4,R196+9,R196-3)</f>
        <v>11</v>
      </c>
      <c r="U196" s="18">
        <f>IF(LEN(T196)=1,_xlfn.CONCAT(0,T196),T196)</f>
        <v>11</v>
      </c>
      <c r="V196" s="18" t="str">
        <f>_xlfn.CONCAT(S196,U196)</f>
        <v>202311</v>
      </c>
      <c r="W196" s="18" t="str">
        <f>_xlfn.CONCAT(TEXT(A196,"MMM"),"-",MID(Q196,3,2))</f>
        <v>Feb-24</v>
      </c>
      <c r="X196" s="19">
        <f>IFERROR(IF(D196="Sell",(H196-P196),-(H196+P196)),0)</f>
        <v>-318.77</v>
      </c>
      <c r="Y196" s="19">
        <f>X196/1000</f>
        <v>-0.31877</v>
      </c>
    </row>
    <row r="197" spans="1:25" x14ac:dyDescent="0.25">
      <c r="A197" s="1">
        <v>45330</v>
      </c>
      <c r="B197" t="s">
        <v>686</v>
      </c>
      <c r="C197" t="s">
        <v>17</v>
      </c>
      <c r="D197" t="s">
        <v>22</v>
      </c>
      <c r="E197">
        <v>50</v>
      </c>
      <c r="F197">
        <v>0</v>
      </c>
      <c r="G197">
        <v>8.8000000000000007</v>
      </c>
      <c r="H197">
        <v>440</v>
      </c>
      <c r="I197" t="s">
        <v>696</v>
      </c>
      <c r="J197">
        <v>0</v>
      </c>
      <c r="K197">
        <v>0.22</v>
      </c>
      <c r="L197">
        <v>0</v>
      </c>
      <c r="M197">
        <v>0</v>
      </c>
      <c r="N197">
        <v>20</v>
      </c>
      <c r="O197">
        <v>3.64</v>
      </c>
      <c r="P197">
        <v>23.86</v>
      </c>
      <c r="Q197" s="18">
        <f>YEAR(A197)</f>
        <v>2024</v>
      </c>
      <c r="R197" s="18">
        <f>MONTH(A197)</f>
        <v>2</v>
      </c>
      <c r="S197" s="18">
        <f>IF(R197&lt;4,Q197-1,Q197)</f>
        <v>2023</v>
      </c>
      <c r="T197" s="18">
        <f>IF(R197&lt;4,R197+9,R197-3)</f>
        <v>11</v>
      </c>
      <c r="U197" s="18">
        <f>IF(LEN(T197)=1,_xlfn.CONCAT(0,T197),T197)</f>
        <v>11</v>
      </c>
      <c r="V197" s="18" t="str">
        <f>_xlfn.CONCAT(S197,U197)</f>
        <v>202311</v>
      </c>
      <c r="W197" s="18" t="str">
        <f>_xlfn.CONCAT(TEXT(A197,"MMM"),"-",MID(Q197,3,2))</f>
        <v>Feb-24</v>
      </c>
      <c r="X197" s="19">
        <f>IFERROR(IF(D197="Sell",(H197-P197),-(H197+P197)),0)</f>
        <v>-463.86</v>
      </c>
      <c r="Y197" s="19">
        <f>X197/1000</f>
        <v>-0.46385999999999999</v>
      </c>
    </row>
    <row r="198" spans="1:25" x14ac:dyDescent="0.25">
      <c r="A198" s="1">
        <v>45330</v>
      </c>
      <c r="B198" t="s">
        <v>697</v>
      </c>
      <c r="C198" t="s">
        <v>17</v>
      </c>
      <c r="D198" t="s">
        <v>18</v>
      </c>
      <c r="E198">
        <v>50</v>
      </c>
      <c r="F198">
        <v>0</v>
      </c>
      <c r="G198">
        <v>88.3</v>
      </c>
      <c r="H198">
        <v>4415</v>
      </c>
      <c r="I198" t="s">
        <v>698</v>
      </c>
      <c r="J198">
        <v>2.76</v>
      </c>
      <c r="K198">
        <v>2.23</v>
      </c>
      <c r="L198">
        <v>0</v>
      </c>
      <c r="M198">
        <v>0</v>
      </c>
      <c r="N198">
        <v>20</v>
      </c>
      <c r="O198">
        <v>4</v>
      </c>
      <c r="P198">
        <v>28.99</v>
      </c>
      <c r="Q198" s="18">
        <f>YEAR(A198)</f>
        <v>2024</v>
      </c>
      <c r="R198" s="18">
        <f>MONTH(A198)</f>
        <v>2</v>
      </c>
      <c r="S198" s="18">
        <f>IF(R198&lt;4,Q198-1,Q198)</f>
        <v>2023</v>
      </c>
      <c r="T198" s="18">
        <f>IF(R198&lt;4,R198+9,R198-3)</f>
        <v>11</v>
      </c>
      <c r="U198" s="18">
        <f>IF(LEN(T198)=1,_xlfn.CONCAT(0,T198),T198)</f>
        <v>11</v>
      </c>
      <c r="V198" s="18" t="str">
        <f>_xlfn.CONCAT(S198,U198)</f>
        <v>202311</v>
      </c>
      <c r="W198" s="18" t="str">
        <f>_xlfn.CONCAT(TEXT(A198,"MMM"),"-",MID(Q198,3,2))</f>
        <v>Feb-24</v>
      </c>
      <c r="X198" s="19">
        <f>IFERROR(IF(D198="Sell",(H198-P198),-(H198+P198)),0)</f>
        <v>4386.01</v>
      </c>
      <c r="Y198" s="19">
        <f>X198/1000</f>
        <v>4.3860100000000006</v>
      </c>
    </row>
    <row r="199" spans="1:25" x14ac:dyDescent="0.25">
      <c r="A199" s="1">
        <v>45330</v>
      </c>
      <c r="B199" t="s">
        <v>697</v>
      </c>
      <c r="C199" t="s">
        <v>17</v>
      </c>
      <c r="D199" t="s">
        <v>22</v>
      </c>
      <c r="E199">
        <v>50</v>
      </c>
      <c r="F199">
        <v>0</v>
      </c>
      <c r="G199">
        <v>61.85</v>
      </c>
      <c r="H199">
        <v>3092.5</v>
      </c>
      <c r="I199" t="s">
        <v>699</v>
      </c>
      <c r="J199">
        <v>0</v>
      </c>
      <c r="K199">
        <v>1.56</v>
      </c>
      <c r="L199">
        <v>0</v>
      </c>
      <c r="M199">
        <v>0</v>
      </c>
      <c r="N199">
        <v>20</v>
      </c>
      <c r="O199">
        <v>3.88</v>
      </c>
      <c r="P199">
        <v>25.44</v>
      </c>
      <c r="Q199" s="18">
        <f>YEAR(A199)</f>
        <v>2024</v>
      </c>
      <c r="R199" s="18">
        <f>MONTH(A199)</f>
        <v>2</v>
      </c>
      <c r="S199" s="18">
        <f>IF(R199&lt;4,Q199-1,Q199)</f>
        <v>2023</v>
      </c>
      <c r="T199" s="18">
        <f>IF(R199&lt;4,R199+9,R199-3)</f>
        <v>11</v>
      </c>
      <c r="U199" s="18">
        <f>IF(LEN(T199)=1,_xlfn.CONCAT(0,T199),T199)</f>
        <v>11</v>
      </c>
      <c r="V199" s="18" t="str">
        <f>_xlfn.CONCAT(S199,U199)</f>
        <v>202311</v>
      </c>
      <c r="W199" s="18" t="str">
        <f>_xlfn.CONCAT(TEXT(A199,"MMM"),"-",MID(Q199,3,2))</f>
        <v>Feb-24</v>
      </c>
      <c r="X199" s="19">
        <f>IFERROR(IF(D199="Sell",(H199-P199),-(H199+P199)),0)</f>
        <v>-3117.94</v>
      </c>
      <c r="Y199" s="19">
        <f>X199/1000</f>
        <v>-3.1179399999999999</v>
      </c>
    </row>
    <row r="200" spans="1:25" x14ac:dyDescent="0.25">
      <c r="A200" s="1">
        <v>45331</v>
      </c>
      <c r="B200" t="s">
        <v>678</v>
      </c>
      <c r="C200" t="s">
        <v>17</v>
      </c>
      <c r="D200" t="s">
        <v>22</v>
      </c>
      <c r="E200">
        <v>50</v>
      </c>
      <c r="F200">
        <v>0</v>
      </c>
      <c r="G200">
        <v>151.85</v>
      </c>
      <c r="H200">
        <v>7592.5</v>
      </c>
      <c r="I200" t="s">
        <v>680</v>
      </c>
      <c r="J200">
        <v>0</v>
      </c>
      <c r="K200">
        <v>3.83</v>
      </c>
      <c r="L200">
        <v>0</v>
      </c>
      <c r="M200">
        <v>0.01</v>
      </c>
      <c r="N200">
        <v>20</v>
      </c>
      <c r="O200">
        <v>4.3</v>
      </c>
      <c r="P200">
        <v>28.14</v>
      </c>
      <c r="Q200" s="18">
        <f>YEAR(A200)</f>
        <v>2024</v>
      </c>
      <c r="R200" s="18">
        <f>MONTH(A200)</f>
        <v>2</v>
      </c>
      <c r="S200" s="18">
        <f>IF(R200&lt;4,Q200-1,Q200)</f>
        <v>2023</v>
      </c>
      <c r="T200" s="18">
        <f>IF(R200&lt;4,R200+9,R200-3)</f>
        <v>11</v>
      </c>
      <c r="U200" s="18">
        <f>IF(LEN(T200)=1,_xlfn.CONCAT(0,T200),T200)</f>
        <v>11</v>
      </c>
      <c r="V200" s="18" t="str">
        <f>_xlfn.CONCAT(S200,U200)</f>
        <v>202311</v>
      </c>
      <c r="W200" s="18" t="str">
        <f>_xlfn.CONCAT(TEXT(A200,"MMM"),"-",MID(Q200,3,2))</f>
        <v>Feb-24</v>
      </c>
      <c r="X200" s="19">
        <f>IFERROR(IF(D200="Sell",(H200-P200),-(H200+P200)),0)</f>
        <v>-7620.64</v>
      </c>
      <c r="Y200" s="19">
        <f>X200/1000</f>
        <v>-7.6206400000000007</v>
      </c>
    </row>
    <row r="201" spans="1:25" x14ac:dyDescent="0.25">
      <c r="A201" s="1">
        <v>45331</v>
      </c>
      <c r="B201" t="s">
        <v>678</v>
      </c>
      <c r="C201" t="s">
        <v>17</v>
      </c>
      <c r="D201" t="s">
        <v>18</v>
      </c>
      <c r="E201">
        <v>50</v>
      </c>
      <c r="F201">
        <v>0</v>
      </c>
      <c r="G201">
        <v>182.25</v>
      </c>
      <c r="H201">
        <v>9112.5</v>
      </c>
      <c r="I201" t="s">
        <v>681</v>
      </c>
      <c r="J201">
        <v>6</v>
      </c>
      <c r="K201">
        <v>4.5999999999999996</v>
      </c>
      <c r="L201">
        <v>0</v>
      </c>
      <c r="M201">
        <v>0.01</v>
      </c>
      <c r="N201">
        <v>20</v>
      </c>
      <c r="O201">
        <v>4.42</v>
      </c>
      <c r="P201">
        <v>35.03</v>
      </c>
      <c r="Q201" s="18">
        <f>YEAR(A201)</f>
        <v>2024</v>
      </c>
      <c r="R201" s="18">
        <f>MONTH(A201)</f>
        <v>2</v>
      </c>
      <c r="S201" s="18">
        <f>IF(R201&lt;4,Q201-1,Q201)</f>
        <v>2023</v>
      </c>
      <c r="T201" s="18">
        <f>IF(R201&lt;4,R201+9,R201-3)</f>
        <v>11</v>
      </c>
      <c r="U201" s="18">
        <f>IF(LEN(T201)=1,_xlfn.CONCAT(0,T201),T201)</f>
        <v>11</v>
      </c>
      <c r="V201" s="18" t="str">
        <f>_xlfn.CONCAT(S201,U201)</f>
        <v>202311</v>
      </c>
      <c r="W201" s="18" t="str">
        <f>_xlfn.CONCAT(TEXT(A201,"MMM"),"-",MID(Q201,3,2))</f>
        <v>Feb-24</v>
      </c>
      <c r="X201" s="19">
        <f>IFERROR(IF(D201="Sell",(H201-P201),-(H201+P201)),0)</f>
        <v>9077.4699999999993</v>
      </c>
      <c r="Y201" s="19">
        <f>X201/1000</f>
        <v>9.0774699999999999</v>
      </c>
    </row>
    <row r="202" spans="1:25" x14ac:dyDescent="0.25">
      <c r="A202" s="1">
        <v>45331</v>
      </c>
      <c r="B202" t="s">
        <v>678</v>
      </c>
      <c r="C202" t="s">
        <v>17</v>
      </c>
      <c r="D202" t="s">
        <v>22</v>
      </c>
      <c r="E202">
        <v>50</v>
      </c>
      <c r="F202">
        <v>0</v>
      </c>
      <c r="G202">
        <v>180.55</v>
      </c>
      <c r="H202">
        <v>9027.5</v>
      </c>
      <c r="I202" t="s">
        <v>682</v>
      </c>
      <c r="J202">
        <v>0</v>
      </c>
      <c r="K202">
        <v>4.5599999999999996</v>
      </c>
      <c r="L202">
        <v>1</v>
      </c>
      <c r="M202">
        <v>0.01</v>
      </c>
      <c r="N202">
        <v>20</v>
      </c>
      <c r="O202">
        <v>4.42</v>
      </c>
      <c r="P202">
        <v>29.99</v>
      </c>
      <c r="Q202" s="18">
        <f>YEAR(A202)</f>
        <v>2024</v>
      </c>
      <c r="R202" s="18">
        <f>MONTH(A202)</f>
        <v>2</v>
      </c>
      <c r="S202" s="18">
        <f>IF(R202&lt;4,Q202-1,Q202)</f>
        <v>2023</v>
      </c>
      <c r="T202" s="18">
        <f>IF(R202&lt;4,R202+9,R202-3)</f>
        <v>11</v>
      </c>
      <c r="U202" s="18">
        <f>IF(LEN(T202)=1,_xlfn.CONCAT(0,T202),T202)</f>
        <v>11</v>
      </c>
      <c r="V202" s="18" t="str">
        <f>_xlfn.CONCAT(S202,U202)</f>
        <v>202311</v>
      </c>
      <c r="W202" s="18" t="str">
        <f>_xlfn.CONCAT(TEXT(A202,"MMM"),"-",MID(Q202,3,2))</f>
        <v>Feb-24</v>
      </c>
      <c r="X202" s="19">
        <f>IFERROR(IF(D202="Sell",(H202-P202),-(H202+P202)),0)</f>
        <v>-9057.49</v>
      </c>
      <c r="Y202" s="19">
        <f>X202/1000</f>
        <v>-9.0574899999999996</v>
      </c>
    </row>
    <row r="203" spans="1:25" x14ac:dyDescent="0.25">
      <c r="A203" s="1">
        <v>45334</v>
      </c>
      <c r="B203" t="s">
        <v>678</v>
      </c>
      <c r="C203" t="s">
        <v>17</v>
      </c>
      <c r="D203" t="s">
        <v>18</v>
      </c>
      <c r="E203">
        <v>50</v>
      </c>
      <c r="F203">
        <v>0</v>
      </c>
      <c r="G203">
        <v>182</v>
      </c>
      <c r="H203">
        <v>9100</v>
      </c>
      <c r="I203" t="s">
        <v>679</v>
      </c>
      <c r="J203">
        <v>6</v>
      </c>
      <c r="K203">
        <v>4.5999999999999996</v>
      </c>
      <c r="L203">
        <v>0</v>
      </c>
      <c r="M203">
        <v>0.01</v>
      </c>
      <c r="N203">
        <v>20</v>
      </c>
      <c r="O203">
        <v>4.42</v>
      </c>
      <c r="P203">
        <v>35.03</v>
      </c>
      <c r="Q203" s="18">
        <f>YEAR(A203)</f>
        <v>2024</v>
      </c>
      <c r="R203" s="18">
        <f>MONTH(A203)</f>
        <v>2</v>
      </c>
      <c r="S203" s="18">
        <f>IF(R203&lt;4,Q203-1,Q203)</f>
        <v>2023</v>
      </c>
      <c r="T203" s="18">
        <f>IF(R203&lt;4,R203+9,R203-3)</f>
        <v>11</v>
      </c>
      <c r="U203" s="18">
        <f>IF(LEN(T203)=1,_xlfn.CONCAT(0,T203),T203)</f>
        <v>11</v>
      </c>
      <c r="V203" s="18" t="str">
        <f>_xlfn.CONCAT(S203,U203)</f>
        <v>202311</v>
      </c>
      <c r="W203" s="18" t="str">
        <f>_xlfn.CONCAT(TEXT(A203,"MMM"),"-",MID(Q203,3,2))</f>
        <v>Feb-24</v>
      </c>
      <c r="X203" s="19">
        <f>IFERROR(IF(D203="Sell",(H203-P203),-(H203+P203)),0)</f>
        <v>9064.9699999999993</v>
      </c>
      <c r="Y203" s="19">
        <f>X203/1000</f>
        <v>9.0649699999999989</v>
      </c>
    </row>
    <row r="204" spans="1:25" x14ac:dyDescent="0.25">
      <c r="A204" s="1">
        <v>45335</v>
      </c>
      <c r="B204" t="s">
        <v>631</v>
      </c>
      <c r="C204" t="s">
        <v>17</v>
      </c>
      <c r="D204" t="s">
        <v>18</v>
      </c>
      <c r="E204">
        <v>200</v>
      </c>
      <c r="F204">
        <v>0</v>
      </c>
      <c r="G204">
        <v>73.25</v>
      </c>
      <c r="H204">
        <v>14650</v>
      </c>
      <c r="I204" t="s">
        <v>632</v>
      </c>
      <c r="J204">
        <v>9.16</v>
      </c>
      <c r="K204">
        <v>7.4</v>
      </c>
      <c r="L204">
        <v>0</v>
      </c>
      <c r="M204">
        <v>0.01</v>
      </c>
      <c r="N204">
        <v>100</v>
      </c>
      <c r="O204">
        <v>19.34</v>
      </c>
      <c r="P204">
        <v>135.91</v>
      </c>
      <c r="Q204" s="18">
        <f>YEAR(A204)</f>
        <v>2024</v>
      </c>
      <c r="R204" s="18">
        <f>MONTH(A204)</f>
        <v>2</v>
      </c>
      <c r="S204" s="18">
        <f>IF(R204&lt;4,Q204-1,Q204)</f>
        <v>2023</v>
      </c>
      <c r="T204" s="18">
        <f>IF(R204&lt;4,R204+9,R204-3)</f>
        <v>11</v>
      </c>
      <c r="U204" s="18">
        <f>IF(LEN(T204)=1,_xlfn.CONCAT(0,T204),T204)</f>
        <v>11</v>
      </c>
      <c r="V204" s="18" t="str">
        <f>_xlfn.CONCAT(S204,U204)</f>
        <v>202311</v>
      </c>
      <c r="W204" s="18" t="str">
        <f>_xlfn.CONCAT(TEXT(A204,"MMM"),"-",MID(Q204,3,2))</f>
        <v>Feb-24</v>
      </c>
      <c r="X204" s="19">
        <f>IFERROR(IF(D204="Sell",(H204-P204),-(H204+P204)),0)</f>
        <v>14514.09</v>
      </c>
      <c r="Y204" s="19">
        <f>X204/1000</f>
        <v>14.514089999999999</v>
      </c>
    </row>
    <row r="205" spans="1:25" x14ac:dyDescent="0.25">
      <c r="A205" s="1">
        <v>45335</v>
      </c>
      <c r="B205" t="s">
        <v>631</v>
      </c>
      <c r="C205" t="s">
        <v>17</v>
      </c>
      <c r="D205" t="s">
        <v>18</v>
      </c>
      <c r="E205">
        <v>200</v>
      </c>
      <c r="F205">
        <v>0</v>
      </c>
      <c r="G205">
        <v>72</v>
      </c>
      <c r="H205">
        <v>14400</v>
      </c>
      <c r="I205" t="s">
        <v>633</v>
      </c>
      <c r="J205">
        <v>9</v>
      </c>
      <c r="K205">
        <v>7.27</v>
      </c>
      <c r="L205">
        <v>0</v>
      </c>
      <c r="M205">
        <v>0.01</v>
      </c>
      <c r="N205">
        <v>100</v>
      </c>
      <c r="O205">
        <v>19.32</v>
      </c>
      <c r="P205">
        <v>135.6</v>
      </c>
      <c r="Q205" s="18">
        <f>YEAR(A205)</f>
        <v>2024</v>
      </c>
      <c r="R205" s="18">
        <f>MONTH(A205)</f>
        <v>2</v>
      </c>
      <c r="S205" s="18">
        <f>IF(R205&lt;4,Q205-1,Q205)</f>
        <v>2023</v>
      </c>
      <c r="T205" s="18">
        <f>IF(R205&lt;4,R205+9,R205-3)</f>
        <v>11</v>
      </c>
      <c r="U205" s="18">
        <f>IF(LEN(T205)=1,_xlfn.CONCAT(0,T205),T205)</f>
        <v>11</v>
      </c>
      <c r="V205" s="18" t="str">
        <f>_xlfn.CONCAT(S205,U205)</f>
        <v>202311</v>
      </c>
      <c r="W205" s="18" t="str">
        <f>_xlfn.CONCAT(TEXT(A205,"MMM"),"-",MID(Q205,3,2))</f>
        <v>Feb-24</v>
      </c>
      <c r="X205" s="19">
        <f>IFERROR(IF(D205="Sell",(H205-P205),-(H205+P205)),0)</f>
        <v>14264.4</v>
      </c>
      <c r="Y205" s="19">
        <f>X205/1000</f>
        <v>14.2644</v>
      </c>
    </row>
    <row r="206" spans="1:25" x14ac:dyDescent="0.25">
      <c r="A206" s="1">
        <v>45335</v>
      </c>
      <c r="B206" t="s">
        <v>631</v>
      </c>
      <c r="C206" t="s">
        <v>17</v>
      </c>
      <c r="D206" t="s">
        <v>22</v>
      </c>
      <c r="E206">
        <v>400</v>
      </c>
      <c r="F206">
        <v>0</v>
      </c>
      <c r="G206">
        <v>42.09</v>
      </c>
      <c r="H206">
        <v>16836</v>
      </c>
      <c r="I206" t="s">
        <v>634</v>
      </c>
      <c r="J206">
        <v>0</v>
      </c>
      <c r="K206">
        <v>8.5</v>
      </c>
      <c r="L206">
        <v>0</v>
      </c>
      <c r="M206">
        <v>0.02</v>
      </c>
      <c r="N206">
        <v>200</v>
      </c>
      <c r="O206">
        <v>37.54</v>
      </c>
      <c r="P206">
        <v>246.06</v>
      </c>
      <c r="Q206" s="18">
        <f>YEAR(A206)</f>
        <v>2024</v>
      </c>
      <c r="R206" s="18">
        <f>MONTH(A206)</f>
        <v>2</v>
      </c>
      <c r="S206" s="18">
        <f>IF(R206&lt;4,Q206-1,Q206)</f>
        <v>2023</v>
      </c>
      <c r="T206" s="18">
        <f>IF(R206&lt;4,R206+9,R206-3)</f>
        <v>11</v>
      </c>
      <c r="U206" s="18">
        <f>IF(LEN(T206)=1,_xlfn.CONCAT(0,T206),T206)</f>
        <v>11</v>
      </c>
      <c r="V206" s="18" t="str">
        <f>_xlfn.CONCAT(S206,U206)</f>
        <v>202311</v>
      </c>
      <c r="W206" s="18" t="str">
        <f>_xlfn.CONCAT(TEXT(A206,"MMM"),"-",MID(Q206,3,2))</f>
        <v>Feb-24</v>
      </c>
      <c r="X206" s="19">
        <f>IFERROR(IF(D206="Sell",(H206-P206),-(H206+P206)),0)</f>
        <v>-17082.060000000001</v>
      </c>
      <c r="Y206" s="19">
        <f>X206/1000</f>
        <v>-17.082060000000002</v>
      </c>
    </row>
    <row r="207" spans="1:25" x14ac:dyDescent="0.25">
      <c r="A207" s="1">
        <v>45335</v>
      </c>
      <c r="B207" t="s">
        <v>631</v>
      </c>
      <c r="C207" t="s">
        <v>17</v>
      </c>
      <c r="D207" t="s">
        <v>18</v>
      </c>
      <c r="E207">
        <v>280</v>
      </c>
      <c r="F207">
        <v>0</v>
      </c>
      <c r="G207">
        <v>44.54</v>
      </c>
      <c r="H207">
        <v>12470</v>
      </c>
      <c r="I207" t="s">
        <v>635</v>
      </c>
      <c r="J207">
        <v>7.8</v>
      </c>
      <c r="K207">
        <v>6.3</v>
      </c>
      <c r="L207">
        <v>0</v>
      </c>
      <c r="M207">
        <v>0</v>
      </c>
      <c r="N207">
        <v>140</v>
      </c>
      <c r="O207">
        <v>26.32</v>
      </c>
      <c r="P207">
        <v>180.42</v>
      </c>
      <c r="Q207" s="18">
        <f>YEAR(A207)</f>
        <v>2024</v>
      </c>
      <c r="R207" s="18">
        <f>MONTH(A207)</f>
        <v>2</v>
      </c>
      <c r="S207" s="18">
        <f>IF(R207&lt;4,Q207-1,Q207)</f>
        <v>2023</v>
      </c>
      <c r="T207" s="18">
        <f>IF(R207&lt;4,R207+9,R207-3)</f>
        <v>11</v>
      </c>
      <c r="U207" s="18">
        <f>IF(LEN(T207)=1,_xlfn.CONCAT(0,T207),T207)</f>
        <v>11</v>
      </c>
      <c r="V207" s="18" t="str">
        <f>_xlfn.CONCAT(S207,U207)</f>
        <v>202311</v>
      </c>
      <c r="W207" s="18" t="str">
        <f>_xlfn.CONCAT(TEXT(A207,"MMM"),"-",MID(Q207,3,2))</f>
        <v>Feb-24</v>
      </c>
      <c r="X207" s="19">
        <f>IFERROR(IF(D207="Sell",(H207-P207),-(H207+P207)),0)</f>
        <v>12289.58</v>
      </c>
      <c r="Y207" s="19">
        <f>X207/1000</f>
        <v>12.289579999999999</v>
      </c>
    </row>
    <row r="208" spans="1:25" x14ac:dyDescent="0.25">
      <c r="A208" s="1">
        <v>45335</v>
      </c>
      <c r="B208" t="s">
        <v>631</v>
      </c>
      <c r="C208" t="s">
        <v>17</v>
      </c>
      <c r="D208" t="s">
        <v>22</v>
      </c>
      <c r="E208">
        <v>240</v>
      </c>
      <c r="F208">
        <v>0</v>
      </c>
      <c r="G208">
        <v>35.5</v>
      </c>
      <c r="H208">
        <v>8520</v>
      </c>
      <c r="I208" t="s">
        <v>636</v>
      </c>
      <c r="J208">
        <v>0</v>
      </c>
      <c r="K208">
        <v>4.3</v>
      </c>
      <c r="L208">
        <v>0.73</v>
      </c>
      <c r="M208">
        <v>0.01</v>
      </c>
      <c r="N208">
        <v>120</v>
      </c>
      <c r="O208">
        <v>22.38</v>
      </c>
      <c r="P208">
        <v>147.41999999999999</v>
      </c>
      <c r="Q208" s="18">
        <f>YEAR(A208)</f>
        <v>2024</v>
      </c>
      <c r="R208" s="18">
        <f>MONTH(A208)</f>
        <v>2</v>
      </c>
      <c r="S208" s="18">
        <f>IF(R208&lt;4,Q208-1,Q208)</f>
        <v>2023</v>
      </c>
      <c r="T208" s="18">
        <f>IF(R208&lt;4,R208+9,R208-3)</f>
        <v>11</v>
      </c>
      <c r="U208" s="18">
        <f>IF(LEN(T208)=1,_xlfn.CONCAT(0,T208),T208)</f>
        <v>11</v>
      </c>
      <c r="V208" s="18" t="str">
        <f>_xlfn.CONCAT(S208,U208)</f>
        <v>202311</v>
      </c>
      <c r="W208" s="18" t="str">
        <f>_xlfn.CONCAT(TEXT(A208,"MMM"),"-",MID(Q208,3,2))</f>
        <v>Feb-24</v>
      </c>
      <c r="X208" s="19">
        <f>IFERROR(IF(D208="Sell",(H208-P208),-(H208+P208)),0)</f>
        <v>-8667.42</v>
      </c>
      <c r="Y208" s="19">
        <f>X208/1000</f>
        <v>-8.6674199999999999</v>
      </c>
    </row>
    <row r="209" spans="1:25" x14ac:dyDescent="0.25">
      <c r="A209" s="1">
        <v>45335</v>
      </c>
      <c r="B209" t="s">
        <v>631</v>
      </c>
      <c r="C209" t="s">
        <v>17</v>
      </c>
      <c r="D209" t="s">
        <v>22</v>
      </c>
      <c r="E209">
        <v>40</v>
      </c>
      <c r="F209">
        <v>0</v>
      </c>
      <c r="G209">
        <v>35.4</v>
      </c>
      <c r="H209">
        <v>1416</v>
      </c>
      <c r="I209" t="s">
        <v>637</v>
      </c>
      <c r="J209">
        <v>0</v>
      </c>
      <c r="K209">
        <v>0.72</v>
      </c>
      <c r="L209">
        <v>0</v>
      </c>
      <c r="M209">
        <v>0</v>
      </c>
      <c r="N209">
        <v>20</v>
      </c>
      <c r="O209">
        <v>3.72</v>
      </c>
      <c r="P209">
        <v>24.44</v>
      </c>
      <c r="Q209" s="18">
        <f>YEAR(A209)</f>
        <v>2024</v>
      </c>
      <c r="R209" s="18">
        <f>MONTH(A209)</f>
        <v>2</v>
      </c>
      <c r="S209" s="18">
        <f>IF(R209&lt;4,Q209-1,Q209)</f>
        <v>2023</v>
      </c>
      <c r="T209" s="18">
        <f>IF(R209&lt;4,R209+9,R209-3)</f>
        <v>11</v>
      </c>
      <c r="U209" s="18">
        <f>IF(LEN(T209)=1,_xlfn.CONCAT(0,T209),T209)</f>
        <v>11</v>
      </c>
      <c r="V209" s="18" t="str">
        <f>_xlfn.CONCAT(S209,U209)</f>
        <v>202311</v>
      </c>
      <c r="W209" s="18" t="str">
        <f>_xlfn.CONCAT(TEXT(A209,"MMM"),"-",MID(Q209,3,2))</f>
        <v>Feb-24</v>
      </c>
      <c r="X209" s="19">
        <f>IFERROR(IF(D209="Sell",(H209-P209),-(H209+P209)),0)</f>
        <v>-1440.44</v>
      </c>
      <c r="Y209" s="19">
        <f>X209/1000</f>
        <v>-1.4404400000000002</v>
      </c>
    </row>
    <row r="210" spans="1:25" x14ac:dyDescent="0.25">
      <c r="A210" s="1">
        <v>45335</v>
      </c>
      <c r="B210" t="s">
        <v>638</v>
      </c>
      <c r="C210" t="s">
        <v>17</v>
      </c>
      <c r="D210" t="s">
        <v>18</v>
      </c>
      <c r="E210">
        <v>1520</v>
      </c>
      <c r="F210">
        <v>0</v>
      </c>
      <c r="G210">
        <v>1.1000000000000001</v>
      </c>
      <c r="H210">
        <v>1672</v>
      </c>
      <c r="I210" t="s">
        <v>639</v>
      </c>
      <c r="J210">
        <v>1.05</v>
      </c>
      <c r="K210">
        <v>0.84</v>
      </c>
      <c r="L210">
        <v>0</v>
      </c>
      <c r="M210">
        <v>0</v>
      </c>
      <c r="N210">
        <v>760</v>
      </c>
      <c r="O210">
        <v>136.94</v>
      </c>
      <c r="P210">
        <v>898.83</v>
      </c>
      <c r="Q210" s="18">
        <f>YEAR(A210)</f>
        <v>2024</v>
      </c>
      <c r="R210" s="18">
        <f>MONTH(A210)</f>
        <v>2</v>
      </c>
      <c r="S210" s="18">
        <f>IF(R210&lt;4,Q210-1,Q210)</f>
        <v>2023</v>
      </c>
      <c r="T210" s="18">
        <f>IF(R210&lt;4,R210+9,R210-3)</f>
        <v>11</v>
      </c>
      <c r="U210" s="18">
        <f>IF(LEN(T210)=1,_xlfn.CONCAT(0,T210),T210)</f>
        <v>11</v>
      </c>
      <c r="V210" s="18" t="str">
        <f>_xlfn.CONCAT(S210,U210)</f>
        <v>202311</v>
      </c>
      <c r="W210" s="18" t="str">
        <f>_xlfn.CONCAT(TEXT(A210,"MMM"),"-",MID(Q210,3,2))</f>
        <v>Feb-24</v>
      </c>
      <c r="X210" s="19">
        <f>IFERROR(IF(D210="Sell",(H210-P210),-(H210+P210)),0)</f>
        <v>773.17</v>
      </c>
      <c r="Y210" s="19">
        <f>X210/1000</f>
        <v>0.77316999999999991</v>
      </c>
    </row>
    <row r="211" spans="1:25" x14ac:dyDescent="0.25">
      <c r="A211" s="1">
        <v>45335</v>
      </c>
      <c r="B211" t="s">
        <v>638</v>
      </c>
      <c r="C211" t="s">
        <v>17</v>
      </c>
      <c r="D211" t="s">
        <v>22</v>
      </c>
      <c r="E211">
        <v>40</v>
      </c>
      <c r="F211">
        <v>0</v>
      </c>
      <c r="G211">
        <v>4.45</v>
      </c>
      <c r="H211">
        <v>178</v>
      </c>
      <c r="I211" t="s">
        <v>640</v>
      </c>
      <c r="J211">
        <v>0</v>
      </c>
      <c r="K211">
        <v>0.09</v>
      </c>
      <c r="L211">
        <v>0</v>
      </c>
      <c r="M211">
        <v>0</v>
      </c>
      <c r="N211">
        <v>20</v>
      </c>
      <c r="O211">
        <v>3.62</v>
      </c>
      <c r="P211">
        <v>23.71</v>
      </c>
      <c r="Q211" s="18">
        <f>YEAR(A211)</f>
        <v>2024</v>
      </c>
      <c r="R211" s="18">
        <f>MONTH(A211)</f>
        <v>2</v>
      </c>
      <c r="S211" s="18">
        <f>IF(R211&lt;4,Q211-1,Q211)</f>
        <v>2023</v>
      </c>
      <c r="T211" s="18">
        <f>IF(R211&lt;4,R211+9,R211-3)</f>
        <v>11</v>
      </c>
      <c r="U211" s="18">
        <f>IF(LEN(T211)=1,_xlfn.CONCAT(0,T211),T211)</f>
        <v>11</v>
      </c>
      <c r="V211" s="18" t="str">
        <f>_xlfn.CONCAT(S211,U211)</f>
        <v>202311</v>
      </c>
      <c r="W211" s="18" t="str">
        <f>_xlfn.CONCAT(TEXT(A211,"MMM"),"-",MID(Q211,3,2))</f>
        <v>Feb-24</v>
      </c>
      <c r="X211" s="19">
        <f>IFERROR(IF(D211="Sell",(H211-P211),-(H211+P211)),0)</f>
        <v>-201.71</v>
      </c>
      <c r="Y211" s="19">
        <f>X211/1000</f>
        <v>-0.20171</v>
      </c>
    </row>
    <row r="212" spans="1:25" x14ac:dyDescent="0.25">
      <c r="A212" s="1">
        <v>45335</v>
      </c>
      <c r="B212" t="s">
        <v>638</v>
      </c>
      <c r="C212" t="s">
        <v>17</v>
      </c>
      <c r="D212" t="s">
        <v>22</v>
      </c>
      <c r="E212">
        <v>40</v>
      </c>
      <c r="F212">
        <v>0</v>
      </c>
      <c r="G212">
        <v>4.5999999999999996</v>
      </c>
      <c r="H212">
        <v>184</v>
      </c>
      <c r="I212" t="s">
        <v>641</v>
      </c>
      <c r="J212">
        <v>0</v>
      </c>
      <c r="K212">
        <v>0.09</v>
      </c>
      <c r="L212">
        <v>0</v>
      </c>
      <c r="M212">
        <v>0</v>
      </c>
      <c r="N212">
        <v>20</v>
      </c>
      <c r="O212">
        <v>3.62</v>
      </c>
      <c r="P212">
        <v>23.71</v>
      </c>
      <c r="Q212" s="18">
        <f>YEAR(A212)</f>
        <v>2024</v>
      </c>
      <c r="R212" s="18">
        <f>MONTH(A212)</f>
        <v>2</v>
      </c>
      <c r="S212" s="18">
        <f>IF(R212&lt;4,Q212-1,Q212)</f>
        <v>2023</v>
      </c>
      <c r="T212" s="18">
        <f>IF(R212&lt;4,R212+9,R212-3)</f>
        <v>11</v>
      </c>
      <c r="U212" s="18">
        <f>IF(LEN(T212)=1,_xlfn.CONCAT(0,T212),T212)</f>
        <v>11</v>
      </c>
      <c r="V212" s="18" t="str">
        <f>_xlfn.CONCAT(S212,U212)</f>
        <v>202311</v>
      </c>
      <c r="W212" s="18" t="str">
        <f>_xlfn.CONCAT(TEXT(A212,"MMM"),"-",MID(Q212,3,2))</f>
        <v>Feb-24</v>
      </c>
      <c r="X212" s="19">
        <f>IFERROR(IF(D212="Sell",(H212-P212),-(H212+P212)),0)</f>
        <v>-207.71</v>
      </c>
      <c r="Y212" s="19">
        <f>X212/1000</f>
        <v>-0.20771000000000001</v>
      </c>
    </row>
    <row r="213" spans="1:25" x14ac:dyDescent="0.25">
      <c r="A213" s="1">
        <v>45335</v>
      </c>
      <c r="B213" t="s">
        <v>638</v>
      </c>
      <c r="C213" t="s">
        <v>17</v>
      </c>
      <c r="D213" t="s">
        <v>22</v>
      </c>
      <c r="E213">
        <v>40</v>
      </c>
      <c r="F213">
        <v>0</v>
      </c>
      <c r="G213">
        <v>4.6500000000000004</v>
      </c>
      <c r="H213">
        <v>186</v>
      </c>
      <c r="I213" t="s">
        <v>642</v>
      </c>
      <c r="J213">
        <v>0</v>
      </c>
      <c r="K213">
        <v>0.09</v>
      </c>
      <c r="L213">
        <v>0</v>
      </c>
      <c r="M213">
        <v>0</v>
      </c>
      <c r="N213">
        <v>20</v>
      </c>
      <c r="O213">
        <v>3.62</v>
      </c>
      <c r="P213">
        <v>23.71</v>
      </c>
      <c r="Q213" s="18">
        <f>YEAR(A213)</f>
        <v>2024</v>
      </c>
      <c r="R213" s="18">
        <f>MONTH(A213)</f>
        <v>2</v>
      </c>
      <c r="S213" s="18">
        <f>IF(R213&lt;4,Q213-1,Q213)</f>
        <v>2023</v>
      </c>
      <c r="T213" s="18">
        <f>IF(R213&lt;4,R213+9,R213-3)</f>
        <v>11</v>
      </c>
      <c r="U213" s="18">
        <f>IF(LEN(T213)=1,_xlfn.CONCAT(0,T213),T213)</f>
        <v>11</v>
      </c>
      <c r="V213" s="18" t="str">
        <f>_xlfn.CONCAT(S213,U213)</f>
        <v>202311</v>
      </c>
      <c r="W213" s="18" t="str">
        <f>_xlfn.CONCAT(TEXT(A213,"MMM"),"-",MID(Q213,3,2))</f>
        <v>Feb-24</v>
      </c>
      <c r="X213" s="19">
        <f>IFERROR(IF(D213="Sell",(H213-P213),-(H213+P213)),0)</f>
        <v>-209.71</v>
      </c>
      <c r="Y213" s="19">
        <f>X213/1000</f>
        <v>-0.20971000000000001</v>
      </c>
    </row>
    <row r="214" spans="1:25" x14ac:dyDescent="0.25">
      <c r="A214" s="1">
        <v>45335</v>
      </c>
      <c r="B214" t="s">
        <v>638</v>
      </c>
      <c r="C214" t="s">
        <v>17</v>
      </c>
      <c r="D214" t="s">
        <v>22</v>
      </c>
      <c r="E214">
        <v>40</v>
      </c>
      <c r="F214">
        <v>0</v>
      </c>
      <c r="G214">
        <v>4.4000000000000004</v>
      </c>
      <c r="H214">
        <v>176</v>
      </c>
      <c r="I214" t="s">
        <v>643</v>
      </c>
      <c r="J214">
        <v>0</v>
      </c>
      <c r="K214">
        <v>0.09</v>
      </c>
      <c r="L214">
        <v>0</v>
      </c>
      <c r="M214">
        <v>0</v>
      </c>
      <c r="N214">
        <v>20</v>
      </c>
      <c r="O214">
        <v>3.62</v>
      </c>
      <c r="P214">
        <v>23.71</v>
      </c>
      <c r="Q214" s="18">
        <f>YEAR(A214)</f>
        <v>2024</v>
      </c>
      <c r="R214" s="18">
        <f>MONTH(A214)</f>
        <v>2</v>
      </c>
      <c r="S214" s="18">
        <f>IF(R214&lt;4,Q214-1,Q214)</f>
        <v>2023</v>
      </c>
      <c r="T214" s="18">
        <f>IF(R214&lt;4,R214+9,R214-3)</f>
        <v>11</v>
      </c>
      <c r="U214" s="18">
        <f>IF(LEN(T214)=1,_xlfn.CONCAT(0,T214),T214)</f>
        <v>11</v>
      </c>
      <c r="V214" s="18" t="str">
        <f>_xlfn.CONCAT(S214,U214)</f>
        <v>202311</v>
      </c>
      <c r="W214" s="18" t="str">
        <f>_xlfn.CONCAT(TEXT(A214,"MMM"),"-",MID(Q214,3,2))</f>
        <v>Feb-24</v>
      </c>
      <c r="X214" s="19">
        <f>IFERROR(IF(D214="Sell",(H214-P214),-(H214+P214)),0)</f>
        <v>-199.71</v>
      </c>
      <c r="Y214" s="19">
        <f>X214/1000</f>
        <v>-0.19971</v>
      </c>
    </row>
    <row r="215" spans="1:25" x14ac:dyDescent="0.25">
      <c r="A215" s="1">
        <v>45335</v>
      </c>
      <c r="B215" t="s">
        <v>638</v>
      </c>
      <c r="C215" t="s">
        <v>17</v>
      </c>
      <c r="D215" t="s">
        <v>22</v>
      </c>
      <c r="E215">
        <v>40</v>
      </c>
      <c r="F215">
        <v>0</v>
      </c>
      <c r="G215">
        <v>4.4000000000000004</v>
      </c>
      <c r="H215">
        <v>176</v>
      </c>
      <c r="I215" t="s">
        <v>644</v>
      </c>
      <c r="J215">
        <v>0</v>
      </c>
      <c r="K215">
        <v>0.09</v>
      </c>
      <c r="L215">
        <v>0</v>
      </c>
      <c r="M215">
        <v>0</v>
      </c>
      <c r="N215">
        <v>20</v>
      </c>
      <c r="O215">
        <v>3.62</v>
      </c>
      <c r="P215">
        <v>23.71</v>
      </c>
      <c r="Q215" s="18">
        <f>YEAR(A215)</f>
        <v>2024</v>
      </c>
      <c r="R215" s="18">
        <f>MONTH(A215)</f>
        <v>2</v>
      </c>
      <c r="S215" s="18">
        <f>IF(R215&lt;4,Q215-1,Q215)</f>
        <v>2023</v>
      </c>
      <c r="T215" s="18">
        <f>IF(R215&lt;4,R215+9,R215-3)</f>
        <v>11</v>
      </c>
      <c r="U215" s="18">
        <f>IF(LEN(T215)=1,_xlfn.CONCAT(0,T215),T215)</f>
        <v>11</v>
      </c>
      <c r="V215" s="18" t="str">
        <f>_xlfn.CONCAT(S215,U215)</f>
        <v>202311</v>
      </c>
      <c r="W215" s="18" t="str">
        <f>_xlfn.CONCAT(TEXT(A215,"MMM"),"-",MID(Q215,3,2))</f>
        <v>Feb-24</v>
      </c>
      <c r="X215" s="19">
        <f>IFERROR(IF(D215="Sell",(H215-P215),-(H215+P215)),0)</f>
        <v>-199.71</v>
      </c>
      <c r="Y215" s="19">
        <f>X215/1000</f>
        <v>-0.19971</v>
      </c>
    </row>
    <row r="216" spans="1:25" x14ac:dyDescent="0.25">
      <c r="A216" s="1">
        <v>45335</v>
      </c>
      <c r="B216" t="s">
        <v>638</v>
      </c>
      <c r="C216" t="s">
        <v>17</v>
      </c>
      <c r="D216" t="s">
        <v>22</v>
      </c>
      <c r="E216">
        <v>40</v>
      </c>
      <c r="F216">
        <v>0</v>
      </c>
      <c r="G216">
        <v>4.25</v>
      </c>
      <c r="H216">
        <v>170</v>
      </c>
      <c r="I216" t="s">
        <v>645</v>
      </c>
      <c r="J216">
        <v>0</v>
      </c>
      <c r="K216">
        <v>0.09</v>
      </c>
      <c r="L216">
        <v>0</v>
      </c>
      <c r="M216">
        <v>0</v>
      </c>
      <c r="N216">
        <v>20</v>
      </c>
      <c r="O216">
        <v>3.62</v>
      </c>
      <c r="P216">
        <v>23.71</v>
      </c>
      <c r="Q216" s="18">
        <f>YEAR(A216)</f>
        <v>2024</v>
      </c>
      <c r="R216" s="18">
        <f>MONTH(A216)</f>
        <v>2</v>
      </c>
      <c r="S216" s="18">
        <f>IF(R216&lt;4,Q216-1,Q216)</f>
        <v>2023</v>
      </c>
      <c r="T216" s="18">
        <f>IF(R216&lt;4,R216+9,R216-3)</f>
        <v>11</v>
      </c>
      <c r="U216" s="18">
        <f>IF(LEN(T216)=1,_xlfn.CONCAT(0,T216),T216)</f>
        <v>11</v>
      </c>
      <c r="V216" s="18" t="str">
        <f>_xlfn.CONCAT(S216,U216)</f>
        <v>202311</v>
      </c>
      <c r="W216" s="18" t="str">
        <f>_xlfn.CONCAT(TEXT(A216,"MMM"),"-",MID(Q216,3,2))</f>
        <v>Feb-24</v>
      </c>
      <c r="X216" s="19">
        <f>IFERROR(IF(D216="Sell",(H216-P216),-(H216+P216)),0)</f>
        <v>-193.71</v>
      </c>
      <c r="Y216" s="19">
        <f>X216/1000</f>
        <v>-0.19371000000000002</v>
      </c>
    </row>
    <row r="217" spans="1:25" x14ac:dyDescent="0.25">
      <c r="A217" s="1">
        <v>45335</v>
      </c>
      <c r="B217" t="s">
        <v>638</v>
      </c>
      <c r="C217" t="s">
        <v>17</v>
      </c>
      <c r="D217" t="s">
        <v>22</v>
      </c>
      <c r="E217">
        <v>40</v>
      </c>
      <c r="F217">
        <v>0</v>
      </c>
      <c r="G217">
        <v>4.1500000000000004</v>
      </c>
      <c r="H217">
        <v>166</v>
      </c>
      <c r="I217" t="s">
        <v>646</v>
      </c>
      <c r="J217">
        <v>0</v>
      </c>
      <c r="K217">
        <v>0.08</v>
      </c>
      <c r="L217">
        <v>0</v>
      </c>
      <c r="M217">
        <v>0</v>
      </c>
      <c r="N217">
        <v>20</v>
      </c>
      <c r="O217">
        <v>3.62</v>
      </c>
      <c r="P217">
        <v>23.7</v>
      </c>
      <c r="Q217" s="18">
        <f>YEAR(A217)</f>
        <v>2024</v>
      </c>
      <c r="R217" s="18">
        <f>MONTH(A217)</f>
        <v>2</v>
      </c>
      <c r="S217" s="18">
        <f>IF(R217&lt;4,Q217-1,Q217)</f>
        <v>2023</v>
      </c>
      <c r="T217" s="18">
        <f>IF(R217&lt;4,R217+9,R217-3)</f>
        <v>11</v>
      </c>
      <c r="U217" s="18">
        <f>IF(LEN(T217)=1,_xlfn.CONCAT(0,T217),T217)</f>
        <v>11</v>
      </c>
      <c r="V217" s="18" t="str">
        <f>_xlfn.CONCAT(S217,U217)</f>
        <v>202311</v>
      </c>
      <c r="W217" s="18" t="str">
        <f>_xlfn.CONCAT(TEXT(A217,"MMM"),"-",MID(Q217,3,2))</f>
        <v>Feb-24</v>
      </c>
      <c r="X217" s="19">
        <f>IFERROR(IF(D217="Sell",(H217-P217),-(H217+P217)),0)</f>
        <v>-189.7</v>
      </c>
      <c r="Y217" s="19">
        <f>X217/1000</f>
        <v>-0.18969999999999998</v>
      </c>
    </row>
    <row r="218" spans="1:25" x14ac:dyDescent="0.25">
      <c r="A218" s="1">
        <v>45335</v>
      </c>
      <c r="B218" t="s">
        <v>638</v>
      </c>
      <c r="C218" t="s">
        <v>17</v>
      </c>
      <c r="D218" t="s">
        <v>22</v>
      </c>
      <c r="E218">
        <v>40</v>
      </c>
      <c r="F218">
        <v>0</v>
      </c>
      <c r="G218">
        <v>4.2</v>
      </c>
      <c r="H218">
        <v>168</v>
      </c>
      <c r="I218" t="s">
        <v>647</v>
      </c>
      <c r="J218">
        <v>0</v>
      </c>
      <c r="K218">
        <v>0.08</v>
      </c>
      <c r="L218">
        <v>0</v>
      </c>
      <c r="M218">
        <v>0</v>
      </c>
      <c r="N218">
        <v>20</v>
      </c>
      <c r="O218">
        <v>3.62</v>
      </c>
      <c r="P218">
        <v>23.7</v>
      </c>
      <c r="Q218" s="18">
        <f>YEAR(A218)</f>
        <v>2024</v>
      </c>
      <c r="R218" s="18">
        <f>MONTH(A218)</f>
        <v>2</v>
      </c>
      <c r="S218" s="18">
        <f>IF(R218&lt;4,Q218-1,Q218)</f>
        <v>2023</v>
      </c>
      <c r="T218" s="18">
        <f>IF(R218&lt;4,R218+9,R218-3)</f>
        <v>11</v>
      </c>
      <c r="U218" s="18">
        <f>IF(LEN(T218)=1,_xlfn.CONCAT(0,T218),T218)</f>
        <v>11</v>
      </c>
      <c r="V218" s="18" t="str">
        <f>_xlfn.CONCAT(S218,U218)</f>
        <v>202311</v>
      </c>
      <c r="W218" s="18" t="str">
        <f>_xlfn.CONCAT(TEXT(A218,"MMM"),"-",MID(Q218,3,2))</f>
        <v>Feb-24</v>
      </c>
      <c r="X218" s="19">
        <f>IFERROR(IF(D218="Sell",(H218-P218),-(H218+P218)),0)</f>
        <v>-191.7</v>
      </c>
      <c r="Y218" s="19">
        <f>X218/1000</f>
        <v>-0.19169999999999998</v>
      </c>
    </row>
    <row r="219" spans="1:25" x14ac:dyDescent="0.25">
      <c r="A219" s="1">
        <v>45335</v>
      </c>
      <c r="B219" t="s">
        <v>638</v>
      </c>
      <c r="C219" t="s">
        <v>17</v>
      </c>
      <c r="D219" t="s">
        <v>22</v>
      </c>
      <c r="E219">
        <v>40</v>
      </c>
      <c r="F219">
        <v>0</v>
      </c>
      <c r="G219">
        <v>4.2</v>
      </c>
      <c r="H219">
        <v>168</v>
      </c>
      <c r="I219" t="s">
        <v>648</v>
      </c>
      <c r="J219">
        <v>0</v>
      </c>
      <c r="K219">
        <v>0.08</v>
      </c>
      <c r="L219">
        <v>0</v>
      </c>
      <c r="M219">
        <v>0</v>
      </c>
      <c r="N219">
        <v>20</v>
      </c>
      <c r="O219">
        <v>3.62</v>
      </c>
      <c r="P219">
        <v>23.7</v>
      </c>
      <c r="Q219" s="18">
        <f>YEAR(A219)</f>
        <v>2024</v>
      </c>
      <c r="R219" s="18">
        <f>MONTH(A219)</f>
        <v>2</v>
      </c>
      <c r="S219" s="18">
        <f>IF(R219&lt;4,Q219-1,Q219)</f>
        <v>2023</v>
      </c>
      <c r="T219" s="18">
        <f>IF(R219&lt;4,R219+9,R219-3)</f>
        <v>11</v>
      </c>
      <c r="U219" s="18">
        <f>IF(LEN(T219)=1,_xlfn.CONCAT(0,T219),T219)</f>
        <v>11</v>
      </c>
      <c r="V219" s="18" t="str">
        <f>_xlfn.CONCAT(S219,U219)</f>
        <v>202311</v>
      </c>
      <c r="W219" s="18" t="str">
        <f>_xlfn.CONCAT(TEXT(A219,"MMM"),"-",MID(Q219,3,2))</f>
        <v>Feb-24</v>
      </c>
      <c r="X219" s="19">
        <f>IFERROR(IF(D219="Sell",(H219-P219),-(H219+P219)),0)</f>
        <v>-191.7</v>
      </c>
      <c r="Y219" s="19">
        <f>X219/1000</f>
        <v>-0.19169999999999998</v>
      </c>
    </row>
    <row r="220" spans="1:25" x14ac:dyDescent="0.25">
      <c r="A220" s="1">
        <v>45335</v>
      </c>
      <c r="B220" t="s">
        <v>638</v>
      </c>
      <c r="C220" t="s">
        <v>17</v>
      </c>
      <c r="D220" t="s">
        <v>22</v>
      </c>
      <c r="E220">
        <v>40</v>
      </c>
      <c r="F220">
        <v>0</v>
      </c>
      <c r="G220">
        <v>4.25</v>
      </c>
      <c r="H220">
        <v>170</v>
      </c>
      <c r="I220" t="s">
        <v>649</v>
      </c>
      <c r="J220">
        <v>0</v>
      </c>
      <c r="K220">
        <v>0.09</v>
      </c>
      <c r="L220">
        <v>0</v>
      </c>
      <c r="M220">
        <v>0</v>
      </c>
      <c r="N220">
        <v>20</v>
      </c>
      <c r="O220">
        <v>3.62</v>
      </c>
      <c r="P220">
        <v>23.71</v>
      </c>
      <c r="Q220" s="18">
        <f>YEAR(A220)</f>
        <v>2024</v>
      </c>
      <c r="R220" s="18">
        <f>MONTH(A220)</f>
        <v>2</v>
      </c>
      <c r="S220" s="18">
        <f>IF(R220&lt;4,Q220-1,Q220)</f>
        <v>2023</v>
      </c>
      <c r="T220" s="18">
        <f>IF(R220&lt;4,R220+9,R220-3)</f>
        <v>11</v>
      </c>
      <c r="U220" s="18">
        <f>IF(LEN(T220)=1,_xlfn.CONCAT(0,T220),T220)</f>
        <v>11</v>
      </c>
      <c r="V220" s="18" t="str">
        <f>_xlfn.CONCAT(S220,U220)</f>
        <v>202311</v>
      </c>
      <c r="W220" s="18" t="str">
        <f>_xlfn.CONCAT(TEXT(A220,"MMM"),"-",MID(Q220,3,2))</f>
        <v>Feb-24</v>
      </c>
      <c r="X220" s="19">
        <f>IFERROR(IF(D220="Sell",(H220-P220),-(H220+P220)),0)</f>
        <v>-193.71</v>
      </c>
      <c r="Y220" s="19">
        <f>X220/1000</f>
        <v>-0.19371000000000002</v>
      </c>
    </row>
    <row r="221" spans="1:25" x14ac:dyDescent="0.25">
      <c r="A221" s="1">
        <v>45335</v>
      </c>
      <c r="B221" t="s">
        <v>638</v>
      </c>
      <c r="C221" t="s">
        <v>17</v>
      </c>
      <c r="D221" t="s">
        <v>22</v>
      </c>
      <c r="E221">
        <v>40</v>
      </c>
      <c r="F221">
        <v>0</v>
      </c>
      <c r="G221">
        <v>4.1500000000000004</v>
      </c>
      <c r="H221">
        <v>166</v>
      </c>
      <c r="I221" t="s">
        <v>650</v>
      </c>
      <c r="J221">
        <v>0</v>
      </c>
      <c r="K221">
        <v>0.08</v>
      </c>
      <c r="L221">
        <v>0</v>
      </c>
      <c r="M221">
        <v>0</v>
      </c>
      <c r="N221">
        <v>20</v>
      </c>
      <c r="O221">
        <v>3.62</v>
      </c>
      <c r="P221">
        <v>23.7</v>
      </c>
      <c r="Q221" s="18">
        <f>YEAR(A221)</f>
        <v>2024</v>
      </c>
      <c r="R221" s="18">
        <f>MONTH(A221)</f>
        <v>2</v>
      </c>
      <c r="S221" s="18">
        <f>IF(R221&lt;4,Q221-1,Q221)</f>
        <v>2023</v>
      </c>
      <c r="T221" s="18">
        <f>IF(R221&lt;4,R221+9,R221-3)</f>
        <v>11</v>
      </c>
      <c r="U221" s="18">
        <f>IF(LEN(T221)=1,_xlfn.CONCAT(0,T221),T221)</f>
        <v>11</v>
      </c>
      <c r="V221" s="18" t="str">
        <f>_xlfn.CONCAT(S221,U221)</f>
        <v>202311</v>
      </c>
      <c r="W221" s="18" t="str">
        <f>_xlfn.CONCAT(TEXT(A221,"MMM"),"-",MID(Q221,3,2))</f>
        <v>Feb-24</v>
      </c>
      <c r="X221" s="19">
        <f>IFERROR(IF(D221="Sell",(H221-P221),-(H221+P221)),0)</f>
        <v>-189.7</v>
      </c>
      <c r="Y221" s="19">
        <f>X221/1000</f>
        <v>-0.18969999999999998</v>
      </c>
    </row>
    <row r="222" spans="1:25" x14ac:dyDescent="0.25">
      <c r="A222" s="1">
        <v>45335</v>
      </c>
      <c r="B222" t="s">
        <v>638</v>
      </c>
      <c r="C222" t="s">
        <v>17</v>
      </c>
      <c r="D222" t="s">
        <v>22</v>
      </c>
      <c r="E222">
        <v>40</v>
      </c>
      <c r="F222">
        <v>0</v>
      </c>
      <c r="G222">
        <v>4.25</v>
      </c>
      <c r="H222">
        <v>170</v>
      </c>
      <c r="I222" t="s">
        <v>651</v>
      </c>
      <c r="J222">
        <v>0</v>
      </c>
      <c r="K222">
        <v>0.09</v>
      </c>
      <c r="L222">
        <v>0</v>
      </c>
      <c r="M222">
        <v>0</v>
      </c>
      <c r="N222">
        <v>20</v>
      </c>
      <c r="O222">
        <v>3.62</v>
      </c>
      <c r="P222">
        <v>23.71</v>
      </c>
      <c r="Q222" s="18">
        <f>YEAR(A222)</f>
        <v>2024</v>
      </c>
      <c r="R222" s="18">
        <f>MONTH(A222)</f>
        <v>2</v>
      </c>
      <c r="S222" s="18">
        <f>IF(R222&lt;4,Q222-1,Q222)</f>
        <v>2023</v>
      </c>
      <c r="T222" s="18">
        <f>IF(R222&lt;4,R222+9,R222-3)</f>
        <v>11</v>
      </c>
      <c r="U222" s="18">
        <f>IF(LEN(T222)=1,_xlfn.CONCAT(0,T222),T222)</f>
        <v>11</v>
      </c>
      <c r="V222" s="18" t="str">
        <f>_xlfn.CONCAT(S222,U222)</f>
        <v>202311</v>
      </c>
      <c r="W222" s="18" t="str">
        <f>_xlfn.CONCAT(TEXT(A222,"MMM"),"-",MID(Q222,3,2))</f>
        <v>Feb-24</v>
      </c>
      <c r="X222" s="19">
        <f>IFERROR(IF(D222="Sell",(H222-P222),-(H222+P222)),0)</f>
        <v>-193.71</v>
      </c>
      <c r="Y222" s="19">
        <f>X222/1000</f>
        <v>-0.19371000000000002</v>
      </c>
    </row>
    <row r="223" spans="1:25" x14ac:dyDescent="0.25">
      <c r="A223" s="1">
        <v>45335</v>
      </c>
      <c r="B223" t="s">
        <v>638</v>
      </c>
      <c r="C223" t="s">
        <v>17</v>
      </c>
      <c r="D223" t="s">
        <v>22</v>
      </c>
      <c r="E223">
        <v>40</v>
      </c>
      <c r="F223">
        <v>0</v>
      </c>
      <c r="G223">
        <v>4.2</v>
      </c>
      <c r="H223">
        <v>168</v>
      </c>
      <c r="I223" t="s">
        <v>652</v>
      </c>
      <c r="J223">
        <v>0</v>
      </c>
      <c r="K223">
        <v>0.08</v>
      </c>
      <c r="L223">
        <v>0</v>
      </c>
      <c r="M223">
        <v>0</v>
      </c>
      <c r="N223">
        <v>20</v>
      </c>
      <c r="O223">
        <v>3.62</v>
      </c>
      <c r="P223">
        <v>23.7</v>
      </c>
      <c r="Q223" s="18">
        <f>YEAR(A223)</f>
        <v>2024</v>
      </c>
      <c r="R223" s="18">
        <f>MONTH(A223)</f>
        <v>2</v>
      </c>
      <c r="S223" s="18">
        <f>IF(R223&lt;4,Q223-1,Q223)</f>
        <v>2023</v>
      </c>
      <c r="T223" s="18">
        <f>IF(R223&lt;4,R223+9,R223-3)</f>
        <v>11</v>
      </c>
      <c r="U223" s="18">
        <f>IF(LEN(T223)=1,_xlfn.CONCAT(0,T223),T223)</f>
        <v>11</v>
      </c>
      <c r="V223" s="18" t="str">
        <f>_xlfn.CONCAT(S223,U223)</f>
        <v>202311</v>
      </c>
      <c r="W223" s="18" t="str">
        <f>_xlfn.CONCAT(TEXT(A223,"MMM"),"-",MID(Q223,3,2))</f>
        <v>Feb-24</v>
      </c>
      <c r="X223" s="19">
        <f>IFERROR(IF(D223="Sell",(H223-P223),-(H223+P223)),0)</f>
        <v>-191.7</v>
      </c>
      <c r="Y223" s="19">
        <f>X223/1000</f>
        <v>-0.19169999999999998</v>
      </c>
    </row>
    <row r="224" spans="1:25" x14ac:dyDescent="0.25">
      <c r="A224" s="1">
        <v>45335</v>
      </c>
      <c r="B224" t="s">
        <v>638</v>
      </c>
      <c r="C224" t="s">
        <v>17</v>
      </c>
      <c r="D224" t="s">
        <v>22</v>
      </c>
      <c r="E224">
        <v>40</v>
      </c>
      <c r="F224">
        <v>0</v>
      </c>
      <c r="G224">
        <v>4.2</v>
      </c>
      <c r="H224">
        <v>168</v>
      </c>
      <c r="I224" t="s">
        <v>653</v>
      </c>
      <c r="J224">
        <v>0</v>
      </c>
      <c r="K224">
        <v>0.08</v>
      </c>
      <c r="L224">
        <v>0</v>
      </c>
      <c r="M224">
        <v>0</v>
      </c>
      <c r="N224">
        <v>20</v>
      </c>
      <c r="O224">
        <v>3.62</v>
      </c>
      <c r="P224">
        <v>23.7</v>
      </c>
      <c r="Q224" s="18">
        <f>YEAR(A224)</f>
        <v>2024</v>
      </c>
      <c r="R224" s="18">
        <f>MONTH(A224)</f>
        <v>2</v>
      </c>
      <c r="S224" s="18">
        <f>IF(R224&lt;4,Q224-1,Q224)</f>
        <v>2023</v>
      </c>
      <c r="T224" s="18">
        <f>IF(R224&lt;4,R224+9,R224-3)</f>
        <v>11</v>
      </c>
      <c r="U224" s="18">
        <f>IF(LEN(T224)=1,_xlfn.CONCAT(0,T224),T224)</f>
        <v>11</v>
      </c>
      <c r="V224" s="18" t="str">
        <f>_xlfn.CONCAT(S224,U224)</f>
        <v>202311</v>
      </c>
      <c r="W224" s="18" t="str">
        <f>_xlfn.CONCAT(TEXT(A224,"MMM"),"-",MID(Q224,3,2))</f>
        <v>Feb-24</v>
      </c>
      <c r="X224" s="19">
        <f>IFERROR(IF(D224="Sell",(H224-P224),-(H224+P224)),0)</f>
        <v>-191.7</v>
      </c>
      <c r="Y224" s="19">
        <f>X224/1000</f>
        <v>-0.19169999999999998</v>
      </c>
    </row>
    <row r="225" spans="1:25" x14ac:dyDescent="0.25">
      <c r="A225" s="1">
        <v>45335</v>
      </c>
      <c r="B225" t="s">
        <v>638</v>
      </c>
      <c r="C225" t="s">
        <v>17</v>
      </c>
      <c r="D225" t="s">
        <v>22</v>
      </c>
      <c r="E225">
        <v>40</v>
      </c>
      <c r="F225">
        <v>0</v>
      </c>
      <c r="G225">
        <v>5.25</v>
      </c>
      <c r="H225">
        <v>210</v>
      </c>
      <c r="I225" t="s">
        <v>654</v>
      </c>
      <c r="J225">
        <v>0</v>
      </c>
      <c r="K225">
        <v>0.11</v>
      </c>
      <c r="L225">
        <v>0</v>
      </c>
      <c r="M225">
        <v>0</v>
      </c>
      <c r="N225">
        <v>20</v>
      </c>
      <c r="O225">
        <v>3.62</v>
      </c>
      <c r="P225">
        <v>23.73</v>
      </c>
      <c r="Q225" s="18">
        <f>YEAR(A225)</f>
        <v>2024</v>
      </c>
      <c r="R225" s="18">
        <f>MONTH(A225)</f>
        <v>2</v>
      </c>
      <c r="S225" s="18">
        <f>IF(R225&lt;4,Q225-1,Q225)</f>
        <v>2023</v>
      </c>
      <c r="T225" s="18">
        <f>IF(R225&lt;4,R225+9,R225-3)</f>
        <v>11</v>
      </c>
      <c r="U225" s="18">
        <f>IF(LEN(T225)=1,_xlfn.CONCAT(0,T225),T225)</f>
        <v>11</v>
      </c>
      <c r="V225" s="18" t="str">
        <f>_xlfn.CONCAT(S225,U225)</f>
        <v>202311</v>
      </c>
      <c r="W225" s="18" t="str">
        <f>_xlfn.CONCAT(TEXT(A225,"MMM"),"-",MID(Q225,3,2))</f>
        <v>Feb-24</v>
      </c>
      <c r="X225" s="19">
        <f>IFERROR(IF(D225="Sell",(H225-P225),-(H225+P225)),0)</f>
        <v>-233.73</v>
      </c>
      <c r="Y225" s="19">
        <f>X225/1000</f>
        <v>-0.23372999999999999</v>
      </c>
    </row>
    <row r="226" spans="1:25" x14ac:dyDescent="0.25">
      <c r="A226" s="1">
        <v>45335</v>
      </c>
      <c r="B226" t="s">
        <v>638</v>
      </c>
      <c r="C226" t="s">
        <v>17</v>
      </c>
      <c r="D226" t="s">
        <v>22</v>
      </c>
      <c r="E226">
        <v>40</v>
      </c>
      <c r="F226">
        <v>0</v>
      </c>
      <c r="G226">
        <v>5.2</v>
      </c>
      <c r="H226">
        <v>208</v>
      </c>
      <c r="I226" t="s">
        <v>655</v>
      </c>
      <c r="J226">
        <v>0</v>
      </c>
      <c r="K226">
        <v>0.11</v>
      </c>
      <c r="L226">
        <v>0</v>
      </c>
      <c r="M226">
        <v>0</v>
      </c>
      <c r="N226">
        <v>20</v>
      </c>
      <c r="O226">
        <v>3.62</v>
      </c>
      <c r="P226">
        <v>23.73</v>
      </c>
      <c r="Q226" s="18">
        <f>YEAR(A226)</f>
        <v>2024</v>
      </c>
      <c r="R226" s="18">
        <f>MONTH(A226)</f>
        <v>2</v>
      </c>
      <c r="S226" s="18">
        <f>IF(R226&lt;4,Q226-1,Q226)</f>
        <v>2023</v>
      </c>
      <c r="T226" s="18">
        <f>IF(R226&lt;4,R226+9,R226-3)</f>
        <v>11</v>
      </c>
      <c r="U226" s="18">
        <f>IF(LEN(T226)=1,_xlfn.CONCAT(0,T226),T226)</f>
        <v>11</v>
      </c>
      <c r="V226" s="18" t="str">
        <f>_xlfn.CONCAT(S226,U226)</f>
        <v>202311</v>
      </c>
      <c r="W226" s="18" t="str">
        <f>_xlfn.CONCAT(TEXT(A226,"MMM"),"-",MID(Q226,3,2))</f>
        <v>Feb-24</v>
      </c>
      <c r="X226" s="19">
        <f>IFERROR(IF(D226="Sell",(H226-P226),-(H226+P226)),0)</f>
        <v>-231.73</v>
      </c>
      <c r="Y226" s="19">
        <f>X226/1000</f>
        <v>-0.23172999999999999</v>
      </c>
    </row>
    <row r="227" spans="1:25" x14ac:dyDescent="0.25">
      <c r="A227" s="1">
        <v>45335</v>
      </c>
      <c r="B227" t="s">
        <v>638</v>
      </c>
      <c r="C227" t="s">
        <v>17</v>
      </c>
      <c r="D227" t="s">
        <v>22</v>
      </c>
      <c r="E227">
        <v>40</v>
      </c>
      <c r="F227">
        <v>0</v>
      </c>
      <c r="G227">
        <v>5.3</v>
      </c>
      <c r="H227">
        <v>212</v>
      </c>
      <c r="I227" t="s">
        <v>656</v>
      </c>
      <c r="J227">
        <v>0</v>
      </c>
      <c r="K227">
        <v>0.11</v>
      </c>
      <c r="L227">
        <v>0</v>
      </c>
      <c r="M227">
        <v>0</v>
      </c>
      <c r="N227">
        <v>20</v>
      </c>
      <c r="O227">
        <v>3.62</v>
      </c>
      <c r="P227">
        <v>23.73</v>
      </c>
      <c r="Q227" s="18">
        <f>YEAR(A227)</f>
        <v>2024</v>
      </c>
      <c r="R227" s="18">
        <f>MONTH(A227)</f>
        <v>2</v>
      </c>
      <c r="S227" s="18">
        <f>IF(R227&lt;4,Q227-1,Q227)</f>
        <v>2023</v>
      </c>
      <c r="T227" s="18">
        <f>IF(R227&lt;4,R227+9,R227-3)</f>
        <v>11</v>
      </c>
      <c r="U227" s="18">
        <f>IF(LEN(T227)=1,_xlfn.CONCAT(0,T227),T227)</f>
        <v>11</v>
      </c>
      <c r="V227" s="18" t="str">
        <f>_xlfn.CONCAT(S227,U227)</f>
        <v>202311</v>
      </c>
      <c r="W227" s="18" t="str">
        <f>_xlfn.CONCAT(TEXT(A227,"MMM"),"-",MID(Q227,3,2))</f>
        <v>Feb-24</v>
      </c>
      <c r="X227" s="19">
        <f>IFERROR(IF(D227="Sell",(H227-P227),-(H227+P227)),0)</f>
        <v>-235.73</v>
      </c>
      <c r="Y227" s="19">
        <f>X227/1000</f>
        <v>-0.23573</v>
      </c>
    </row>
    <row r="228" spans="1:25" x14ac:dyDescent="0.25">
      <c r="A228" s="1">
        <v>45335</v>
      </c>
      <c r="B228" t="s">
        <v>638</v>
      </c>
      <c r="C228" t="s">
        <v>17</v>
      </c>
      <c r="D228" t="s">
        <v>22</v>
      </c>
      <c r="E228">
        <v>40</v>
      </c>
      <c r="F228">
        <v>0</v>
      </c>
      <c r="G228">
        <v>5.15</v>
      </c>
      <c r="H228">
        <v>206</v>
      </c>
      <c r="I228" t="s">
        <v>657</v>
      </c>
      <c r="J228">
        <v>0</v>
      </c>
      <c r="K228">
        <v>0.1</v>
      </c>
      <c r="L228">
        <v>0</v>
      </c>
      <c r="M228">
        <v>0</v>
      </c>
      <c r="N228">
        <v>20</v>
      </c>
      <c r="O228">
        <v>3.62</v>
      </c>
      <c r="P228">
        <v>23.72</v>
      </c>
      <c r="Q228" s="18">
        <f>YEAR(A228)</f>
        <v>2024</v>
      </c>
      <c r="R228" s="18">
        <f>MONTH(A228)</f>
        <v>2</v>
      </c>
      <c r="S228" s="18">
        <f>IF(R228&lt;4,Q228-1,Q228)</f>
        <v>2023</v>
      </c>
      <c r="T228" s="18">
        <f>IF(R228&lt;4,R228+9,R228-3)</f>
        <v>11</v>
      </c>
      <c r="U228" s="18">
        <f>IF(LEN(T228)=1,_xlfn.CONCAT(0,T228),T228)</f>
        <v>11</v>
      </c>
      <c r="V228" s="18" t="str">
        <f>_xlfn.CONCAT(S228,U228)</f>
        <v>202311</v>
      </c>
      <c r="W228" s="18" t="str">
        <f>_xlfn.CONCAT(TEXT(A228,"MMM"),"-",MID(Q228,3,2))</f>
        <v>Feb-24</v>
      </c>
      <c r="X228" s="19">
        <f>IFERROR(IF(D228="Sell",(H228-P228),-(H228+P228)),0)</f>
        <v>-229.72</v>
      </c>
      <c r="Y228" s="19">
        <f>X228/1000</f>
        <v>-0.22972000000000001</v>
      </c>
    </row>
    <row r="229" spans="1:25" x14ac:dyDescent="0.25">
      <c r="A229" s="1">
        <v>45335</v>
      </c>
      <c r="B229" t="s">
        <v>638</v>
      </c>
      <c r="C229" t="s">
        <v>17</v>
      </c>
      <c r="D229" t="s">
        <v>22</v>
      </c>
      <c r="E229">
        <v>40</v>
      </c>
      <c r="F229">
        <v>0</v>
      </c>
      <c r="G229">
        <v>5.4</v>
      </c>
      <c r="H229">
        <v>216</v>
      </c>
      <c r="I229" t="s">
        <v>658</v>
      </c>
      <c r="J229">
        <v>0</v>
      </c>
      <c r="K229">
        <v>0.11</v>
      </c>
      <c r="L229">
        <v>0</v>
      </c>
      <c r="M229">
        <v>0</v>
      </c>
      <c r="N229">
        <v>20</v>
      </c>
      <c r="O229">
        <v>3.62</v>
      </c>
      <c r="P229">
        <v>23.73</v>
      </c>
      <c r="Q229" s="18">
        <f>YEAR(A229)</f>
        <v>2024</v>
      </c>
      <c r="R229" s="18">
        <f>MONTH(A229)</f>
        <v>2</v>
      </c>
      <c r="S229" s="18">
        <f>IF(R229&lt;4,Q229-1,Q229)</f>
        <v>2023</v>
      </c>
      <c r="T229" s="18">
        <f>IF(R229&lt;4,R229+9,R229-3)</f>
        <v>11</v>
      </c>
      <c r="U229" s="18">
        <f>IF(LEN(T229)=1,_xlfn.CONCAT(0,T229),T229)</f>
        <v>11</v>
      </c>
      <c r="V229" s="18" t="str">
        <f>_xlfn.CONCAT(S229,U229)</f>
        <v>202311</v>
      </c>
      <c r="W229" s="18" t="str">
        <f>_xlfn.CONCAT(TEXT(A229,"MMM"),"-",MID(Q229,3,2))</f>
        <v>Feb-24</v>
      </c>
      <c r="X229" s="19">
        <f>IFERROR(IF(D229="Sell",(H229-P229),-(H229+P229)),0)</f>
        <v>-239.73</v>
      </c>
      <c r="Y229" s="19">
        <f>X229/1000</f>
        <v>-0.23973</v>
      </c>
    </row>
    <row r="230" spans="1:25" x14ac:dyDescent="0.25">
      <c r="A230" s="1">
        <v>45335</v>
      </c>
      <c r="B230" t="s">
        <v>638</v>
      </c>
      <c r="C230" t="s">
        <v>17</v>
      </c>
      <c r="D230" t="s">
        <v>22</v>
      </c>
      <c r="E230">
        <v>40</v>
      </c>
      <c r="F230">
        <v>0</v>
      </c>
      <c r="G230">
        <v>5.45</v>
      </c>
      <c r="H230">
        <v>218</v>
      </c>
      <c r="I230" t="s">
        <v>659</v>
      </c>
      <c r="J230">
        <v>0</v>
      </c>
      <c r="K230">
        <v>0.11</v>
      </c>
      <c r="L230">
        <v>0</v>
      </c>
      <c r="M230">
        <v>0</v>
      </c>
      <c r="N230">
        <v>20</v>
      </c>
      <c r="O230">
        <v>3.62</v>
      </c>
      <c r="P230">
        <v>23.73</v>
      </c>
      <c r="Q230" s="18">
        <f>YEAR(A230)</f>
        <v>2024</v>
      </c>
      <c r="R230" s="18">
        <f>MONTH(A230)</f>
        <v>2</v>
      </c>
      <c r="S230" s="18">
        <f>IF(R230&lt;4,Q230-1,Q230)</f>
        <v>2023</v>
      </c>
      <c r="T230" s="18">
        <f>IF(R230&lt;4,R230+9,R230-3)</f>
        <v>11</v>
      </c>
      <c r="U230" s="18">
        <f>IF(LEN(T230)=1,_xlfn.CONCAT(0,T230),T230)</f>
        <v>11</v>
      </c>
      <c r="V230" s="18" t="str">
        <f>_xlfn.CONCAT(S230,U230)</f>
        <v>202311</v>
      </c>
      <c r="W230" s="18" t="str">
        <f>_xlfn.CONCAT(TEXT(A230,"MMM"),"-",MID(Q230,3,2))</f>
        <v>Feb-24</v>
      </c>
      <c r="X230" s="19">
        <f>IFERROR(IF(D230="Sell",(H230-P230),-(H230+P230)),0)</f>
        <v>-241.73</v>
      </c>
      <c r="Y230" s="19">
        <f>X230/1000</f>
        <v>-0.24173</v>
      </c>
    </row>
    <row r="231" spans="1:25" x14ac:dyDescent="0.25">
      <c r="A231" s="1">
        <v>45335</v>
      </c>
      <c r="B231" t="s">
        <v>638</v>
      </c>
      <c r="C231" t="s">
        <v>17</v>
      </c>
      <c r="D231" t="s">
        <v>22</v>
      </c>
      <c r="E231">
        <v>40</v>
      </c>
      <c r="F231">
        <v>0</v>
      </c>
      <c r="G231">
        <v>6.05</v>
      </c>
      <c r="H231">
        <v>242</v>
      </c>
      <c r="I231" t="s">
        <v>660</v>
      </c>
      <c r="J231">
        <v>0</v>
      </c>
      <c r="K231">
        <v>0.12</v>
      </c>
      <c r="L231">
        <v>0</v>
      </c>
      <c r="M231">
        <v>0</v>
      </c>
      <c r="N231">
        <v>20</v>
      </c>
      <c r="O231">
        <v>3.62</v>
      </c>
      <c r="P231">
        <v>23.74</v>
      </c>
      <c r="Q231" s="18">
        <f>YEAR(A231)</f>
        <v>2024</v>
      </c>
      <c r="R231" s="18">
        <f>MONTH(A231)</f>
        <v>2</v>
      </c>
      <c r="S231" s="18">
        <f>IF(R231&lt;4,Q231-1,Q231)</f>
        <v>2023</v>
      </c>
      <c r="T231" s="18">
        <f>IF(R231&lt;4,R231+9,R231-3)</f>
        <v>11</v>
      </c>
      <c r="U231" s="18">
        <f>IF(LEN(T231)=1,_xlfn.CONCAT(0,T231),T231)</f>
        <v>11</v>
      </c>
      <c r="V231" s="18" t="str">
        <f>_xlfn.CONCAT(S231,U231)</f>
        <v>202311</v>
      </c>
      <c r="W231" s="18" t="str">
        <f>_xlfn.CONCAT(TEXT(A231,"MMM"),"-",MID(Q231,3,2))</f>
        <v>Feb-24</v>
      </c>
      <c r="X231" s="19">
        <f>IFERROR(IF(D231="Sell",(H231-P231),-(H231+P231)),0)</f>
        <v>-265.74</v>
      </c>
      <c r="Y231" s="19">
        <f>X231/1000</f>
        <v>-0.26574000000000003</v>
      </c>
    </row>
    <row r="232" spans="1:25" x14ac:dyDescent="0.25">
      <c r="A232" s="1">
        <v>45335</v>
      </c>
      <c r="B232" t="s">
        <v>638</v>
      </c>
      <c r="C232" t="s">
        <v>17</v>
      </c>
      <c r="D232" t="s">
        <v>22</v>
      </c>
      <c r="E232">
        <v>40</v>
      </c>
      <c r="F232">
        <v>0</v>
      </c>
      <c r="G232">
        <v>6.2</v>
      </c>
      <c r="H232">
        <v>248</v>
      </c>
      <c r="I232" t="s">
        <v>661</v>
      </c>
      <c r="J232">
        <v>0</v>
      </c>
      <c r="K232">
        <v>0.13</v>
      </c>
      <c r="L232">
        <v>0</v>
      </c>
      <c r="M232">
        <v>0</v>
      </c>
      <c r="N232">
        <v>20</v>
      </c>
      <c r="O232">
        <v>3.62</v>
      </c>
      <c r="P232">
        <v>23.75</v>
      </c>
      <c r="Q232" s="18">
        <f>YEAR(A232)</f>
        <v>2024</v>
      </c>
      <c r="R232" s="18">
        <f>MONTH(A232)</f>
        <v>2</v>
      </c>
      <c r="S232" s="18">
        <f>IF(R232&lt;4,Q232-1,Q232)</f>
        <v>2023</v>
      </c>
      <c r="T232" s="18">
        <f>IF(R232&lt;4,R232+9,R232-3)</f>
        <v>11</v>
      </c>
      <c r="U232" s="18">
        <f>IF(LEN(T232)=1,_xlfn.CONCAT(0,T232),T232)</f>
        <v>11</v>
      </c>
      <c r="V232" s="18" t="str">
        <f>_xlfn.CONCAT(S232,U232)</f>
        <v>202311</v>
      </c>
      <c r="W232" s="18" t="str">
        <f>_xlfn.CONCAT(TEXT(A232,"MMM"),"-",MID(Q232,3,2))</f>
        <v>Feb-24</v>
      </c>
      <c r="X232" s="19">
        <f>IFERROR(IF(D232="Sell",(H232-P232),-(H232+P232)),0)</f>
        <v>-271.75</v>
      </c>
      <c r="Y232" s="19">
        <f>X232/1000</f>
        <v>-0.27174999999999999</v>
      </c>
    </row>
    <row r="233" spans="1:25" x14ac:dyDescent="0.25">
      <c r="A233" s="1">
        <v>45335</v>
      </c>
      <c r="B233" t="s">
        <v>638</v>
      </c>
      <c r="C233" t="s">
        <v>17</v>
      </c>
      <c r="D233" t="s">
        <v>22</v>
      </c>
      <c r="E233">
        <v>40</v>
      </c>
      <c r="F233">
        <v>0</v>
      </c>
      <c r="G233">
        <v>6.7</v>
      </c>
      <c r="H233">
        <v>268</v>
      </c>
      <c r="I233" t="s">
        <v>662</v>
      </c>
      <c r="J233">
        <v>0</v>
      </c>
      <c r="K233">
        <v>0.14000000000000001</v>
      </c>
      <c r="L233">
        <v>0</v>
      </c>
      <c r="M233">
        <v>0</v>
      </c>
      <c r="N233">
        <v>20</v>
      </c>
      <c r="O233">
        <v>3.62</v>
      </c>
      <c r="P233">
        <v>23.76</v>
      </c>
      <c r="Q233" s="18">
        <f>YEAR(A233)</f>
        <v>2024</v>
      </c>
      <c r="R233" s="18">
        <f>MONTH(A233)</f>
        <v>2</v>
      </c>
      <c r="S233" s="18">
        <f>IF(R233&lt;4,Q233-1,Q233)</f>
        <v>2023</v>
      </c>
      <c r="T233" s="18">
        <f>IF(R233&lt;4,R233+9,R233-3)</f>
        <v>11</v>
      </c>
      <c r="U233" s="18">
        <f>IF(LEN(T233)=1,_xlfn.CONCAT(0,T233),T233)</f>
        <v>11</v>
      </c>
      <c r="V233" s="18" t="str">
        <f>_xlfn.CONCAT(S233,U233)</f>
        <v>202311</v>
      </c>
      <c r="W233" s="18" t="str">
        <f>_xlfn.CONCAT(TEXT(A233,"MMM"),"-",MID(Q233,3,2))</f>
        <v>Feb-24</v>
      </c>
      <c r="X233" s="19">
        <f>IFERROR(IF(D233="Sell",(H233-P233),-(H233+P233)),0)</f>
        <v>-291.76</v>
      </c>
      <c r="Y233" s="19">
        <f>X233/1000</f>
        <v>-0.29175999999999996</v>
      </c>
    </row>
    <row r="234" spans="1:25" x14ac:dyDescent="0.25">
      <c r="A234" s="1">
        <v>45335</v>
      </c>
      <c r="B234" t="s">
        <v>638</v>
      </c>
      <c r="C234" t="s">
        <v>17</v>
      </c>
      <c r="D234" t="s">
        <v>22</v>
      </c>
      <c r="E234">
        <v>40</v>
      </c>
      <c r="F234">
        <v>0</v>
      </c>
      <c r="G234">
        <v>7.6</v>
      </c>
      <c r="H234">
        <v>304</v>
      </c>
      <c r="I234" t="s">
        <v>663</v>
      </c>
      <c r="J234">
        <v>0</v>
      </c>
      <c r="K234">
        <v>0.15</v>
      </c>
      <c r="L234">
        <v>0</v>
      </c>
      <c r="M234">
        <v>0</v>
      </c>
      <c r="N234">
        <v>20</v>
      </c>
      <c r="O234">
        <v>3.62</v>
      </c>
      <c r="P234">
        <v>23.77</v>
      </c>
      <c r="Q234" s="18">
        <f>YEAR(A234)</f>
        <v>2024</v>
      </c>
      <c r="R234" s="18">
        <f>MONTH(A234)</f>
        <v>2</v>
      </c>
      <c r="S234" s="18">
        <f>IF(R234&lt;4,Q234-1,Q234)</f>
        <v>2023</v>
      </c>
      <c r="T234" s="18">
        <f>IF(R234&lt;4,R234+9,R234-3)</f>
        <v>11</v>
      </c>
      <c r="U234" s="18">
        <f>IF(LEN(T234)=1,_xlfn.CONCAT(0,T234),T234)</f>
        <v>11</v>
      </c>
      <c r="V234" s="18" t="str">
        <f>_xlfn.CONCAT(S234,U234)</f>
        <v>202311</v>
      </c>
      <c r="W234" s="18" t="str">
        <f>_xlfn.CONCAT(TEXT(A234,"MMM"),"-",MID(Q234,3,2))</f>
        <v>Feb-24</v>
      </c>
      <c r="X234" s="19">
        <f>IFERROR(IF(D234="Sell",(H234-P234),-(H234+P234)),0)</f>
        <v>-327.77</v>
      </c>
      <c r="Y234" s="19">
        <f>X234/1000</f>
        <v>-0.32777000000000001</v>
      </c>
    </row>
    <row r="235" spans="1:25" x14ac:dyDescent="0.25">
      <c r="A235" s="1">
        <v>45335</v>
      </c>
      <c r="B235" t="s">
        <v>638</v>
      </c>
      <c r="C235" t="s">
        <v>17</v>
      </c>
      <c r="D235" t="s">
        <v>22</v>
      </c>
      <c r="E235">
        <v>40</v>
      </c>
      <c r="F235">
        <v>0</v>
      </c>
      <c r="G235">
        <v>7.15</v>
      </c>
      <c r="H235">
        <v>286</v>
      </c>
      <c r="I235" t="s">
        <v>664</v>
      </c>
      <c r="J235">
        <v>0</v>
      </c>
      <c r="K235">
        <v>0.14000000000000001</v>
      </c>
      <c r="L235">
        <v>0</v>
      </c>
      <c r="M235">
        <v>0</v>
      </c>
      <c r="N235">
        <v>20</v>
      </c>
      <c r="O235">
        <v>3.62</v>
      </c>
      <c r="P235">
        <v>23.76</v>
      </c>
      <c r="Q235" s="18">
        <f>YEAR(A235)</f>
        <v>2024</v>
      </c>
      <c r="R235" s="18">
        <f>MONTH(A235)</f>
        <v>2</v>
      </c>
      <c r="S235" s="18">
        <f>IF(R235&lt;4,Q235-1,Q235)</f>
        <v>2023</v>
      </c>
      <c r="T235" s="18">
        <f>IF(R235&lt;4,R235+9,R235-3)</f>
        <v>11</v>
      </c>
      <c r="U235" s="18">
        <f>IF(LEN(T235)=1,_xlfn.CONCAT(0,T235),T235)</f>
        <v>11</v>
      </c>
      <c r="V235" s="18" t="str">
        <f>_xlfn.CONCAT(S235,U235)</f>
        <v>202311</v>
      </c>
      <c r="W235" s="18" t="str">
        <f>_xlfn.CONCAT(TEXT(A235,"MMM"),"-",MID(Q235,3,2))</f>
        <v>Feb-24</v>
      </c>
      <c r="X235" s="19">
        <f>IFERROR(IF(D235="Sell",(H235-P235),-(H235+P235)),0)</f>
        <v>-309.76</v>
      </c>
      <c r="Y235" s="19">
        <f>X235/1000</f>
        <v>-0.30975999999999998</v>
      </c>
    </row>
    <row r="236" spans="1:25" x14ac:dyDescent="0.25">
      <c r="A236" s="1">
        <v>45335</v>
      </c>
      <c r="B236" t="s">
        <v>638</v>
      </c>
      <c r="C236" t="s">
        <v>17</v>
      </c>
      <c r="D236" t="s">
        <v>22</v>
      </c>
      <c r="E236">
        <v>40</v>
      </c>
      <c r="F236">
        <v>0</v>
      </c>
      <c r="G236">
        <v>7.75</v>
      </c>
      <c r="H236">
        <v>310</v>
      </c>
      <c r="I236" t="s">
        <v>665</v>
      </c>
      <c r="J236">
        <v>0</v>
      </c>
      <c r="K236">
        <v>0.16</v>
      </c>
      <c r="L236">
        <v>0.27</v>
      </c>
      <c r="M236">
        <v>0</v>
      </c>
      <c r="N236">
        <v>20</v>
      </c>
      <c r="O236">
        <v>3.62</v>
      </c>
      <c r="P236">
        <v>24.05</v>
      </c>
      <c r="Q236" s="18">
        <f>YEAR(A236)</f>
        <v>2024</v>
      </c>
      <c r="R236" s="18">
        <f>MONTH(A236)</f>
        <v>2</v>
      </c>
      <c r="S236" s="18">
        <f>IF(R236&lt;4,Q236-1,Q236)</f>
        <v>2023</v>
      </c>
      <c r="T236" s="18">
        <f>IF(R236&lt;4,R236+9,R236-3)</f>
        <v>11</v>
      </c>
      <c r="U236" s="18">
        <f>IF(LEN(T236)=1,_xlfn.CONCAT(0,T236),T236)</f>
        <v>11</v>
      </c>
      <c r="V236" s="18" t="str">
        <f>_xlfn.CONCAT(S236,U236)</f>
        <v>202311</v>
      </c>
      <c r="W236" s="18" t="str">
        <f>_xlfn.CONCAT(TEXT(A236,"MMM"),"-",MID(Q236,3,2))</f>
        <v>Feb-24</v>
      </c>
      <c r="X236" s="19">
        <f>IFERROR(IF(D236="Sell",(H236-P236),-(H236+P236)),0)</f>
        <v>-334.05</v>
      </c>
      <c r="Y236" s="19">
        <f>X236/1000</f>
        <v>-0.33405000000000001</v>
      </c>
    </row>
    <row r="237" spans="1:25" x14ac:dyDescent="0.25">
      <c r="A237" s="1">
        <v>45335</v>
      </c>
      <c r="B237" t="s">
        <v>638</v>
      </c>
      <c r="C237" t="s">
        <v>17</v>
      </c>
      <c r="D237" t="s">
        <v>22</v>
      </c>
      <c r="E237">
        <v>40</v>
      </c>
      <c r="F237">
        <v>0</v>
      </c>
      <c r="G237">
        <v>7.65</v>
      </c>
      <c r="H237">
        <v>306</v>
      </c>
      <c r="I237" t="s">
        <v>666</v>
      </c>
      <c r="J237">
        <v>0</v>
      </c>
      <c r="K237">
        <v>0.15</v>
      </c>
      <c r="L237">
        <v>0</v>
      </c>
      <c r="M237">
        <v>0</v>
      </c>
      <c r="N237">
        <v>20</v>
      </c>
      <c r="O237">
        <v>3.62</v>
      </c>
      <c r="P237">
        <v>23.77</v>
      </c>
      <c r="Q237" s="18">
        <f>YEAR(A237)</f>
        <v>2024</v>
      </c>
      <c r="R237" s="18">
        <f>MONTH(A237)</f>
        <v>2</v>
      </c>
      <c r="S237" s="18">
        <f>IF(R237&lt;4,Q237-1,Q237)</f>
        <v>2023</v>
      </c>
      <c r="T237" s="18">
        <f>IF(R237&lt;4,R237+9,R237-3)</f>
        <v>11</v>
      </c>
      <c r="U237" s="18">
        <f>IF(LEN(T237)=1,_xlfn.CONCAT(0,T237),T237)</f>
        <v>11</v>
      </c>
      <c r="V237" s="18" t="str">
        <f>_xlfn.CONCAT(S237,U237)</f>
        <v>202311</v>
      </c>
      <c r="W237" s="18" t="str">
        <f>_xlfn.CONCAT(TEXT(A237,"MMM"),"-",MID(Q237,3,2))</f>
        <v>Feb-24</v>
      </c>
      <c r="X237" s="19">
        <f>IFERROR(IF(D237="Sell",(H237-P237),-(H237+P237)),0)</f>
        <v>-329.77</v>
      </c>
      <c r="Y237" s="19">
        <f>X237/1000</f>
        <v>-0.32977000000000001</v>
      </c>
    </row>
    <row r="238" spans="1:25" x14ac:dyDescent="0.25">
      <c r="A238" s="1">
        <v>45335</v>
      </c>
      <c r="B238" t="s">
        <v>638</v>
      </c>
      <c r="C238" t="s">
        <v>17</v>
      </c>
      <c r="D238" t="s">
        <v>22</v>
      </c>
      <c r="E238">
        <v>40</v>
      </c>
      <c r="F238">
        <v>0</v>
      </c>
      <c r="G238">
        <v>7.45</v>
      </c>
      <c r="H238">
        <v>298</v>
      </c>
      <c r="I238" t="s">
        <v>667</v>
      </c>
      <c r="J238">
        <v>0</v>
      </c>
      <c r="K238">
        <v>0.15</v>
      </c>
      <c r="L238">
        <v>0</v>
      </c>
      <c r="M238">
        <v>0</v>
      </c>
      <c r="N238">
        <v>20</v>
      </c>
      <c r="O238">
        <v>3.62</v>
      </c>
      <c r="P238">
        <v>23.77</v>
      </c>
      <c r="Q238" s="18">
        <f>YEAR(A238)</f>
        <v>2024</v>
      </c>
      <c r="R238" s="18">
        <f>MONTH(A238)</f>
        <v>2</v>
      </c>
      <c r="S238" s="18">
        <f>IF(R238&lt;4,Q238-1,Q238)</f>
        <v>2023</v>
      </c>
      <c r="T238" s="18">
        <f>IF(R238&lt;4,R238+9,R238-3)</f>
        <v>11</v>
      </c>
      <c r="U238" s="18">
        <f>IF(LEN(T238)=1,_xlfn.CONCAT(0,T238),T238)</f>
        <v>11</v>
      </c>
      <c r="V238" s="18" t="str">
        <f>_xlfn.CONCAT(S238,U238)</f>
        <v>202311</v>
      </c>
      <c r="W238" s="18" t="str">
        <f>_xlfn.CONCAT(TEXT(A238,"MMM"),"-",MID(Q238,3,2))</f>
        <v>Feb-24</v>
      </c>
      <c r="X238" s="19">
        <f>IFERROR(IF(D238="Sell",(H238-P238),-(H238+P238)),0)</f>
        <v>-321.77</v>
      </c>
      <c r="Y238" s="19">
        <f>X238/1000</f>
        <v>-0.32177</v>
      </c>
    </row>
    <row r="239" spans="1:25" x14ac:dyDescent="0.25">
      <c r="A239" s="1">
        <v>45335</v>
      </c>
      <c r="B239" t="s">
        <v>638</v>
      </c>
      <c r="C239" t="s">
        <v>17</v>
      </c>
      <c r="D239" t="s">
        <v>22</v>
      </c>
      <c r="E239">
        <v>40</v>
      </c>
      <c r="F239">
        <v>0</v>
      </c>
      <c r="G239">
        <v>7.55</v>
      </c>
      <c r="H239">
        <v>302</v>
      </c>
      <c r="I239" t="s">
        <v>668</v>
      </c>
      <c r="J239">
        <v>0</v>
      </c>
      <c r="K239">
        <v>0.15</v>
      </c>
      <c r="L239">
        <v>0</v>
      </c>
      <c r="M239">
        <v>0</v>
      </c>
      <c r="N239">
        <v>20</v>
      </c>
      <c r="O239">
        <v>3.62</v>
      </c>
      <c r="P239">
        <v>23.77</v>
      </c>
      <c r="Q239" s="18">
        <f>YEAR(A239)</f>
        <v>2024</v>
      </c>
      <c r="R239" s="18">
        <f>MONTH(A239)</f>
        <v>2</v>
      </c>
      <c r="S239" s="18">
        <f>IF(R239&lt;4,Q239-1,Q239)</f>
        <v>2023</v>
      </c>
      <c r="T239" s="18">
        <f>IF(R239&lt;4,R239+9,R239-3)</f>
        <v>11</v>
      </c>
      <c r="U239" s="18">
        <f>IF(LEN(T239)=1,_xlfn.CONCAT(0,T239),T239)</f>
        <v>11</v>
      </c>
      <c r="V239" s="18" t="str">
        <f>_xlfn.CONCAT(S239,U239)</f>
        <v>202311</v>
      </c>
      <c r="W239" s="18" t="str">
        <f>_xlfn.CONCAT(TEXT(A239,"MMM"),"-",MID(Q239,3,2))</f>
        <v>Feb-24</v>
      </c>
      <c r="X239" s="19">
        <f>IFERROR(IF(D239="Sell",(H239-P239),-(H239+P239)),0)</f>
        <v>-325.77</v>
      </c>
      <c r="Y239" s="19">
        <f>X239/1000</f>
        <v>-0.32577</v>
      </c>
    </row>
    <row r="240" spans="1:25" x14ac:dyDescent="0.25">
      <c r="A240" s="1">
        <v>45335</v>
      </c>
      <c r="B240" t="s">
        <v>638</v>
      </c>
      <c r="C240" t="s">
        <v>17</v>
      </c>
      <c r="D240" t="s">
        <v>22</v>
      </c>
      <c r="E240">
        <v>40</v>
      </c>
      <c r="F240">
        <v>0</v>
      </c>
      <c r="G240">
        <v>7.55</v>
      </c>
      <c r="H240">
        <v>302</v>
      </c>
      <c r="I240" t="s">
        <v>669</v>
      </c>
      <c r="J240">
        <v>0</v>
      </c>
      <c r="K240">
        <v>0.15</v>
      </c>
      <c r="L240">
        <v>0</v>
      </c>
      <c r="M240">
        <v>0</v>
      </c>
      <c r="N240">
        <v>20</v>
      </c>
      <c r="O240">
        <v>3.62</v>
      </c>
      <c r="P240">
        <v>23.77</v>
      </c>
      <c r="Q240" s="18">
        <f>YEAR(A240)</f>
        <v>2024</v>
      </c>
      <c r="R240" s="18">
        <f>MONTH(A240)</f>
        <v>2</v>
      </c>
      <c r="S240" s="18">
        <f>IF(R240&lt;4,Q240-1,Q240)</f>
        <v>2023</v>
      </c>
      <c r="T240" s="18">
        <f>IF(R240&lt;4,R240+9,R240-3)</f>
        <v>11</v>
      </c>
      <c r="U240" s="18">
        <f>IF(LEN(T240)=1,_xlfn.CONCAT(0,T240),T240)</f>
        <v>11</v>
      </c>
      <c r="V240" s="18" t="str">
        <f>_xlfn.CONCAT(S240,U240)</f>
        <v>202311</v>
      </c>
      <c r="W240" s="18" t="str">
        <f>_xlfn.CONCAT(TEXT(A240,"MMM"),"-",MID(Q240,3,2))</f>
        <v>Feb-24</v>
      </c>
      <c r="X240" s="19">
        <f>IFERROR(IF(D240="Sell",(H240-P240),-(H240+P240)),0)</f>
        <v>-325.77</v>
      </c>
      <c r="Y240" s="19">
        <f>X240/1000</f>
        <v>-0.32577</v>
      </c>
    </row>
    <row r="241" spans="1:25" x14ac:dyDescent="0.25">
      <c r="A241" s="1">
        <v>45335</v>
      </c>
      <c r="B241" t="s">
        <v>638</v>
      </c>
      <c r="C241" t="s">
        <v>17</v>
      </c>
      <c r="D241" t="s">
        <v>22</v>
      </c>
      <c r="E241">
        <v>40</v>
      </c>
      <c r="F241">
        <v>0</v>
      </c>
      <c r="G241">
        <v>6.85</v>
      </c>
      <c r="H241">
        <v>274</v>
      </c>
      <c r="I241" t="s">
        <v>670</v>
      </c>
      <c r="J241">
        <v>0</v>
      </c>
      <c r="K241">
        <v>0.14000000000000001</v>
      </c>
      <c r="L241">
        <v>0</v>
      </c>
      <c r="M241">
        <v>0</v>
      </c>
      <c r="N241">
        <v>20</v>
      </c>
      <c r="O241">
        <v>3.62</v>
      </c>
      <c r="P241">
        <v>23.76</v>
      </c>
      <c r="Q241" s="18">
        <f>YEAR(A241)</f>
        <v>2024</v>
      </c>
      <c r="R241" s="18">
        <f>MONTH(A241)</f>
        <v>2</v>
      </c>
      <c r="S241" s="18">
        <f>IF(R241&lt;4,Q241-1,Q241)</f>
        <v>2023</v>
      </c>
      <c r="T241" s="18">
        <f>IF(R241&lt;4,R241+9,R241-3)</f>
        <v>11</v>
      </c>
      <c r="U241" s="18">
        <f>IF(LEN(T241)=1,_xlfn.CONCAT(0,T241),T241)</f>
        <v>11</v>
      </c>
      <c r="V241" s="18" t="str">
        <f>_xlfn.CONCAT(S241,U241)</f>
        <v>202311</v>
      </c>
      <c r="W241" s="18" t="str">
        <f>_xlfn.CONCAT(TEXT(A241,"MMM"),"-",MID(Q241,3,2))</f>
        <v>Feb-24</v>
      </c>
      <c r="X241" s="19">
        <f>IFERROR(IF(D241="Sell",(H241-P241),-(H241+P241)),0)</f>
        <v>-297.76</v>
      </c>
      <c r="Y241" s="19">
        <f>X241/1000</f>
        <v>-0.29775999999999997</v>
      </c>
    </row>
    <row r="242" spans="1:25" x14ac:dyDescent="0.25">
      <c r="A242" s="1">
        <v>45335</v>
      </c>
      <c r="B242" t="s">
        <v>638</v>
      </c>
      <c r="C242" t="s">
        <v>17</v>
      </c>
      <c r="D242" t="s">
        <v>22</v>
      </c>
      <c r="E242">
        <v>40</v>
      </c>
      <c r="F242">
        <v>0</v>
      </c>
      <c r="G242">
        <v>6.35</v>
      </c>
      <c r="H242">
        <v>254</v>
      </c>
      <c r="I242" t="s">
        <v>671</v>
      </c>
      <c r="J242">
        <v>0</v>
      </c>
      <c r="K242">
        <v>0.13</v>
      </c>
      <c r="L242">
        <v>0</v>
      </c>
      <c r="M242">
        <v>0</v>
      </c>
      <c r="N242">
        <v>20</v>
      </c>
      <c r="O242">
        <v>3.62</v>
      </c>
      <c r="P242">
        <v>23.75</v>
      </c>
      <c r="Q242" s="18">
        <f>YEAR(A242)</f>
        <v>2024</v>
      </c>
      <c r="R242" s="18">
        <f>MONTH(A242)</f>
        <v>2</v>
      </c>
      <c r="S242" s="18">
        <f>IF(R242&lt;4,Q242-1,Q242)</f>
        <v>2023</v>
      </c>
      <c r="T242" s="18">
        <f>IF(R242&lt;4,R242+9,R242-3)</f>
        <v>11</v>
      </c>
      <c r="U242" s="18">
        <f>IF(LEN(T242)=1,_xlfn.CONCAT(0,T242),T242)</f>
        <v>11</v>
      </c>
      <c r="V242" s="18" t="str">
        <f>_xlfn.CONCAT(S242,U242)</f>
        <v>202311</v>
      </c>
      <c r="W242" s="18" t="str">
        <f>_xlfn.CONCAT(TEXT(A242,"MMM"),"-",MID(Q242,3,2))</f>
        <v>Feb-24</v>
      </c>
      <c r="X242" s="19">
        <f>IFERROR(IF(D242="Sell",(H242-P242),-(H242+P242)),0)</f>
        <v>-277.75</v>
      </c>
      <c r="Y242" s="19">
        <f>X242/1000</f>
        <v>-0.27775</v>
      </c>
    </row>
    <row r="243" spans="1:25" x14ac:dyDescent="0.25">
      <c r="A243" s="1">
        <v>45335</v>
      </c>
      <c r="B243" t="s">
        <v>638</v>
      </c>
      <c r="C243" t="s">
        <v>17</v>
      </c>
      <c r="D243" t="s">
        <v>22</v>
      </c>
      <c r="E243">
        <v>40</v>
      </c>
      <c r="F243">
        <v>0</v>
      </c>
      <c r="G243">
        <v>6.65</v>
      </c>
      <c r="H243">
        <v>266</v>
      </c>
      <c r="I243" t="s">
        <v>672</v>
      </c>
      <c r="J243">
        <v>0</v>
      </c>
      <c r="K243">
        <v>0.13</v>
      </c>
      <c r="L243">
        <v>0</v>
      </c>
      <c r="M243">
        <v>0</v>
      </c>
      <c r="N243">
        <v>20</v>
      </c>
      <c r="O243">
        <v>3.62</v>
      </c>
      <c r="P243">
        <v>23.75</v>
      </c>
      <c r="Q243" s="18">
        <f>YEAR(A243)</f>
        <v>2024</v>
      </c>
      <c r="R243" s="18">
        <f>MONTH(A243)</f>
        <v>2</v>
      </c>
      <c r="S243" s="18">
        <f>IF(R243&lt;4,Q243-1,Q243)</f>
        <v>2023</v>
      </c>
      <c r="T243" s="18">
        <f>IF(R243&lt;4,R243+9,R243-3)</f>
        <v>11</v>
      </c>
      <c r="U243" s="18">
        <f>IF(LEN(T243)=1,_xlfn.CONCAT(0,T243),T243)</f>
        <v>11</v>
      </c>
      <c r="V243" s="18" t="str">
        <f>_xlfn.CONCAT(S243,U243)</f>
        <v>202311</v>
      </c>
      <c r="W243" s="18" t="str">
        <f>_xlfn.CONCAT(TEXT(A243,"MMM"),"-",MID(Q243,3,2))</f>
        <v>Feb-24</v>
      </c>
      <c r="X243" s="19">
        <f>IFERROR(IF(D243="Sell",(H243-P243),-(H243+P243)),0)</f>
        <v>-289.75</v>
      </c>
      <c r="Y243" s="19">
        <f>X243/1000</f>
        <v>-0.28975000000000001</v>
      </c>
    </row>
    <row r="244" spans="1:25" x14ac:dyDescent="0.25">
      <c r="A244" s="1">
        <v>45335</v>
      </c>
      <c r="B244" t="s">
        <v>638</v>
      </c>
      <c r="C244" t="s">
        <v>17</v>
      </c>
      <c r="D244" t="s">
        <v>22</v>
      </c>
      <c r="E244">
        <v>40</v>
      </c>
      <c r="F244">
        <v>0</v>
      </c>
      <c r="G244">
        <v>6.9</v>
      </c>
      <c r="H244">
        <v>276</v>
      </c>
      <c r="I244" t="s">
        <v>673</v>
      </c>
      <c r="J244">
        <v>0</v>
      </c>
      <c r="K244">
        <v>0.14000000000000001</v>
      </c>
      <c r="L244">
        <v>0</v>
      </c>
      <c r="M244">
        <v>0</v>
      </c>
      <c r="N244">
        <v>20</v>
      </c>
      <c r="O244">
        <v>3.62</v>
      </c>
      <c r="P244">
        <v>23.76</v>
      </c>
      <c r="Q244" s="18">
        <f>YEAR(A244)</f>
        <v>2024</v>
      </c>
      <c r="R244" s="18">
        <f>MONTH(A244)</f>
        <v>2</v>
      </c>
      <c r="S244" s="18">
        <f>IF(R244&lt;4,Q244-1,Q244)</f>
        <v>2023</v>
      </c>
      <c r="T244" s="18">
        <f>IF(R244&lt;4,R244+9,R244-3)</f>
        <v>11</v>
      </c>
      <c r="U244" s="18">
        <f>IF(LEN(T244)=1,_xlfn.CONCAT(0,T244),T244)</f>
        <v>11</v>
      </c>
      <c r="V244" s="18" t="str">
        <f>_xlfn.CONCAT(S244,U244)</f>
        <v>202311</v>
      </c>
      <c r="W244" s="18" t="str">
        <f>_xlfn.CONCAT(TEXT(A244,"MMM"),"-",MID(Q244,3,2))</f>
        <v>Feb-24</v>
      </c>
      <c r="X244" s="19">
        <f>IFERROR(IF(D244="Sell",(H244-P244),-(H244+P244)),0)</f>
        <v>-299.76</v>
      </c>
      <c r="Y244" s="19">
        <f>X244/1000</f>
        <v>-0.29975999999999997</v>
      </c>
    </row>
    <row r="245" spans="1:25" x14ac:dyDescent="0.25">
      <c r="A245" s="1">
        <v>45335</v>
      </c>
      <c r="B245" t="s">
        <v>638</v>
      </c>
      <c r="C245" t="s">
        <v>17</v>
      </c>
      <c r="D245" t="s">
        <v>22</v>
      </c>
      <c r="E245">
        <v>40</v>
      </c>
      <c r="F245">
        <v>0</v>
      </c>
      <c r="G245">
        <v>7.7</v>
      </c>
      <c r="H245">
        <v>308</v>
      </c>
      <c r="I245" t="s">
        <v>674</v>
      </c>
      <c r="J245">
        <v>0</v>
      </c>
      <c r="K245">
        <v>0.16</v>
      </c>
      <c r="L245">
        <v>0</v>
      </c>
      <c r="M245">
        <v>0</v>
      </c>
      <c r="N245">
        <v>20</v>
      </c>
      <c r="O245">
        <v>3.62</v>
      </c>
      <c r="P245">
        <v>23.78</v>
      </c>
      <c r="Q245" s="18">
        <f>YEAR(A245)</f>
        <v>2024</v>
      </c>
      <c r="R245" s="18">
        <f>MONTH(A245)</f>
        <v>2</v>
      </c>
      <c r="S245" s="18">
        <f>IF(R245&lt;4,Q245-1,Q245)</f>
        <v>2023</v>
      </c>
      <c r="T245" s="18">
        <f>IF(R245&lt;4,R245+9,R245-3)</f>
        <v>11</v>
      </c>
      <c r="U245" s="18">
        <f>IF(LEN(T245)=1,_xlfn.CONCAT(0,T245),T245)</f>
        <v>11</v>
      </c>
      <c r="V245" s="18" t="str">
        <f>_xlfn.CONCAT(S245,U245)</f>
        <v>202311</v>
      </c>
      <c r="W245" s="18" t="str">
        <f>_xlfn.CONCAT(TEXT(A245,"MMM"),"-",MID(Q245,3,2))</f>
        <v>Feb-24</v>
      </c>
      <c r="X245" s="19">
        <f>IFERROR(IF(D245="Sell",(H245-P245),-(H245+P245)),0)</f>
        <v>-331.78</v>
      </c>
      <c r="Y245" s="19">
        <f>X245/1000</f>
        <v>-0.33177999999999996</v>
      </c>
    </row>
    <row r="246" spans="1:25" x14ac:dyDescent="0.25">
      <c r="A246" s="1">
        <v>45335</v>
      </c>
      <c r="B246" t="s">
        <v>638</v>
      </c>
      <c r="C246" t="s">
        <v>17</v>
      </c>
      <c r="D246" t="s">
        <v>22</v>
      </c>
      <c r="E246">
        <v>40</v>
      </c>
      <c r="F246">
        <v>0</v>
      </c>
      <c r="G246">
        <v>9</v>
      </c>
      <c r="H246">
        <v>360</v>
      </c>
      <c r="I246" t="s">
        <v>675</v>
      </c>
      <c r="J246">
        <v>0</v>
      </c>
      <c r="K246">
        <v>0.18</v>
      </c>
      <c r="L246">
        <v>0</v>
      </c>
      <c r="M246">
        <v>0</v>
      </c>
      <c r="N246">
        <v>20</v>
      </c>
      <c r="O246">
        <v>3.64</v>
      </c>
      <c r="P246">
        <v>23.82</v>
      </c>
      <c r="Q246" s="18">
        <f>YEAR(A246)</f>
        <v>2024</v>
      </c>
      <c r="R246" s="18">
        <f>MONTH(A246)</f>
        <v>2</v>
      </c>
      <c r="S246" s="18">
        <f>IF(R246&lt;4,Q246-1,Q246)</f>
        <v>2023</v>
      </c>
      <c r="T246" s="18">
        <f>IF(R246&lt;4,R246+9,R246-3)</f>
        <v>11</v>
      </c>
      <c r="U246" s="18">
        <f>IF(LEN(T246)=1,_xlfn.CONCAT(0,T246),T246)</f>
        <v>11</v>
      </c>
      <c r="V246" s="18" t="str">
        <f>_xlfn.CONCAT(S246,U246)</f>
        <v>202311</v>
      </c>
      <c r="W246" s="18" t="str">
        <f>_xlfn.CONCAT(TEXT(A246,"MMM"),"-",MID(Q246,3,2))</f>
        <v>Feb-24</v>
      </c>
      <c r="X246" s="19">
        <f>IFERROR(IF(D246="Sell",(H246-P246),-(H246+P246)),0)</f>
        <v>-383.82</v>
      </c>
      <c r="Y246" s="19">
        <f>X246/1000</f>
        <v>-0.38381999999999999</v>
      </c>
    </row>
    <row r="247" spans="1:25" x14ac:dyDescent="0.25">
      <c r="A247" s="1">
        <v>45335</v>
      </c>
      <c r="B247" t="s">
        <v>638</v>
      </c>
      <c r="C247" t="s">
        <v>17</v>
      </c>
      <c r="D247" t="s">
        <v>22</v>
      </c>
      <c r="E247">
        <v>40</v>
      </c>
      <c r="F247">
        <v>0</v>
      </c>
      <c r="G247">
        <v>10.3</v>
      </c>
      <c r="H247">
        <v>412</v>
      </c>
      <c r="I247" t="s">
        <v>676</v>
      </c>
      <c r="J247">
        <v>0</v>
      </c>
      <c r="K247">
        <v>0.21</v>
      </c>
      <c r="L247">
        <v>0</v>
      </c>
      <c r="M247">
        <v>0</v>
      </c>
      <c r="N247">
        <v>20</v>
      </c>
      <c r="O247">
        <v>3.64</v>
      </c>
      <c r="P247">
        <v>23.85</v>
      </c>
      <c r="Q247" s="18">
        <f>YEAR(A247)</f>
        <v>2024</v>
      </c>
      <c r="R247" s="18">
        <f>MONTH(A247)</f>
        <v>2</v>
      </c>
      <c r="S247" s="18">
        <f>IF(R247&lt;4,Q247-1,Q247)</f>
        <v>2023</v>
      </c>
      <c r="T247" s="18">
        <f>IF(R247&lt;4,R247+9,R247-3)</f>
        <v>11</v>
      </c>
      <c r="U247" s="18">
        <f>IF(LEN(T247)=1,_xlfn.CONCAT(0,T247),T247)</f>
        <v>11</v>
      </c>
      <c r="V247" s="18" t="str">
        <f>_xlfn.CONCAT(S247,U247)</f>
        <v>202311</v>
      </c>
      <c r="W247" s="18" t="str">
        <f>_xlfn.CONCAT(TEXT(A247,"MMM"),"-",MID(Q247,3,2))</f>
        <v>Feb-24</v>
      </c>
      <c r="X247" s="19">
        <f>IFERROR(IF(D247="Sell",(H247-P247),-(H247+P247)),0)</f>
        <v>-435.85</v>
      </c>
      <c r="Y247" s="19">
        <f>X247/1000</f>
        <v>-0.43585000000000002</v>
      </c>
    </row>
    <row r="248" spans="1:25" x14ac:dyDescent="0.25">
      <c r="A248" s="1">
        <v>45335</v>
      </c>
      <c r="B248" t="s">
        <v>638</v>
      </c>
      <c r="C248" t="s">
        <v>17</v>
      </c>
      <c r="D248" t="s">
        <v>22</v>
      </c>
      <c r="E248">
        <v>40</v>
      </c>
      <c r="F248">
        <v>0</v>
      </c>
      <c r="G248">
        <v>9.8000000000000007</v>
      </c>
      <c r="H248">
        <v>392</v>
      </c>
      <c r="I248" t="s">
        <v>677</v>
      </c>
      <c r="J248">
        <v>0</v>
      </c>
      <c r="K248">
        <v>0.2</v>
      </c>
      <c r="L248">
        <v>0</v>
      </c>
      <c r="M248">
        <v>0</v>
      </c>
      <c r="N248">
        <v>20</v>
      </c>
      <c r="O248">
        <v>3.64</v>
      </c>
      <c r="P248">
        <v>23.84</v>
      </c>
      <c r="Q248" s="18">
        <f>YEAR(A248)</f>
        <v>2024</v>
      </c>
      <c r="R248" s="18">
        <f>MONTH(A248)</f>
        <v>2</v>
      </c>
      <c r="S248" s="18">
        <f>IF(R248&lt;4,Q248-1,Q248)</f>
        <v>2023</v>
      </c>
      <c r="T248" s="18">
        <f>IF(R248&lt;4,R248+9,R248-3)</f>
        <v>11</v>
      </c>
      <c r="U248" s="18">
        <f>IF(LEN(T248)=1,_xlfn.CONCAT(0,T248),T248)</f>
        <v>11</v>
      </c>
      <c r="V248" s="18" t="str">
        <f>_xlfn.CONCAT(S248,U248)</f>
        <v>202311</v>
      </c>
      <c r="W248" s="18" t="str">
        <f>_xlfn.CONCAT(TEXT(A248,"MMM"),"-",MID(Q248,3,2))</f>
        <v>Feb-24</v>
      </c>
      <c r="X248" s="19">
        <f>IFERROR(IF(D248="Sell",(H248-P248),-(H248+P248)),0)</f>
        <v>-415.84</v>
      </c>
      <c r="Y248" s="19">
        <f>X248/1000</f>
        <v>-0.41583999999999999</v>
      </c>
    </row>
    <row r="249" spans="1:25" x14ac:dyDescent="0.25">
      <c r="A249" s="1">
        <v>45336</v>
      </c>
      <c r="B249" t="s">
        <v>606</v>
      </c>
      <c r="C249" t="s">
        <v>17</v>
      </c>
      <c r="D249" t="s">
        <v>18</v>
      </c>
      <c r="E249">
        <v>800</v>
      </c>
      <c r="F249">
        <v>0</v>
      </c>
      <c r="G249">
        <v>39.700000000000003</v>
      </c>
      <c r="H249">
        <v>31760</v>
      </c>
      <c r="I249" t="s">
        <v>607</v>
      </c>
      <c r="J249">
        <v>19.84</v>
      </c>
      <c r="K249">
        <v>16.03</v>
      </c>
      <c r="L249">
        <v>0</v>
      </c>
      <c r="M249">
        <v>0.03</v>
      </c>
      <c r="N249">
        <v>320</v>
      </c>
      <c r="O249">
        <v>60.48</v>
      </c>
      <c r="P249">
        <v>416.38</v>
      </c>
      <c r="Q249" s="18">
        <f>YEAR(A249)</f>
        <v>2024</v>
      </c>
      <c r="R249" s="18">
        <f>MONTH(A249)</f>
        <v>2</v>
      </c>
      <c r="S249" s="18">
        <f>IF(R249&lt;4,Q249-1,Q249)</f>
        <v>2023</v>
      </c>
      <c r="T249" s="18">
        <f>IF(R249&lt;4,R249+9,R249-3)</f>
        <v>11</v>
      </c>
      <c r="U249" s="18">
        <f>IF(LEN(T249)=1,_xlfn.CONCAT(0,T249),T249)</f>
        <v>11</v>
      </c>
      <c r="V249" s="18" t="str">
        <f>_xlfn.CONCAT(S249,U249)</f>
        <v>202311</v>
      </c>
      <c r="W249" s="18" t="str">
        <f>_xlfn.CONCAT(TEXT(A249,"MMM"),"-",MID(Q249,3,2))</f>
        <v>Feb-24</v>
      </c>
      <c r="X249" s="19">
        <f>IFERROR(IF(D249="Sell",(H249-P249),-(H249+P249)),0)</f>
        <v>31343.62</v>
      </c>
      <c r="Y249" s="19">
        <f>X249/1000</f>
        <v>31.343619999999998</v>
      </c>
    </row>
    <row r="250" spans="1:25" x14ac:dyDescent="0.25">
      <c r="A250" s="1">
        <v>45336</v>
      </c>
      <c r="B250" t="s">
        <v>606</v>
      </c>
      <c r="C250" t="s">
        <v>17</v>
      </c>
      <c r="D250" t="s">
        <v>22</v>
      </c>
      <c r="E250">
        <v>400</v>
      </c>
      <c r="F250">
        <v>0</v>
      </c>
      <c r="G250">
        <v>53.53</v>
      </c>
      <c r="H250">
        <v>21412.5</v>
      </c>
      <c r="I250" t="s">
        <v>608</v>
      </c>
      <c r="J250">
        <v>0</v>
      </c>
      <c r="K250">
        <v>10.81</v>
      </c>
      <c r="L250">
        <v>1.42</v>
      </c>
      <c r="M250">
        <v>0.01</v>
      </c>
      <c r="N250">
        <v>160</v>
      </c>
      <c r="O250">
        <v>30.74</v>
      </c>
      <c r="P250">
        <v>202.98</v>
      </c>
      <c r="Q250" s="18">
        <f>YEAR(A250)</f>
        <v>2024</v>
      </c>
      <c r="R250" s="18">
        <f>MONTH(A250)</f>
        <v>2</v>
      </c>
      <c r="S250" s="18">
        <f>IF(R250&lt;4,Q250-1,Q250)</f>
        <v>2023</v>
      </c>
      <c r="T250" s="18">
        <f>IF(R250&lt;4,R250+9,R250-3)</f>
        <v>11</v>
      </c>
      <c r="U250" s="18">
        <f>IF(LEN(T250)=1,_xlfn.CONCAT(0,T250),T250)</f>
        <v>11</v>
      </c>
      <c r="V250" s="18" t="str">
        <f>_xlfn.CONCAT(S250,U250)</f>
        <v>202311</v>
      </c>
      <c r="W250" s="18" t="str">
        <f>_xlfn.CONCAT(TEXT(A250,"MMM"),"-",MID(Q250,3,2))</f>
        <v>Feb-24</v>
      </c>
      <c r="X250" s="19">
        <f>IFERROR(IF(D250="Sell",(H250-P250),-(H250+P250)),0)</f>
        <v>-21615.48</v>
      </c>
      <c r="Y250" s="19">
        <f>X250/1000</f>
        <v>-21.615479999999998</v>
      </c>
    </row>
    <row r="251" spans="1:25" x14ac:dyDescent="0.25">
      <c r="A251" s="1">
        <v>45336</v>
      </c>
      <c r="B251" t="s">
        <v>606</v>
      </c>
      <c r="C251" t="s">
        <v>17</v>
      </c>
      <c r="D251" t="s">
        <v>22</v>
      </c>
      <c r="E251">
        <v>400</v>
      </c>
      <c r="F251">
        <v>0</v>
      </c>
      <c r="G251">
        <v>64.8</v>
      </c>
      <c r="H251">
        <v>25920</v>
      </c>
      <c r="I251" t="s">
        <v>609</v>
      </c>
      <c r="J251">
        <v>0</v>
      </c>
      <c r="K251">
        <v>13.09</v>
      </c>
      <c r="L251">
        <v>0</v>
      </c>
      <c r="M251">
        <v>0.03</v>
      </c>
      <c r="N251">
        <v>160</v>
      </c>
      <c r="O251">
        <v>31.16</v>
      </c>
      <c r="P251">
        <v>204.28</v>
      </c>
      <c r="Q251" s="18">
        <f>YEAR(A251)</f>
        <v>2024</v>
      </c>
      <c r="R251" s="18">
        <f>MONTH(A251)</f>
        <v>2</v>
      </c>
      <c r="S251" s="18">
        <f>IF(R251&lt;4,Q251-1,Q251)</f>
        <v>2023</v>
      </c>
      <c r="T251" s="18">
        <f>IF(R251&lt;4,R251+9,R251-3)</f>
        <v>11</v>
      </c>
      <c r="U251" s="18">
        <f>IF(LEN(T251)=1,_xlfn.CONCAT(0,T251),T251)</f>
        <v>11</v>
      </c>
      <c r="V251" s="18" t="str">
        <f>_xlfn.CONCAT(S251,U251)</f>
        <v>202311</v>
      </c>
      <c r="W251" s="18" t="str">
        <f>_xlfn.CONCAT(TEXT(A251,"MMM"),"-",MID(Q251,3,2))</f>
        <v>Feb-24</v>
      </c>
      <c r="X251" s="19">
        <f>IFERROR(IF(D251="Sell",(H251-P251),-(H251+P251)),0)</f>
        <v>-26124.28</v>
      </c>
      <c r="Y251" s="19">
        <f>X251/1000</f>
        <v>-26.124279999999999</v>
      </c>
    </row>
    <row r="252" spans="1:25" x14ac:dyDescent="0.25">
      <c r="A252" s="1">
        <v>45336</v>
      </c>
      <c r="B252" t="s">
        <v>610</v>
      </c>
      <c r="C252" t="s">
        <v>17</v>
      </c>
      <c r="D252" t="s">
        <v>18</v>
      </c>
      <c r="E252">
        <v>350</v>
      </c>
      <c r="F252">
        <v>0</v>
      </c>
      <c r="G252">
        <v>59.11</v>
      </c>
      <c r="H252">
        <v>20690</v>
      </c>
      <c r="I252" t="s">
        <v>611</v>
      </c>
      <c r="J252">
        <v>12.94</v>
      </c>
      <c r="K252">
        <v>10.45</v>
      </c>
      <c r="L252">
        <v>0</v>
      </c>
      <c r="M252">
        <v>0.02</v>
      </c>
      <c r="N252">
        <v>140</v>
      </c>
      <c r="O252">
        <v>27.06</v>
      </c>
      <c r="P252">
        <v>190.47</v>
      </c>
      <c r="Q252" s="18">
        <f>YEAR(A252)</f>
        <v>2024</v>
      </c>
      <c r="R252" s="18">
        <f>MONTH(A252)</f>
        <v>2</v>
      </c>
      <c r="S252" s="18">
        <f>IF(R252&lt;4,Q252-1,Q252)</f>
        <v>2023</v>
      </c>
      <c r="T252" s="18">
        <f>IF(R252&lt;4,R252+9,R252-3)</f>
        <v>11</v>
      </c>
      <c r="U252" s="18">
        <f>IF(LEN(T252)=1,_xlfn.CONCAT(0,T252),T252)</f>
        <v>11</v>
      </c>
      <c r="V252" s="18" t="str">
        <f>_xlfn.CONCAT(S252,U252)</f>
        <v>202311</v>
      </c>
      <c r="W252" s="18" t="str">
        <f>_xlfn.CONCAT(TEXT(A252,"MMM"),"-",MID(Q252,3,2))</f>
        <v>Feb-24</v>
      </c>
      <c r="X252" s="19">
        <f>IFERROR(IF(D252="Sell",(H252-P252),-(H252+P252)),0)</f>
        <v>20499.53</v>
      </c>
      <c r="Y252" s="19">
        <f>X252/1000</f>
        <v>20.49953</v>
      </c>
    </row>
    <row r="253" spans="1:25" x14ac:dyDescent="0.25">
      <c r="A253" s="1">
        <v>45336</v>
      </c>
      <c r="B253" t="s">
        <v>610</v>
      </c>
      <c r="C253" t="s">
        <v>17</v>
      </c>
      <c r="D253" t="s">
        <v>22</v>
      </c>
      <c r="E253">
        <v>300</v>
      </c>
      <c r="F253">
        <v>0</v>
      </c>
      <c r="G253">
        <v>69.17</v>
      </c>
      <c r="H253">
        <v>20750</v>
      </c>
      <c r="I253" t="s">
        <v>612</v>
      </c>
      <c r="J253">
        <v>0</v>
      </c>
      <c r="K253">
        <v>10.48</v>
      </c>
      <c r="L253">
        <v>0</v>
      </c>
      <c r="M253">
        <v>0.02</v>
      </c>
      <c r="N253">
        <v>120</v>
      </c>
      <c r="O253">
        <v>23.52</v>
      </c>
      <c r="P253">
        <v>154.02000000000001</v>
      </c>
      <c r="Q253" s="18">
        <f>YEAR(A253)</f>
        <v>2024</v>
      </c>
      <c r="R253" s="18">
        <f>MONTH(A253)</f>
        <v>2</v>
      </c>
      <c r="S253" s="18">
        <f>IF(R253&lt;4,Q253-1,Q253)</f>
        <v>2023</v>
      </c>
      <c r="T253" s="18">
        <f>IF(R253&lt;4,R253+9,R253-3)</f>
        <v>11</v>
      </c>
      <c r="U253" s="18">
        <f>IF(LEN(T253)=1,_xlfn.CONCAT(0,T253),T253)</f>
        <v>11</v>
      </c>
      <c r="V253" s="18" t="str">
        <f>_xlfn.CONCAT(S253,U253)</f>
        <v>202311</v>
      </c>
      <c r="W253" s="18" t="str">
        <f>_xlfn.CONCAT(TEXT(A253,"MMM"),"-",MID(Q253,3,2))</f>
        <v>Feb-24</v>
      </c>
      <c r="X253" s="19">
        <f>IFERROR(IF(D253="Sell",(H253-P253),-(H253+P253)),0)</f>
        <v>-20904.02</v>
      </c>
      <c r="Y253" s="19">
        <f>X253/1000</f>
        <v>-20.904019999999999</v>
      </c>
    </row>
    <row r="254" spans="1:25" x14ac:dyDescent="0.25">
      <c r="A254" s="1">
        <v>45336</v>
      </c>
      <c r="B254" t="s">
        <v>610</v>
      </c>
      <c r="C254" t="s">
        <v>17</v>
      </c>
      <c r="D254" t="s">
        <v>22</v>
      </c>
      <c r="E254">
        <v>50</v>
      </c>
      <c r="F254">
        <v>0</v>
      </c>
      <c r="G254">
        <v>71.7</v>
      </c>
      <c r="H254">
        <v>3585</v>
      </c>
      <c r="I254" t="s">
        <v>613</v>
      </c>
      <c r="J254">
        <v>0</v>
      </c>
      <c r="K254">
        <v>1.81</v>
      </c>
      <c r="L254">
        <v>0</v>
      </c>
      <c r="M254">
        <v>0</v>
      </c>
      <c r="N254">
        <v>20</v>
      </c>
      <c r="O254">
        <v>3.92</v>
      </c>
      <c r="P254">
        <v>25.73</v>
      </c>
      <c r="Q254" s="18">
        <f>YEAR(A254)</f>
        <v>2024</v>
      </c>
      <c r="R254" s="18">
        <f>MONTH(A254)</f>
        <v>2</v>
      </c>
      <c r="S254" s="18">
        <f>IF(R254&lt;4,Q254-1,Q254)</f>
        <v>2023</v>
      </c>
      <c r="T254" s="18">
        <f>IF(R254&lt;4,R254+9,R254-3)</f>
        <v>11</v>
      </c>
      <c r="U254" s="18">
        <f>IF(LEN(T254)=1,_xlfn.CONCAT(0,T254),T254)</f>
        <v>11</v>
      </c>
      <c r="V254" s="18" t="str">
        <f>_xlfn.CONCAT(S254,U254)</f>
        <v>202311</v>
      </c>
      <c r="W254" s="18" t="str">
        <f>_xlfn.CONCAT(TEXT(A254,"MMM"),"-",MID(Q254,3,2))</f>
        <v>Feb-24</v>
      </c>
      <c r="X254" s="19">
        <f>IFERROR(IF(D254="Sell",(H254-P254),-(H254+P254)),0)</f>
        <v>-3610.73</v>
      </c>
      <c r="Y254" s="19">
        <f>X254/1000</f>
        <v>-3.6107300000000002</v>
      </c>
    </row>
    <row r="255" spans="1:25" x14ac:dyDescent="0.25">
      <c r="A255" s="1">
        <v>45336</v>
      </c>
      <c r="B255" t="s">
        <v>614</v>
      </c>
      <c r="C255" t="s">
        <v>17</v>
      </c>
      <c r="D255" t="s">
        <v>18</v>
      </c>
      <c r="E255">
        <v>195</v>
      </c>
      <c r="F255">
        <v>0</v>
      </c>
      <c r="G255">
        <v>57.95</v>
      </c>
      <c r="H255">
        <v>11300.25</v>
      </c>
      <c r="I255" t="s">
        <v>615</v>
      </c>
      <c r="J255">
        <v>7.07</v>
      </c>
      <c r="K255">
        <v>5.71</v>
      </c>
      <c r="L255">
        <v>0</v>
      </c>
      <c r="M255">
        <v>0</v>
      </c>
      <c r="N255">
        <v>260</v>
      </c>
      <c r="O255">
        <v>47.84</v>
      </c>
      <c r="P255">
        <v>320.62</v>
      </c>
      <c r="Q255" s="18">
        <f>YEAR(A255)</f>
        <v>2024</v>
      </c>
      <c r="R255" s="18">
        <f>MONTH(A255)</f>
        <v>2</v>
      </c>
      <c r="S255" s="18">
        <f>IF(R255&lt;4,Q255-1,Q255)</f>
        <v>2023</v>
      </c>
      <c r="T255" s="18">
        <f>IF(R255&lt;4,R255+9,R255-3)</f>
        <v>11</v>
      </c>
      <c r="U255" s="18">
        <f>IF(LEN(T255)=1,_xlfn.CONCAT(0,T255),T255)</f>
        <v>11</v>
      </c>
      <c r="V255" s="18" t="str">
        <f>_xlfn.CONCAT(S255,U255)</f>
        <v>202311</v>
      </c>
      <c r="W255" s="18" t="str">
        <f>_xlfn.CONCAT(TEXT(A255,"MMM"),"-",MID(Q255,3,2))</f>
        <v>Feb-24</v>
      </c>
      <c r="X255" s="19">
        <f>IFERROR(IF(D255="Sell",(H255-P255),-(H255+P255)),0)</f>
        <v>10979.63</v>
      </c>
      <c r="Y255" s="19">
        <f>X255/1000</f>
        <v>10.979629999999998</v>
      </c>
    </row>
    <row r="256" spans="1:25" x14ac:dyDescent="0.25">
      <c r="A256" s="1">
        <v>45336</v>
      </c>
      <c r="B256" t="s">
        <v>614</v>
      </c>
      <c r="C256" t="s">
        <v>17</v>
      </c>
      <c r="D256" t="s">
        <v>22</v>
      </c>
      <c r="E256">
        <v>90</v>
      </c>
      <c r="F256">
        <v>0</v>
      </c>
      <c r="G256">
        <v>66.7</v>
      </c>
      <c r="H256">
        <v>6003</v>
      </c>
      <c r="I256" t="s">
        <v>616</v>
      </c>
      <c r="J256">
        <v>0</v>
      </c>
      <c r="K256">
        <v>3.03</v>
      </c>
      <c r="L256">
        <v>0.41</v>
      </c>
      <c r="M256">
        <v>0.01</v>
      </c>
      <c r="N256">
        <v>120</v>
      </c>
      <c r="O256">
        <v>22.14</v>
      </c>
      <c r="P256">
        <v>145.59</v>
      </c>
      <c r="Q256" s="18">
        <f>YEAR(A256)</f>
        <v>2024</v>
      </c>
      <c r="R256" s="18">
        <f>MONTH(A256)</f>
        <v>2</v>
      </c>
      <c r="S256" s="18">
        <f>IF(R256&lt;4,Q256-1,Q256)</f>
        <v>2023</v>
      </c>
      <c r="T256" s="18">
        <f>IF(R256&lt;4,R256+9,R256-3)</f>
        <v>11</v>
      </c>
      <c r="U256" s="18">
        <f>IF(LEN(T256)=1,_xlfn.CONCAT(0,T256),T256)</f>
        <v>11</v>
      </c>
      <c r="V256" s="18" t="str">
        <f>_xlfn.CONCAT(S256,U256)</f>
        <v>202311</v>
      </c>
      <c r="W256" s="18" t="str">
        <f>_xlfn.CONCAT(TEXT(A256,"MMM"),"-",MID(Q256,3,2))</f>
        <v>Feb-24</v>
      </c>
      <c r="X256" s="19">
        <f>IFERROR(IF(D256="Sell",(H256-P256),-(H256+P256)),0)</f>
        <v>-6148.59</v>
      </c>
      <c r="Y256" s="19">
        <f>X256/1000</f>
        <v>-6.1485900000000004</v>
      </c>
    </row>
    <row r="257" spans="1:25" x14ac:dyDescent="0.25">
      <c r="A257" s="1">
        <v>45336</v>
      </c>
      <c r="B257" t="s">
        <v>614</v>
      </c>
      <c r="C257" t="s">
        <v>17</v>
      </c>
      <c r="D257" t="s">
        <v>22</v>
      </c>
      <c r="E257">
        <v>90</v>
      </c>
      <c r="F257">
        <v>0</v>
      </c>
      <c r="G257">
        <v>67.3</v>
      </c>
      <c r="H257">
        <v>6057</v>
      </c>
      <c r="I257" t="s">
        <v>617</v>
      </c>
      <c r="J257">
        <v>0</v>
      </c>
      <c r="K257">
        <v>3.06</v>
      </c>
      <c r="L257">
        <v>0</v>
      </c>
      <c r="M257">
        <v>0.01</v>
      </c>
      <c r="N257">
        <v>120</v>
      </c>
      <c r="O257">
        <v>22.16</v>
      </c>
      <c r="P257">
        <v>145.22999999999999</v>
      </c>
      <c r="Q257" s="18">
        <f>YEAR(A257)</f>
        <v>2024</v>
      </c>
      <c r="R257" s="18">
        <f>MONTH(A257)</f>
        <v>2</v>
      </c>
      <c r="S257" s="18">
        <f>IF(R257&lt;4,Q257-1,Q257)</f>
        <v>2023</v>
      </c>
      <c r="T257" s="18">
        <f>IF(R257&lt;4,R257+9,R257-3)</f>
        <v>11</v>
      </c>
      <c r="U257" s="18">
        <f>IF(LEN(T257)=1,_xlfn.CONCAT(0,T257),T257)</f>
        <v>11</v>
      </c>
      <c r="V257" s="18" t="str">
        <f>_xlfn.CONCAT(S257,U257)</f>
        <v>202311</v>
      </c>
      <c r="W257" s="18" t="str">
        <f>_xlfn.CONCAT(TEXT(A257,"MMM"),"-",MID(Q257,3,2))</f>
        <v>Feb-24</v>
      </c>
      <c r="X257" s="19">
        <f>IFERROR(IF(D257="Sell",(H257-P257),-(H257+P257)),0)</f>
        <v>-6202.23</v>
      </c>
      <c r="Y257" s="19">
        <f>X257/1000</f>
        <v>-6.2022299999999992</v>
      </c>
    </row>
    <row r="258" spans="1:25" x14ac:dyDescent="0.25">
      <c r="A258" s="1">
        <v>45336</v>
      </c>
      <c r="B258" t="s">
        <v>614</v>
      </c>
      <c r="C258" t="s">
        <v>17</v>
      </c>
      <c r="D258" t="s">
        <v>22</v>
      </c>
      <c r="E258">
        <v>15</v>
      </c>
      <c r="F258">
        <v>0</v>
      </c>
      <c r="G258">
        <v>108.2</v>
      </c>
      <c r="H258">
        <v>1623</v>
      </c>
      <c r="I258" t="s">
        <v>618</v>
      </c>
      <c r="J258">
        <v>0</v>
      </c>
      <c r="K258">
        <v>0.82</v>
      </c>
      <c r="L258">
        <v>0</v>
      </c>
      <c r="M258">
        <v>0</v>
      </c>
      <c r="N258">
        <v>20</v>
      </c>
      <c r="O258">
        <v>3.74</v>
      </c>
      <c r="P258">
        <v>24.56</v>
      </c>
      <c r="Q258" s="18">
        <f>YEAR(A258)</f>
        <v>2024</v>
      </c>
      <c r="R258" s="18">
        <f>MONTH(A258)</f>
        <v>2</v>
      </c>
      <c r="S258" s="18">
        <f>IF(R258&lt;4,Q258-1,Q258)</f>
        <v>2023</v>
      </c>
      <c r="T258" s="18">
        <f>IF(R258&lt;4,R258+9,R258-3)</f>
        <v>11</v>
      </c>
      <c r="U258" s="18">
        <f>IF(LEN(T258)=1,_xlfn.CONCAT(0,T258),T258)</f>
        <v>11</v>
      </c>
      <c r="V258" s="18" t="str">
        <f>_xlfn.CONCAT(S258,U258)</f>
        <v>202311</v>
      </c>
      <c r="W258" s="18" t="str">
        <f>_xlfn.CONCAT(TEXT(A258,"MMM"),"-",MID(Q258,3,2))</f>
        <v>Feb-24</v>
      </c>
      <c r="X258" s="19">
        <f>IFERROR(IF(D258="Sell",(H258-P258),-(H258+P258)),0)</f>
        <v>-1647.56</v>
      </c>
      <c r="Y258" s="19">
        <f>X258/1000</f>
        <v>-1.6475599999999999</v>
      </c>
    </row>
    <row r="259" spans="1:25" x14ac:dyDescent="0.25">
      <c r="A259" s="1">
        <v>45336</v>
      </c>
      <c r="B259" t="s">
        <v>619</v>
      </c>
      <c r="C259" t="s">
        <v>17</v>
      </c>
      <c r="D259" t="s">
        <v>18</v>
      </c>
      <c r="E259">
        <v>105</v>
      </c>
      <c r="F259">
        <v>0</v>
      </c>
      <c r="G259">
        <v>5.75</v>
      </c>
      <c r="H259">
        <v>603.75</v>
      </c>
      <c r="I259" t="s">
        <v>620</v>
      </c>
      <c r="J259">
        <v>0.38</v>
      </c>
      <c r="K259">
        <v>0.3</v>
      </c>
      <c r="L259">
        <v>0</v>
      </c>
      <c r="M259">
        <v>0</v>
      </c>
      <c r="N259">
        <v>140</v>
      </c>
      <c r="O259">
        <v>25.26</v>
      </c>
      <c r="P259">
        <v>165.94</v>
      </c>
      <c r="Q259" s="18">
        <f>YEAR(A259)</f>
        <v>2024</v>
      </c>
      <c r="R259" s="18">
        <f>MONTH(A259)</f>
        <v>2</v>
      </c>
      <c r="S259" s="18">
        <f>IF(R259&lt;4,Q259-1,Q259)</f>
        <v>2023</v>
      </c>
      <c r="T259" s="18">
        <f>IF(R259&lt;4,R259+9,R259-3)</f>
        <v>11</v>
      </c>
      <c r="U259" s="18">
        <f>IF(LEN(T259)=1,_xlfn.CONCAT(0,T259),T259)</f>
        <v>11</v>
      </c>
      <c r="V259" s="18" t="str">
        <f>_xlfn.CONCAT(S259,U259)</f>
        <v>202311</v>
      </c>
      <c r="W259" s="18" t="str">
        <f>_xlfn.CONCAT(TEXT(A259,"MMM"),"-",MID(Q259,3,2))</f>
        <v>Feb-24</v>
      </c>
      <c r="X259" s="19">
        <f>IFERROR(IF(D259="Sell",(H259-P259),-(H259+P259)),0)</f>
        <v>437.81</v>
      </c>
      <c r="Y259" s="19">
        <f>X259/1000</f>
        <v>0.43780999999999998</v>
      </c>
    </row>
    <row r="260" spans="1:25" x14ac:dyDescent="0.25">
      <c r="A260" s="1">
        <v>45336</v>
      </c>
      <c r="B260" t="s">
        <v>610</v>
      </c>
      <c r="C260" t="s">
        <v>17</v>
      </c>
      <c r="D260" t="s">
        <v>18</v>
      </c>
      <c r="E260">
        <v>450</v>
      </c>
      <c r="F260">
        <v>0</v>
      </c>
      <c r="G260">
        <v>63</v>
      </c>
      <c r="H260">
        <v>28350</v>
      </c>
      <c r="I260" t="s">
        <v>621</v>
      </c>
      <c r="J260">
        <v>17.78</v>
      </c>
      <c r="K260">
        <v>14.32</v>
      </c>
      <c r="L260">
        <v>0</v>
      </c>
      <c r="M260">
        <v>0.03</v>
      </c>
      <c r="N260">
        <v>180</v>
      </c>
      <c r="O260">
        <v>34.979999999999997</v>
      </c>
      <c r="P260">
        <v>247.11</v>
      </c>
      <c r="Q260" s="18">
        <f>YEAR(A260)</f>
        <v>2024</v>
      </c>
      <c r="R260" s="18">
        <f>MONTH(A260)</f>
        <v>2</v>
      </c>
      <c r="S260" s="18">
        <f>IF(R260&lt;4,Q260-1,Q260)</f>
        <v>2023</v>
      </c>
      <c r="T260" s="18">
        <f>IF(R260&lt;4,R260+9,R260-3)</f>
        <v>11</v>
      </c>
      <c r="U260" s="18">
        <f>IF(LEN(T260)=1,_xlfn.CONCAT(0,T260),T260)</f>
        <v>11</v>
      </c>
      <c r="V260" s="18" t="str">
        <f>_xlfn.CONCAT(S260,U260)</f>
        <v>202311</v>
      </c>
      <c r="W260" s="18" t="str">
        <f>_xlfn.CONCAT(TEXT(A260,"MMM"),"-",MID(Q260,3,2))</f>
        <v>Feb-24</v>
      </c>
      <c r="X260" s="19">
        <f>IFERROR(IF(D260="Sell",(H260-P260),-(H260+P260)),0)</f>
        <v>28102.89</v>
      </c>
      <c r="Y260" s="19">
        <f>X260/1000</f>
        <v>28.102889999999999</v>
      </c>
    </row>
    <row r="261" spans="1:25" x14ac:dyDescent="0.25">
      <c r="A261" s="1">
        <v>45336</v>
      </c>
      <c r="B261" t="s">
        <v>610</v>
      </c>
      <c r="C261" t="s">
        <v>17</v>
      </c>
      <c r="D261" t="s">
        <v>22</v>
      </c>
      <c r="E261">
        <v>400</v>
      </c>
      <c r="F261">
        <v>0</v>
      </c>
      <c r="G261">
        <v>53.8</v>
      </c>
      <c r="H261">
        <v>21520</v>
      </c>
      <c r="I261" t="s">
        <v>622</v>
      </c>
      <c r="J261">
        <v>0</v>
      </c>
      <c r="K261">
        <v>10.87</v>
      </c>
      <c r="L261">
        <v>1.1399999999999999</v>
      </c>
      <c r="M261">
        <v>0.02</v>
      </c>
      <c r="N261">
        <v>160</v>
      </c>
      <c r="O261">
        <v>30.76</v>
      </c>
      <c r="P261">
        <v>202.79</v>
      </c>
      <c r="Q261" s="18">
        <f>YEAR(A261)</f>
        <v>2024</v>
      </c>
      <c r="R261" s="18">
        <f>MONTH(A261)</f>
        <v>2</v>
      </c>
      <c r="S261" s="18">
        <f>IF(R261&lt;4,Q261-1,Q261)</f>
        <v>2023</v>
      </c>
      <c r="T261" s="18">
        <f>IF(R261&lt;4,R261+9,R261-3)</f>
        <v>11</v>
      </c>
      <c r="U261" s="18">
        <f>IF(LEN(T261)=1,_xlfn.CONCAT(0,T261),T261)</f>
        <v>11</v>
      </c>
      <c r="V261" s="18" t="str">
        <f>_xlfn.CONCAT(S261,U261)</f>
        <v>202311</v>
      </c>
      <c r="W261" s="18" t="str">
        <f>_xlfn.CONCAT(TEXT(A261,"MMM"),"-",MID(Q261,3,2))</f>
        <v>Feb-24</v>
      </c>
      <c r="X261" s="19">
        <f>IFERROR(IF(D261="Sell",(H261-P261),-(H261+P261)),0)</f>
        <v>-21722.79</v>
      </c>
      <c r="Y261" s="19">
        <f>X261/1000</f>
        <v>-21.72279</v>
      </c>
    </row>
    <row r="262" spans="1:25" x14ac:dyDescent="0.25">
      <c r="A262" s="1">
        <v>45336</v>
      </c>
      <c r="B262" t="s">
        <v>610</v>
      </c>
      <c r="C262" t="s">
        <v>17</v>
      </c>
      <c r="D262" t="s">
        <v>22</v>
      </c>
      <c r="E262">
        <v>50</v>
      </c>
      <c r="F262">
        <v>0</v>
      </c>
      <c r="G262">
        <v>51.75</v>
      </c>
      <c r="H262">
        <v>2587.5</v>
      </c>
      <c r="I262" t="s">
        <v>623</v>
      </c>
      <c r="J262">
        <v>0</v>
      </c>
      <c r="K262">
        <v>1.31</v>
      </c>
      <c r="L262">
        <v>0</v>
      </c>
      <c r="M262">
        <v>0</v>
      </c>
      <c r="N262">
        <v>20</v>
      </c>
      <c r="O262">
        <v>3.84</v>
      </c>
      <c r="P262">
        <v>25.15</v>
      </c>
      <c r="Q262" s="18">
        <f>YEAR(A262)</f>
        <v>2024</v>
      </c>
      <c r="R262" s="18">
        <f>MONTH(A262)</f>
        <v>2</v>
      </c>
      <c r="S262" s="18">
        <f>IF(R262&lt;4,Q262-1,Q262)</f>
        <v>2023</v>
      </c>
      <c r="T262" s="18">
        <f>IF(R262&lt;4,R262+9,R262-3)</f>
        <v>11</v>
      </c>
      <c r="U262" s="18">
        <f>IF(LEN(T262)=1,_xlfn.CONCAT(0,T262),T262)</f>
        <v>11</v>
      </c>
      <c r="V262" s="18" t="str">
        <f>_xlfn.CONCAT(S262,U262)</f>
        <v>202311</v>
      </c>
      <c r="W262" s="18" t="str">
        <f>_xlfn.CONCAT(TEXT(A262,"MMM"),"-",MID(Q262,3,2))</f>
        <v>Feb-24</v>
      </c>
      <c r="X262" s="19">
        <f>IFERROR(IF(D262="Sell",(H262-P262),-(H262+P262)),0)</f>
        <v>-2612.65</v>
      </c>
      <c r="Y262" s="19">
        <f>X262/1000</f>
        <v>-2.6126499999999999</v>
      </c>
    </row>
    <row r="263" spans="1:25" x14ac:dyDescent="0.25">
      <c r="A263" s="1">
        <v>45336</v>
      </c>
      <c r="B263" t="s">
        <v>619</v>
      </c>
      <c r="C263" t="s">
        <v>17</v>
      </c>
      <c r="D263" t="s">
        <v>22</v>
      </c>
      <c r="E263">
        <v>15</v>
      </c>
      <c r="F263">
        <v>0</v>
      </c>
      <c r="G263">
        <v>9.5</v>
      </c>
      <c r="H263">
        <v>142.5</v>
      </c>
      <c r="I263" t="s">
        <v>624</v>
      </c>
      <c r="J263">
        <v>0</v>
      </c>
      <c r="K263">
        <v>7.0000000000000007E-2</v>
      </c>
      <c r="L263">
        <v>0.03</v>
      </c>
      <c r="M263">
        <v>0</v>
      </c>
      <c r="N263">
        <v>20</v>
      </c>
      <c r="O263">
        <v>3.62</v>
      </c>
      <c r="P263">
        <v>23.72</v>
      </c>
      <c r="Q263" s="18">
        <f>YEAR(A263)</f>
        <v>2024</v>
      </c>
      <c r="R263" s="18">
        <f>MONTH(A263)</f>
        <v>2</v>
      </c>
      <c r="S263" s="18">
        <f>IF(R263&lt;4,Q263-1,Q263)</f>
        <v>2023</v>
      </c>
      <c r="T263" s="18">
        <f>IF(R263&lt;4,R263+9,R263-3)</f>
        <v>11</v>
      </c>
      <c r="U263" s="18">
        <f>IF(LEN(T263)=1,_xlfn.CONCAT(0,T263),T263)</f>
        <v>11</v>
      </c>
      <c r="V263" s="18" t="str">
        <f>_xlfn.CONCAT(S263,U263)</f>
        <v>202311</v>
      </c>
      <c r="W263" s="18" t="str">
        <f>_xlfn.CONCAT(TEXT(A263,"MMM"),"-",MID(Q263,3,2))</f>
        <v>Feb-24</v>
      </c>
      <c r="X263" s="19">
        <f>IFERROR(IF(D263="Sell",(H263-P263),-(H263+P263)),0)</f>
        <v>-166.22</v>
      </c>
      <c r="Y263" s="19">
        <f>X263/1000</f>
        <v>-0.16622000000000001</v>
      </c>
    </row>
    <row r="264" spans="1:25" x14ac:dyDescent="0.25">
      <c r="A264" s="1">
        <v>45336</v>
      </c>
      <c r="B264" t="s">
        <v>619</v>
      </c>
      <c r="C264" t="s">
        <v>17</v>
      </c>
      <c r="D264" t="s">
        <v>22</v>
      </c>
      <c r="E264">
        <v>15</v>
      </c>
      <c r="F264">
        <v>0</v>
      </c>
      <c r="G264">
        <v>9.5</v>
      </c>
      <c r="H264">
        <v>142.5</v>
      </c>
      <c r="I264" t="s">
        <v>625</v>
      </c>
      <c r="J264">
        <v>0</v>
      </c>
      <c r="K264">
        <v>7.0000000000000007E-2</v>
      </c>
      <c r="L264">
        <v>0</v>
      </c>
      <c r="M264">
        <v>0</v>
      </c>
      <c r="N264">
        <v>20</v>
      </c>
      <c r="O264">
        <v>3.62</v>
      </c>
      <c r="P264">
        <v>23.69</v>
      </c>
      <c r="Q264" s="18">
        <f>YEAR(A264)</f>
        <v>2024</v>
      </c>
      <c r="R264" s="18">
        <f>MONTH(A264)</f>
        <v>2</v>
      </c>
      <c r="S264" s="18">
        <f>IF(R264&lt;4,Q264-1,Q264)</f>
        <v>2023</v>
      </c>
      <c r="T264" s="18">
        <f>IF(R264&lt;4,R264+9,R264-3)</f>
        <v>11</v>
      </c>
      <c r="U264" s="18">
        <f>IF(LEN(T264)=1,_xlfn.CONCAT(0,T264),T264)</f>
        <v>11</v>
      </c>
      <c r="V264" s="18" t="str">
        <f>_xlfn.CONCAT(S264,U264)</f>
        <v>202311</v>
      </c>
      <c r="W264" s="18" t="str">
        <f>_xlfn.CONCAT(TEXT(A264,"MMM"),"-",MID(Q264,3,2))</f>
        <v>Feb-24</v>
      </c>
      <c r="X264" s="19">
        <f>IFERROR(IF(D264="Sell",(H264-P264),-(H264+P264)),0)</f>
        <v>-166.19</v>
      </c>
      <c r="Y264" s="19">
        <f>X264/1000</f>
        <v>-0.16619</v>
      </c>
    </row>
    <row r="265" spans="1:25" x14ac:dyDescent="0.25">
      <c r="A265" s="1">
        <v>45336</v>
      </c>
      <c r="B265" t="s">
        <v>619</v>
      </c>
      <c r="C265" t="s">
        <v>17</v>
      </c>
      <c r="D265" t="s">
        <v>22</v>
      </c>
      <c r="E265">
        <v>15</v>
      </c>
      <c r="F265">
        <v>0</v>
      </c>
      <c r="G265">
        <v>9.1</v>
      </c>
      <c r="H265">
        <v>136.5</v>
      </c>
      <c r="I265" t="s">
        <v>626</v>
      </c>
      <c r="J265">
        <v>0</v>
      </c>
      <c r="K265">
        <v>7.0000000000000007E-2</v>
      </c>
      <c r="L265">
        <v>0</v>
      </c>
      <c r="M265">
        <v>0</v>
      </c>
      <c r="N265">
        <v>20</v>
      </c>
      <c r="O265">
        <v>3.62</v>
      </c>
      <c r="P265">
        <v>23.69</v>
      </c>
      <c r="Q265" s="18">
        <f>YEAR(A265)</f>
        <v>2024</v>
      </c>
      <c r="R265" s="18">
        <f>MONTH(A265)</f>
        <v>2</v>
      </c>
      <c r="S265" s="18">
        <f>IF(R265&lt;4,Q265-1,Q265)</f>
        <v>2023</v>
      </c>
      <c r="T265" s="18">
        <f>IF(R265&lt;4,R265+9,R265-3)</f>
        <v>11</v>
      </c>
      <c r="U265" s="18">
        <f>IF(LEN(T265)=1,_xlfn.CONCAT(0,T265),T265)</f>
        <v>11</v>
      </c>
      <c r="V265" s="18" t="str">
        <f>_xlfn.CONCAT(S265,U265)</f>
        <v>202311</v>
      </c>
      <c r="W265" s="18" t="str">
        <f>_xlfn.CONCAT(TEXT(A265,"MMM"),"-",MID(Q265,3,2))</f>
        <v>Feb-24</v>
      </c>
      <c r="X265" s="19">
        <f>IFERROR(IF(D265="Sell",(H265-P265),-(H265+P265)),0)</f>
        <v>-160.19</v>
      </c>
      <c r="Y265" s="19">
        <f>X265/1000</f>
        <v>-0.16019</v>
      </c>
    </row>
    <row r="266" spans="1:25" x14ac:dyDescent="0.25">
      <c r="A266" s="1">
        <v>45336</v>
      </c>
      <c r="B266" t="s">
        <v>619</v>
      </c>
      <c r="C266" t="s">
        <v>17</v>
      </c>
      <c r="D266" t="s">
        <v>22</v>
      </c>
      <c r="E266">
        <v>15</v>
      </c>
      <c r="F266">
        <v>0</v>
      </c>
      <c r="G266">
        <v>9.15</v>
      </c>
      <c r="H266">
        <v>137.25</v>
      </c>
      <c r="I266" t="s">
        <v>627</v>
      </c>
      <c r="J266">
        <v>0</v>
      </c>
      <c r="K266">
        <v>7.0000000000000007E-2</v>
      </c>
      <c r="L266">
        <v>0</v>
      </c>
      <c r="M266">
        <v>0</v>
      </c>
      <c r="N266">
        <v>20</v>
      </c>
      <c r="O266">
        <v>3.62</v>
      </c>
      <c r="P266">
        <v>23.69</v>
      </c>
      <c r="Q266" s="18">
        <f>YEAR(A266)</f>
        <v>2024</v>
      </c>
      <c r="R266" s="18">
        <f>MONTH(A266)</f>
        <v>2</v>
      </c>
      <c r="S266" s="18">
        <f>IF(R266&lt;4,Q266-1,Q266)</f>
        <v>2023</v>
      </c>
      <c r="T266" s="18">
        <f>IF(R266&lt;4,R266+9,R266-3)</f>
        <v>11</v>
      </c>
      <c r="U266" s="18">
        <f>IF(LEN(T266)=1,_xlfn.CONCAT(0,T266),T266)</f>
        <v>11</v>
      </c>
      <c r="V266" s="18" t="str">
        <f>_xlfn.CONCAT(S266,U266)</f>
        <v>202311</v>
      </c>
      <c r="W266" s="18" t="str">
        <f>_xlfn.CONCAT(TEXT(A266,"MMM"),"-",MID(Q266,3,2))</f>
        <v>Feb-24</v>
      </c>
      <c r="X266" s="19">
        <f>IFERROR(IF(D266="Sell",(H266-P266),-(H266+P266)),0)</f>
        <v>-160.94</v>
      </c>
      <c r="Y266" s="19">
        <f>X266/1000</f>
        <v>-0.16094</v>
      </c>
    </row>
    <row r="267" spans="1:25" x14ac:dyDescent="0.25">
      <c r="A267" s="1">
        <v>45336</v>
      </c>
      <c r="B267" t="s">
        <v>619</v>
      </c>
      <c r="C267" t="s">
        <v>17</v>
      </c>
      <c r="D267" t="s">
        <v>22</v>
      </c>
      <c r="E267">
        <v>15</v>
      </c>
      <c r="F267">
        <v>0</v>
      </c>
      <c r="G267">
        <v>8.9499999999999993</v>
      </c>
      <c r="H267">
        <v>134.25</v>
      </c>
      <c r="I267" t="s">
        <v>628</v>
      </c>
      <c r="J267">
        <v>0</v>
      </c>
      <c r="K267">
        <v>7.0000000000000007E-2</v>
      </c>
      <c r="L267">
        <v>0</v>
      </c>
      <c r="M267">
        <v>0</v>
      </c>
      <c r="N267">
        <v>20</v>
      </c>
      <c r="O267">
        <v>3.62</v>
      </c>
      <c r="P267">
        <v>23.69</v>
      </c>
      <c r="Q267" s="18">
        <f>YEAR(A267)</f>
        <v>2024</v>
      </c>
      <c r="R267" s="18">
        <f>MONTH(A267)</f>
        <v>2</v>
      </c>
      <c r="S267" s="18">
        <f>IF(R267&lt;4,Q267-1,Q267)</f>
        <v>2023</v>
      </c>
      <c r="T267" s="18">
        <f>IF(R267&lt;4,R267+9,R267-3)</f>
        <v>11</v>
      </c>
      <c r="U267" s="18">
        <f>IF(LEN(T267)=1,_xlfn.CONCAT(0,T267),T267)</f>
        <v>11</v>
      </c>
      <c r="V267" s="18" t="str">
        <f>_xlfn.CONCAT(S267,U267)</f>
        <v>202311</v>
      </c>
      <c r="W267" s="18" t="str">
        <f>_xlfn.CONCAT(TEXT(A267,"MMM"),"-",MID(Q267,3,2))</f>
        <v>Feb-24</v>
      </c>
      <c r="X267" s="19">
        <f>IFERROR(IF(D267="Sell",(H267-P267),-(H267+P267)),0)</f>
        <v>-157.94</v>
      </c>
      <c r="Y267" s="19">
        <f>X267/1000</f>
        <v>-0.15794</v>
      </c>
    </row>
    <row r="268" spans="1:25" x14ac:dyDescent="0.25">
      <c r="A268" s="1">
        <v>45336</v>
      </c>
      <c r="B268" t="s">
        <v>619</v>
      </c>
      <c r="C268" t="s">
        <v>17</v>
      </c>
      <c r="D268" t="s">
        <v>22</v>
      </c>
      <c r="E268">
        <v>15</v>
      </c>
      <c r="F268">
        <v>0</v>
      </c>
      <c r="G268">
        <v>8.75</v>
      </c>
      <c r="H268">
        <v>131.25</v>
      </c>
      <c r="I268" t="s">
        <v>629</v>
      </c>
      <c r="J268">
        <v>0</v>
      </c>
      <c r="K268">
        <v>7.0000000000000007E-2</v>
      </c>
      <c r="L268">
        <v>0</v>
      </c>
      <c r="M268">
        <v>0</v>
      </c>
      <c r="N268">
        <v>20</v>
      </c>
      <c r="O268">
        <v>3.62</v>
      </c>
      <c r="P268">
        <v>23.69</v>
      </c>
      <c r="Q268" s="18">
        <f>YEAR(A268)</f>
        <v>2024</v>
      </c>
      <c r="R268" s="18">
        <f>MONTH(A268)</f>
        <v>2</v>
      </c>
      <c r="S268" s="18">
        <f>IF(R268&lt;4,Q268-1,Q268)</f>
        <v>2023</v>
      </c>
      <c r="T268" s="18">
        <f>IF(R268&lt;4,R268+9,R268-3)</f>
        <v>11</v>
      </c>
      <c r="U268" s="18">
        <f>IF(LEN(T268)=1,_xlfn.CONCAT(0,T268),T268)</f>
        <v>11</v>
      </c>
      <c r="V268" s="18" t="str">
        <f>_xlfn.CONCAT(S268,U268)</f>
        <v>202311</v>
      </c>
      <c r="W268" s="18" t="str">
        <f>_xlfn.CONCAT(TEXT(A268,"MMM"),"-",MID(Q268,3,2))</f>
        <v>Feb-24</v>
      </c>
      <c r="X268" s="19">
        <f>IFERROR(IF(D268="Sell",(H268-P268),-(H268+P268)),0)</f>
        <v>-154.94</v>
      </c>
      <c r="Y268" s="19">
        <f>X268/1000</f>
        <v>-0.15493999999999999</v>
      </c>
    </row>
    <row r="269" spans="1:25" x14ac:dyDescent="0.25">
      <c r="A269" s="1">
        <v>45336</v>
      </c>
      <c r="B269" t="s">
        <v>619</v>
      </c>
      <c r="C269" t="s">
        <v>17</v>
      </c>
      <c r="D269" t="s">
        <v>22</v>
      </c>
      <c r="E269">
        <v>15</v>
      </c>
      <c r="F269">
        <v>0</v>
      </c>
      <c r="G269">
        <v>8.6</v>
      </c>
      <c r="H269">
        <v>129</v>
      </c>
      <c r="I269" t="s">
        <v>630</v>
      </c>
      <c r="J269">
        <v>0</v>
      </c>
      <c r="K269">
        <v>7.0000000000000007E-2</v>
      </c>
      <c r="L269">
        <v>0</v>
      </c>
      <c r="M269">
        <v>0</v>
      </c>
      <c r="N269">
        <v>20</v>
      </c>
      <c r="O269">
        <v>3.62</v>
      </c>
      <c r="P269">
        <v>23.69</v>
      </c>
      <c r="Q269" s="18">
        <f>YEAR(A269)</f>
        <v>2024</v>
      </c>
      <c r="R269" s="18">
        <f>MONTH(A269)</f>
        <v>2</v>
      </c>
      <c r="S269" s="18">
        <f>IF(R269&lt;4,Q269-1,Q269)</f>
        <v>2023</v>
      </c>
      <c r="T269" s="18">
        <f>IF(R269&lt;4,R269+9,R269-3)</f>
        <v>11</v>
      </c>
      <c r="U269" s="18">
        <f>IF(LEN(T269)=1,_xlfn.CONCAT(0,T269),T269)</f>
        <v>11</v>
      </c>
      <c r="V269" s="18" t="str">
        <f>_xlfn.CONCAT(S269,U269)</f>
        <v>202311</v>
      </c>
      <c r="W269" s="18" t="str">
        <f>_xlfn.CONCAT(TEXT(A269,"MMM"),"-",MID(Q269,3,2))</f>
        <v>Feb-24</v>
      </c>
      <c r="X269" s="19">
        <f>IFERROR(IF(D269="Sell",(H269-P269),-(H269+P269)),0)</f>
        <v>-152.69</v>
      </c>
      <c r="Y269" s="19">
        <f>X269/1000</f>
        <v>-0.15268999999999999</v>
      </c>
    </row>
    <row r="270" spans="1:25" x14ac:dyDescent="0.25">
      <c r="A270" s="1">
        <v>45337</v>
      </c>
      <c r="B270" t="s">
        <v>603</v>
      </c>
      <c r="C270" t="s">
        <v>17</v>
      </c>
      <c r="D270" t="s">
        <v>18</v>
      </c>
      <c r="E270">
        <v>500</v>
      </c>
      <c r="F270">
        <v>0</v>
      </c>
      <c r="G270">
        <v>24</v>
      </c>
      <c r="H270">
        <v>12000</v>
      </c>
      <c r="I270" t="s">
        <v>604</v>
      </c>
      <c r="J270">
        <v>8</v>
      </c>
      <c r="K270">
        <v>6.06</v>
      </c>
      <c r="L270">
        <v>0</v>
      </c>
      <c r="M270">
        <v>0.01</v>
      </c>
      <c r="N270">
        <v>200</v>
      </c>
      <c r="O270">
        <v>37.08</v>
      </c>
      <c r="P270">
        <v>251.15</v>
      </c>
      <c r="Q270" s="18">
        <f>YEAR(A270)</f>
        <v>2024</v>
      </c>
      <c r="R270" s="18">
        <f>MONTH(A270)</f>
        <v>2</v>
      </c>
      <c r="S270" s="18">
        <f>IF(R270&lt;4,Q270-1,Q270)</f>
        <v>2023</v>
      </c>
      <c r="T270" s="18">
        <f>IF(R270&lt;4,R270+9,R270-3)</f>
        <v>11</v>
      </c>
      <c r="U270" s="18">
        <f>IF(LEN(T270)=1,_xlfn.CONCAT(0,T270),T270)</f>
        <v>11</v>
      </c>
      <c r="V270" s="18" t="str">
        <f>_xlfn.CONCAT(S270,U270)</f>
        <v>202311</v>
      </c>
      <c r="W270" s="18" t="str">
        <f>_xlfn.CONCAT(TEXT(A270,"MMM"),"-",MID(Q270,3,2))</f>
        <v>Feb-24</v>
      </c>
      <c r="X270" s="19">
        <f>IFERROR(IF(D270="Sell",(H270-P270),-(H270+P270)),0)</f>
        <v>11748.85</v>
      </c>
      <c r="Y270" s="19">
        <f>X270/1000</f>
        <v>11.748850000000001</v>
      </c>
    </row>
    <row r="271" spans="1:25" x14ac:dyDescent="0.25">
      <c r="A271" s="1">
        <v>45337</v>
      </c>
      <c r="B271" t="s">
        <v>603</v>
      </c>
      <c r="C271" t="s">
        <v>17</v>
      </c>
      <c r="D271" t="s">
        <v>22</v>
      </c>
      <c r="E271">
        <v>500</v>
      </c>
      <c r="F271">
        <v>0</v>
      </c>
      <c r="G271">
        <v>14.95</v>
      </c>
      <c r="H271">
        <v>7475</v>
      </c>
      <c r="I271" t="s">
        <v>605</v>
      </c>
      <c r="J271">
        <v>0</v>
      </c>
      <c r="K271">
        <v>3.77</v>
      </c>
      <c r="L271">
        <v>0</v>
      </c>
      <c r="M271">
        <v>0.01</v>
      </c>
      <c r="N271">
        <v>200</v>
      </c>
      <c r="O271">
        <v>36.68</v>
      </c>
      <c r="P271">
        <v>240.46</v>
      </c>
      <c r="Q271" s="18">
        <f>YEAR(A271)</f>
        <v>2024</v>
      </c>
      <c r="R271" s="18">
        <f>MONTH(A271)</f>
        <v>2</v>
      </c>
      <c r="S271" s="18">
        <f>IF(R271&lt;4,Q271-1,Q271)</f>
        <v>2023</v>
      </c>
      <c r="T271" s="18">
        <f>IF(R271&lt;4,R271+9,R271-3)</f>
        <v>11</v>
      </c>
      <c r="U271" s="18">
        <f>IF(LEN(T271)=1,_xlfn.CONCAT(0,T271),T271)</f>
        <v>11</v>
      </c>
      <c r="V271" s="18" t="str">
        <f>_xlfn.CONCAT(S271,U271)</f>
        <v>202311</v>
      </c>
      <c r="W271" s="18" t="str">
        <f>_xlfn.CONCAT(TEXT(A271,"MMM"),"-",MID(Q271,3,2))</f>
        <v>Feb-24</v>
      </c>
      <c r="X271" s="19">
        <f>IFERROR(IF(D271="Sell",(H271-P271),-(H271+P271)),0)</f>
        <v>-7715.46</v>
      </c>
      <c r="Y271" s="19">
        <f>X271/1000</f>
        <v>-7.7154600000000002</v>
      </c>
    </row>
    <row r="272" spans="1:25" x14ac:dyDescent="0.25">
      <c r="A272" s="1">
        <v>45341</v>
      </c>
      <c r="B272" t="s">
        <v>600</v>
      </c>
      <c r="C272" t="s">
        <v>17</v>
      </c>
      <c r="D272" t="s">
        <v>18</v>
      </c>
      <c r="E272">
        <v>240</v>
      </c>
      <c r="F272">
        <v>0</v>
      </c>
      <c r="G272">
        <v>125.05</v>
      </c>
      <c r="H272">
        <v>30012</v>
      </c>
      <c r="I272" t="s">
        <v>601</v>
      </c>
      <c r="J272">
        <v>19.010000000000002</v>
      </c>
      <c r="K272">
        <v>15.17</v>
      </c>
      <c r="L272">
        <v>0</v>
      </c>
      <c r="M272">
        <v>0.05</v>
      </c>
      <c r="N272">
        <v>120</v>
      </c>
      <c r="O272">
        <v>24.34</v>
      </c>
      <c r="P272">
        <v>178.57</v>
      </c>
      <c r="Q272" s="18">
        <f>YEAR(A272)</f>
        <v>2024</v>
      </c>
      <c r="R272" s="18">
        <f>MONTH(A272)</f>
        <v>2</v>
      </c>
      <c r="S272" s="18">
        <f>IF(R272&lt;4,Q272-1,Q272)</f>
        <v>2023</v>
      </c>
      <c r="T272" s="18">
        <f>IF(R272&lt;4,R272+9,R272-3)</f>
        <v>11</v>
      </c>
      <c r="U272" s="18">
        <f>IF(LEN(T272)=1,_xlfn.CONCAT(0,T272),T272)</f>
        <v>11</v>
      </c>
      <c r="V272" s="18" t="str">
        <f>_xlfn.CONCAT(S272,U272)</f>
        <v>202311</v>
      </c>
      <c r="W272" s="18" t="str">
        <f>_xlfn.CONCAT(TEXT(A272,"MMM"),"-",MID(Q272,3,2))</f>
        <v>Feb-24</v>
      </c>
      <c r="X272" s="19">
        <f>IFERROR(IF(D272="Sell",(H272-P272),-(H272+P272)),0)</f>
        <v>29833.43</v>
      </c>
      <c r="Y272" s="19">
        <f>X272/1000</f>
        <v>29.83343</v>
      </c>
    </row>
    <row r="273" spans="1:25" x14ac:dyDescent="0.25">
      <c r="A273" s="1">
        <v>45341</v>
      </c>
      <c r="B273" t="s">
        <v>600</v>
      </c>
      <c r="C273" t="s">
        <v>17</v>
      </c>
      <c r="D273" t="s">
        <v>22</v>
      </c>
      <c r="E273">
        <v>240</v>
      </c>
      <c r="F273">
        <v>0</v>
      </c>
      <c r="G273">
        <v>99.95</v>
      </c>
      <c r="H273">
        <v>23988</v>
      </c>
      <c r="I273" t="s">
        <v>602</v>
      </c>
      <c r="J273">
        <v>0</v>
      </c>
      <c r="K273">
        <v>12.11</v>
      </c>
      <c r="L273">
        <v>1</v>
      </c>
      <c r="M273">
        <v>0.02</v>
      </c>
      <c r="N273">
        <v>120</v>
      </c>
      <c r="O273">
        <v>23.78</v>
      </c>
      <c r="P273">
        <v>156.91</v>
      </c>
      <c r="Q273" s="18">
        <f>YEAR(A273)</f>
        <v>2024</v>
      </c>
      <c r="R273" s="18">
        <f>MONTH(A273)</f>
        <v>2</v>
      </c>
      <c r="S273" s="18">
        <f>IF(R273&lt;4,Q273-1,Q273)</f>
        <v>2023</v>
      </c>
      <c r="T273" s="18">
        <f>IF(R273&lt;4,R273+9,R273-3)</f>
        <v>11</v>
      </c>
      <c r="U273" s="18">
        <f>IF(LEN(T273)=1,_xlfn.CONCAT(0,T273),T273)</f>
        <v>11</v>
      </c>
      <c r="V273" s="18" t="str">
        <f>_xlfn.CONCAT(S273,U273)</f>
        <v>202311</v>
      </c>
      <c r="W273" s="18" t="str">
        <f>_xlfn.CONCAT(TEXT(A273,"MMM"),"-",MID(Q273,3,2))</f>
        <v>Feb-24</v>
      </c>
      <c r="X273" s="19">
        <f>IFERROR(IF(D273="Sell",(H273-P273),-(H273+P273)),0)</f>
        <v>-24144.91</v>
      </c>
      <c r="Y273" s="19">
        <f>X273/1000</f>
        <v>-24.144909999999999</v>
      </c>
    </row>
    <row r="274" spans="1:25" x14ac:dyDescent="0.25">
      <c r="A274" s="1">
        <v>45342</v>
      </c>
      <c r="B274" t="s">
        <v>577</v>
      </c>
      <c r="C274" t="s">
        <v>17</v>
      </c>
      <c r="D274" t="s">
        <v>18</v>
      </c>
      <c r="E274">
        <v>1800</v>
      </c>
      <c r="F274">
        <v>0</v>
      </c>
      <c r="G274">
        <v>2.95</v>
      </c>
      <c r="H274">
        <v>5310</v>
      </c>
      <c r="I274" t="s">
        <v>578</v>
      </c>
      <c r="J274">
        <v>3.44</v>
      </c>
      <c r="K274">
        <v>2.68</v>
      </c>
      <c r="L274">
        <v>0</v>
      </c>
      <c r="M274">
        <v>0</v>
      </c>
      <c r="N274">
        <v>900</v>
      </c>
      <c r="O274">
        <v>162.52000000000001</v>
      </c>
      <c r="P274">
        <v>1068.6400000000001</v>
      </c>
      <c r="Q274" s="18">
        <f>YEAR(A274)</f>
        <v>2024</v>
      </c>
      <c r="R274" s="18">
        <f>MONTH(A274)</f>
        <v>2</v>
      </c>
      <c r="S274" s="18">
        <f>IF(R274&lt;4,Q274-1,Q274)</f>
        <v>2023</v>
      </c>
      <c r="T274" s="18">
        <f>IF(R274&lt;4,R274+9,R274-3)</f>
        <v>11</v>
      </c>
      <c r="U274" s="18">
        <f>IF(LEN(T274)=1,_xlfn.CONCAT(0,T274),T274)</f>
        <v>11</v>
      </c>
      <c r="V274" s="18" t="str">
        <f>_xlfn.CONCAT(S274,U274)</f>
        <v>202311</v>
      </c>
      <c r="W274" s="18" t="str">
        <f>_xlfn.CONCAT(TEXT(A274,"MMM"),"-",MID(Q274,3,2))</f>
        <v>Feb-24</v>
      </c>
      <c r="X274" s="19">
        <f>IFERROR(IF(D274="Sell",(H274-P274),-(H274+P274)),0)</f>
        <v>4241.3599999999997</v>
      </c>
      <c r="Y274" s="19">
        <f>X274/1000</f>
        <v>4.2413599999999994</v>
      </c>
    </row>
    <row r="275" spans="1:25" x14ac:dyDescent="0.25">
      <c r="A275" s="1">
        <v>45342</v>
      </c>
      <c r="B275" t="s">
        <v>577</v>
      </c>
      <c r="C275" t="s">
        <v>17</v>
      </c>
      <c r="D275" t="s">
        <v>18</v>
      </c>
      <c r="E275">
        <v>1800</v>
      </c>
      <c r="F275">
        <v>0</v>
      </c>
      <c r="G275">
        <v>2.95</v>
      </c>
      <c r="H275">
        <v>5310</v>
      </c>
      <c r="I275" t="s">
        <v>579</v>
      </c>
      <c r="J275">
        <v>3.32</v>
      </c>
      <c r="K275">
        <v>2.69</v>
      </c>
      <c r="L275">
        <v>0</v>
      </c>
      <c r="M275">
        <v>0</v>
      </c>
      <c r="N275">
        <v>900</v>
      </c>
      <c r="O275">
        <v>162.47999999999999</v>
      </c>
      <c r="P275">
        <v>1068.49</v>
      </c>
      <c r="Q275" s="18">
        <f>YEAR(A275)</f>
        <v>2024</v>
      </c>
      <c r="R275" s="18">
        <f>MONTH(A275)</f>
        <v>2</v>
      </c>
      <c r="S275" s="18">
        <f>IF(R275&lt;4,Q275-1,Q275)</f>
        <v>2023</v>
      </c>
      <c r="T275" s="18">
        <f>IF(R275&lt;4,R275+9,R275-3)</f>
        <v>11</v>
      </c>
      <c r="U275" s="18">
        <f>IF(LEN(T275)=1,_xlfn.CONCAT(0,T275),T275)</f>
        <v>11</v>
      </c>
      <c r="V275" s="18" t="str">
        <f>_xlfn.CONCAT(S275,U275)</f>
        <v>202311</v>
      </c>
      <c r="W275" s="18" t="str">
        <f>_xlfn.CONCAT(TEXT(A275,"MMM"),"-",MID(Q275,3,2))</f>
        <v>Feb-24</v>
      </c>
      <c r="X275" s="19">
        <f>IFERROR(IF(D275="Sell",(H275-P275),-(H275+P275)),0)</f>
        <v>4241.51</v>
      </c>
      <c r="Y275" s="19">
        <f>X275/1000</f>
        <v>4.2415099999999999</v>
      </c>
    </row>
    <row r="276" spans="1:25" x14ac:dyDescent="0.25">
      <c r="A276" s="1">
        <v>45342</v>
      </c>
      <c r="B276" t="s">
        <v>577</v>
      </c>
      <c r="C276" t="s">
        <v>17</v>
      </c>
      <c r="D276" t="s">
        <v>22</v>
      </c>
      <c r="E276">
        <v>1800</v>
      </c>
      <c r="F276">
        <v>0</v>
      </c>
      <c r="G276">
        <v>5.0999999999999996</v>
      </c>
      <c r="H276">
        <v>9180</v>
      </c>
      <c r="I276" t="s">
        <v>580</v>
      </c>
      <c r="J276">
        <v>0</v>
      </c>
      <c r="K276">
        <v>4.63</v>
      </c>
      <c r="L276">
        <v>1.3</v>
      </c>
      <c r="M276">
        <v>0</v>
      </c>
      <c r="N276">
        <v>900</v>
      </c>
      <c r="O276">
        <v>162.82</v>
      </c>
      <c r="P276">
        <v>1068.75</v>
      </c>
      <c r="Q276" s="18">
        <f>YEAR(A276)</f>
        <v>2024</v>
      </c>
      <c r="R276" s="18">
        <f>MONTH(A276)</f>
        <v>2</v>
      </c>
      <c r="S276" s="18">
        <f>IF(R276&lt;4,Q276-1,Q276)</f>
        <v>2023</v>
      </c>
      <c r="T276" s="18">
        <f>IF(R276&lt;4,R276+9,R276-3)</f>
        <v>11</v>
      </c>
      <c r="U276" s="18">
        <f>IF(LEN(T276)=1,_xlfn.CONCAT(0,T276),T276)</f>
        <v>11</v>
      </c>
      <c r="V276" s="18" t="str">
        <f>_xlfn.CONCAT(S276,U276)</f>
        <v>202311</v>
      </c>
      <c r="W276" s="18" t="str">
        <f>_xlfn.CONCAT(TEXT(A276,"MMM"),"-",MID(Q276,3,2))</f>
        <v>Feb-24</v>
      </c>
      <c r="X276" s="19">
        <f>IFERROR(IF(D276="Sell",(H276-P276),-(H276+P276)),0)</f>
        <v>-10248.75</v>
      </c>
      <c r="Y276" s="19">
        <f>X276/1000</f>
        <v>-10.248749999999999</v>
      </c>
    </row>
    <row r="277" spans="1:25" x14ac:dyDescent="0.25">
      <c r="A277" s="1">
        <v>45342</v>
      </c>
      <c r="B277" t="s">
        <v>577</v>
      </c>
      <c r="C277" t="s">
        <v>17</v>
      </c>
      <c r="D277" t="s">
        <v>22</v>
      </c>
      <c r="E277">
        <v>1800</v>
      </c>
      <c r="F277">
        <v>0</v>
      </c>
      <c r="G277">
        <v>6.1</v>
      </c>
      <c r="H277">
        <v>10980</v>
      </c>
      <c r="I277" t="s">
        <v>581</v>
      </c>
      <c r="J277">
        <v>0</v>
      </c>
      <c r="K277">
        <v>5.54</v>
      </c>
      <c r="L277">
        <v>0</v>
      </c>
      <c r="M277">
        <v>0.01</v>
      </c>
      <c r="N277">
        <v>900</v>
      </c>
      <c r="O277">
        <v>162.97999999999999</v>
      </c>
      <c r="P277">
        <v>1068.53</v>
      </c>
      <c r="Q277" s="18">
        <f>YEAR(A277)</f>
        <v>2024</v>
      </c>
      <c r="R277" s="18">
        <f>MONTH(A277)</f>
        <v>2</v>
      </c>
      <c r="S277" s="18">
        <f>IF(R277&lt;4,Q277-1,Q277)</f>
        <v>2023</v>
      </c>
      <c r="T277" s="18">
        <f>IF(R277&lt;4,R277+9,R277-3)</f>
        <v>11</v>
      </c>
      <c r="U277" s="18">
        <f>IF(LEN(T277)=1,_xlfn.CONCAT(0,T277),T277)</f>
        <v>11</v>
      </c>
      <c r="V277" s="18" t="str">
        <f>_xlfn.CONCAT(S277,U277)</f>
        <v>202311</v>
      </c>
      <c r="W277" s="18" t="str">
        <f>_xlfn.CONCAT(TEXT(A277,"MMM"),"-",MID(Q277,3,2))</f>
        <v>Feb-24</v>
      </c>
      <c r="X277" s="19">
        <f>IFERROR(IF(D277="Sell",(H277-P277),-(H277+P277)),0)</f>
        <v>-12048.53</v>
      </c>
      <c r="Y277" s="19">
        <f>X277/1000</f>
        <v>-12.048530000000001</v>
      </c>
    </row>
    <row r="278" spans="1:25" x14ac:dyDescent="0.25">
      <c r="A278" s="1">
        <v>45342</v>
      </c>
      <c r="B278" t="s">
        <v>582</v>
      </c>
      <c r="C278" t="s">
        <v>17</v>
      </c>
      <c r="D278" t="s">
        <v>18</v>
      </c>
      <c r="E278">
        <v>2500</v>
      </c>
      <c r="F278">
        <v>0</v>
      </c>
      <c r="G278">
        <v>9.3000000000000007</v>
      </c>
      <c r="H278">
        <v>23250</v>
      </c>
      <c r="I278" t="s">
        <v>583</v>
      </c>
      <c r="J278">
        <v>14.53</v>
      </c>
      <c r="K278">
        <v>11.74</v>
      </c>
      <c r="L278">
        <v>0</v>
      </c>
      <c r="M278">
        <v>0.02</v>
      </c>
      <c r="N278">
        <v>20</v>
      </c>
      <c r="O278">
        <v>5.72</v>
      </c>
      <c r="P278">
        <v>52.01</v>
      </c>
      <c r="Q278" s="18">
        <f>YEAR(A278)</f>
        <v>2024</v>
      </c>
      <c r="R278" s="18">
        <f>MONTH(A278)</f>
        <v>2</v>
      </c>
      <c r="S278" s="18">
        <f>IF(R278&lt;4,Q278-1,Q278)</f>
        <v>2023</v>
      </c>
      <c r="T278" s="18">
        <f>IF(R278&lt;4,R278+9,R278-3)</f>
        <v>11</v>
      </c>
      <c r="U278" s="18">
        <f>IF(LEN(T278)=1,_xlfn.CONCAT(0,T278),T278)</f>
        <v>11</v>
      </c>
      <c r="V278" s="18" t="str">
        <f>_xlfn.CONCAT(S278,U278)</f>
        <v>202311</v>
      </c>
      <c r="W278" s="18" t="str">
        <f>_xlfn.CONCAT(TEXT(A278,"MMM"),"-",MID(Q278,3,2))</f>
        <v>Feb-24</v>
      </c>
      <c r="X278" s="19">
        <f>IFERROR(IF(D278="Sell",(H278-P278),-(H278+P278)),0)</f>
        <v>23197.99</v>
      </c>
      <c r="Y278" s="19">
        <f>X278/1000</f>
        <v>23.197990000000001</v>
      </c>
    </row>
    <row r="279" spans="1:25" x14ac:dyDescent="0.25">
      <c r="A279" s="1">
        <v>45342</v>
      </c>
      <c r="B279" t="s">
        <v>582</v>
      </c>
      <c r="C279" t="s">
        <v>17</v>
      </c>
      <c r="D279" t="s">
        <v>22</v>
      </c>
      <c r="E279">
        <v>2500</v>
      </c>
      <c r="F279">
        <v>0</v>
      </c>
      <c r="G279">
        <v>9.35</v>
      </c>
      <c r="H279">
        <v>23375</v>
      </c>
      <c r="I279" t="s">
        <v>584</v>
      </c>
      <c r="J279">
        <v>0</v>
      </c>
      <c r="K279">
        <v>11.8</v>
      </c>
      <c r="L279">
        <v>0.7</v>
      </c>
      <c r="M279">
        <v>0.02</v>
      </c>
      <c r="N279">
        <v>20</v>
      </c>
      <c r="O279">
        <v>5.72</v>
      </c>
      <c r="P279">
        <v>38.24</v>
      </c>
      <c r="Q279" s="18">
        <f>YEAR(A279)</f>
        <v>2024</v>
      </c>
      <c r="R279" s="18">
        <f>MONTH(A279)</f>
        <v>2</v>
      </c>
      <c r="S279" s="18">
        <f>IF(R279&lt;4,Q279-1,Q279)</f>
        <v>2023</v>
      </c>
      <c r="T279" s="18">
        <f>IF(R279&lt;4,R279+9,R279-3)</f>
        <v>11</v>
      </c>
      <c r="U279" s="18">
        <f>IF(LEN(T279)=1,_xlfn.CONCAT(0,T279),T279)</f>
        <v>11</v>
      </c>
      <c r="V279" s="18" t="str">
        <f>_xlfn.CONCAT(S279,U279)</f>
        <v>202311</v>
      </c>
      <c r="W279" s="18" t="str">
        <f>_xlfn.CONCAT(TEXT(A279,"MMM"),"-",MID(Q279,3,2))</f>
        <v>Feb-24</v>
      </c>
      <c r="X279" s="19">
        <f>IFERROR(IF(D279="Sell",(H279-P279),-(H279+P279)),0)</f>
        <v>-23413.24</v>
      </c>
      <c r="Y279" s="19">
        <f>X279/1000</f>
        <v>-23.413240000000002</v>
      </c>
    </row>
    <row r="280" spans="1:25" x14ac:dyDescent="0.25">
      <c r="A280" s="1">
        <v>45342</v>
      </c>
      <c r="B280" t="s">
        <v>577</v>
      </c>
      <c r="C280" t="s">
        <v>17</v>
      </c>
      <c r="D280" t="s">
        <v>18</v>
      </c>
      <c r="E280">
        <v>1040</v>
      </c>
      <c r="F280">
        <v>0</v>
      </c>
      <c r="G280">
        <v>4.1500000000000004</v>
      </c>
      <c r="H280">
        <v>4316</v>
      </c>
      <c r="I280" t="s">
        <v>585</v>
      </c>
      <c r="J280">
        <v>2.7</v>
      </c>
      <c r="K280">
        <v>2.1800000000000002</v>
      </c>
      <c r="L280">
        <v>0</v>
      </c>
      <c r="M280">
        <v>0</v>
      </c>
      <c r="N280">
        <v>520</v>
      </c>
      <c r="O280">
        <v>93.98</v>
      </c>
      <c r="P280">
        <v>618.86</v>
      </c>
      <c r="Q280" s="18">
        <f>YEAR(A280)</f>
        <v>2024</v>
      </c>
      <c r="R280" s="18">
        <f>MONTH(A280)</f>
        <v>2</v>
      </c>
      <c r="S280" s="18">
        <f>IF(R280&lt;4,Q280-1,Q280)</f>
        <v>2023</v>
      </c>
      <c r="T280" s="18">
        <f>IF(R280&lt;4,R280+9,R280-3)</f>
        <v>11</v>
      </c>
      <c r="U280" s="18">
        <f>IF(LEN(T280)=1,_xlfn.CONCAT(0,T280),T280)</f>
        <v>11</v>
      </c>
      <c r="V280" s="18" t="str">
        <f>_xlfn.CONCAT(S280,U280)</f>
        <v>202311</v>
      </c>
      <c r="W280" s="18" t="str">
        <f>_xlfn.CONCAT(TEXT(A280,"MMM"),"-",MID(Q280,3,2))</f>
        <v>Feb-24</v>
      </c>
      <c r="X280" s="19">
        <f>IFERROR(IF(D280="Sell",(H280-P280),-(H280+P280)),0)</f>
        <v>3697.14</v>
      </c>
      <c r="Y280" s="19">
        <f>X280/1000</f>
        <v>3.6971400000000001</v>
      </c>
    </row>
    <row r="281" spans="1:25" x14ac:dyDescent="0.25">
      <c r="A281" s="1">
        <v>45342</v>
      </c>
      <c r="B281" t="s">
        <v>577</v>
      </c>
      <c r="C281" t="s">
        <v>17</v>
      </c>
      <c r="D281" t="s">
        <v>22</v>
      </c>
      <c r="E281">
        <v>520</v>
      </c>
      <c r="F281">
        <v>0</v>
      </c>
      <c r="G281">
        <v>7.5</v>
      </c>
      <c r="H281">
        <v>3900</v>
      </c>
      <c r="I281" t="s">
        <v>586</v>
      </c>
      <c r="J281">
        <v>0</v>
      </c>
      <c r="K281">
        <v>1.97</v>
      </c>
      <c r="L281">
        <v>0</v>
      </c>
      <c r="M281">
        <v>0</v>
      </c>
      <c r="N281">
        <v>260</v>
      </c>
      <c r="O281">
        <v>47.14</v>
      </c>
      <c r="P281">
        <v>309.11</v>
      </c>
      <c r="Q281" s="18">
        <f>YEAR(A281)</f>
        <v>2024</v>
      </c>
      <c r="R281" s="18">
        <f>MONTH(A281)</f>
        <v>2</v>
      </c>
      <c r="S281" s="18">
        <f>IF(R281&lt;4,Q281-1,Q281)</f>
        <v>2023</v>
      </c>
      <c r="T281" s="18">
        <f>IF(R281&lt;4,R281+9,R281-3)</f>
        <v>11</v>
      </c>
      <c r="U281" s="18">
        <f>IF(LEN(T281)=1,_xlfn.CONCAT(0,T281),T281)</f>
        <v>11</v>
      </c>
      <c r="V281" s="18" t="str">
        <f>_xlfn.CONCAT(S281,U281)</f>
        <v>202311</v>
      </c>
      <c r="W281" s="18" t="str">
        <f>_xlfn.CONCAT(TEXT(A281,"MMM"),"-",MID(Q281,3,2))</f>
        <v>Feb-24</v>
      </c>
      <c r="X281" s="19">
        <f>IFERROR(IF(D281="Sell",(H281-P281),-(H281+P281)),0)</f>
        <v>-4209.1099999999997</v>
      </c>
      <c r="Y281" s="19">
        <f>X281/1000</f>
        <v>-4.2091099999999999</v>
      </c>
    </row>
    <row r="282" spans="1:25" x14ac:dyDescent="0.25">
      <c r="A282" s="1">
        <v>45342</v>
      </c>
      <c r="B282" t="s">
        <v>577</v>
      </c>
      <c r="C282" t="s">
        <v>17</v>
      </c>
      <c r="D282" t="s">
        <v>22</v>
      </c>
      <c r="E282">
        <v>40</v>
      </c>
      <c r="F282">
        <v>0</v>
      </c>
      <c r="G282">
        <v>9.5500000000000007</v>
      </c>
      <c r="H282">
        <v>382</v>
      </c>
      <c r="I282" t="s">
        <v>587</v>
      </c>
      <c r="J282">
        <v>0</v>
      </c>
      <c r="K282">
        <v>0.19</v>
      </c>
      <c r="L282">
        <v>0</v>
      </c>
      <c r="M282">
        <v>0</v>
      </c>
      <c r="N282">
        <v>20</v>
      </c>
      <c r="O282">
        <v>3.64</v>
      </c>
      <c r="P282">
        <v>23.83</v>
      </c>
      <c r="Q282" s="18">
        <f>YEAR(A282)</f>
        <v>2024</v>
      </c>
      <c r="R282" s="18">
        <f>MONTH(A282)</f>
        <v>2</v>
      </c>
      <c r="S282" s="18">
        <f>IF(R282&lt;4,Q282-1,Q282)</f>
        <v>2023</v>
      </c>
      <c r="T282" s="18">
        <f>IF(R282&lt;4,R282+9,R282-3)</f>
        <v>11</v>
      </c>
      <c r="U282" s="18">
        <f>IF(LEN(T282)=1,_xlfn.CONCAT(0,T282),T282)</f>
        <v>11</v>
      </c>
      <c r="V282" s="18" t="str">
        <f>_xlfn.CONCAT(S282,U282)</f>
        <v>202311</v>
      </c>
      <c r="W282" s="18" t="str">
        <f>_xlfn.CONCAT(TEXT(A282,"MMM"),"-",MID(Q282,3,2))</f>
        <v>Feb-24</v>
      </c>
      <c r="X282" s="19">
        <f>IFERROR(IF(D282="Sell",(H282-P282),-(H282+P282)),0)</f>
        <v>-405.83</v>
      </c>
      <c r="Y282" s="19">
        <f>X282/1000</f>
        <v>-0.40582999999999997</v>
      </c>
    </row>
    <row r="283" spans="1:25" x14ac:dyDescent="0.25">
      <c r="A283" s="1">
        <v>45342</v>
      </c>
      <c r="B283" t="s">
        <v>577</v>
      </c>
      <c r="C283" t="s">
        <v>17</v>
      </c>
      <c r="D283" t="s">
        <v>22</v>
      </c>
      <c r="E283">
        <v>40</v>
      </c>
      <c r="F283">
        <v>0</v>
      </c>
      <c r="G283">
        <v>9.65</v>
      </c>
      <c r="H283">
        <v>386</v>
      </c>
      <c r="I283" t="s">
        <v>588</v>
      </c>
      <c r="J283">
        <v>0</v>
      </c>
      <c r="K283">
        <v>0.19</v>
      </c>
      <c r="L283">
        <v>0</v>
      </c>
      <c r="M283">
        <v>0</v>
      </c>
      <c r="N283">
        <v>20</v>
      </c>
      <c r="O283">
        <v>3.64</v>
      </c>
      <c r="P283">
        <v>23.83</v>
      </c>
      <c r="Q283" s="18">
        <f>YEAR(A283)</f>
        <v>2024</v>
      </c>
      <c r="R283" s="18">
        <f>MONTH(A283)</f>
        <v>2</v>
      </c>
      <c r="S283" s="18">
        <f>IF(R283&lt;4,Q283-1,Q283)</f>
        <v>2023</v>
      </c>
      <c r="T283" s="18">
        <f>IF(R283&lt;4,R283+9,R283-3)</f>
        <v>11</v>
      </c>
      <c r="U283" s="18">
        <f>IF(LEN(T283)=1,_xlfn.CONCAT(0,T283),T283)</f>
        <v>11</v>
      </c>
      <c r="V283" s="18" t="str">
        <f>_xlfn.CONCAT(S283,U283)</f>
        <v>202311</v>
      </c>
      <c r="W283" s="18" t="str">
        <f>_xlfn.CONCAT(TEXT(A283,"MMM"),"-",MID(Q283,3,2))</f>
        <v>Feb-24</v>
      </c>
      <c r="X283" s="19">
        <f>IFERROR(IF(D283="Sell",(H283-P283),-(H283+P283)),0)</f>
        <v>-409.83</v>
      </c>
      <c r="Y283" s="19">
        <f>X283/1000</f>
        <v>-0.40982999999999997</v>
      </c>
    </row>
    <row r="284" spans="1:25" x14ac:dyDescent="0.25">
      <c r="A284" s="1">
        <v>45342</v>
      </c>
      <c r="B284" t="s">
        <v>577</v>
      </c>
      <c r="C284" t="s">
        <v>17</v>
      </c>
      <c r="D284" t="s">
        <v>22</v>
      </c>
      <c r="E284">
        <v>40</v>
      </c>
      <c r="F284">
        <v>0</v>
      </c>
      <c r="G284">
        <v>9.65</v>
      </c>
      <c r="H284">
        <v>386</v>
      </c>
      <c r="I284" t="s">
        <v>589</v>
      </c>
      <c r="J284">
        <v>0</v>
      </c>
      <c r="K284">
        <v>0.19</v>
      </c>
      <c r="L284">
        <v>0</v>
      </c>
      <c r="M284">
        <v>0</v>
      </c>
      <c r="N284">
        <v>20</v>
      </c>
      <c r="O284">
        <v>3.64</v>
      </c>
      <c r="P284">
        <v>23.83</v>
      </c>
      <c r="Q284" s="18">
        <f>YEAR(A284)</f>
        <v>2024</v>
      </c>
      <c r="R284" s="18">
        <f>MONTH(A284)</f>
        <v>2</v>
      </c>
      <c r="S284" s="18">
        <f>IF(R284&lt;4,Q284-1,Q284)</f>
        <v>2023</v>
      </c>
      <c r="T284" s="18">
        <f>IF(R284&lt;4,R284+9,R284-3)</f>
        <v>11</v>
      </c>
      <c r="U284" s="18">
        <f>IF(LEN(T284)=1,_xlfn.CONCAT(0,T284),T284)</f>
        <v>11</v>
      </c>
      <c r="V284" s="18" t="str">
        <f>_xlfn.CONCAT(S284,U284)</f>
        <v>202311</v>
      </c>
      <c r="W284" s="18" t="str">
        <f>_xlfn.CONCAT(TEXT(A284,"MMM"),"-",MID(Q284,3,2))</f>
        <v>Feb-24</v>
      </c>
      <c r="X284" s="19">
        <f>IFERROR(IF(D284="Sell",(H284-P284),-(H284+P284)),0)</f>
        <v>-409.83</v>
      </c>
      <c r="Y284" s="19">
        <f>X284/1000</f>
        <v>-0.40982999999999997</v>
      </c>
    </row>
    <row r="285" spans="1:25" x14ac:dyDescent="0.25">
      <c r="A285" s="1">
        <v>45342</v>
      </c>
      <c r="B285" t="s">
        <v>577</v>
      </c>
      <c r="C285" t="s">
        <v>17</v>
      </c>
      <c r="D285" t="s">
        <v>22</v>
      </c>
      <c r="E285">
        <v>40</v>
      </c>
      <c r="F285">
        <v>0</v>
      </c>
      <c r="G285">
        <v>9.75</v>
      </c>
      <c r="H285">
        <v>390</v>
      </c>
      <c r="I285" t="s">
        <v>590</v>
      </c>
      <c r="J285">
        <v>0</v>
      </c>
      <c r="K285">
        <v>0.2</v>
      </c>
      <c r="L285">
        <v>0</v>
      </c>
      <c r="M285">
        <v>0</v>
      </c>
      <c r="N285">
        <v>20</v>
      </c>
      <c r="O285">
        <v>3.64</v>
      </c>
      <c r="P285">
        <v>23.84</v>
      </c>
      <c r="Q285" s="18">
        <f>YEAR(A285)</f>
        <v>2024</v>
      </c>
      <c r="R285" s="18">
        <f>MONTH(A285)</f>
        <v>2</v>
      </c>
      <c r="S285" s="18">
        <f>IF(R285&lt;4,Q285-1,Q285)</f>
        <v>2023</v>
      </c>
      <c r="T285" s="18">
        <f>IF(R285&lt;4,R285+9,R285-3)</f>
        <v>11</v>
      </c>
      <c r="U285" s="18">
        <f>IF(LEN(T285)=1,_xlfn.CONCAT(0,T285),T285)</f>
        <v>11</v>
      </c>
      <c r="V285" s="18" t="str">
        <f>_xlfn.CONCAT(S285,U285)</f>
        <v>202311</v>
      </c>
      <c r="W285" s="18" t="str">
        <f>_xlfn.CONCAT(TEXT(A285,"MMM"),"-",MID(Q285,3,2))</f>
        <v>Feb-24</v>
      </c>
      <c r="X285" s="19">
        <f>IFERROR(IF(D285="Sell",(H285-P285),-(H285+P285)),0)</f>
        <v>-413.84</v>
      </c>
      <c r="Y285" s="19">
        <f>X285/1000</f>
        <v>-0.41383999999999999</v>
      </c>
    </row>
    <row r="286" spans="1:25" x14ac:dyDescent="0.25">
      <c r="A286" s="1">
        <v>45342</v>
      </c>
      <c r="B286" t="s">
        <v>577</v>
      </c>
      <c r="C286" t="s">
        <v>17</v>
      </c>
      <c r="D286" t="s">
        <v>22</v>
      </c>
      <c r="E286">
        <v>40</v>
      </c>
      <c r="F286">
        <v>0</v>
      </c>
      <c r="G286">
        <v>9.9</v>
      </c>
      <c r="H286">
        <v>396</v>
      </c>
      <c r="I286" t="s">
        <v>591</v>
      </c>
      <c r="J286">
        <v>0</v>
      </c>
      <c r="K286">
        <v>0.2</v>
      </c>
      <c r="L286">
        <v>0</v>
      </c>
      <c r="M286">
        <v>0</v>
      </c>
      <c r="N286">
        <v>20</v>
      </c>
      <c r="O286">
        <v>3.64</v>
      </c>
      <c r="P286">
        <v>23.84</v>
      </c>
      <c r="Q286" s="18">
        <f>YEAR(A286)</f>
        <v>2024</v>
      </c>
      <c r="R286" s="18">
        <f>MONTH(A286)</f>
        <v>2</v>
      </c>
      <c r="S286" s="18">
        <f>IF(R286&lt;4,Q286-1,Q286)</f>
        <v>2023</v>
      </c>
      <c r="T286" s="18">
        <f>IF(R286&lt;4,R286+9,R286-3)</f>
        <v>11</v>
      </c>
      <c r="U286" s="18">
        <f>IF(LEN(T286)=1,_xlfn.CONCAT(0,T286),T286)</f>
        <v>11</v>
      </c>
      <c r="V286" s="18" t="str">
        <f>_xlfn.CONCAT(S286,U286)</f>
        <v>202311</v>
      </c>
      <c r="W286" s="18" t="str">
        <f>_xlfn.CONCAT(TEXT(A286,"MMM"),"-",MID(Q286,3,2))</f>
        <v>Feb-24</v>
      </c>
      <c r="X286" s="19">
        <f>IFERROR(IF(D286="Sell",(H286-P286),-(H286+P286)),0)</f>
        <v>-419.84</v>
      </c>
      <c r="Y286" s="19">
        <f>X286/1000</f>
        <v>-0.41983999999999999</v>
      </c>
    </row>
    <row r="287" spans="1:25" x14ac:dyDescent="0.25">
      <c r="A287" s="1">
        <v>45342</v>
      </c>
      <c r="B287" t="s">
        <v>577</v>
      </c>
      <c r="C287" t="s">
        <v>17</v>
      </c>
      <c r="D287" t="s">
        <v>22</v>
      </c>
      <c r="E287">
        <v>40</v>
      </c>
      <c r="F287">
        <v>0</v>
      </c>
      <c r="G287">
        <v>9.9</v>
      </c>
      <c r="H287">
        <v>396</v>
      </c>
      <c r="I287" t="s">
        <v>592</v>
      </c>
      <c r="J287">
        <v>0</v>
      </c>
      <c r="K287">
        <v>0.2</v>
      </c>
      <c r="L287">
        <v>0</v>
      </c>
      <c r="M287">
        <v>0</v>
      </c>
      <c r="N287">
        <v>20</v>
      </c>
      <c r="O287">
        <v>3.64</v>
      </c>
      <c r="P287">
        <v>23.84</v>
      </c>
      <c r="Q287" s="18">
        <f>YEAR(A287)</f>
        <v>2024</v>
      </c>
      <c r="R287" s="18">
        <f>MONTH(A287)</f>
        <v>2</v>
      </c>
      <c r="S287" s="18">
        <f>IF(R287&lt;4,Q287-1,Q287)</f>
        <v>2023</v>
      </c>
      <c r="T287" s="18">
        <f>IF(R287&lt;4,R287+9,R287-3)</f>
        <v>11</v>
      </c>
      <c r="U287" s="18">
        <f>IF(LEN(T287)=1,_xlfn.CONCAT(0,T287),T287)</f>
        <v>11</v>
      </c>
      <c r="V287" s="18" t="str">
        <f>_xlfn.CONCAT(S287,U287)</f>
        <v>202311</v>
      </c>
      <c r="W287" s="18" t="str">
        <f>_xlfn.CONCAT(TEXT(A287,"MMM"),"-",MID(Q287,3,2))</f>
        <v>Feb-24</v>
      </c>
      <c r="X287" s="19">
        <f>IFERROR(IF(D287="Sell",(H287-P287),-(H287+P287)),0)</f>
        <v>-419.84</v>
      </c>
      <c r="Y287" s="19">
        <f>X287/1000</f>
        <v>-0.41983999999999999</v>
      </c>
    </row>
    <row r="288" spans="1:25" x14ac:dyDescent="0.25">
      <c r="A288" s="1">
        <v>45342</v>
      </c>
      <c r="B288" t="s">
        <v>577</v>
      </c>
      <c r="C288" t="s">
        <v>17</v>
      </c>
      <c r="D288" t="s">
        <v>22</v>
      </c>
      <c r="E288">
        <v>40</v>
      </c>
      <c r="F288">
        <v>0</v>
      </c>
      <c r="G288">
        <v>10</v>
      </c>
      <c r="H288">
        <v>400</v>
      </c>
      <c r="I288" t="s">
        <v>593</v>
      </c>
      <c r="J288">
        <v>0</v>
      </c>
      <c r="K288">
        <v>0.2</v>
      </c>
      <c r="L288">
        <v>0</v>
      </c>
      <c r="M288">
        <v>0</v>
      </c>
      <c r="N288">
        <v>20</v>
      </c>
      <c r="O288">
        <v>3.64</v>
      </c>
      <c r="P288">
        <v>23.84</v>
      </c>
      <c r="Q288" s="18">
        <f>YEAR(A288)</f>
        <v>2024</v>
      </c>
      <c r="R288" s="18">
        <f>MONTH(A288)</f>
        <v>2</v>
      </c>
      <c r="S288" s="18">
        <f>IF(R288&lt;4,Q288-1,Q288)</f>
        <v>2023</v>
      </c>
      <c r="T288" s="18">
        <f>IF(R288&lt;4,R288+9,R288-3)</f>
        <v>11</v>
      </c>
      <c r="U288" s="18">
        <f>IF(LEN(T288)=1,_xlfn.CONCAT(0,T288),T288)</f>
        <v>11</v>
      </c>
      <c r="V288" s="18" t="str">
        <f>_xlfn.CONCAT(S288,U288)</f>
        <v>202311</v>
      </c>
      <c r="W288" s="18" t="str">
        <f>_xlfn.CONCAT(TEXT(A288,"MMM"),"-",MID(Q288,3,2))</f>
        <v>Feb-24</v>
      </c>
      <c r="X288" s="19">
        <f>IFERROR(IF(D288="Sell",(H288-P288),-(H288+P288)),0)</f>
        <v>-423.84</v>
      </c>
      <c r="Y288" s="19">
        <f>X288/1000</f>
        <v>-0.42383999999999999</v>
      </c>
    </row>
    <row r="289" spans="1:25" x14ac:dyDescent="0.25">
      <c r="A289" s="1">
        <v>45342</v>
      </c>
      <c r="B289" t="s">
        <v>577</v>
      </c>
      <c r="C289" t="s">
        <v>17</v>
      </c>
      <c r="D289" t="s">
        <v>22</v>
      </c>
      <c r="E289">
        <v>40</v>
      </c>
      <c r="F289">
        <v>0</v>
      </c>
      <c r="G289">
        <v>9.15</v>
      </c>
      <c r="H289">
        <v>366</v>
      </c>
      <c r="I289" t="s">
        <v>594</v>
      </c>
      <c r="J289">
        <v>0</v>
      </c>
      <c r="K289">
        <v>0.18</v>
      </c>
      <c r="L289">
        <v>0</v>
      </c>
      <c r="M289">
        <v>0</v>
      </c>
      <c r="N289">
        <v>20</v>
      </c>
      <c r="O289">
        <v>3.64</v>
      </c>
      <c r="P289">
        <v>23.82</v>
      </c>
      <c r="Q289" s="18">
        <f>YEAR(A289)</f>
        <v>2024</v>
      </c>
      <c r="R289" s="18">
        <f>MONTH(A289)</f>
        <v>2</v>
      </c>
      <c r="S289" s="18">
        <f>IF(R289&lt;4,Q289-1,Q289)</f>
        <v>2023</v>
      </c>
      <c r="T289" s="18">
        <f>IF(R289&lt;4,R289+9,R289-3)</f>
        <v>11</v>
      </c>
      <c r="U289" s="18">
        <f>IF(LEN(T289)=1,_xlfn.CONCAT(0,T289),T289)</f>
        <v>11</v>
      </c>
      <c r="V289" s="18" t="str">
        <f>_xlfn.CONCAT(S289,U289)</f>
        <v>202311</v>
      </c>
      <c r="W289" s="18" t="str">
        <f>_xlfn.CONCAT(TEXT(A289,"MMM"),"-",MID(Q289,3,2))</f>
        <v>Feb-24</v>
      </c>
      <c r="X289" s="19">
        <f>IFERROR(IF(D289="Sell",(H289-P289),-(H289+P289)),0)</f>
        <v>-389.82</v>
      </c>
      <c r="Y289" s="19">
        <f>X289/1000</f>
        <v>-0.38982</v>
      </c>
    </row>
    <row r="290" spans="1:25" x14ac:dyDescent="0.25">
      <c r="A290" s="1">
        <v>45342</v>
      </c>
      <c r="B290" t="s">
        <v>577</v>
      </c>
      <c r="C290" t="s">
        <v>17</v>
      </c>
      <c r="D290" t="s">
        <v>22</v>
      </c>
      <c r="E290">
        <v>40</v>
      </c>
      <c r="F290">
        <v>0</v>
      </c>
      <c r="G290">
        <v>9.0500000000000007</v>
      </c>
      <c r="H290">
        <v>362</v>
      </c>
      <c r="I290" t="s">
        <v>595</v>
      </c>
      <c r="J290">
        <v>0</v>
      </c>
      <c r="K290">
        <v>0.18</v>
      </c>
      <c r="L290">
        <v>0</v>
      </c>
      <c r="M290">
        <v>0</v>
      </c>
      <c r="N290">
        <v>20</v>
      </c>
      <c r="O290">
        <v>3.64</v>
      </c>
      <c r="P290">
        <v>23.82</v>
      </c>
      <c r="Q290" s="18">
        <f>YEAR(A290)</f>
        <v>2024</v>
      </c>
      <c r="R290" s="18">
        <f>MONTH(A290)</f>
        <v>2</v>
      </c>
      <c r="S290" s="18">
        <f>IF(R290&lt;4,Q290-1,Q290)</f>
        <v>2023</v>
      </c>
      <c r="T290" s="18">
        <f>IF(R290&lt;4,R290+9,R290-3)</f>
        <v>11</v>
      </c>
      <c r="U290" s="18">
        <f>IF(LEN(T290)=1,_xlfn.CONCAT(0,T290),T290)</f>
        <v>11</v>
      </c>
      <c r="V290" s="18" t="str">
        <f>_xlfn.CONCAT(S290,U290)</f>
        <v>202311</v>
      </c>
      <c r="W290" s="18" t="str">
        <f>_xlfn.CONCAT(TEXT(A290,"MMM"),"-",MID(Q290,3,2))</f>
        <v>Feb-24</v>
      </c>
      <c r="X290" s="19">
        <f>IFERROR(IF(D290="Sell",(H290-P290),-(H290+P290)),0)</f>
        <v>-385.82</v>
      </c>
      <c r="Y290" s="19">
        <f>X290/1000</f>
        <v>-0.38582</v>
      </c>
    </row>
    <row r="291" spans="1:25" x14ac:dyDescent="0.25">
      <c r="A291" s="1">
        <v>45342</v>
      </c>
      <c r="B291" t="s">
        <v>577</v>
      </c>
      <c r="C291" t="s">
        <v>17</v>
      </c>
      <c r="D291" t="s">
        <v>22</v>
      </c>
      <c r="E291">
        <v>40</v>
      </c>
      <c r="F291">
        <v>0</v>
      </c>
      <c r="G291">
        <v>12.6</v>
      </c>
      <c r="H291">
        <v>504</v>
      </c>
      <c r="I291" t="s">
        <v>596</v>
      </c>
      <c r="J291">
        <v>0</v>
      </c>
      <c r="K291">
        <v>0.25</v>
      </c>
      <c r="L291">
        <v>0</v>
      </c>
      <c r="M291">
        <v>0</v>
      </c>
      <c r="N291">
        <v>20</v>
      </c>
      <c r="O291">
        <v>3.64</v>
      </c>
      <c r="P291">
        <v>23.89</v>
      </c>
      <c r="Q291" s="18">
        <f>YEAR(A291)</f>
        <v>2024</v>
      </c>
      <c r="R291" s="18">
        <f>MONTH(A291)</f>
        <v>2</v>
      </c>
      <c r="S291" s="18">
        <f>IF(R291&lt;4,Q291-1,Q291)</f>
        <v>2023</v>
      </c>
      <c r="T291" s="18">
        <f>IF(R291&lt;4,R291+9,R291-3)</f>
        <v>11</v>
      </c>
      <c r="U291" s="18">
        <f>IF(LEN(T291)=1,_xlfn.CONCAT(0,T291),T291)</f>
        <v>11</v>
      </c>
      <c r="V291" s="18" t="str">
        <f>_xlfn.CONCAT(S291,U291)</f>
        <v>202311</v>
      </c>
      <c r="W291" s="18" t="str">
        <f>_xlfn.CONCAT(TEXT(A291,"MMM"),"-",MID(Q291,3,2))</f>
        <v>Feb-24</v>
      </c>
      <c r="X291" s="19">
        <f>IFERROR(IF(D291="Sell",(H291-P291),-(H291+P291)),0)</f>
        <v>-527.89</v>
      </c>
      <c r="Y291" s="19">
        <f>X291/1000</f>
        <v>-0.52788999999999997</v>
      </c>
    </row>
    <row r="292" spans="1:25" x14ac:dyDescent="0.25">
      <c r="A292" s="1">
        <v>45342</v>
      </c>
      <c r="B292" t="s">
        <v>577</v>
      </c>
      <c r="C292" t="s">
        <v>17</v>
      </c>
      <c r="D292" t="s">
        <v>22</v>
      </c>
      <c r="E292">
        <v>40</v>
      </c>
      <c r="F292">
        <v>0</v>
      </c>
      <c r="G292">
        <v>12.55</v>
      </c>
      <c r="H292">
        <v>502</v>
      </c>
      <c r="I292" t="s">
        <v>597</v>
      </c>
      <c r="J292">
        <v>0</v>
      </c>
      <c r="K292">
        <v>0.25</v>
      </c>
      <c r="L292">
        <v>0</v>
      </c>
      <c r="M292">
        <v>0</v>
      </c>
      <c r="N292">
        <v>20</v>
      </c>
      <c r="O292">
        <v>3.64</v>
      </c>
      <c r="P292">
        <v>23.89</v>
      </c>
      <c r="Q292" s="18">
        <f>YEAR(A292)</f>
        <v>2024</v>
      </c>
      <c r="R292" s="18">
        <f>MONTH(A292)</f>
        <v>2</v>
      </c>
      <c r="S292" s="18">
        <f>IF(R292&lt;4,Q292-1,Q292)</f>
        <v>2023</v>
      </c>
      <c r="T292" s="18">
        <f>IF(R292&lt;4,R292+9,R292-3)</f>
        <v>11</v>
      </c>
      <c r="U292" s="18">
        <f>IF(LEN(T292)=1,_xlfn.CONCAT(0,T292),T292)</f>
        <v>11</v>
      </c>
      <c r="V292" s="18" t="str">
        <f>_xlfn.CONCAT(S292,U292)</f>
        <v>202311</v>
      </c>
      <c r="W292" s="18" t="str">
        <f>_xlfn.CONCAT(TEXT(A292,"MMM"),"-",MID(Q292,3,2))</f>
        <v>Feb-24</v>
      </c>
      <c r="X292" s="19">
        <f>IFERROR(IF(D292="Sell",(H292-P292),-(H292+P292)),0)</f>
        <v>-525.89</v>
      </c>
      <c r="Y292" s="19">
        <f>X292/1000</f>
        <v>-0.52588999999999997</v>
      </c>
    </row>
    <row r="293" spans="1:25" x14ac:dyDescent="0.25">
      <c r="A293" s="1">
        <v>45342</v>
      </c>
      <c r="B293" t="s">
        <v>577</v>
      </c>
      <c r="C293" t="s">
        <v>17</v>
      </c>
      <c r="D293" t="s">
        <v>22</v>
      </c>
      <c r="E293">
        <v>40</v>
      </c>
      <c r="F293">
        <v>0</v>
      </c>
      <c r="G293">
        <v>14.4</v>
      </c>
      <c r="H293">
        <v>576</v>
      </c>
      <c r="I293" t="s">
        <v>598</v>
      </c>
      <c r="J293">
        <v>0</v>
      </c>
      <c r="K293">
        <v>0.28999999999999998</v>
      </c>
      <c r="L293">
        <v>0</v>
      </c>
      <c r="M293">
        <v>0</v>
      </c>
      <c r="N293">
        <v>20</v>
      </c>
      <c r="O293">
        <v>3.66</v>
      </c>
      <c r="P293">
        <v>23.95</v>
      </c>
      <c r="Q293" s="18">
        <f>YEAR(A293)</f>
        <v>2024</v>
      </c>
      <c r="R293" s="18">
        <f>MONTH(A293)</f>
        <v>2</v>
      </c>
      <c r="S293" s="18">
        <f>IF(R293&lt;4,Q293-1,Q293)</f>
        <v>2023</v>
      </c>
      <c r="T293" s="18">
        <f>IF(R293&lt;4,R293+9,R293-3)</f>
        <v>11</v>
      </c>
      <c r="U293" s="18">
        <f>IF(LEN(T293)=1,_xlfn.CONCAT(0,T293),T293)</f>
        <v>11</v>
      </c>
      <c r="V293" s="18" t="str">
        <f>_xlfn.CONCAT(S293,U293)</f>
        <v>202311</v>
      </c>
      <c r="W293" s="18" t="str">
        <f>_xlfn.CONCAT(TEXT(A293,"MMM"),"-",MID(Q293,3,2))</f>
        <v>Feb-24</v>
      </c>
      <c r="X293" s="19">
        <f>IFERROR(IF(D293="Sell",(H293-P293),-(H293+P293)),0)</f>
        <v>-599.95000000000005</v>
      </c>
      <c r="Y293" s="19">
        <f>X293/1000</f>
        <v>-0.59995000000000009</v>
      </c>
    </row>
    <row r="294" spans="1:25" x14ac:dyDescent="0.25">
      <c r="A294" s="1">
        <v>45342</v>
      </c>
      <c r="B294" t="s">
        <v>577</v>
      </c>
      <c r="C294" t="s">
        <v>17</v>
      </c>
      <c r="D294" t="s">
        <v>22</v>
      </c>
      <c r="E294">
        <v>40</v>
      </c>
      <c r="F294">
        <v>0</v>
      </c>
      <c r="G294">
        <v>30</v>
      </c>
      <c r="H294">
        <v>1200</v>
      </c>
      <c r="I294" t="s">
        <v>599</v>
      </c>
      <c r="J294">
        <v>0</v>
      </c>
      <c r="K294">
        <v>0.61</v>
      </c>
      <c r="L294">
        <v>0</v>
      </c>
      <c r="M294">
        <v>0</v>
      </c>
      <c r="N294">
        <v>20</v>
      </c>
      <c r="O294">
        <v>3.7</v>
      </c>
      <c r="P294">
        <v>24.31</v>
      </c>
      <c r="Q294" s="18">
        <f>YEAR(A294)</f>
        <v>2024</v>
      </c>
      <c r="R294" s="18">
        <f>MONTH(A294)</f>
        <v>2</v>
      </c>
      <c r="S294" s="18">
        <f>IF(R294&lt;4,Q294-1,Q294)</f>
        <v>2023</v>
      </c>
      <c r="T294" s="18">
        <f>IF(R294&lt;4,R294+9,R294-3)</f>
        <v>11</v>
      </c>
      <c r="U294" s="18">
        <f>IF(LEN(T294)=1,_xlfn.CONCAT(0,T294),T294)</f>
        <v>11</v>
      </c>
      <c r="V294" s="18" t="str">
        <f>_xlfn.CONCAT(S294,U294)</f>
        <v>202311</v>
      </c>
      <c r="W294" s="18" t="str">
        <f>_xlfn.CONCAT(TEXT(A294,"MMM"),"-",MID(Q294,3,2))</f>
        <v>Feb-24</v>
      </c>
      <c r="X294" s="19">
        <f>IFERROR(IF(D294="Sell",(H294-P294),-(H294+P294)),0)</f>
        <v>-1224.31</v>
      </c>
      <c r="Y294" s="19">
        <f>X294/1000</f>
        <v>-1.22431</v>
      </c>
    </row>
    <row r="295" spans="1:25" x14ac:dyDescent="0.25">
      <c r="A295" s="1">
        <v>45343</v>
      </c>
      <c r="B295" t="s">
        <v>567</v>
      </c>
      <c r="C295" t="s">
        <v>17</v>
      </c>
      <c r="D295" t="s">
        <v>18</v>
      </c>
      <c r="E295">
        <v>120</v>
      </c>
      <c r="F295">
        <v>0</v>
      </c>
      <c r="G295">
        <v>78.55</v>
      </c>
      <c r="H295">
        <v>9426</v>
      </c>
      <c r="I295" t="s">
        <v>568</v>
      </c>
      <c r="J295">
        <v>5.9</v>
      </c>
      <c r="K295">
        <v>4.7699999999999996</v>
      </c>
      <c r="L295">
        <v>0</v>
      </c>
      <c r="M295">
        <v>0</v>
      </c>
      <c r="N295">
        <v>160</v>
      </c>
      <c r="O295">
        <v>29.64</v>
      </c>
      <c r="P295">
        <v>200.31</v>
      </c>
      <c r="Q295" s="18">
        <f>YEAR(A295)</f>
        <v>2024</v>
      </c>
      <c r="R295" s="18">
        <f>MONTH(A295)</f>
        <v>2</v>
      </c>
      <c r="S295" s="18">
        <f>IF(R295&lt;4,Q295-1,Q295)</f>
        <v>2023</v>
      </c>
      <c r="T295" s="18">
        <f>IF(R295&lt;4,R295+9,R295-3)</f>
        <v>11</v>
      </c>
      <c r="U295" s="18">
        <f>IF(LEN(T295)=1,_xlfn.CONCAT(0,T295),T295)</f>
        <v>11</v>
      </c>
      <c r="V295" s="18" t="str">
        <f>_xlfn.CONCAT(S295,U295)</f>
        <v>202311</v>
      </c>
      <c r="W295" s="18" t="str">
        <f>_xlfn.CONCAT(TEXT(A295,"MMM"),"-",MID(Q295,3,2))</f>
        <v>Feb-24</v>
      </c>
      <c r="X295" s="19">
        <f>IFERROR(IF(D295="Sell",(H295-P295),-(H295+P295)),0)</f>
        <v>9225.69</v>
      </c>
      <c r="Y295" s="19">
        <f>X295/1000</f>
        <v>9.2256900000000002</v>
      </c>
    </row>
    <row r="296" spans="1:25" x14ac:dyDescent="0.25">
      <c r="A296" s="1">
        <v>45343</v>
      </c>
      <c r="B296" t="s">
        <v>567</v>
      </c>
      <c r="C296" t="s">
        <v>17</v>
      </c>
      <c r="D296" t="s">
        <v>22</v>
      </c>
      <c r="E296">
        <v>120</v>
      </c>
      <c r="F296">
        <v>0</v>
      </c>
      <c r="G296">
        <v>68.3</v>
      </c>
      <c r="H296">
        <v>8196</v>
      </c>
      <c r="I296" t="s">
        <v>569</v>
      </c>
      <c r="J296">
        <v>0</v>
      </c>
      <c r="K296">
        <v>4.1399999999999997</v>
      </c>
      <c r="L296">
        <v>0.25</v>
      </c>
      <c r="M296">
        <v>0.01</v>
      </c>
      <c r="N296">
        <v>160</v>
      </c>
      <c r="O296">
        <v>29.54</v>
      </c>
      <c r="P296">
        <v>193.94</v>
      </c>
      <c r="Q296" s="18">
        <f>YEAR(A296)</f>
        <v>2024</v>
      </c>
      <c r="R296" s="18">
        <f>MONTH(A296)</f>
        <v>2</v>
      </c>
      <c r="S296" s="18">
        <f>IF(R296&lt;4,Q296-1,Q296)</f>
        <v>2023</v>
      </c>
      <c r="T296" s="18">
        <f>IF(R296&lt;4,R296+9,R296-3)</f>
        <v>11</v>
      </c>
      <c r="U296" s="18">
        <f>IF(LEN(T296)=1,_xlfn.CONCAT(0,T296),T296)</f>
        <v>11</v>
      </c>
      <c r="V296" s="18" t="str">
        <f>_xlfn.CONCAT(S296,U296)</f>
        <v>202311</v>
      </c>
      <c r="W296" s="18" t="str">
        <f>_xlfn.CONCAT(TEXT(A296,"MMM"),"-",MID(Q296,3,2))</f>
        <v>Feb-24</v>
      </c>
      <c r="X296" s="19">
        <f>IFERROR(IF(D296="Sell",(H296-P296),-(H296+P296)),0)</f>
        <v>-8389.94</v>
      </c>
      <c r="Y296" s="19">
        <f>X296/1000</f>
        <v>-8.3899400000000011</v>
      </c>
    </row>
    <row r="297" spans="1:25" x14ac:dyDescent="0.25">
      <c r="A297" s="1">
        <v>45343</v>
      </c>
      <c r="B297" t="s">
        <v>570</v>
      </c>
      <c r="C297" t="s">
        <v>17</v>
      </c>
      <c r="D297" t="s">
        <v>18</v>
      </c>
      <c r="E297">
        <v>105</v>
      </c>
      <c r="F297">
        <v>0</v>
      </c>
      <c r="G297">
        <v>35.9</v>
      </c>
      <c r="H297">
        <v>3769.5</v>
      </c>
      <c r="I297" t="s">
        <v>571</v>
      </c>
      <c r="J297">
        <v>2.36</v>
      </c>
      <c r="K297">
        <v>1.9</v>
      </c>
      <c r="L297">
        <v>0</v>
      </c>
      <c r="M297">
        <v>0</v>
      </c>
      <c r="N297">
        <v>140</v>
      </c>
      <c r="O297">
        <v>25.54</v>
      </c>
      <c r="P297">
        <v>169.8</v>
      </c>
      <c r="Q297" s="18">
        <f>YEAR(A297)</f>
        <v>2024</v>
      </c>
      <c r="R297" s="18">
        <f>MONTH(A297)</f>
        <v>2</v>
      </c>
      <c r="S297" s="18">
        <f>IF(R297&lt;4,Q297-1,Q297)</f>
        <v>2023</v>
      </c>
      <c r="T297" s="18">
        <f>IF(R297&lt;4,R297+9,R297-3)</f>
        <v>11</v>
      </c>
      <c r="U297" s="18">
        <f>IF(LEN(T297)=1,_xlfn.CONCAT(0,T297),T297)</f>
        <v>11</v>
      </c>
      <c r="V297" s="18" t="str">
        <f>_xlfn.CONCAT(S297,U297)</f>
        <v>202311</v>
      </c>
      <c r="W297" s="18" t="str">
        <f>_xlfn.CONCAT(TEXT(A297,"MMM"),"-",MID(Q297,3,2))</f>
        <v>Feb-24</v>
      </c>
      <c r="X297" s="19">
        <f>IFERROR(IF(D297="Sell",(H297-P297),-(H297+P297)),0)</f>
        <v>3599.7</v>
      </c>
      <c r="Y297" s="19">
        <f>X297/1000</f>
        <v>3.5996999999999999</v>
      </c>
    </row>
    <row r="298" spans="1:25" x14ac:dyDescent="0.25">
      <c r="A298" s="1">
        <v>45343</v>
      </c>
      <c r="B298" t="s">
        <v>570</v>
      </c>
      <c r="C298" t="s">
        <v>17</v>
      </c>
      <c r="D298" t="s">
        <v>22</v>
      </c>
      <c r="E298">
        <v>105</v>
      </c>
      <c r="F298">
        <v>0</v>
      </c>
      <c r="G298">
        <v>135.15</v>
      </c>
      <c r="H298">
        <v>14190.75</v>
      </c>
      <c r="I298" t="s">
        <v>572</v>
      </c>
      <c r="J298">
        <v>0</v>
      </c>
      <c r="K298">
        <v>7.17</v>
      </c>
      <c r="L298">
        <v>0.75</v>
      </c>
      <c r="M298">
        <v>0.01</v>
      </c>
      <c r="N298">
        <v>140</v>
      </c>
      <c r="O298">
        <v>26.48</v>
      </c>
      <c r="P298">
        <v>174.41</v>
      </c>
      <c r="Q298" s="18">
        <f>YEAR(A298)</f>
        <v>2024</v>
      </c>
      <c r="R298" s="18">
        <f>MONTH(A298)</f>
        <v>2</v>
      </c>
      <c r="S298" s="18">
        <f>IF(R298&lt;4,Q298-1,Q298)</f>
        <v>2023</v>
      </c>
      <c r="T298" s="18">
        <f>IF(R298&lt;4,R298+9,R298-3)</f>
        <v>11</v>
      </c>
      <c r="U298" s="18">
        <f>IF(LEN(T298)=1,_xlfn.CONCAT(0,T298),T298)</f>
        <v>11</v>
      </c>
      <c r="V298" s="18" t="str">
        <f>_xlfn.CONCAT(S298,U298)</f>
        <v>202311</v>
      </c>
      <c r="W298" s="18" t="str">
        <f>_xlfn.CONCAT(TEXT(A298,"MMM"),"-",MID(Q298,3,2))</f>
        <v>Feb-24</v>
      </c>
      <c r="X298" s="19">
        <f>IFERROR(IF(D298="Sell",(H298-P298),-(H298+P298)),0)</f>
        <v>-14365.16</v>
      </c>
      <c r="Y298" s="19">
        <f>X298/1000</f>
        <v>-14.365159999999999</v>
      </c>
    </row>
    <row r="299" spans="1:25" x14ac:dyDescent="0.25">
      <c r="A299" s="1">
        <v>45343</v>
      </c>
      <c r="B299" t="s">
        <v>570</v>
      </c>
      <c r="C299" t="s">
        <v>17</v>
      </c>
      <c r="D299" t="s">
        <v>18</v>
      </c>
      <c r="E299">
        <v>105</v>
      </c>
      <c r="F299">
        <v>0</v>
      </c>
      <c r="G299">
        <v>130</v>
      </c>
      <c r="H299">
        <v>13650</v>
      </c>
      <c r="I299" t="s">
        <v>573</v>
      </c>
      <c r="J299">
        <v>8.75</v>
      </c>
      <c r="K299">
        <v>6.89</v>
      </c>
      <c r="L299">
        <v>0</v>
      </c>
      <c r="M299">
        <v>0.01</v>
      </c>
      <c r="N299">
        <v>140</v>
      </c>
      <c r="O299">
        <v>26.44</v>
      </c>
      <c r="P299">
        <v>182.09</v>
      </c>
      <c r="Q299" s="18">
        <f>YEAR(A299)</f>
        <v>2024</v>
      </c>
      <c r="R299" s="18">
        <f>MONTH(A299)</f>
        <v>2</v>
      </c>
      <c r="S299" s="18">
        <f>IF(R299&lt;4,Q299-1,Q299)</f>
        <v>2023</v>
      </c>
      <c r="T299" s="18">
        <f>IF(R299&lt;4,R299+9,R299-3)</f>
        <v>11</v>
      </c>
      <c r="U299" s="18">
        <f>IF(LEN(T299)=1,_xlfn.CONCAT(0,T299),T299)</f>
        <v>11</v>
      </c>
      <c r="V299" s="18" t="str">
        <f>_xlfn.CONCAT(S299,U299)</f>
        <v>202311</v>
      </c>
      <c r="W299" s="18" t="str">
        <f>_xlfn.CONCAT(TEXT(A299,"MMM"),"-",MID(Q299,3,2))</f>
        <v>Feb-24</v>
      </c>
      <c r="X299" s="19">
        <f>IFERROR(IF(D299="Sell",(H299-P299),-(H299+P299)),0)</f>
        <v>13467.91</v>
      </c>
      <c r="Y299" s="19">
        <f>X299/1000</f>
        <v>13.46791</v>
      </c>
    </row>
    <row r="300" spans="1:25" x14ac:dyDescent="0.25">
      <c r="A300" s="1">
        <v>45343</v>
      </c>
      <c r="B300" t="s">
        <v>570</v>
      </c>
      <c r="C300" t="s">
        <v>17</v>
      </c>
      <c r="D300" t="s">
        <v>22</v>
      </c>
      <c r="E300">
        <v>45</v>
      </c>
      <c r="F300">
        <v>0</v>
      </c>
      <c r="G300">
        <v>51.45</v>
      </c>
      <c r="H300">
        <v>2315.25</v>
      </c>
      <c r="I300" t="s">
        <v>574</v>
      </c>
      <c r="J300">
        <v>0</v>
      </c>
      <c r="K300">
        <v>1.17</v>
      </c>
      <c r="L300">
        <v>0</v>
      </c>
      <c r="M300">
        <v>0</v>
      </c>
      <c r="N300">
        <v>60</v>
      </c>
      <c r="O300">
        <v>11.02</v>
      </c>
      <c r="P300">
        <v>72.19</v>
      </c>
      <c r="Q300" s="18">
        <f>YEAR(A300)</f>
        <v>2024</v>
      </c>
      <c r="R300" s="18">
        <f>MONTH(A300)</f>
        <v>2</v>
      </c>
      <c r="S300" s="18">
        <f>IF(R300&lt;4,Q300-1,Q300)</f>
        <v>2023</v>
      </c>
      <c r="T300" s="18">
        <f>IF(R300&lt;4,R300+9,R300-3)</f>
        <v>11</v>
      </c>
      <c r="U300" s="18">
        <f>IF(LEN(T300)=1,_xlfn.CONCAT(0,T300),T300)</f>
        <v>11</v>
      </c>
      <c r="V300" s="18" t="str">
        <f>_xlfn.CONCAT(S300,U300)</f>
        <v>202311</v>
      </c>
      <c r="W300" s="18" t="str">
        <f>_xlfn.CONCAT(TEXT(A300,"MMM"),"-",MID(Q300,3,2))</f>
        <v>Feb-24</v>
      </c>
      <c r="X300" s="19">
        <f>IFERROR(IF(D300="Sell",(H300-P300),-(H300+P300)),0)</f>
        <v>-2387.44</v>
      </c>
      <c r="Y300" s="19">
        <f>X300/1000</f>
        <v>-2.3874400000000002</v>
      </c>
    </row>
    <row r="301" spans="1:25" x14ac:dyDescent="0.25">
      <c r="A301" s="1">
        <v>45343</v>
      </c>
      <c r="B301" t="s">
        <v>570</v>
      </c>
      <c r="C301" t="s">
        <v>17</v>
      </c>
      <c r="D301" t="s">
        <v>22</v>
      </c>
      <c r="E301">
        <v>45</v>
      </c>
      <c r="F301">
        <v>0</v>
      </c>
      <c r="G301">
        <v>69.849999999999994</v>
      </c>
      <c r="H301">
        <v>3143.25</v>
      </c>
      <c r="I301" t="s">
        <v>575</v>
      </c>
      <c r="J301">
        <v>0</v>
      </c>
      <c r="K301">
        <v>1.59</v>
      </c>
      <c r="L301">
        <v>0</v>
      </c>
      <c r="M301">
        <v>0</v>
      </c>
      <c r="N301">
        <v>60</v>
      </c>
      <c r="O301">
        <v>11.1</v>
      </c>
      <c r="P301">
        <v>72.69</v>
      </c>
      <c r="Q301" s="18">
        <f>YEAR(A301)</f>
        <v>2024</v>
      </c>
      <c r="R301" s="18">
        <f>MONTH(A301)</f>
        <v>2</v>
      </c>
      <c r="S301" s="18">
        <f>IF(R301&lt;4,Q301-1,Q301)</f>
        <v>2023</v>
      </c>
      <c r="T301" s="18">
        <f>IF(R301&lt;4,R301+9,R301-3)</f>
        <v>11</v>
      </c>
      <c r="U301" s="18">
        <f>IF(LEN(T301)=1,_xlfn.CONCAT(0,T301),T301)</f>
        <v>11</v>
      </c>
      <c r="V301" s="18" t="str">
        <f>_xlfn.CONCAT(S301,U301)</f>
        <v>202311</v>
      </c>
      <c r="W301" s="18" t="str">
        <f>_xlfn.CONCAT(TEXT(A301,"MMM"),"-",MID(Q301,3,2))</f>
        <v>Feb-24</v>
      </c>
      <c r="X301" s="19">
        <f>IFERROR(IF(D301="Sell",(H301-P301),-(H301+P301)),0)</f>
        <v>-3215.94</v>
      </c>
      <c r="Y301" s="19">
        <f>X301/1000</f>
        <v>-3.2159400000000002</v>
      </c>
    </row>
    <row r="302" spans="1:25" x14ac:dyDescent="0.25">
      <c r="A302" s="1">
        <v>45343</v>
      </c>
      <c r="B302" t="s">
        <v>570</v>
      </c>
      <c r="C302" t="s">
        <v>17</v>
      </c>
      <c r="D302" t="s">
        <v>22</v>
      </c>
      <c r="E302">
        <v>15</v>
      </c>
      <c r="F302">
        <v>0</v>
      </c>
      <c r="G302">
        <v>122.3</v>
      </c>
      <c r="H302">
        <v>1834.5</v>
      </c>
      <c r="I302" t="s">
        <v>576</v>
      </c>
      <c r="J302">
        <v>0</v>
      </c>
      <c r="K302">
        <v>0.93</v>
      </c>
      <c r="L302">
        <v>0</v>
      </c>
      <c r="M302">
        <v>0</v>
      </c>
      <c r="N302">
        <v>20</v>
      </c>
      <c r="O302">
        <v>3.76</v>
      </c>
      <c r="P302">
        <v>24.69</v>
      </c>
      <c r="Q302" s="18">
        <f>YEAR(A302)</f>
        <v>2024</v>
      </c>
      <c r="R302" s="18">
        <f>MONTH(A302)</f>
        <v>2</v>
      </c>
      <c r="S302" s="18">
        <f>IF(R302&lt;4,Q302-1,Q302)</f>
        <v>2023</v>
      </c>
      <c r="T302" s="18">
        <f>IF(R302&lt;4,R302+9,R302-3)</f>
        <v>11</v>
      </c>
      <c r="U302" s="18">
        <f>IF(LEN(T302)=1,_xlfn.CONCAT(0,T302),T302)</f>
        <v>11</v>
      </c>
      <c r="V302" s="18" t="str">
        <f>_xlfn.CONCAT(S302,U302)</f>
        <v>202311</v>
      </c>
      <c r="W302" s="18" t="str">
        <f>_xlfn.CONCAT(TEXT(A302,"MMM"),"-",MID(Q302,3,2))</f>
        <v>Feb-24</v>
      </c>
      <c r="X302" s="19">
        <f>IFERROR(IF(D302="Sell",(H302-P302),-(H302+P302)),0)</f>
        <v>-1859.19</v>
      </c>
      <c r="Y302" s="19">
        <f>X302/1000</f>
        <v>-1.8591900000000001</v>
      </c>
    </row>
    <row r="303" spans="1:25" x14ac:dyDescent="0.25">
      <c r="A303" s="1">
        <v>45344</v>
      </c>
      <c r="B303" t="s">
        <v>557</v>
      </c>
      <c r="C303" t="s">
        <v>17</v>
      </c>
      <c r="D303" t="s">
        <v>18</v>
      </c>
      <c r="E303">
        <v>250</v>
      </c>
      <c r="F303">
        <v>0</v>
      </c>
      <c r="G303">
        <v>10</v>
      </c>
      <c r="H303">
        <v>2500</v>
      </c>
      <c r="I303" t="s">
        <v>558</v>
      </c>
      <c r="J303">
        <v>1.56</v>
      </c>
      <c r="K303">
        <v>1.26</v>
      </c>
      <c r="L303">
        <v>0</v>
      </c>
      <c r="M303">
        <v>0</v>
      </c>
      <c r="N303">
        <v>100</v>
      </c>
      <c r="O303">
        <v>18.22</v>
      </c>
      <c r="P303">
        <v>121.04</v>
      </c>
      <c r="Q303" s="18">
        <f>YEAR(A303)</f>
        <v>2024</v>
      </c>
      <c r="R303" s="18">
        <f>MONTH(A303)</f>
        <v>2</v>
      </c>
      <c r="S303" s="18">
        <f>IF(R303&lt;4,Q303-1,Q303)</f>
        <v>2023</v>
      </c>
      <c r="T303" s="18">
        <f>IF(R303&lt;4,R303+9,R303-3)</f>
        <v>11</v>
      </c>
      <c r="U303" s="18">
        <f>IF(LEN(T303)=1,_xlfn.CONCAT(0,T303),T303)</f>
        <v>11</v>
      </c>
      <c r="V303" s="18" t="str">
        <f>_xlfn.CONCAT(S303,U303)</f>
        <v>202311</v>
      </c>
      <c r="W303" s="18" t="str">
        <f>_xlfn.CONCAT(TEXT(A303,"MMM"),"-",MID(Q303,3,2))</f>
        <v>Feb-24</v>
      </c>
      <c r="X303" s="19">
        <f>IFERROR(IF(D303="Sell",(H303-P303),-(H303+P303)),0)</f>
        <v>2378.96</v>
      </c>
      <c r="Y303" s="19">
        <f>X303/1000</f>
        <v>2.3789600000000002</v>
      </c>
    </row>
    <row r="304" spans="1:25" x14ac:dyDescent="0.25">
      <c r="A304" s="1">
        <v>45344</v>
      </c>
      <c r="B304" t="s">
        <v>557</v>
      </c>
      <c r="C304" t="s">
        <v>17</v>
      </c>
      <c r="D304" t="s">
        <v>22</v>
      </c>
      <c r="E304">
        <v>50</v>
      </c>
      <c r="F304">
        <v>0</v>
      </c>
      <c r="G304">
        <v>21.65</v>
      </c>
      <c r="H304">
        <v>1082.5</v>
      </c>
      <c r="I304" t="s">
        <v>559</v>
      </c>
      <c r="J304">
        <v>0</v>
      </c>
      <c r="K304">
        <v>0.55000000000000004</v>
      </c>
      <c r="L304">
        <v>0</v>
      </c>
      <c r="M304">
        <v>0</v>
      </c>
      <c r="N304">
        <v>20</v>
      </c>
      <c r="O304">
        <v>3.7</v>
      </c>
      <c r="P304">
        <v>24.25</v>
      </c>
      <c r="Q304" s="18">
        <f>YEAR(A304)</f>
        <v>2024</v>
      </c>
      <c r="R304" s="18">
        <f>MONTH(A304)</f>
        <v>2</v>
      </c>
      <c r="S304" s="18">
        <f>IF(R304&lt;4,Q304-1,Q304)</f>
        <v>2023</v>
      </c>
      <c r="T304" s="18">
        <f>IF(R304&lt;4,R304+9,R304-3)</f>
        <v>11</v>
      </c>
      <c r="U304" s="18">
        <f>IF(LEN(T304)=1,_xlfn.CONCAT(0,T304),T304)</f>
        <v>11</v>
      </c>
      <c r="V304" s="18" t="str">
        <f>_xlfn.CONCAT(S304,U304)</f>
        <v>202311</v>
      </c>
      <c r="W304" s="18" t="str">
        <f>_xlfn.CONCAT(TEXT(A304,"MMM"),"-",MID(Q304,3,2))</f>
        <v>Feb-24</v>
      </c>
      <c r="X304" s="19">
        <f>IFERROR(IF(D304="Sell",(H304-P304),-(H304+P304)),0)</f>
        <v>-1106.75</v>
      </c>
      <c r="Y304" s="19">
        <f>X304/1000</f>
        <v>-1.1067499999999999</v>
      </c>
    </row>
    <row r="305" spans="1:25" x14ac:dyDescent="0.25">
      <c r="A305" s="1">
        <v>45344</v>
      </c>
      <c r="B305" t="s">
        <v>557</v>
      </c>
      <c r="C305" t="s">
        <v>17</v>
      </c>
      <c r="D305" t="s">
        <v>22</v>
      </c>
      <c r="E305">
        <v>50</v>
      </c>
      <c r="F305">
        <v>0</v>
      </c>
      <c r="G305">
        <v>30</v>
      </c>
      <c r="H305">
        <v>1500</v>
      </c>
      <c r="I305" t="s">
        <v>560</v>
      </c>
      <c r="J305">
        <v>0</v>
      </c>
      <c r="K305">
        <v>0.76</v>
      </c>
      <c r="L305">
        <v>0</v>
      </c>
      <c r="M305">
        <v>0</v>
      </c>
      <c r="N305">
        <v>20</v>
      </c>
      <c r="O305">
        <v>3.74</v>
      </c>
      <c r="P305">
        <v>24.5</v>
      </c>
      <c r="Q305" s="18">
        <f>YEAR(A305)</f>
        <v>2024</v>
      </c>
      <c r="R305" s="18">
        <f>MONTH(A305)</f>
        <v>2</v>
      </c>
      <c r="S305" s="18">
        <f>IF(R305&lt;4,Q305-1,Q305)</f>
        <v>2023</v>
      </c>
      <c r="T305" s="18">
        <f>IF(R305&lt;4,R305+9,R305-3)</f>
        <v>11</v>
      </c>
      <c r="U305" s="18">
        <f>IF(LEN(T305)=1,_xlfn.CONCAT(0,T305),T305)</f>
        <v>11</v>
      </c>
      <c r="V305" s="18" t="str">
        <f>_xlfn.CONCAT(S305,U305)</f>
        <v>202311</v>
      </c>
      <c r="W305" s="18" t="str">
        <f>_xlfn.CONCAT(TEXT(A305,"MMM"),"-",MID(Q305,3,2))</f>
        <v>Feb-24</v>
      </c>
      <c r="X305" s="19">
        <f>IFERROR(IF(D305="Sell",(H305-P305),-(H305+P305)),0)</f>
        <v>-1524.5</v>
      </c>
      <c r="Y305" s="19">
        <f>X305/1000</f>
        <v>-1.5245</v>
      </c>
    </row>
    <row r="306" spans="1:25" x14ac:dyDescent="0.25">
      <c r="A306" s="1">
        <v>45344</v>
      </c>
      <c r="B306" t="s">
        <v>557</v>
      </c>
      <c r="C306" t="s">
        <v>17</v>
      </c>
      <c r="D306" t="s">
        <v>22</v>
      </c>
      <c r="E306">
        <v>50</v>
      </c>
      <c r="F306">
        <v>0</v>
      </c>
      <c r="G306">
        <v>26.4</v>
      </c>
      <c r="H306">
        <v>1320</v>
      </c>
      <c r="I306" t="s">
        <v>561</v>
      </c>
      <c r="J306">
        <v>0</v>
      </c>
      <c r="K306">
        <v>0.67</v>
      </c>
      <c r="L306">
        <v>0</v>
      </c>
      <c r="M306">
        <v>0</v>
      </c>
      <c r="N306">
        <v>20</v>
      </c>
      <c r="O306">
        <v>3.72</v>
      </c>
      <c r="P306">
        <v>24.39</v>
      </c>
      <c r="Q306" s="18">
        <f>YEAR(A306)</f>
        <v>2024</v>
      </c>
      <c r="R306" s="18">
        <f>MONTH(A306)</f>
        <v>2</v>
      </c>
      <c r="S306" s="18">
        <f>IF(R306&lt;4,Q306-1,Q306)</f>
        <v>2023</v>
      </c>
      <c r="T306" s="18">
        <f>IF(R306&lt;4,R306+9,R306-3)</f>
        <v>11</v>
      </c>
      <c r="U306" s="18">
        <f>IF(LEN(T306)=1,_xlfn.CONCAT(0,T306),T306)</f>
        <v>11</v>
      </c>
      <c r="V306" s="18" t="str">
        <f>_xlfn.CONCAT(S306,U306)</f>
        <v>202311</v>
      </c>
      <c r="W306" s="18" t="str">
        <f>_xlfn.CONCAT(TEXT(A306,"MMM"),"-",MID(Q306,3,2))</f>
        <v>Feb-24</v>
      </c>
      <c r="X306" s="19">
        <f>IFERROR(IF(D306="Sell",(H306-P306),-(H306+P306)),0)</f>
        <v>-1344.39</v>
      </c>
      <c r="Y306" s="19">
        <f>X306/1000</f>
        <v>-1.3443900000000002</v>
      </c>
    </row>
    <row r="307" spans="1:25" x14ac:dyDescent="0.25">
      <c r="A307" s="1">
        <v>45344</v>
      </c>
      <c r="B307" t="s">
        <v>557</v>
      </c>
      <c r="C307" t="s">
        <v>17</v>
      </c>
      <c r="D307" t="s">
        <v>22</v>
      </c>
      <c r="E307">
        <v>50</v>
      </c>
      <c r="F307">
        <v>0</v>
      </c>
      <c r="G307">
        <v>40</v>
      </c>
      <c r="H307">
        <v>2000</v>
      </c>
      <c r="I307" t="s">
        <v>562</v>
      </c>
      <c r="J307">
        <v>0</v>
      </c>
      <c r="K307">
        <v>1.01</v>
      </c>
      <c r="L307">
        <v>0</v>
      </c>
      <c r="M307">
        <v>0</v>
      </c>
      <c r="N307">
        <v>20</v>
      </c>
      <c r="O307">
        <v>3.78</v>
      </c>
      <c r="P307">
        <v>24.79</v>
      </c>
      <c r="Q307" s="18">
        <f>YEAR(A307)</f>
        <v>2024</v>
      </c>
      <c r="R307" s="18">
        <f>MONTH(A307)</f>
        <v>2</v>
      </c>
      <c r="S307" s="18">
        <f>IF(R307&lt;4,Q307-1,Q307)</f>
        <v>2023</v>
      </c>
      <c r="T307" s="18">
        <f>IF(R307&lt;4,R307+9,R307-3)</f>
        <v>11</v>
      </c>
      <c r="U307" s="18">
        <f>IF(LEN(T307)=1,_xlfn.CONCAT(0,T307),T307)</f>
        <v>11</v>
      </c>
      <c r="V307" s="18" t="str">
        <f>_xlfn.CONCAT(S307,U307)</f>
        <v>202311</v>
      </c>
      <c r="W307" s="18" t="str">
        <f>_xlfn.CONCAT(TEXT(A307,"MMM"),"-",MID(Q307,3,2))</f>
        <v>Feb-24</v>
      </c>
      <c r="X307" s="19">
        <f>IFERROR(IF(D307="Sell",(H307-P307),-(H307+P307)),0)</f>
        <v>-2024.79</v>
      </c>
      <c r="Y307" s="19">
        <f>X307/1000</f>
        <v>-2.0247899999999999</v>
      </c>
    </row>
    <row r="308" spans="1:25" x14ac:dyDescent="0.25">
      <c r="A308" s="1">
        <v>45344</v>
      </c>
      <c r="B308" t="s">
        <v>557</v>
      </c>
      <c r="C308" t="s">
        <v>17</v>
      </c>
      <c r="D308" t="s">
        <v>22</v>
      </c>
      <c r="E308">
        <v>50</v>
      </c>
      <c r="F308">
        <v>0</v>
      </c>
      <c r="G308">
        <v>49.5</v>
      </c>
      <c r="H308">
        <v>2475</v>
      </c>
      <c r="I308" t="s">
        <v>563</v>
      </c>
      <c r="J308">
        <v>0</v>
      </c>
      <c r="K308">
        <v>1.25</v>
      </c>
      <c r="L308">
        <v>0</v>
      </c>
      <c r="M308">
        <v>0</v>
      </c>
      <c r="N308">
        <v>20</v>
      </c>
      <c r="O308">
        <v>3.82</v>
      </c>
      <c r="P308">
        <v>25.07</v>
      </c>
      <c r="Q308" s="18">
        <f>YEAR(A308)</f>
        <v>2024</v>
      </c>
      <c r="R308" s="18">
        <f>MONTH(A308)</f>
        <v>2</v>
      </c>
      <c r="S308" s="18">
        <f>IF(R308&lt;4,Q308-1,Q308)</f>
        <v>2023</v>
      </c>
      <c r="T308" s="18">
        <f>IF(R308&lt;4,R308+9,R308-3)</f>
        <v>11</v>
      </c>
      <c r="U308" s="18">
        <f>IF(LEN(T308)=1,_xlfn.CONCAT(0,T308),T308)</f>
        <v>11</v>
      </c>
      <c r="V308" s="18" t="str">
        <f>_xlfn.CONCAT(S308,U308)</f>
        <v>202311</v>
      </c>
      <c r="W308" s="18" t="str">
        <f>_xlfn.CONCAT(TEXT(A308,"MMM"),"-",MID(Q308,3,2))</f>
        <v>Feb-24</v>
      </c>
      <c r="X308" s="19">
        <f>IFERROR(IF(D308="Sell",(H308-P308),-(H308+P308)),0)</f>
        <v>-2500.0700000000002</v>
      </c>
      <c r="Y308" s="19">
        <f>X308/1000</f>
        <v>-2.50007</v>
      </c>
    </row>
    <row r="309" spans="1:25" x14ac:dyDescent="0.25">
      <c r="A309" s="1">
        <v>45344</v>
      </c>
      <c r="B309" t="s">
        <v>564</v>
      </c>
      <c r="C309" t="s">
        <v>17</v>
      </c>
      <c r="D309" t="s">
        <v>18</v>
      </c>
      <c r="E309">
        <v>50</v>
      </c>
      <c r="F309">
        <v>0</v>
      </c>
      <c r="G309">
        <v>160.05000000000001</v>
      </c>
      <c r="H309">
        <v>8002.5</v>
      </c>
      <c r="I309" t="s">
        <v>565</v>
      </c>
      <c r="J309">
        <v>5.44</v>
      </c>
      <c r="K309">
        <v>4.04</v>
      </c>
      <c r="L309">
        <v>0</v>
      </c>
      <c r="M309">
        <v>0.01</v>
      </c>
      <c r="N309">
        <v>20</v>
      </c>
      <c r="O309">
        <v>4.32</v>
      </c>
      <c r="P309">
        <v>33.81</v>
      </c>
      <c r="Q309" s="18">
        <f>YEAR(A309)</f>
        <v>2024</v>
      </c>
      <c r="R309" s="18">
        <f>MONTH(A309)</f>
        <v>2</v>
      </c>
      <c r="S309" s="18">
        <f>IF(R309&lt;4,Q309-1,Q309)</f>
        <v>2023</v>
      </c>
      <c r="T309" s="18">
        <f>IF(R309&lt;4,R309+9,R309-3)</f>
        <v>11</v>
      </c>
      <c r="U309" s="18">
        <f>IF(LEN(T309)=1,_xlfn.CONCAT(0,T309),T309)</f>
        <v>11</v>
      </c>
      <c r="V309" s="18" t="str">
        <f>_xlfn.CONCAT(S309,U309)</f>
        <v>202311</v>
      </c>
      <c r="W309" s="18" t="str">
        <f>_xlfn.CONCAT(TEXT(A309,"MMM"),"-",MID(Q309,3,2))</f>
        <v>Feb-24</v>
      </c>
      <c r="X309" s="19">
        <f>IFERROR(IF(D309="Sell",(H309-P309),-(H309+P309)),0)</f>
        <v>7968.69</v>
      </c>
      <c r="Y309" s="19">
        <f>X309/1000</f>
        <v>7.9686899999999996</v>
      </c>
    </row>
    <row r="310" spans="1:25" x14ac:dyDescent="0.25">
      <c r="A310" s="1">
        <v>45344</v>
      </c>
      <c r="B310" t="s">
        <v>564</v>
      </c>
      <c r="C310" t="s">
        <v>17</v>
      </c>
      <c r="D310" t="s">
        <v>22</v>
      </c>
      <c r="E310">
        <v>50</v>
      </c>
      <c r="F310">
        <v>0</v>
      </c>
      <c r="G310">
        <v>136.05000000000001</v>
      </c>
      <c r="H310">
        <v>6802.5</v>
      </c>
      <c r="I310" t="s">
        <v>566</v>
      </c>
      <c r="J310">
        <v>0</v>
      </c>
      <c r="K310">
        <v>3.44</v>
      </c>
      <c r="L310">
        <v>0</v>
      </c>
      <c r="M310">
        <v>0.01</v>
      </c>
      <c r="N310">
        <v>20</v>
      </c>
      <c r="O310">
        <v>4.22</v>
      </c>
      <c r="P310">
        <v>27.67</v>
      </c>
      <c r="Q310" s="18">
        <f>YEAR(A310)</f>
        <v>2024</v>
      </c>
      <c r="R310" s="18">
        <f>MONTH(A310)</f>
        <v>2</v>
      </c>
      <c r="S310" s="18">
        <f>IF(R310&lt;4,Q310-1,Q310)</f>
        <v>2023</v>
      </c>
      <c r="T310" s="18">
        <f>IF(R310&lt;4,R310+9,R310-3)</f>
        <v>11</v>
      </c>
      <c r="U310" s="18">
        <f>IF(LEN(T310)=1,_xlfn.CONCAT(0,T310),T310)</f>
        <v>11</v>
      </c>
      <c r="V310" s="18" t="str">
        <f>_xlfn.CONCAT(S310,U310)</f>
        <v>202311</v>
      </c>
      <c r="W310" s="18" t="str">
        <f>_xlfn.CONCAT(TEXT(A310,"MMM"),"-",MID(Q310,3,2))</f>
        <v>Feb-24</v>
      </c>
      <c r="X310" s="19">
        <f>IFERROR(IF(D310="Sell",(H310-P310),-(H310+P310)),0)</f>
        <v>-6830.17</v>
      </c>
      <c r="Y310" s="19">
        <f>X310/1000</f>
        <v>-6.8301699999999999</v>
      </c>
    </row>
    <row r="311" spans="1:25" x14ac:dyDescent="0.25">
      <c r="A311" s="1">
        <v>45345</v>
      </c>
      <c r="B311" t="s">
        <v>546</v>
      </c>
      <c r="C311" t="s">
        <v>17</v>
      </c>
      <c r="D311" t="s">
        <v>18</v>
      </c>
      <c r="E311">
        <v>120</v>
      </c>
      <c r="F311">
        <v>0</v>
      </c>
      <c r="G311">
        <v>99</v>
      </c>
      <c r="H311">
        <v>11880</v>
      </c>
      <c r="I311" t="s">
        <v>547</v>
      </c>
      <c r="J311">
        <v>6.96</v>
      </c>
      <c r="K311">
        <v>6</v>
      </c>
      <c r="L311">
        <v>0</v>
      </c>
      <c r="M311">
        <v>0.01</v>
      </c>
      <c r="N311">
        <v>60</v>
      </c>
      <c r="O311">
        <v>11.88</v>
      </c>
      <c r="P311">
        <v>84.85</v>
      </c>
      <c r="Q311" s="18">
        <f>YEAR(A311)</f>
        <v>2024</v>
      </c>
      <c r="R311" s="18">
        <f>MONTH(A311)</f>
        <v>2</v>
      </c>
      <c r="S311" s="18">
        <f>IF(R311&lt;4,Q311-1,Q311)</f>
        <v>2023</v>
      </c>
      <c r="T311" s="18">
        <f>IF(R311&lt;4,R311+9,R311-3)</f>
        <v>11</v>
      </c>
      <c r="U311" s="18">
        <f>IF(LEN(T311)=1,_xlfn.CONCAT(0,T311),T311)</f>
        <v>11</v>
      </c>
      <c r="V311" s="18" t="str">
        <f>_xlfn.CONCAT(S311,U311)</f>
        <v>202311</v>
      </c>
      <c r="W311" s="18" t="str">
        <f>_xlfn.CONCAT(TEXT(A311,"MMM"),"-",MID(Q311,3,2))</f>
        <v>Feb-24</v>
      </c>
      <c r="X311" s="19">
        <f>IFERROR(IF(D311="Sell",(H311-P311),-(H311+P311)),0)</f>
        <v>11795.15</v>
      </c>
      <c r="Y311" s="19">
        <f>X311/1000</f>
        <v>11.79515</v>
      </c>
    </row>
    <row r="312" spans="1:25" x14ac:dyDescent="0.25">
      <c r="A312" s="1">
        <v>45345</v>
      </c>
      <c r="B312" t="s">
        <v>539</v>
      </c>
      <c r="C312" t="s">
        <v>17</v>
      </c>
      <c r="D312" t="s">
        <v>22</v>
      </c>
      <c r="E312">
        <v>100</v>
      </c>
      <c r="F312">
        <v>0</v>
      </c>
      <c r="G312">
        <v>147.75</v>
      </c>
      <c r="H312">
        <v>14775</v>
      </c>
      <c r="I312" t="s">
        <v>548</v>
      </c>
      <c r="J312">
        <v>0</v>
      </c>
      <c r="K312">
        <v>7.46</v>
      </c>
      <c r="L312">
        <v>0.67</v>
      </c>
      <c r="M312">
        <v>0.01</v>
      </c>
      <c r="N312">
        <v>40</v>
      </c>
      <c r="O312">
        <v>8.5399999999999991</v>
      </c>
      <c r="P312">
        <v>56.68</v>
      </c>
      <c r="Q312" s="18">
        <f>YEAR(A312)</f>
        <v>2024</v>
      </c>
      <c r="R312" s="18">
        <f>MONTH(A312)</f>
        <v>2</v>
      </c>
      <c r="S312" s="18">
        <f>IF(R312&lt;4,Q312-1,Q312)</f>
        <v>2023</v>
      </c>
      <c r="T312" s="18">
        <f>IF(R312&lt;4,R312+9,R312-3)</f>
        <v>11</v>
      </c>
      <c r="U312" s="18">
        <f>IF(LEN(T312)=1,_xlfn.CONCAT(0,T312),T312)</f>
        <v>11</v>
      </c>
      <c r="V312" s="18" t="str">
        <f>_xlfn.CONCAT(S312,U312)</f>
        <v>202311</v>
      </c>
      <c r="W312" s="18" t="str">
        <f>_xlfn.CONCAT(TEXT(A312,"MMM"),"-",MID(Q312,3,2))</f>
        <v>Feb-24</v>
      </c>
      <c r="X312" s="19">
        <f>IFERROR(IF(D312="Sell",(H312-P312),-(H312+P312)),0)</f>
        <v>-14831.68</v>
      </c>
      <c r="Y312" s="19">
        <f>X312/1000</f>
        <v>-14.83168</v>
      </c>
    </row>
    <row r="313" spans="1:25" x14ac:dyDescent="0.25">
      <c r="A313" s="1">
        <v>45345</v>
      </c>
      <c r="B313" t="s">
        <v>539</v>
      </c>
      <c r="C313" t="s">
        <v>17</v>
      </c>
      <c r="D313" t="s">
        <v>22</v>
      </c>
      <c r="E313">
        <v>50</v>
      </c>
      <c r="F313">
        <v>0</v>
      </c>
      <c r="G313">
        <v>147.94999999999999</v>
      </c>
      <c r="H313">
        <v>7397.5</v>
      </c>
      <c r="I313" t="s">
        <v>549</v>
      </c>
      <c r="J313">
        <v>0</v>
      </c>
      <c r="K313">
        <v>3.74</v>
      </c>
      <c r="L313">
        <v>0</v>
      </c>
      <c r="M313">
        <v>0.01</v>
      </c>
      <c r="N313">
        <v>20</v>
      </c>
      <c r="O313">
        <v>4.28</v>
      </c>
      <c r="P313">
        <v>28.03</v>
      </c>
      <c r="Q313" s="18">
        <f>YEAR(A313)</f>
        <v>2024</v>
      </c>
      <c r="R313" s="18">
        <f>MONTH(A313)</f>
        <v>2</v>
      </c>
      <c r="S313" s="18">
        <f>IF(R313&lt;4,Q313-1,Q313)</f>
        <v>2023</v>
      </c>
      <c r="T313" s="18">
        <f>IF(R313&lt;4,R313+9,R313-3)</f>
        <v>11</v>
      </c>
      <c r="U313" s="18">
        <f>IF(LEN(T313)=1,_xlfn.CONCAT(0,T313),T313)</f>
        <v>11</v>
      </c>
      <c r="V313" s="18" t="str">
        <f>_xlfn.CONCAT(S313,U313)</f>
        <v>202311</v>
      </c>
      <c r="W313" s="18" t="str">
        <f>_xlfn.CONCAT(TEXT(A313,"MMM"),"-",MID(Q313,3,2))</f>
        <v>Feb-24</v>
      </c>
      <c r="X313" s="19">
        <f>IFERROR(IF(D313="Sell",(H313-P313),-(H313+P313)),0)</f>
        <v>-7425.53</v>
      </c>
      <c r="Y313" s="19">
        <f>X313/1000</f>
        <v>-7.4255300000000002</v>
      </c>
    </row>
    <row r="314" spans="1:25" x14ac:dyDescent="0.25">
      <c r="A314" s="1">
        <v>45345</v>
      </c>
      <c r="B314" t="s">
        <v>546</v>
      </c>
      <c r="C314" t="s">
        <v>17</v>
      </c>
      <c r="D314" t="s">
        <v>22</v>
      </c>
      <c r="E314">
        <v>40</v>
      </c>
      <c r="F314">
        <v>0</v>
      </c>
      <c r="G314">
        <v>72.900000000000006</v>
      </c>
      <c r="H314">
        <v>2916</v>
      </c>
      <c r="I314" t="s">
        <v>550</v>
      </c>
      <c r="J314">
        <v>0</v>
      </c>
      <c r="K314">
        <v>1.47</v>
      </c>
      <c r="L314">
        <v>0</v>
      </c>
      <c r="M314">
        <v>0</v>
      </c>
      <c r="N314">
        <v>20</v>
      </c>
      <c r="O314">
        <v>3.86</v>
      </c>
      <c r="P314">
        <v>25.33</v>
      </c>
      <c r="Q314" s="18">
        <f>YEAR(A314)</f>
        <v>2024</v>
      </c>
      <c r="R314" s="18">
        <f>MONTH(A314)</f>
        <v>2</v>
      </c>
      <c r="S314" s="18">
        <f>IF(R314&lt;4,Q314-1,Q314)</f>
        <v>2023</v>
      </c>
      <c r="T314" s="18">
        <f>IF(R314&lt;4,R314+9,R314-3)</f>
        <v>11</v>
      </c>
      <c r="U314" s="18">
        <f>IF(LEN(T314)=1,_xlfn.CONCAT(0,T314),T314)</f>
        <v>11</v>
      </c>
      <c r="V314" s="18" t="str">
        <f>_xlfn.CONCAT(S314,U314)</f>
        <v>202311</v>
      </c>
      <c r="W314" s="18" t="str">
        <f>_xlfn.CONCAT(TEXT(A314,"MMM"),"-",MID(Q314,3,2))</f>
        <v>Feb-24</v>
      </c>
      <c r="X314" s="19">
        <f>IFERROR(IF(D314="Sell",(H314-P314),-(H314+P314)),0)</f>
        <v>-2941.33</v>
      </c>
      <c r="Y314" s="19">
        <f>X314/1000</f>
        <v>-2.9413299999999998</v>
      </c>
    </row>
    <row r="315" spans="1:25" x14ac:dyDescent="0.25">
      <c r="A315" s="1">
        <v>45345</v>
      </c>
      <c r="B315" t="s">
        <v>546</v>
      </c>
      <c r="C315" t="s">
        <v>17</v>
      </c>
      <c r="D315" t="s">
        <v>22</v>
      </c>
      <c r="E315">
        <v>40</v>
      </c>
      <c r="F315">
        <v>0</v>
      </c>
      <c r="G315">
        <v>92.1</v>
      </c>
      <c r="H315">
        <v>3684</v>
      </c>
      <c r="I315" t="s">
        <v>551</v>
      </c>
      <c r="J315">
        <v>0</v>
      </c>
      <c r="K315">
        <v>1.86</v>
      </c>
      <c r="L315">
        <v>0</v>
      </c>
      <c r="M315">
        <v>0</v>
      </c>
      <c r="N315">
        <v>20</v>
      </c>
      <c r="O315">
        <v>3.94</v>
      </c>
      <c r="P315">
        <v>25.8</v>
      </c>
      <c r="Q315" s="18">
        <f>YEAR(A315)</f>
        <v>2024</v>
      </c>
      <c r="R315" s="18">
        <f>MONTH(A315)</f>
        <v>2</v>
      </c>
      <c r="S315" s="18">
        <f>IF(R315&lt;4,Q315-1,Q315)</f>
        <v>2023</v>
      </c>
      <c r="T315" s="18">
        <f>IF(R315&lt;4,R315+9,R315-3)</f>
        <v>11</v>
      </c>
      <c r="U315" s="18">
        <f>IF(LEN(T315)=1,_xlfn.CONCAT(0,T315),T315)</f>
        <v>11</v>
      </c>
      <c r="V315" s="18" t="str">
        <f>_xlfn.CONCAT(S315,U315)</f>
        <v>202311</v>
      </c>
      <c r="W315" s="18" t="str">
        <f>_xlfn.CONCAT(TEXT(A315,"MMM"),"-",MID(Q315,3,2))</f>
        <v>Feb-24</v>
      </c>
      <c r="X315" s="19">
        <f>IFERROR(IF(D315="Sell",(H315-P315),-(H315+P315)),0)</f>
        <v>-3709.8</v>
      </c>
      <c r="Y315" s="19">
        <f>X315/1000</f>
        <v>-3.7098</v>
      </c>
    </row>
    <row r="316" spans="1:25" x14ac:dyDescent="0.25">
      <c r="A316" s="1">
        <v>45345</v>
      </c>
      <c r="B316" t="s">
        <v>546</v>
      </c>
      <c r="C316" t="s">
        <v>17</v>
      </c>
      <c r="D316" t="s">
        <v>22</v>
      </c>
      <c r="E316">
        <v>40</v>
      </c>
      <c r="F316">
        <v>0</v>
      </c>
      <c r="G316">
        <v>98.75</v>
      </c>
      <c r="H316">
        <v>3950</v>
      </c>
      <c r="I316" t="s">
        <v>552</v>
      </c>
      <c r="J316">
        <v>0</v>
      </c>
      <c r="K316">
        <v>1.99</v>
      </c>
      <c r="L316">
        <v>0.32</v>
      </c>
      <c r="M316">
        <v>0</v>
      </c>
      <c r="N316">
        <v>20</v>
      </c>
      <c r="O316">
        <v>3.96</v>
      </c>
      <c r="P316">
        <v>26.27</v>
      </c>
      <c r="Q316" s="18">
        <f>YEAR(A316)</f>
        <v>2024</v>
      </c>
      <c r="R316" s="18">
        <f>MONTH(A316)</f>
        <v>2</v>
      </c>
      <c r="S316" s="18">
        <f>IF(R316&lt;4,Q316-1,Q316)</f>
        <v>2023</v>
      </c>
      <c r="T316" s="18">
        <f>IF(R316&lt;4,R316+9,R316-3)</f>
        <v>11</v>
      </c>
      <c r="U316" s="18">
        <f>IF(LEN(T316)=1,_xlfn.CONCAT(0,T316),T316)</f>
        <v>11</v>
      </c>
      <c r="V316" s="18" t="str">
        <f>_xlfn.CONCAT(S316,U316)</f>
        <v>202311</v>
      </c>
      <c r="W316" s="18" t="str">
        <f>_xlfn.CONCAT(TEXT(A316,"MMM"),"-",MID(Q316,3,2))</f>
        <v>Feb-24</v>
      </c>
      <c r="X316" s="19">
        <f>IFERROR(IF(D316="Sell",(H316-P316),-(H316+P316)),0)</f>
        <v>-3976.27</v>
      </c>
      <c r="Y316" s="19">
        <f>X316/1000</f>
        <v>-3.97627</v>
      </c>
    </row>
    <row r="317" spans="1:25" x14ac:dyDescent="0.25">
      <c r="A317" s="1">
        <v>45345</v>
      </c>
      <c r="B317" t="s">
        <v>553</v>
      </c>
      <c r="C317" t="s">
        <v>17</v>
      </c>
      <c r="D317" t="s">
        <v>18</v>
      </c>
      <c r="E317">
        <v>250</v>
      </c>
      <c r="F317">
        <v>0</v>
      </c>
      <c r="G317">
        <v>134.65</v>
      </c>
      <c r="H317">
        <v>33662.5</v>
      </c>
      <c r="I317" t="s">
        <v>554</v>
      </c>
      <c r="J317">
        <v>21.04</v>
      </c>
      <c r="K317">
        <v>17</v>
      </c>
      <c r="L317">
        <v>0</v>
      </c>
      <c r="M317">
        <v>0.03</v>
      </c>
      <c r="N317">
        <v>100</v>
      </c>
      <c r="O317">
        <v>21.06</v>
      </c>
      <c r="P317">
        <v>159.13</v>
      </c>
      <c r="Q317" s="18">
        <f>YEAR(A317)</f>
        <v>2024</v>
      </c>
      <c r="R317" s="18">
        <f>MONTH(A317)</f>
        <v>2</v>
      </c>
      <c r="S317" s="18">
        <f>IF(R317&lt;4,Q317-1,Q317)</f>
        <v>2023</v>
      </c>
      <c r="T317" s="18">
        <f>IF(R317&lt;4,R317+9,R317-3)</f>
        <v>11</v>
      </c>
      <c r="U317" s="18">
        <f>IF(LEN(T317)=1,_xlfn.CONCAT(0,T317),T317)</f>
        <v>11</v>
      </c>
      <c r="V317" s="18" t="str">
        <f>_xlfn.CONCAT(S317,U317)</f>
        <v>202311</v>
      </c>
      <c r="W317" s="18" t="str">
        <f>_xlfn.CONCAT(TEXT(A317,"MMM"),"-",MID(Q317,3,2))</f>
        <v>Feb-24</v>
      </c>
      <c r="X317" s="19">
        <f>IFERROR(IF(D317="Sell",(H317-P317),-(H317+P317)),0)</f>
        <v>33503.370000000003</v>
      </c>
      <c r="Y317" s="19">
        <f>X317/1000</f>
        <v>33.503370000000004</v>
      </c>
    </row>
    <row r="318" spans="1:25" x14ac:dyDescent="0.25">
      <c r="A318" s="1">
        <v>45345</v>
      </c>
      <c r="B318" t="s">
        <v>553</v>
      </c>
      <c r="C318" t="s">
        <v>17</v>
      </c>
      <c r="D318" t="s">
        <v>22</v>
      </c>
      <c r="E318">
        <v>200</v>
      </c>
      <c r="F318">
        <v>0</v>
      </c>
      <c r="G318">
        <v>129.25</v>
      </c>
      <c r="H318">
        <v>25850</v>
      </c>
      <c r="I318" t="s">
        <v>555</v>
      </c>
      <c r="J318">
        <v>0</v>
      </c>
      <c r="K318">
        <v>13.05</v>
      </c>
      <c r="L318">
        <v>1.01</v>
      </c>
      <c r="M318">
        <v>0.03</v>
      </c>
      <c r="N318">
        <v>80</v>
      </c>
      <c r="O318">
        <v>16.760000000000002</v>
      </c>
      <c r="P318">
        <v>110.85</v>
      </c>
      <c r="Q318" s="18">
        <f>YEAR(A318)</f>
        <v>2024</v>
      </c>
      <c r="R318" s="18">
        <f>MONTH(A318)</f>
        <v>2</v>
      </c>
      <c r="S318" s="18">
        <f>IF(R318&lt;4,Q318-1,Q318)</f>
        <v>2023</v>
      </c>
      <c r="T318" s="18">
        <f>IF(R318&lt;4,R318+9,R318-3)</f>
        <v>11</v>
      </c>
      <c r="U318" s="18">
        <f>IF(LEN(T318)=1,_xlfn.CONCAT(0,T318),T318)</f>
        <v>11</v>
      </c>
      <c r="V318" s="18" t="str">
        <f>_xlfn.CONCAT(S318,U318)</f>
        <v>202311</v>
      </c>
      <c r="W318" s="18" t="str">
        <f>_xlfn.CONCAT(TEXT(A318,"MMM"),"-",MID(Q318,3,2))</f>
        <v>Feb-24</v>
      </c>
      <c r="X318" s="19">
        <f>IFERROR(IF(D318="Sell",(H318-P318),-(H318+P318)),0)</f>
        <v>-25960.85</v>
      </c>
      <c r="Y318" s="19">
        <f>X318/1000</f>
        <v>-25.960849999999997</v>
      </c>
    </row>
    <row r="319" spans="1:25" x14ac:dyDescent="0.25">
      <c r="A319" s="1">
        <v>45345</v>
      </c>
      <c r="B319" t="s">
        <v>553</v>
      </c>
      <c r="C319" t="s">
        <v>17</v>
      </c>
      <c r="D319" t="s">
        <v>22</v>
      </c>
      <c r="E319">
        <v>50</v>
      </c>
      <c r="F319">
        <v>0</v>
      </c>
      <c r="G319">
        <v>130.85</v>
      </c>
      <c r="H319">
        <v>6542.5</v>
      </c>
      <c r="I319" t="s">
        <v>556</v>
      </c>
      <c r="J319">
        <v>0</v>
      </c>
      <c r="K319">
        <v>3.3</v>
      </c>
      <c r="L319">
        <v>0</v>
      </c>
      <c r="M319">
        <v>0.01</v>
      </c>
      <c r="N319">
        <v>20</v>
      </c>
      <c r="O319">
        <v>4.2</v>
      </c>
      <c r="P319">
        <v>27.51</v>
      </c>
      <c r="Q319" s="18">
        <f>YEAR(A319)</f>
        <v>2024</v>
      </c>
      <c r="R319" s="18">
        <f>MONTH(A319)</f>
        <v>2</v>
      </c>
      <c r="S319" s="18">
        <f>IF(R319&lt;4,Q319-1,Q319)</f>
        <v>2023</v>
      </c>
      <c r="T319" s="18">
        <f>IF(R319&lt;4,R319+9,R319-3)</f>
        <v>11</v>
      </c>
      <c r="U319" s="18">
        <f>IF(LEN(T319)=1,_xlfn.CONCAT(0,T319),T319)</f>
        <v>11</v>
      </c>
      <c r="V319" s="18" t="str">
        <f>_xlfn.CONCAT(S319,U319)</f>
        <v>202311</v>
      </c>
      <c r="W319" s="18" t="str">
        <f>_xlfn.CONCAT(TEXT(A319,"MMM"),"-",MID(Q319,3,2))</f>
        <v>Feb-24</v>
      </c>
      <c r="X319" s="19">
        <f>IFERROR(IF(D319="Sell",(H319-P319),-(H319+P319)),0)</f>
        <v>-6570.01</v>
      </c>
      <c r="Y319" s="19">
        <f>X319/1000</f>
        <v>-6.5700099999999999</v>
      </c>
    </row>
    <row r="320" spans="1:25" x14ac:dyDescent="0.25">
      <c r="A320" s="1">
        <v>45348</v>
      </c>
      <c r="B320" t="s">
        <v>539</v>
      </c>
      <c r="C320" t="s">
        <v>17</v>
      </c>
      <c r="D320" t="s">
        <v>18</v>
      </c>
      <c r="E320">
        <v>150</v>
      </c>
      <c r="F320">
        <v>0</v>
      </c>
      <c r="G320">
        <v>74.099999999999994</v>
      </c>
      <c r="H320">
        <v>11115</v>
      </c>
      <c r="I320" t="s">
        <v>540</v>
      </c>
      <c r="J320">
        <v>6.95</v>
      </c>
      <c r="K320">
        <v>5.61</v>
      </c>
      <c r="L320">
        <v>0</v>
      </c>
      <c r="M320">
        <v>0.01</v>
      </c>
      <c r="N320">
        <v>60</v>
      </c>
      <c r="O320">
        <v>11.82</v>
      </c>
      <c r="P320">
        <v>84.39</v>
      </c>
      <c r="Q320" s="18">
        <f>YEAR(A320)</f>
        <v>2024</v>
      </c>
      <c r="R320" s="18">
        <f>MONTH(A320)</f>
        <v>2</v>
      </c>
      <c r="S320" s="18">
        <f>IF(R320&lt;4,Q320-1,Q320)</f>
        <v>2023</v>
      </c>
      <c r="T320" s="18">
        <f>IF(R320&lt;4,R320+9,R320-3)</f>
        <v>11</v>
      </c>
      <c r="U320" s="18">
        <f>IF(LEN(T320)=1,_xlfn.CONCAT(0,T320),T320)</f>
        <v>11</v>
      </c>
      <c r="V320" s="18" t="str">
        <f>_xlfn.CONCAT(S320,U320)</f>
        <v>202311</v>
      </c>
      <c r="W320" s="18" t="str">
        <f>_xlfn.CONCAT(TEXT(A320,"MMM"),"-",MID(Q320,3,2))</f>
        <v>Feb-24</v>
      </c>
      <c r="X320" s="19">
        <f>IFERROR(IF(D320="Sell",(H320-P320),-(H320+P320)),0)</f>
        <v>11030.61</v>
      </c>
      <c r="Y320" s="19">
        <f>X320/1000</f>
        <v>11.030610000000001</v>
      </c>
    </row>
    <row r="321" spans="1:25" x14ac:dyDescent="0.25">
      <c r="A321" s="1">
        <v>45348</v>
      </c>
      <c r="B321" t="s">
        <v>541</v>
      </c>
      <c r="C321" t="s">
        <v>17</v>
      </c>
      <c r="D321" t="s">
        <v>18</v>
      </c>
      <c r="E321">
        <v>450</v>
      </c>
      <c r="F321">
        <v>0</v>
      </c>
      <c r="G321">
        <v>5.05</v>
      </c>
      <c r="H321">
        <v>2272.5</v>
      </c>
      <c r="I321" t="s">
        <v>542</v>
      </c>
      <c r="J321">
        <v>1.06</v>
      </c>
      <c r="K321">
        <v>1.1499999999999999</v>
      </c>
      <c r="L321">
        <v>0</v>
      </c>
      <c r="M321">
        <v>0</v>
      </c>
      <c r="N321">
        <v>120</v>
      </c>
      <c r="O321">
        <v>21.82</v>
      </c>
      <c r="P321">
        <v>144.03</v>
      </c>
      <c r="Q321" s="18">
        <f>YEAR(A321)</f>
        <v>2024</v>
      </c>
      <c r="R321" s="18">
        <f>MONTH(A321)</f>
        <v>2</v>
      </c>
      <c r="S321" s="18">
        <f>IF(R321&lt;4,Q321-1,Q321)</f>
        <v>2023</v>
      </c>
      <c r="T321" s="18">
        <f>IF(R321&lt;4,R321+9,R321-3)</f>
        <v>11</v>
      </c>
      <c r="U321" s="18">
        <f>IF(LEN(T321)=1,_xlfn.CONCAT(0,T321),T321)</f>
        <v>11</v>
      </c>
      <c r="V321" s="18" t="str">
        <f>_xlfn.CONCAT(S321,U321)</f>
        <v>202311</v>
      </c>
      <c r="W321" s="18" t="str">
        <f>_xlfn.CONCAT(TEXT(A321,"MMM"),"-",MID(Q321,3,2))</f>
        <v>Feb-24</v>
      </c>
      <c r="X321" s="19">
        <f>IFERROR(IF(D321="Sell",(H321-P321),-(H321+P321)),0)</f>
        <v>2128.4699999999998</v>
      </c>
      <c r="Y321" s="19">
        <f>X321/1000</f>
        <v>2.1284699999999996</v>
      </c>
    </row>
    <row r="322" spans="1:25" x14ac:dyDescent="0.25">
      <c r="A322" s="1">
        <v>45348</v>
      </c>
      <c r="B322" t="s">
        <v>541</v>
      </c>
      <c r="C322" t="s">
        <v>17</v>
      </c>
      <c r="D322" t="s">
        <v>22</v>
      </c>
      <c r="E322">
        <v>150</v>
      </c>
      <c r="F322">
        <v>0</v>
      </c>
      <c r="G322">
        <v>6.45</v>
      </c>
      <c r="H322">
        <v>967.5</v>
      </c>
      <c r="I322" t="s">
        <v>543</v>
      </c>
      <c r="J322">
        <v>0</v>
      </c>
      <c r="K322">
        <v>0.48</v>
      </c>
      <c r="L322">
        <v>0</v>
      </c>
      <c r="M322">
        <v>0</v>
      </c>
      <c r="N322">
        <v>40</v>
      </c>
      <c r="O322">
        <v>7.28</v>
      </c>
      <c r="P322">
        <v>47.76</v>
      </c>
      <c r="Q322" s="18">
        <f>YEAR(A322)</f>
        <v>2024</v>
      </c>
      <c r="R322" s="18">
        <f>MONTH(A322)</f>
        <v>2</v>
      </c>
      <c r="S322" s="18">
        <f>IF(R322&lt;4,Q322-1,Q322)</f>
        <v>2023</v>
      </c>
      <c r="T322" s="18">
        <f>IF(R322&lt;4,R322+9,R322-3)</f>
        <v>11</v>
      </c>
      <c r="U322" s="18">
        <f>IF(LEN(T322)=1,_xlfn.CONCAT(0,T322),T322)</f>
        <v>11</v>
      </c>
      <c r="V322" s="18" t="str">
        <f>_xlfn.CONCAT(S322,U322)</f>
        <v>202311</v>
      </c>
      <c r="W322" s="18" t="str">
        <f>_xlfn.CONCAT(TEXT(A322,"MMM"),"-",MID(Q322,3,2))</f>
        <v>Feb-24</v>
      </c>
      <c r="X322" s="19">
        <f>IFERROR(IF(D322="Sell",(H322-P322),-(H322+P322)),0)</f>
        <v>-1015.26</v>
      </c>
      <c r="Y322" s="19">
        <f>X322/1000</f>
        <v>-1.0152600000000001</v>
      </c>
    </row>
    <row r="323" spans="1:25" x14ac:dyDescent="0.25">
      <c r="A323" s="1">
        <v>45348</v>
      </c>
      <c r="B323" t="s">
        <v>541</v>
      </c>
      <c r="C323" t="s">
        <v>17</v>
      </c>
      <c r="D323" t="s">
        <v>22</v>
      </c>
      <c r="E323">
        <v>150</v>
      </c>
      <c r="F323">
        <v>0</v>
      </c>
      <c r="G323">
        <v>12.65</v>
      </c>
      <c r="H323">
        <v>1897.5</v>
      </c>
      <c r="I323" t="s">
        <v>544</v>
      </c>
      <c r="J323">
        <v>0</v>
      </c>
      <c r="K323">
        <v>0.96</v>
      </c>
      <c r="L323">
        <v>0</v>
      </c>
      <c r="M323">
        <v>0</v>
      </c>
      <c r="N323">
        <v>40</v>
      </c>
      <c r="O323">
        <v>7.38</v>
      </c>
      <c r="P323">
        <v>48.34</v>
      </c>
      <c r="Q323" s="18">
        <f>YEAR(A323)</f>
        <v>2024</v>
      </c>
      <c r="R323" s="18">
        <f>MONTH(A323)</f>
        <v>2</v>
      </c>
      <c r="S323" s="18">
        <f>IF(R323&lt;4,Q323-1,Q323)</f>
        <v>2023</v>
      </c>
      <c r="T323" s="18">
        <f>IF(R323&lt;4,R323+9,R323-3)</f>
        <v>11</v>
      </c>
      <c r="U323" s="18">
        <f>IF(LEN(T323)=1,_xlfn.CONCAT(0,T323),T323)</f>
        <v>11</v>
      </c>
      <c r="V323" s="18" t="str">
        <f>_xlfn.CONCAT(S323,U323)</f>
        <v>202311</v>
      </c>
      <c r="W323" s="18" t="str">
        <f>_xlfn.CONCAT(TEXT(A323,"MMM"),"-",MID(Q323,3,2))</f>
        <v>Feb-24</v>
      </c>
      <c r="X323" s="19">
        <f>IFERROR(IF(D323="Sell",(H323-P323),-(H323+P323)),0)</f>
        <v>-1945.84</v>
      </c>
      <c r="Y323" s="19">
        <f>X323/1000</f>
        <v>-1.94584</v>
      </c>
    </row>
    <row r="324" spans="1:25" x14ac:dyDescent="0.25">
      <c r="A324" s="1">
        <v>45348</v>
      </c>
      <c r="B324" t="s">
        <v>541</v>
      </c>
      <c r="C324" t="s">
        <v>17</v>
      </c>
      <c r="D324" t="s">
        <v>22</v>
      </c>
      <c r="E324">
        <v>150</v>
      </c>
      <c r="F324">
        <v>0</v>
      </c>
      <c r="G324">
        <v>32.65</v>
      </c>
      <c r="H324">
        <v>4897.5</v>
      </c>
      <c r="I324" t="s">
        <v>545</v>
      </c>
      <c r="J324">
        <v>0</v>
      </c>
      <c r="K324">
        <v>2.4700000000000002</v>
      </c>
      <c r="L324">
        <v>0</v>
      </c>
      <c r="M324">
        <v>0</v>
      </c>
      <c r="N324">
        <v>40</v>
      </c>
      <c r="O324">
        <v>7.64</v>
      </c>
      <c r="P324">
        <v>50.11</v>
      </c>
      <c r="Q324" s="18">
        <f>YEAR(A324)</f>
        <v>2024</v>
      </c>
      <c r="R324" s="18">
        <f>MONTH(A324)</f>
        <v>2</v>
      </c>
      <c r="S324" s="18">
        <f>IF(R324&lt;4,Q324-1,Q324)</f>
        <v>2023</v>
      </c>
      <c r="T324" s="18">
        <f>IF(R324&lt;4,R324+9,R324-3)</f>
        <v>11</v>
      </c>
      <c r="U324" s="18">
        <f>IF(LEN(T324)=1,_xlfn.CONCAT(0,T324),T324)</f>
        <v>11</v>
      </c>
      <c r="V324" s="18" t="str">
        <f>_xlfn.CONCAT(S324,U324)</f>
        <v>202311</v>
      </c>
      <c r="W324" s="18" t="str">
        <f>_xlfn.CONCAT(TEXT(A324,"MMM"),"-",MID(Q324,3,2))</f>
        <v>Feb-24</v>
      </c>
      <c r="X324" s="19">
        <f>IFERROR(IF(D324="Sell",(H324-P324),-(H324+P324)),0)</f>
        <v>-4947.6099999999997</v>
      </c>
      <c r="Y324" s="19">
        <f>X324/1000</f>
        <v>-4.9476100000000001</v>
      </c>
    </row>
    <row r="325" spans="1:25" x14ac:dyDescent="0.25">
      <c r="A325" s="1">
        <v>45349</v>
      </c>
      <c r="B325" t="s">
        <v>530</v>
      </c>
      <c r="C325" t="s">
        <v>17</v>
      </c>
      <c r="D325" t="s">
        <v>18</v>
      </c>
      <c r="E325">
        <v>250</v>
      </c>
      <c r="F325">
        <v>0</v>
      </c>
      <c r="G325">
        <v>89.15</v>
      </c>
      <c r="H325">
        <v>22287.5</v>
      </c>
      <c r="I325" t="s">
        <v>531</v>
      </c>
      <c r="J325">
        <v>13.93</v>
      </c>
      <c r="K325">
        <v>11.26</v>
      </c>
      <c r="L325">
        <v>0</v>
      </c>
      <c r="M325">
        <v>0.02</v>
      </c>
      <c r="N325">
        <v>100</v>
      </c>
      <c r="O325">
        <v>20.04</v>
      </c>
      <c r="P325">
        <v>145.25</v>
      </c>
      <c r="Q325" s="18">
        <f>YEAR(A325)</f>
        <v>2024</v>
      </c>
      <c r="R325" s="18">
        <f>MONTH(A325)</f>
        <v>2</v>
      </c>
      <c r="S325" s="18">
        <f>IF(R325&lt;4,Q325-1,Q325)</f>
        <v>2023</v>
      </c>
      <c r="T325" s="18">
        <f>IF(R325&lt;4,R325+9,R325-3)</f>
        <v>11</v>
      </c>
      <c r="U325" s="18">
        <f>IF(LEN(T325)=1,_xlfn.CONCAT(0,T325),T325)</f>
        <v>11</v>
      </c>
      <c r="V325" s="18" t="str">
        <f>_xlfn.CONCAT(S325,U325)</f>
        <v>202311</v>
      </c>
      <c r="W325" s="18" t="str">
        <f>_xlfn.CONCAT(TEXT(A325,"MMM"),"-",MID(Q325,3,2))</f>
        <v>Feb-24</v>
      </c>
      <c r="X325" s="19">
        <f>IFERROR(IF(D325="Sell",(H325-P325),-(H325+P325)),0)</f>
        <v>22142.25</v>
      </c>
      <c r="Y325" s="19">
        <f>X325/1000</f>
        <v>22.142250000000001</v>
      </c>
    </row>
    <row r="326" spans="1:25" x14ac:dyDescent="0.25">
      <c r="A326" s="1">
        <v>45349</v>
      </c>
      <c r="B326" t="s">
        <v>530</v>
      </c>
      <c r="C326" t="s">
        <v>17</v>
      </c>
      <c r="D326" t="s">
        <v>22</v>
      </c>
      <c r="E326">
        <v>250</v>
      </c>
      <c r="F326">
        <v>0</v>
      </c>
      <c r="G326">
        <v>80.95</v>
      </c>
      <c r="H326">
        <v>20237.5</v>
      </c>
      <c r="I326" t="s">
        <v>532</v>
      </c>
      <c r="J326">
        <v>0</v>
      </c>
      <c r="K326">
        <v>10.210000000000001</v>
      </c>
      <c r="L326">
        <v>0.79</v>
      </c>
      <c r="M326">
        <v>0.01</v>
      </c>
      <c r="N326">
        <v>100</v>
      </c>
      <c r="O326">
        <v>19.82</v>
      </c>
      <c r="P326">
        <v>130.83000000000001</v>
      </c>
      <c r="Q326" s="18">
        <f>YEAR(A326)</f>
        <v>2024</v>
      </c>
      <c r="R326" s="18">
        <f>MONTH(A326)</f>
        <v>2</v>
      </c>
      <c r="S326" s="18">
        <f>IF(R326&lt;4,Q326-1,Q326)</f>
        <v>2023</v>
      </c>
      <c r="T326" s="18">
        <f>IF(R326&lt;4,R326+9,R326-3)</f>
        <v>11</v>
      </c>
      <c r="U326" s="18">
        <f>IF(LEN(T326)=1,_xlfn.CONCAT(0,T326),T326)</f>
        <v>11</v>
      </c>
      <c r="V326" s="18" t="str">
        <f>_xlfn.CONCAT(S326,U326)</f>
        <v>202311</v>
      </c>
      <c r="W326" s="18" t="str">
        <f>_xlfn.CONCAT(TEXT(A326,"MMM"),"-",MID(Q326,3,2))</f>
        <v>Feb-24</v>
      </c>
      <c r="X326" s="19">
        <f>IFERROR(IF(D326="Sell",(H326-P326),-(H326+P326)),0)</f>
        <v>-20368.330000000002</v>
      </c>
      <c r="Y326" s="19">
        <f>X326/1000</f>
        <v>-20.36833</v>
      </c>
    </row>
    <row r="327" spans="1:25" x14ac:dyDescent="0.25">
      <c r="A327" s="1">
        <v>45349</v>
      </c>
      <c r="B327" t="s">
        <v>533</v>
      </c>
      <c r="C327" t="s">
        <v>17</v>
      </c>
      <c r="D327" t="s">
        <v>18</v>
      </c>
      <c r="E327">
        <v>50</v>
      </c>
      <c r="F327">
        <v>0</v>
      </c>
      <c r="G327">
        <v>139.65</v>
      </c>
      <c r="H327">
        <v>6982.5</v>
      </c>
      <c r="I327" t="s">
        <v>534</v>
      </c>
      <c r="J327">
        <v>4.3600000000000003</v>
      </c>
      <c r="K327">
        <v>3.53</v>
      </c>
      <c r="L327">
        <v>0</v>
      </c>
      <c r="M327">
        <v>0.01</v>
      </c>
      <c r="N327">
        <v>20</v>
      </c>
      <c r="O327">
        <v>4.24</v>
      </c>
      <c r="P327">
        <v>32.14</v>
      </c>
      <c r="Q327" s="18">
        <f>YEAR(A327)</f>
        <v>2024</v>
      </c>
      <c r="R327" s="18">
        <f>MONTH(A327)</f>
        <v>2</v>
      </c>
      <c r="S327" s="18">
        <f>IF(R327&lt;4,Q327-1,Q327)</f>
        <v>2023</v>
      </c>
      <c r="T327" s="18">
        <f>IF(R327&lt;4,R327+9,R327-3)</f>
        <v>11</v>
      </c>
      <c r="U327" s="18">
        <f>IF(LEN(T327)=1,_xlfn.CONCAT(0,T327),T327)</f>
        <v>11</v>
      </c>
      <c r="V327" s="18" t="str">
        <f>_xlfn.CONCAT(S327,U327)</f>
        <v>202311</v>
      </c>
      <c r="W327" s="18" t="str">
        <f>_xlfn.CONCAT(TEXT(A327,"MMM"),"-",MID(Q327,3,2))</f>
        <v>Feb-24</v>
      </c>
      <c r="X327" s="19">
        <f>IFERROR(IF(D327="Sell",(H327-P327),-(H327+P327)),0)</f>
        <v>6950.36</v>
      </c>
      <c r="Y327" s="19">
        <f>X327/1000</f>
        <v>6.9503599999999999</v>
      </c>
    </row>
    <row r="328" spans="1:25" x14ac:dyDescent="0.25">
      <c r="A328" s="1">
        <v>45349</v>
      </c>
      <c r="B328" t="s">
        <v>535</v>
      </c>
      <c r="C328" t="s">
        <v>17</v>
      </c>
      <c r="D328" t="s">
        <v>18</v>
      </c>
      <c r="E328">
        <v>40</v>
      </c>
      <c r="F328">
        <v>0</v>
      </c>
      <c r="G328">
        <v>29</v>
      </c>
      <c r="H328">
        <v>1160</v>
      </c>
      <c r="I328" t="s">
        <v>536</v>
      </c>
      <c r="J328">
        <v>0.71</v>
      </c>
      <c r="K328">
        <v>0.59</v>
      </c>
      <c r="L328">
        <v>0</v>
      </c>
      <c r="M328">
        <v>0</v>
      </c>
      <c r="N328">
        <v>20</v>
      </c>
      <c r="O328">
        <v>3.7</v>
      </c>
      <c r="P328">
        <v>25</v>
      </c>
      <c r="Q328" s="18">
        <f>YEAR(A328)</f>
        <v>2024</v>
      </c>
      <c r="R328" s="18">
        <f>MONTH(A328)</f>
        <v>2</v>
      </c>
      <c r="S328" s="18">
        <f>IF(R328&lt;4,Q328-1,Q328)</f>
        <v>2023</v>
      </c>
      <c r="T328" s="18">
        <f>IF(R328&lt;4,R328+9,R328-3)</f>
        <v>11</v>
      </c>
      <c r="U328" s="18">
        <f>IF(LEN(T328)=1,_xlfn.CONCAT(0,T328),T328)</f>
        <v>11</v>
      </c>
      <c r="V328" s="18" t="str">
        <f>_xlfn.CONCAT(S328,U328)</f>
        <v>202311</v>
      </c>
      <c r="W328" s="18" t="str">
        <f>_xlfn.CONCAT(TEXT(A328,"MMM"),"-",MID(Q328,3,2))</f>
        <v>Feb-24</v>
      </c>
      <c r="X328" s="19">
        <f>IFERROR(IF(D328="Sell",(H328-P328),-(H328+P328)),0)</f>
        <v>1135</v>
      </c>
      <c r="Y328" s="19">
        <f>X328/1000</f>
        <v>1.135</v>
      </c>
    </row>
    <row r="329" spans="1:25" x14ac:dyDescent="0.25">
      <c r="A329" s="1">
        <v>45349</v>
      </c>
      <c r="B329" t="s">
        <v>535</v>
      </c>
      <c r="C329" t="s">
        <v>17</v>
      </c>
      <c r="D329" t="s">
        <v>22</v>
      </c>
      <c r="E329">
        <v>40</v>
      </c>
      <c r="F329">
        <v>0</v>
      </c>
      <c r="G329">
        <v>26.65</v>
      </c>
      <c r="H329">
        <v>1066</v>
      </c>
      <c r="I329" t="s">
        <v>537</v>
      </c>
      <c r="J329">
        <v>0</v>
      </c>
      <c r="K329">
        <v>0.54</v>
      </c>
      <c r="L329">
        <v>0.03</v>
      </c>
      <c r="M329">
        <v>0</v>
      </c>
      <c r="N329">
        <v>20</v>
      </c>
      <c r="O329">
        <v>3.7</v>
      </c>
      <c r="P329">
        <v>24.27</v>
      </c>
      <c r="Q329" s="18">
        <f>YEAR(A329)</f>
        <v>2024</v>
      </c>
      <c r="R329" s="18">
        <f>MONTH(A329)</f>
        <v>2</v>
      </c>
      <c r="S329" s="18">
        <f>IF(R329&lt;4,Q329-1,Q329)</f>
        <v>2023</v>
      </c>
      <c r="T329" s="18">
        <f>IF(R329&lt;4,R329+9,R329-3)</f>
        <v>11</v>
      </c>
      <c r="U329" s="18">
        <f>IF(LEN(T329)=1,_xlfn.CONCAT(0,T329),T329)</f>
        <v>11</v>
      </c>
      <c r="V329" s="18" t="str">
        <f>_xlfn.CONCAT(S329,U329)</f>
        <v>202311</v>
      </c>
      <c r="W329" s="18" t="str">
        <f>_xlfn.CONCAT(TEXT(A329,"MMM"),"-",MID(Q329,3,2))</f>
        <v>Feb-24</v>
      </c>
      <c r="X329" s="19">
        <f>IFERROR(IF(D329="Sell",(H329-P329),-(H329+P329)),0)</f>
        <v>-1090.27</v>
      </c>
      <c r="Y329" s="19">
        <f>X329/1000</f>
        <v>-1.0902700000000001</v>
      </c>
    </row>
    <row r="330" spans="1:25" x14ac:dyDescent="0.25">
      <c r="A330" s="1">
        <v>45349</v>
      </c>
      <c r="B330" t="s">
        <v>533</v>
      </c>
      <c r="C330" t="s">
        <v>17</v>
      </c>
      <c r="D330" t="s">
        <v>22</v>
      </c>
      <c r="E330">
        <v>50</v>
      </c>
      <c r="F330">
        <v>0</v>
      </c>
      <c r="G330">
        <v>119.25</v>
      </c>
      <c r="H330">
        <v>5962.5</v>
      </c>
      <c r="I330" t="s">
        <v>538</v>
      </c>
      <c r="J330">
        <v>0</v>
      </c>
      <c r="K330">
        <v>3.01</v>
      </c>
      <c r="L330">
        <v>0.18</v>
      </c>
      <c r="M330">
        <v>0.01</v>
      </c>
      <c r="N330">
        <v>20</v>
      </c>
      <c r="O330">
        <v>4.1399999999999997</v>
      </c>
      <c r="P330">
        <v>27.34</v>
      </c>
      <c r="Q330" s="18">
        <f>YEAR(A330)</f>
        <v>2024</v>
      </c>
      <c r="R330" s="18">
        <f>MONTH(A330)</f>
        <v>2</v>
      </c>
      <c r="S330" s="18">
        <f>IF(R330&lt;4,Q330-1,Q330)</f>
        <v>2023</v>
      </c>
      <c r="T330" s="18">
        <f>IF(R330&lt;4,R330+9,R330-3)</f>
        <v>11</v>
      </c>
      <c r="U330" s="18">
        <f>IF(LEN(T330)=1,_xlfn.CONCAT(0,T330),T330)</f>
        <v>11</v>
      </c>
      <c r="V330" s="18" t="str">
        <f>_xlfn.CONCAT(S330,U330)</f>
        <v>202311</v>
      </c>
      <c r="W330" s="18" t="str">
        <f>_xlfn.CONCAT(TEXT(A330,"MMM"),"-",MID(Q330,3,2))</f>
        <v>Feb-24</v>
      </c>
      <c r="X330" s="19">
        <f>IFERROR(IF(D330="Sell",(H330-P330),-(H330+P330)),0)</f>
        <v>-5989.84</v>
      </c>
      <c r="Y330" s="19">
        <f>X330/1000</f>
        <v>-5.9898400000000001</v>
      </c>
    </row>
    <row r="331" spans="1:25" x14ac:dyDescent="0.25">
      <c r="A331" s="1">
        <v>45350</v>
      </c>
      <c r="B331" t="s">
        <v>497</v>
      </c>
      <c r="C331" t="s">
        <v>17</v>
      </c>
      <c r="D331" t="s">
        <v>22</v>
      </c>
      <c r="E331">
        <v>600</v>
      </c>
      <c r="F331">
        <v>0</v>
      </c>
      <c r="G331">
        <v>55</v>
      </c>
      <c r="H331">
        <v>33000</v>
      </c>
      <c r="I331" t="s">
        <v>510</v>
      </c>
      <c r="J331">
        <v>0</v>
      </c>
      <c r="K331">
        <v>16.670000000000002</v>
      </c>
      <c r="L331">
        <v>0</v>
      </c>
      <c r="M331">
        <v>0.03</v>
      </c>
      <c r="N331">
        <v>800</v>
      </c>
      <c r="O331">
        <v>147.02000000000001</v>
      </c>
      <c r="P331">
        <v>963.72</v>
      </c>
      <c r="Q331" s="18">
        <f>YEAR(A331)</f>
        <v>2024</v>
      </c>
      <c r="R331" s="18">
        <f>MONTH(A331)</f>
        <v>2</v>
      </c>
      <c r="S331" s="18">
        <f>IF(R331&lt;4,Q331-1,Q331)</f>
        <v>2023</v>
      </c>
      <c r="T331" s="18">
        <f>IF(R331&lt;4,R331+9,R331-3)</f>
        <v>11</v>
      </c>
      <c r="U331" s="18">
        <f>IF(LEN(T331)=1,_xlfn.CONCAT(0,T331),T331)</f>
        <v>11</v>
      </c>
      <c r="V331" s="18" t="str">
        <f>_xlfn.CONCAT(S331,U331)</f>
        <v>202311</v>
      </c>
      <c r="W331" s="18" t="str">
        <f>_xlfn.CONCAT(TEXT(A331,"MMM"),"-",MID(Q331,3,2))</f>
        <v>Feb-24</v>
      </c>
      <c r="X331" s="19">
        <f>IFERROR(IF(D331="Sell",(H331-P331),-(H331+P331)),0)</f>
        <v>-33963.72</v>
      </c>
      <c r="Y331" s="19">
        <f>X331/1000</f>
        <v>-33.963720000000002</v>
      </c>
    </row>
    <row r="332" spans="1:25" x14ac:dyDescent="0.25">
      <c r="A332" s="1">
        <v>45350</v>
      </c>
      <c r="B332" t="s">
        <v>497</v>
      </c>
      <c r="C332" t="s">
        <v>17</v>
      </c>
      <c r="D332" t="s">
        <v>22</v>
      </c>
      <c r="E332">
        <v>600</v>
      </c>
      <c r="F332">
        <v>0</v>
      </c>
      <c r="G332">
        <v>115</v>
      </c>
      <c r="H332">
        <v>69000</v>
      </c>
      <c r="I332" t="s">
        <v>511</v>
      </c>
      <c r="J332">
        <v>0</v>
      </c>
      <c r="K332">
        <v>34.85</v>
      </c>
      <c r="L332">
        <v>5.14</v>
      </c>
      <c r="M332">
        <v>7.0000000000000007E-2</v>
      </c>
      <c r="N332">
        <v>800</v>
      </c>
      <c r="O332">
        <v>150.28</v>
      </c>
      <c r="P332">
        <v>990.34</v>
      </c>
      <c r="Q332" s="18">
        <f>YEAR(A332)</f>
        <v>2024</v>
      </c>
      <c r="R332" s="18">
        <f>MONTH(A332)</f>
        <v>2</v>
      </c>
      <c r="S332" s="18">
        <f>IF(R332&lt;4,Q332-1,Q332)</f>
        <v>2023</v>
      </c>
      <c r="T332" s="18">
        <f>IF(R332&lt;4,R332+9,R332-3)</f>
        <v>11</v>
      </c>
      <c r="U332" s="18">
        <f>IF(LEN(T332)=1,_xlfn.CONCAT(0,T332),T332)</f>
        <v>11</v>
      </c>
      <c r="V332" s="18" t="str">
        <f>_xlfn.CONCAT(S332,U332)</f>
        <v>202311</v>
      </c>
      <c r="W332" s="18" t="str">
        <f>_xlfn.CONCAT(TEXT(A332,"MMM"),"-",MID(Q332,3,2))</f>
        <v>Feb-24</v>
      </c>
      <c r="X332" s="19">
        <f>IFERROR(IF(D332="Sell",(H332-P332),-(H332+P332)),0)</f>
        <v>-69990.34</v>
      </c>
      <c r="Y332" s="19">
        <f>X332/1000</f>
        <v>-69.990340000000003</v>
      </c>
    </row>
    <row r="333" spans="1:25" x14ac:dyDescent="0.25">
      <c r="A333" s="1">
        <v>45350</v>
      </c>
      <c r="B333" t="s">
        <v>497</v>
      </c>
      <c r="C333" t="s">
        <v>17</v>
      </c>
      <c r="D333" t="s">
        <v>18</v>
      </c>
      <c r="E333">
        <v>315</v>
      </c>
      <c r="F333">
        <v>0</v>
      </c>
      <c r="G333">
        <v>106.9</v>
      </c>
      <c r="H333">
        <v>33673.5</v>
      </c>
      <c r="I333" t="s">
        <v>512</v>
      </c>
      <c r="J333">
        <v>21.29</v>
      </c>
      <c r="K333">
        <v>17.010000000000002</v>
      </c>
      <c r="L333">
        <v>0</v>
      </c>
      <c r="M333">
        <v>0.03</v>
      </c>
      <c r="N333">
        <v>420</v>
      </c>
      <c r="O333">
        <v>78.66</v>
      </c>
      <c r="P333">
        <v>536.99</v>
      </c>
      <c r="Q333" s="18">
        <f>YEAR(A333)</f>
        <v>2024</v>
      </c>
      <c r="R333" s="18">
        <f>MONTH(A333)</f>
        <v>2</v>
      </c>
      <c r="S333" s="18">
        <f>IF(R333&lt;4,Q333-1,Q333)</f>
        <v>2023</v>
      </c>
      <c r="T333" s="18">
        <f>IF(R333&lt;4,R333+9,R333-3)</f>
        <v>11</v>
      </c>
      <c r="U333" s="18">
        <f>IF(LEN(T333)=1,_xlfn.CONCAT(0,T333),T333)</f>
        <v>11</v>
      </c>
      <c r="V333" s="18" t="str">
        <f>_xlfn.CONCAT(S333,U333)</f>
        <v>202311</v>
      </c>
      <c r="W333" s="18" t="str">
        <f>_xlfn.CONCAT(TEXT(A333,"MMM"),"-",MID(Q333,3,2))</f>
        <v>Feb-24</v>
      </c>
      <c r="X333" s="19">
        <f>IFERROR(IF(D333="Sell",(H333-P333),-(H333+P333)),0)</f>
        <v>33136.51</v>
      </c>
      <c r="Y333" s="19">
        <f>X333/1000</f>
        <v>33.136510000000001</v>
      </c>
    </row>
    <row r="334" spans="1:25" x14ac:dyDescent="0.25">
      <c r="A334" s="1">
        <v>45350</v>
      </c>
      <c r="B334" t="s">
        <v>497</v>
      </c>
      <c r="C334" t="s">
        <v>17</v>
      </c>
      <c r="D334" t="s">
        <v>22</v>
      </c>
      <c r="E334">
        <v>60</v>
      </c>
      <c r="F334">
        <v>0</v>
      </c>
      <c r="G334">
        <v>117.5</v>
      </c>
      <c r="H334">
        <v>7050</v>
      </c>
      <c r="I334" t="s">
        <v>513</v>
      </c>
      <c r="J334">
        <v>0</v>
      </c>
      <c r="K334">
        <v>3.56</v>
      </c>
      <c r="L334">
        <v>0</v>
      </c>
      <c r="M334">
        <v>0.01</v>
      </c>
      <c r="N334">
        <v>80</v>
      </c>
      <c r="O334">
        <v>15.04</v>
      </c>
      <c r="P334">
        <v>98.61</v>
      </c>
      <c r="Q334" s="18">
        <f>YEAR(A334)</f>
        <v>2024</v>
      </c>
      <c r="R334" s="18">
        <f>MONTH(A334)</f>
        <v>2</v>
      </c>
      <c r="S334" s="18">
        <f>IF(R334&lt;4,Q334-1,Q334)</f>
        <v>2023</v>
      </c>
      <c r="T334" s="18">
        <f>IF(R334&lt;4,R334+9,R334-3)</f>
        <v>11</v>
      </c>
      <c r="U334" s="18">
        <f>IF(LEN(T334)=1,_xlfn.CONCAT(0,T334),T334)</f>
        <v>11</v>
      </c>
      <c r="V334" s="18" t="str">
        <f>_xlfn.CONCAT(S334,U334)</f>
        <v>202311</v>
      </c>
      <c r="W334" s="18" t="str">
        <f>_xlfn.CONCAT(TEXT(A334,"MMM"),"-",MID(Q334,3,2))</f>
        <v>Feb-24</v>
      </c>
      <c r="X334" s="19">
        <f>IFERROR(IF(D334="Sell",(H334-P334),-(H334+P334)),0)</f>
        <v>-7148.61</v>
      </c>
      <c r="Y334" s="19">
        <f>X334/1000</f>
        <v>-7.1486099999999997</v>
      </c>
    </row>
    <row r="335" spans="1:25" x14ac:dyDescent="0.25">
      <c r="A335" s="1">
        <v>45350</v>
      </c>
      <c r="B335" t="s">
        <v>497</v>
      </c>
      <c r="C335" t="s">
        <v>17</v>
      </c>
      <c r="D335" t="s">
        <v>22</v>
      </c>
      <c r="E335">
        <v>60</v>
      </c>
      <c r="F335">
        <v>0</v>
      </c>
      <c r="G335">
        <v>179.6</v>
      </c>
      <c r="H335">
        <v>10776</v>
      </c>
      <c r="I335" t="s">
        <v>514</v>
      </c>
      <c r="J335">
        <v>0</v>
      </c>
      <c r="K335">
        <v>5.44</v>
      </c>
      <c r="L335">
        <v>0</v>
      </c>
      <c r="M335">
        <v>0.01</v>
      </c>
      <c r="N335">
        <v>80</v>
      </c>
      <c r="O335">
        <v>15.38</v>
      </c>
      <c r="P335">
        <v>100.83</v>
      </c>
      <c r="Q335" s="18">
        <f>YEAR(A335)</f>
        <v>2024</v>
      </c>
      <c r="R335" s="18">
        <f>MONTH(A335)</f>
        <v>2</v>
      </c>
      <c r="S335" s="18">
        <f>IF(R335&lt;4,Q335-1,Q335)</f>
        <v>2023</v>
      </c>
      <c r="T335" s="18">
        <f>IF(R335&lt;4,R335+9,R335-3)</f>
        <v>11</v>
      </c>
      <c r="U335" s="18">
        <f>IF(LEN(T335)=1,_xlfn.CONCAT(0,T335),T335)</f>
        <v>11</v>
      </c>
      <c r="V335" s="18" t="str">
        <f>_xlfn.CONCAT(S335,U335)</f>
        <v>202311</v>
      </c>
      <c r="W335" s="18" t="str">
        <f>_xlfn.CONCAT(TEXT(A335,"MMM"),"-",MID(Q335,3,2))</f>
        <v>Feb-24</v>
      </c>
      <c r="X335" s="19">
        <f>IFERROR(IF(D335="Sell",(H335-P335),-(H335+P335)),0)</f>
        <v>-10876.83</v>
      </c>
      <c r="Y335" s="19">
        <f>X335/1000</f>
        <v>-10.87683</v>
      </c>
    </row>
    <row r="336" spans="1:25" x14ac:dyDescent="0.25">
      <c r="A336" s="1">
        <v>45350</v>
      </c>
      <c r="B336" t="s">
        <v>497</v>
      </c>
      <c r="C336" t="s">
        <v>17</v>
      </c>
      <c r="D336" t="s">
        <v>22</v>
      </c>
      <c r="E336">
        <v>60</v>
      </c>
      <c r="F336">
        <v>0</v>
      </c>
      <c r="G336">
        <v>196.9</v>
      </c>
      <c r="H336">
        <v>11814</v>
      </c>
      <c r="I336" t="s">
        <v>515</v>
      </c>
      <c r="J336">
        <v>0</v>
      </c>
      <c r="K336">
        <v>5.97</v>
      </c>
      <c r="L336">
        <v>0</v>
      </c>
      <c r="M336">
        <v>0.01</v>
      </c>
      <c r="N336">
        <v>80</v>
      </c>
      <c r="O336">
        <v>15.48</v>
      </c>
      <c r="P336">
        <v>101.46</v>
      </c>
      <c r="Q336" s="18">
        <f>YEAR(A336)</f>
        <v>2024</v>
      </c>
      <c r="R336" s="18">
        <f>MONTH(A336)</f>
        <v>2</v>
      </c>
      <c r="S336" s="18">
        <f>IF(R336&lt;4,Q336-1,Q336)</f>
        <v>2023</v>
      </c>
      <c r="T336" s="18">
        <f>IF(R336&lt;4,R336+9,R336-3)</f>
        <v>11</v>
      </c>
      <c r="U336" s="18">
        <f>IF(LEN(T336)=1,_xlfn.CONCAT(0,T336),T336)</f>
        <v>11</v>
      </c>
      <c r="V336" s="18" t="str">
        <f>_xlfn.CONCAT(S336,U336)</f>
        <v>202311</v>
      </c>
      <c r="W336" s="18" t="str">
        <f>_xlfn.CONCAT(TEXT(A336,"MMM"),"-",MID(Q336,3,2))</f>
        <v>Feb-24</v>
      </c>
      <c r="X336" s="19">
        <f>IFERROR(IF(D336="Sell",(H336-P336),-(H336+P336)),0)</f>
        <v>-11915.46</v>
      </c>
      <c r="Y336" s="19">
        <f>X336/1000</f>
        <v>-11.915459999999999</v>
      </c>
    </row>
    <row r="337" spans="1:25" x14ac:dyDescent="0.25">
      <c r="A337" s="1">
        <v>45350</v>
      </c>
      <c r="B337" t="s">
        <v>497</v>
      </c>
      <c r="C337" t="s">
        <v>17</v>
      </c>
      <c r="D337" t="s">
        <v>22</v>
      </c>
      <c r="E337">
        <v>60</v>
      </c>
      <c r="F337">
        <v>0</v>
      </c>
      <c r="G337">
        <v>238.3</v>
      </c>
      <c r="H337">
        <v>14298</v>
      </c>
      <c r="I337" t="s">
        <v>516</v>
      </c>
      <c r="J337">
        <v>0</v>
      </c>
      <c r="K337">
        <v>7.22</v>
      </c>
      <c r="L337">
        <v>0</v>
      </c>
      <c r="M337">
        <v>0.02</v>
      </c>
      <c r="N337">
        <v>80</v>
      </c>
      <c r="O337">
        <v>15.72</v>
      </c>
      <c r="P337">
        <v>102.96</v>
      </c>
      <c r="Q337" s="18">
        <f>YEAR(A337)</f>
        <v>2024</v>
      </c>
      <c r="R337" s="18">
        <f>MONTH(A337)</f>
        <v>2</v>
      </c>
      <c r="S337" s="18">
        <f>IF(R337&lt;4,Q337-1,Q337)</f>
        <v>2023</v>
      </c>
      <c r="T337" s="18">
        <f>IF(R337&lt;4,R337+9,R337-3)</f>
        <v>11</v>
      </c>
      <c r="U337" s="18">
        <f>IF(LEN(T337)=1,_xlfn.CONCAT(0,T337),T337)</f>
        <v>11</v>
      </c>
      <c r="V337" s="18" t="str">
        <f>_xlfn.CONCAT(S337,U337)</f>
        <v>202311</v>
      </c>
      <c r="W337" s="18" t="str">
        <f>_xlfn.CONCAT(TEXT(A337,"MMM"),"-",MID(Q337,3,2))</f>
        <v>Feb-24</v>
      </c>
      <c r="X337" s="19">
        <f>IFERROR(IF(D337="Sell",(H337-P337),-(H337+P337)),0)</f>
        <v>-14400.96</v>
      </c>
      <c r="Y337" s="19">
        <f>X337/1000</f>
        <v>-14.40096</v>
      </c>
    </row>
    <row r="338" spans="1:25" x14ac:dyDescent="0.25">
      <c r="A338" s="1">
        <v>45350</v>
      </c>
      <c r="B338" t="s">
        <v>497</v>
      </c>
      <c r="C338" t="s">
        <v>17</v>
      </c>
      <c r="D338" t="s">
        <v>22</v>
      </c>
      <c r="E338">
        <v>15</v>
      </c>
      <c r="F338">
        <v>0</v>
      </c>
      <c r="G338">
        <v>277.7</v>
      </c>
      <c r="H338">
        <v>4165.5</v>
      </c>
      <c r="I338" t="s">
        <v>517</v>
      </c>
      <c r="J338">
        <v>0</v>
      </c>
      <c r="K338">
        <v>2.1</v>
      </c>
      <c r="L338">
        <v>0</v>
      </c>
      <c r="M338">
        <v>0</v>
      </c>
      <c r="N338">
        <v>20</v>
      </c>
      <c r="O338">
        <v>3.98</v>
      </c>
      <c r="P338">
        <v>26.08</v>
      </c>
      <c r="Q338" s="18">
        <f>YEAR(A338)</f>
        <v>2024</v>
      </c>
      <c r="R338" s="18">
        <f>MONTH(A338)</f>
        <v>2</v>
      </c>
      <c r="S338" s="18">
        <f>IF(R338&lt;4,Q338-1,Q338)</f>
        <v>2023</v>
      </c>
      <c r="T338" s="18">
        <f>IF(R338&lt;4,R338+9,R338-3)</f>
        <v>11</v>
      </c>
      <c r="U338" s="18">
        <f>IF(LEN(T338)=1,_xlfn.CONCAT(0,T338),T338)</f>
        <v>11</v>
      </c>
      <c r="V338" s="18" t="str">
        <f>_xlfn.CONCAT(S338,U338)</f>
        <v>202311</v>
      </c>
      <c r="W338" s="18" t="str">
        <f>_xlfn.CONCAT(TEXT(A338,"MMM"),"-",MID(Q338,3,2))</f>
        <v>Feb-24</v>
      </c>
      <c r="X338" s="19">
        <f>IFERROR(IF(D338="Sell",(H338-P338),-(H338+P338)),0)</f>
        <v>-4191.58</v>
      </c>
      <c r="Y338" s="19">
        <f>X338/1000</f>
        <v>-4.1915800000000001</v>
      </c>
    </row>
    <row r="339" spans="1:25" x14ac:dyDescent="0.25">
      <c r="A339" s="1">
        <v>45350</v>
      </c>
      <c r="B339" t="s">
        <v>497</v>
      </c>
      <c r="C339" t="s">
        <v>17</v>
      </c>
      <c r="D339" t="s">
        <v>22</v>
      </c>
      <c r="E339">
        <v>60</v>
      </c>
      <c r="F339">
        <v>0</v>
      </c>
      <c r="G339">
        <v>293.95</v>
      </c>
      <c r="H339">
        <v>17637</v>
      </c>
      <c r="I339" t="s">
        <v>518</v>
      </c>
      <c r="J339">
        <v>0</v>
      </c>
      <c r="K339">
        <v>8.91</v>
      </c>
      <c r="L339">
        <v>0</v>
      </c>
      <c r="M339">
        <v>0.01</v>
      </c>
      <c r="N339">
        <v>80</v>
      </c>
      <c r="O339">
        <v>16</v>
      </c>
      <c r="P339">
        <v>104.92</v>
      </c>
      <c r="Q339" s="18">
        <f>YEAR(A339)</f>
        <v>2024</v>
      </c>
      <c r="R339" s="18">
        <f>MONTH(A339)</f>
        <v>2</v>
      </c>
      <c r="S339" s="18">
        <f>IF(R339&lt;4,Q339-1,Q339)</f>
        <v>2023</v>
      </c>
      <c r="T339" s="18">
        <f>IF(R339&lt;4,R339+9,R339-3)</f>
        <v>11</v>
      </c>
      <c r="U339" s="18">
        <f>IF(LEN(T339)=1,_xlfn.CONCAT(0,T339),T339)</f>
        <v>11</v>
      </c>
      <c r="V339" s="18" t="str">
        <f>_xlfn.CONCAT(S339,U339)</f>
        <v>202311</v>
      </c>
      <c r="W339" s="18" t="str">
        <f>_xlfn.CONCAT(TEXT(A339,"MMM"),"-",MID(Q339,3,2))</f>
        <v>Feb-24</v>
      </c>
      <c r="X339" s="19">
        <f>IFERROR(IF(D339="Sell",(H339-P339),-(H339+P339)),0)</f>
        <v>-17741.919999999998</v>
      </c>
      <c r="Y339" s="19">
        <f>X339/1000</f>
        <v>-17.741919999999997</v>
      </c>
    </row>
    <row r="340" spans="1:25" x14ac:dyDescent="0.25">
      <c r="A340" s="1">
        <v>45350</v>
      </c>
      <c r="B340" t="s">
        <v>497</v>
      </c>
      <c r="C340" t="s">
        <v>17</v>
      </c>
      <c r="D340" t="s">
        <v>18</v>
      </c>
      <c r="E340">
        <v>15</v>
      </c>
      <c r="F340">
        <v>0</v>
      </c>
      <c r="G340">
        <v>270.8</v>
      </c>
      <c r="H340">
        <v>4062</v>
      </c>
      <c r="I340" t="s">
        <v>519</v>
      </c>
      <c r="J340">
        <v>2.54</v>
      </c>
      <c r="K340">
        <v>2.0499999999999998</v>
      </c>
      <c r="L340">
        <v>0</v>
      </c>
      <c r="M340">
        <v>0</v>
      </c>
      <c r="N340">
        <v>20</v>
      </c>
      <c r="O340">
        <v>3.96</v>
      </c>
      <c r="P340">
        <v>28.55</v>
      </c>
      <c r="Q340" s="18">
        <f>YEAR(A340)</f>
        <v>2024</v>
      </c>
      <c r="R340" s="18">
        <f>MONTH(A340)</f>
        <v>2</v>
      </c>
      <c r="S340" s="18">
        <f>IF(R340&lt;4,Q340-1,Q340)</f>
        <v>2023</v>
      </c>
      <c r="T340" s="18">
        <f>IF(R340&lt;4,R340+9,R340-3)</f>
        <v>11</v>
      </c>
      <c r="U340" s="18">
        <f>IF(LEN(T340)=1,_xlfn.CONCAT(0,T340),T340)</f>
        <v>11</v>
      </c>
      <c r="V340" s="18" t="str">
        <f>_xlfn.CONCAT(S340,U340)</f>
        <v>202311</v>
      </c>
      <c r="W340" s="18" t="str">
        <f>_xlfn.CONCAT(TEXT(A340,"MMM"),"-",MID(Q340,3,2))</f>
        <v>Feb-24</v>
      </c>
      <c r="X340" s="19">
        <f>IFERROR(IF(D340="Sell",(H340-P340),-(H340+P340)),0)</f>
        <v>4033.45</v>
      </c>
      <c r="Y340" s="19">
        <f>X340/1000</f>
        <v>4.0334500000000002</v>
      </c>
    </row>
    <row r="341" spans="1:25" x14ac:dyDescent="0.25">
      <c r="A341" s="1">
        <v>45350</v>
      </c>
      <c r="B341" t="s">
        <v>497</v>
      </c>
      <c r="C341" t="s">
        <v>17</v>
      </c>
      <c r="D341" t="s">
        <v>22</v>
      </c>
      <c r="E341">
        <v>15</v>
      </c>
      <c r="F341">
        <v>0</v>
      </c>
      <c r="G341">
        <v>239.05</v>
      </c>
      <c r="H341">
        <v>3585.75</v>
      </c>
      <c r="I341" t="s">
        <v>520</v>
      </c>
      <c r="J341">
        <v>0</v>
      </c>
      <c r="K341">
        <v>1.81</v>
      </c>
      <c r="L341">
        <v>0</v>
      </c>
      <c r="M341">
        <v>0</v>
      </c>
      <c r="N341">
        <v>20</v>
      </c>
      <c r="O341">
        <v>3.92</v>
      </c>
      <c r="P341">
        <v>25.73</v>
      </c>
      <c r="Q341" s="18">
        <f>YEAR(A341)</f>
        <v>2024</v>
      </c>
      <c r="R341" s="18">
        <f>MONTH(A341)</f>
        <v>2</v>
      </c>
      <c r="S341" s="18">
        <f>IF(R341&lt;4,Q341-1,Q341)</f>
        <v>2023</v>
      </c>
      <c r="T341" s="18">
        <f>IF(R341&lt;4,R341+9,R341-3)</f>
        <v>11</v>
      </c>
      <c r="U341" s="18">
        <f>IF(LEN(T341)=1,_xlfn.CONCAT(0,T341),T341)</f>
        <v>11</v>
      </c>
      <c r="V341" s="18" t="str">
        <f>_xlfn.CONCAT(S341,U341)</f>
        <v>202311</v>
      </c>
      <c r="W341" s="18" t="str">
        <f>_xlfn.CONCAT(TEXT(A341,"MMM"),"-",MID(Q341,3,2))</f>
        <v>Feb-24</v>
      </c>
      <c r="X341" s="19">
        <f>IFERROR(IF(D341="Sell",(H341-P341),-(H341+P341)),0)</f>
        <v>-3611.48</v>
      </c>
      <c r="Y341" s="19">
        <f>X341/1000</f>
        <v>-3.6114799999999998</v>
      </c>
    </row>
    <row r="342" spans="1:25" x14ac:dyDescent="0.25">
      <c r="A342" s="1">
        <v>45350</v>
      </c>
      <c r="B342" t="s">
        <v>521</v>
      </c>
      <c r="C342" t="s">
        <v>17</v>
      </c>
      <c r="D342" t="s">
        <v>18</v>
      </c>
      <c r="E342">
        <v>105</v>
      </c>
      <c r="F342">
        <v>0</v>
      </c>
      <c r="G342">
        <v>292.14999999999998</v>
      </c>
      <c r="H342">
        <v>30675.75</v>
      </c>
      <c r="I342" t="s">
        <v>522</v>
      </c>
      <c r="J342">
        <v>19.18</v>
      </c>
      <c r="K342">
        <v>15.49</v>
      </c>
      <c r="L342">
        <v>0</v>
      </c>
      <c r="M342">
        <v>0.02</v>
      </c>
      <c r="N342">
        <v>140</v>
      </c>
      <c r="O342">
        <v>28</v>
      </c>
      <c r="P342">
        <v>202.69</v>
      </c>
      <c r="Q342" s="18">
        <f>YEAR(A342)</f>
        <v>2024</v>
      </c>
      <c r="R342" s="18">
        <f>MONTH(A342)</f>
        <v>2</v>
      </c>
      <c r="S342" s="18">
        <f>IF(R342&lt;4,Q342-1,Q342)</f>
        <v>2023</v>
      </c>
      <c r="T342" s="18">
        <f>IF(R342&lt;4,R342+9,R342-3)</f>
        <v>11</v>
      </c>
      <c r="U342" s="18">
        <f>IF(LEN(T342)=1,_xlfn.CONCAT(0,T342),T342)</f>
        <v>11</v>
      </c>
      <c r="V342" s="18" t="str">
        <f>_xlfn.CONCAT(S342,U342)</f>
        <v>202311</v>
      </c>
      <c r="W342" s="18" t="str">
        <f>_xlfn.CONCAT(TEXT(A342,"MMM"),"-",MID(Q342,3,2))</f>
        <v>Feb-24</v>
      </c>
      <c r="X342" s="19">
        <f>IFERROR(IF(D342="Sell",(H342-P342),-(H342+P342)),0)</f>
        <v>30473.06</v>
      </c>
      <c r="Y342" s="19">
        <f>X342/1000</f>
        <v>30.47306</v>
      </c>
    </row>
    <row r="343" spans="1:25" x14ac:dyDescent="0.25">
      <c r="A343" s="1">
        <v>45350</v>
      </c>
      <c r="B343" t="s">
        <v>521</v>
      </c>
      <c r="C343" t="s">
        <v>17</v>
      </c>
      <c r="D343" t="s">
        <v>22</v>
      </c>
      <c r="E343">
        <v>15</v>
      </c>
      <c r="F343">
        <v>0</v>
      </c>
      <c r="G343">
        <v>253.6</v>
      </c>
      <c r="H343">
        <v>3804</v>
      </c>
      <c r="I343" t="s">
        <v>523</v>
      </c>
      <c r="J343">
        <v>0</v>
      </c>
      <c r="K343">
        <v>1.92</v>
      </c>
      <c r="L343">
        <v>0</v>
      </c>
      <c r="M343">
        <v>0</v>
      </c>
      <c r="N343">
        <v>20</v>
      </c>
      <c r="O343">
        <v>3.94</v>
      </c>
      <c r="P343">
        <v>25.86</v>
      </c>
      <c r="Q343" s="18">
        <f>YEAR(A343)</f>
        <v>2024</v>
      </c>
      <c r="R343" s="18">
        <f>MONTH(A343)</f>
        <v>2</v>
      </c>
      <c r="S343" s="18">
        <f>IF(R343&lt;4,Q343-1,Q343)</f>
        <v>2023</v>
      </c>
      <c r="T343" s="18">
        <f>IF(R343&lt;4,R343+9,R343-3)</f>
        <v>11</v>
      </c>
      <c r="U343" s="18">
        <f>IF(LEN(T343)=1,_xlfn.CONCAT(0,T343),T343)</f>
        <v>11</v>
      </c>
      <c r="V343" s="18" t="str">
        <f>_xlfn.CONCAT(S343,U343)</f>
        <v>202311</v>
      </c>
      <c r="W343" s="18" t="str">
        <f>_xlfn.CONCAT(TEXT(A343,"MMM"),"-",MID(Q343,3,2))</f>
        <v>Feb-24</v>
      </c>
      <c r="X343" s="19">
        <f>IFERROR(IF(D343="Sell",(H343-P343),-(H343+P343)),0)</f>
        <v>-3829.86</v>
      </c>
      <c r="Y343" s="19">
        <f>X343/1000</f>
        <v>-3.82986</v>
      </c>
    </row>
    <row r="344" spans="1:25" x14ac:dyDescent="0.25">
      <c r="A344" s="1">
        <v>45350</v>
      </c>
      <c r="B344" t="s">
        <v>521</v>
      </c>
      <c r="C344" t="s">
        <v>17</v>
      </c>
      <c r="D344" t="s">
        <v>22</v>
      </c>
      <c r="E344">
        <v>15</v>
      </c>
      <c r="F344">
        <v>0</v>
      </c>
      <c r="G344">
        <v>263.3</v>
      </c>
      <c r="H344">
        <v>3949.5</v>
      </c>
      <c r="I344" t="s">
        <v>524</v>
      </c>
      <c r="J344">
        <v>0</v>
      </c>
      <c r="K344">
        <v>1.99</v>
      </c>
      <c r="L344">
        <v>0</v>
      </c>
      <c r="M344">
        <v>0</v>
      </c>
      <c r="N344">
        <v>20</v>
      </c>
      <c r="O344">
        <v>3.96</v>
      </c>
      <c r="P344">
        <v>25.95</v>
      </c>
      <c r="Q344" s="18">
        <f>YEAR(A344)</f>
        <v>2024</v>
      </c>
      <c r="R344" s="18">
        <f>MONTH(A344)</f>
        <v>2</v>
      </c>
      <c r="S344" s="18">
        <f>IF(R344&lt;4,Q344-1,Q344)</f>
        <v>2023</v>
      </c>
      <c r="T344" s="18">
        <f>IF(R344&lt;4,R344+9,R344-3)</f>
        <v>11</v>
      </c>
      <c r="U344" s="18">
        <f>IF(LEN(T344)=1,_xlfn.CONCAT(0,T344),T344)</f>
        <v>11</v>
      </c>
      <c r="V344" s="18" t="str">
        <f>_xlfn.CONCAT(S344,U344)</f>
        <v>202311</v>
      </c>
      <c r="W344" s="18" t="str">
        <f>_xlfn.CONCAT(TEXT(A344,"MMM"),"-",MID(Q344,3,2))</f>
        <v>Feb-24</v>
      </c>
      <c r="X344" s="19">
        <f>IFERROR(IF(D344="Sell",(H344-P344),-(H344+P344)),0)</f>
        <v>-3975.45</v>
      </c>
      <c r="Y344" s="19">
        <f>X344/1000</f>
        <v>-3.9754499999999999</v>
      </c>
    </row>
    <row r="345" spans="1:25" x14ac:dyDescent="0.25">
      <c r="A345" s="1">
        <v>45350</v>
      </c>
      <c r="B345" t="s">
        <v>521</v>
      </c>
      <c r="C345" t="s">
        <v>17</v>
      </c>
      <c r="D345" t="s">
        <v>22</v>
      </c>
      <c r="E345">
        <v>15</v>
      </c>
      <c r="F345">
        <v>0</v>
      </c>
      <c r="G345">
        <v>276.39999999999998</v>
      </c>
      <c r="H345">
        <v>4146</v>
      </c>
      <c r="I345" t="s">
        <v>525</v>
      </c>
      <c r="J345">
        <v>0</v>
      </c>
      <c r="K345">
        <v>2.09</v>
      </c>
      <c r="L345">
        <v>0</v>
      </c>
      <c r="M345">
        <v>0</v>
      </c>
      <c r="N345">
        <v>20</v>
      </c>
      <c r="O345">
        <v>3.98</v>
      </c>
      <c r="P345">
        <v>26.07</v>
      </c>
      <c r="Q345" s="18">
        <f>YEAR(A345)</f>
        <v>2024</v>
      </c>
      <c r="R345" s="18">
        <f>MONTH(A345)</f>
        <v>2</v>
      </c>
      <c r="S345" s="18">
        <f>IF(R345&lt;4,Q345-1,Q345)</f>
        <v>2023</v>
      </c>
      <c r="T345" s="18">
        <f>IF(R345&lt;4,R345+9,R345-3)</f>
        <v>11</v>
      </c>
      <c r="U345" s="18">
        <f>IF(LEN(T345)=1,_xlfn.CONCAT(0,T345),T345)</f>
        <v>11</v>
      </c>
      <c r="V345" s="18" t="str">
        <f>_xlfn.CONCAT(S345,U345)</f>
        <v>202311</v>
      </c>
      <c r="W345" s="18" t="str">
        <f>_xlfn.CONCAT(TEXT(A345,"MMM"),"-",MID(Q345,3,2))</f>
        <v>Feb-24</v>
      </c>
      <c r="X345" s="19">
        <f>IFERROR(IF(D345="Sell",(H345-P345),-(H345+P345)),0)</f>
        <v>-4172.07</v>
      </c>
      <c r="Y345" s="19">
        <f>X345/1000</f>
        <v>-4.1720699999999997</v>
      </c>
    </row>
    <row r="346" spans="1:25" x14ac:dyDescent="0.25">
      <c r="A346" s="1">
        <v>45350</v>
      </c>
      <c r="B346" t="s">
        <v>521</v>
      </c>
      <c r="C346" t="s">
        <v>17</v>
      </c>
      <c r="D346" t="s">
        <v>22</v>
      </c>
      <c r="E346">
        <v>15</v>
      </c>
      <c r="F346">
        <v>0</v>
      </c>
      <c r="G346">
        <v>277.45</v>
      </c>
      <c r="H346">
        <v>4161.75</v>
      </c>
      <c r="I346" t="s">
        <v>526</v>
      </c>
      <c r="J346">
        <v>0</v>
      </c>
      <c r="K346">
        <v>2.1</v>
      </c>
      <c r="L346">
        <v>0.86</v>
      </c>
      <c r="M346">
        <v>0</v>
      </c>
      <c r="N346">
        <v>20</v>
      </c>
      <c r="O346">
        <v>3.98</v>
      </c>
      <c r="P346">
        <v>26.94</v>
      </c>
      <c r="Q346" s="18">
        <f>YEAR(A346)</f>
        <v>2024</v>
      </c>
      <c r="R346" s="18">
        <f>MONTH(A346)</f>
        <v>2</v>
      </c>
      <c r="S346" s="18">
        <f>IF(R346&lt;4,Q346-1,Q346)</f>
        <v>2023</v>
      </c>
      <c r="T346" s="18">
        <f>IF(R346&lt;4,R346+9,R346-3)</f>
        <v>11</v>
      </c>
      <c r="U346" s="18">
        <f>IF(LEN(T346)=1,_xlfn.CONCAT(0,T346),T346)</f>
        <v>11</v>
      </c>
      <c r="V346" s="18" t="str">
        <f>_xlfn.CONCAT(S346,U346)</f>
        <v>202311</v>
      </c>
      <c r="W346" s="18" t="str">
        <f>_xlfn.CONCAT(TEXT(A346,"MMM"),"-",MID(Q346,3,2))</f>
        <v>Feb-24</v>
      </c>
      <c r="X346" s="19">
        <f>IFERROR(IF(D346="Sell",(H346-P346),-(H346+P346)),0)</f>
        <v>-4188.6899999999996</v>
      </c>
      <c r="Y346" s="19">
        <f>X346/1000</f>
        <v>-4.1886899999999994</v>
      </c>
    </row>
    <row r="347" spans="1:25" x14ac:dyDescent="0.25">
      <c r="A347" s="1">
        <v>45350</v>
      </c>
      <c r="B347" t="s">
        <v>521</v>
      </c>
      <c r="C347" t="s">
        <v>17</v>
      </c>
      <c r="D347" t="s">
        <v>22</v>
      </c>
      <c r="E347">
        <v>15</v>
      </c>
      <c r="F347">
        <v>0</v>
      </c>
      <c r="G347">
        <v>278.45</v>
      </c>
      <c r="H347">
        <v>4176.75</v>
      </c>
      <c r="I347" t="s">
        <v>527</v>
      </c>
      <c r="J347">
        <v>0</v>
      </c>
      <c r="K347">
        <v>2.11</v>
      </c>
      <c r="L347">
        <v>0</v>
      </c>
      <c r="M347">
        <v>0</v>
      </c>
      <c r="N347">
        <v>20</v>
      </c>
      <c r="O347">
        <v>3.98</v>
      </c>
      <c r="P347">
        <v>26.09</v>
      </c>
      <c r="Q347" s="18">
        <f>YEAR(A347)</f>
        <v>2024</v>
      </c>
      <c r="R347" s="18">
        <f>MONTH(A347)</f>
        <v>2</v>
      </c>
      <c r="S347" s="18">
        <f>IF(R347&lt;4,Q347-1,Q347)</f>
        <v>2023</v>
      </c>
      <c r="T347" s="18">
        <f>IF(R347&lt;4,R347+9,R347-3)</f>
        <v>11</v>
      </c>
      <c r="U347" s="18">
        <f>IF(LEN(T347)=1,_xlfn.CONCAT(0,T347),T347)</f>
        <v>11</v>
      </c>
      <c r="V347" s="18" t="str">
        <f>_xlfn.CONCAT(S347,U347)</f>
        <v>202311</v>
      </c>
      <c r="W347" s="18" t="str">
        <f>_xlfn.CONCAT(TEXT(A347,"MMM"),"-",MID(Q347,3,2))</f>
        <v>Feb-24</v>
      </c>
      <c r="X347" s="19">
        <f>IFERROR(IF(D347="Sell",(H347-P347),-(H347+P347)),0)</f>
        <v>-4202.84</v>
      </c>
      <c r="Y347" s="19">
        <f>X347/1000</f>
        <v>-4.2028400000000001</v>
      </c>
    </row>
    <row r="348" spans="1:25" x14ac:dyDescent="0.25">
      <c r="A348" s="1">
        <v>45350</v>
      </c>
      <c r="B348" t="s">
        <v>521</v>
      </c>
      <c r="C348" t="s">
        <v>17</v>
      </c>
      <c r="D348" t="s">
        <v>22</v>
      </c>
      <c r="E348">
        <v>15</v>
      </c>
      <c r="F348">
        <v>0</v>
      </c>
      <c r="G348">
        <v>280.7</v>
      </c>
      <c r="H348">
        <v>4210.5</v>
      </c>
      <c r="I348" t="s">
        <v>528</v>
      </c>
      <c r="J348">
        <v>0</v>
      </c>
      <c r="K348">
        <v>2.13</v>
      </c>
      <c r="L348">
        <v>0</v>
      </c>
      <c r="M348">
        <v>0</v>
      </c>
      <c r="N348">
        <v>20</v>
      </c>
      <c r="O348">
        <v>3.98</v>
      </c>
      <c r="P348">
        <v>26.11</v>
      </c>
      <c r="Q348" s="18">
        <f>YEAR(A348)</f>
        <v>2024</v>
      </c>
      <c r="R348" s="18">
        <f>MONTH(A348)</f>
        <v>2</v>
      </c>
      <c r="S348" s="18">
        <f>IF(R348&lt;4,Q348-1,Q348)</f>
        <v>2023</v>
      </c>
      <c r="T348" s="18">
        <f>IF(R348&lt;4,R348+9,R348-3)</f>
        <v>11</v>
      </c>
      <c r="U348" s="18">
        <f>IF(LEN(T348)=1,_xlfn.CONCAT(0,T348),T348)</f>
        <v>11</v>
      </c>
      <c r="V348" s="18" t="str">
        <f>_xlfn.CONCAT(S348,U348)</f>
        <v>202311</v>
      </c>
      <c r="W348" s="18" t="str">
        <f>_xlfn.CONCAT(TEXT(A348,"MMM"),"-",MID(Q348,3,2))</f>
        <v>Feb-24</v>
      </c>
      <c r="X348" s="19">
        <f>IFERROR(IF(D348="Sell",(H348-P348),-(H348+P348)),0)</f>
        <v>-4236.6099999999997</v>
      </c>
      <c r="Y348" s="19">
        <f>X348/1000</f>
        <v>-4.2366099999999998</v>
      </c>
    </row>
    <row r="349" spans="1:25" x14ac:dyDescent="0.25">
      <c r="A349" s="1">
        <v>45350</v>
      </c>
      <c r="B349" t="s">
        <v>521</v>
      </c>
      <c r="C349" t="s">
        <v>17</v>
      </c>
      <c r="D349" t="s">
        <v>22</v>
      </c>
      <c r="E349">
        <v>15</v>
      </c>
      <c r="F349">
        <v>0</v>
      </c>
      <c r="G349">
        <v>276.05</v>
      </c>
      <c r="H349">
        <v>4140.75</v>
      </c>
      <c r="I349" t="s">
        <v>529</v>
      </c>
      <c r="J349">
        <v>0</v>
      </c>
      <c r="K349">
        <v>2.09</v>
      </c>
      <c r="L349">
        <v>0</v>
      </c>
      <c r="M349">
        <v>0</v>
      </c>
      <c r="N349">
        <v>20</v>
      </c>
      <c r="O349">
        <v>3.98</v>
      </c>
      <c r="P349">
        <v>26.07</v>
      </c>
      <c r="Q349" s="18">
        <f>YEAR(A349)</f>
        <v>2024</v>
      </c>
      <c r="R349" s="18">
        <f>MONTH(A349)</f>
        <v>2</v>
      </c>
      <c r="S349" s="18">
        <f>IF(R349&lt;4,Q349-1,Q349)</f>
        <v>2023</v>
      </c>
      <c r="T349" s="18">
        <f>IF(R349&lt;4,R349+9,R349-3)</f>
        <v>11</v>
      </c>
      <c r="U349" s="18">
        <f>IF(LEN(T349)=1,_xlfn.CONCAT(0,T349),T349)</f>
        <v>11</v>
      </c>
      <c r="V349" s="18" t="str">
        <f>_xlfn.CONCAT(S349,U349)</f>
        <v>202311</v>
      </c>
      <c r="W349" s="18" t="str">
        <f>_xlfn.CONCAT(TEXT(A349,"MMM"),"-",MID(Q349,3,2))</f>
        <v>Feb-24</v>
      </c>
      <c r="X349" s="19">
        <f>IFERROR(IF(D349="Sell",(H349-P349),-(H349+P349)),0)</f>
        <v>-4166.82</v>
      </c>
      <c r="Y349" s="19">
        <f>X349/1000</f>
        <v>-4.1668199999999995</v>
      </c>
    </row>
    <row r="350" spans="1:25" x14ac:dyDescent="0.25">
      <c r="A350" s="1">
        <v>45351</v>
      </c>
      <c r="B350" t="s">
        <v>497</v>
      </c>
      <c r="C350" t="s">
        <v>17</v>
      </c>
      <c r="D350" t="s">
        <v>18</v>
      </c>
      <c r="E350">
        <v>300</v>
      </c>
      <c r="F350">
        <v>0</v>
      </c>
      <c r="G350">
        <v>5.65</v>
      </c>
      <c r="H350">
        <v>1695</v>
      </c>
      <c r="I350" t="s">
        <v>498</v>
      </c>
      <c r="J350">
        <v>1.06</v>
      </c>
      <c r="K350">
        <v>0.86</v>
      </c>
      <c r="L350">
        <v>0</v>
      </c>
      <c r="M350">
        <v>0</v>
      </c>
      <c r="N350">
        <v>400</v>
      </c>
      <c r="O350">
        <v>72.16</v>
      </c>
      <c r="P350">
        <v>474.08</v>
      </c>
      <c r="Q350" s="18">
        <f>YEAR(A350)</f>
        <v>2024</v>
      </c>
      <c r="R350" s="18">
        <f>MONTH(A350)</f>
        <v>2</v>
      </c>
      <c r="S350" s="18">
        <f>IF(R350&lt;4,Q350-1,Q350)</f>
        <v>2023</v>
      </c>
      <c r="T350" s="18">
        <f>IF(R350&lt;4,R350+9,R350-3)</f>
        <v>11</v>
      </c>
      <c r="U350" s="18">
        <f>IF(LEN(T350)=1,_xlfn.CONCAT(0,T350),T350)</f>
        <v>11</v>
      </c>
      <c r="V350" s="18" t="str">
        <f>_xlfn.CONCAT(S350,U350)</f>
        <v>202311</v>
      </c>
      <c r="W350" s="18" t="str">
        <f>_xlfn.CONCAT(TEXT(A350,"MMM"),"-",MID(Q350,3,2))</f>
        <v>Feb-24</v>
      </c>
      <c r="X350" s="19">
        <f>IFERROR(IF(D350="Sell",(H350-P350),-(H350+P350)),0)</f>
        <v>1220.92</v>
      </c>
      <c r="Y350" s="19">
        <f>X350/1000</f>
        <v>1.22092</v>
      </c>
    </row>
    <row r="351" spans="1:25" x14ac:dyDescent="0.25">
      <c r="A351" s="1">
        <v>45351</v>
      </c>
      <c r="B351" t="s">
        <v>497</v>
      </c>
      <c r="C351" t="s">
        <v>17</v>
      </c>
      <c r="D351" t="s">
        <v>18</v>
      </c>
      <c r="E351">
        <v>900</v>
      </c>
      <c r="F351">
        <v>0</v>
      </c>
      <c r="G351">
        <v>5.25</v>
      </c>
      <c r="H351">
        <v>4725</v>
      </c>
      <c r="I351" t="s">
        <v>499</v>
      </c>
      <c r="J351">
        <v>2.95</v>
      </c>
      <c r="K351">
        <v>2.38</v>
      </c>
      <c r="L351">
        <v>0</v>
      </c>
      <c r="M351">
        <v>0</v>
      </c>
      <c r="N351">
        <v>1200</v>
      </c>
      <c r="O351">
        <v>216.44</v>
      </c>
      <c r="P351">
        <v>1421.77</v>
      </c>
      <c r="Q351" s="18">
        <f>YEAR(A351)</f>
        <v>2024</v>
      </c>
      <c r="R351" s="18">
        <f>MONTH(A351)</f>
        <v>2</v>
      </c>
      <c r="S351" s="18">
        <f>IF(R351&lt;4,Q351-1,Q351)</f>
        <v>2023</v>
      </c>
      <c r="T351" s="18">
        <f>IF(R351&lt;4,R351+9,R351-3)</f>
        <v>11</v>
      </c>
      <c r="U351" s="18">
        <f>IF(LEN(T351)=1,_xlfn.CONCAT(0,T351),T351)</f>
        <v>11</v>
      </c>
      <c r="V351" s="18" t="str">
        <f>_xlfn.CONCAT(S351,U351)</f>
        <v>202311</v>
      </c>
      <c r="W351" s="18" t="str">
        <f>_xlfn.CONCAT(TEXT(A351,"MMM"),"-",MID(Q351,3,2))</f>
        <v>Feb-24</v>
      </c>
      <c r="X351" s="19">
        <f>IFERROR(IF(D351="Sell",(H351-P351),-(H351+P351)),0)</f>
        <v>3303.23</v>
      </c>
      <c r="Y351" s="19">
        <f>X351/1000</f>
        <v>3.3032300000000001</v>
      </c>
    </row>
    <row r="352" spans="1:25" x14ac:dyDescent="0.25">
      <c r="A352" s="1">
        <v>45351</v>
      </c>
      <c r="B352" t="s">
        <v>497</v>
      </c>
      <c r="C352" t="s">
        <v>17</v>
      </c>
      <c r="D352" t="s">
        <v>18</v>
      </c>
      <c r="E352">
        <v>900</v>
      </c>
      <c r="F352">
        <v>0</v>
      </c>
      <c r="G352">
        <v>5.25</v>
      </c>
      <c r="H352">
        <v>4725</v>
      </c>
      <c r="I352" t="s">
        <v>500</v>
      </c>
      <c r="J352">
        <v>2.95</v>
      </c>
      <c r="K352">
        <v>2.39</v>
      </c>
      <c r="L352">
        <v>0</v>
      </c>
      <c r="M352">
        <v>0</v>
      </c>
      <c r="N352">
        <v>1200</v>
      </c>
      <c r="O352">
        <v>216.44</v>
      </c>
      <c r="P352">
        <v>1421.78</v>
      </c>
      <c r="Q352" s="18">
        <f>YEAR(A352)</f>
        <v>2024</v>
      </c>
      <c r="R352" s="18">
        <f>MONTH(A352)</f>
        <v>2</v>
      </c>
      <c r="S352" s="18">
        <f>IF(R352&lt;4,Q352-1,Q352)</f>
        <v>2023</v>
      </c>
      <c r="T352" s="18">
        <f>IF(R352&lt;4,R352+9,R352-3)</f>
        <v>11</v>
      </c>
      <c r="U352" s="18">
        <f>IF(LEN(T352)=1,_xlfn.CONCAT(0,T352),T352)</f>
        <v>11</v>
      </c>
      <c r="V352" s="18" t="str">
        <f>_xlfn.CONCAT(S352,U352)</f>
        <v>202311</v>
      </c>
      <c r="W352" s="18" t="str">
        <f>_xlfn.CONCAT(TEXT(A352,"MMM"),"-",MID(Q352,3,2))</f>
        <v>Feb-24</v>
      </c>
      <c r="X352" s="19">
        <f>IFERROR(IF(D352="Sell",(H352-P352),-(H352+P352)),0)</f>
        <v>3303.2200000000003</v>
      </c>
      <c r="Y352" s="19">
        <f>X352/1000</f>
        <v>3.30322</v>
      </c>
    </row>
    <row r="353" spans="1:25" x14ac:dyDescent="0.25">
      <c r="A353" s="1">
        <v>45351</v>
      </c>
      <c r="B353" t="s">
        <v>497</v>
      </c>
      <c r="C353" t="s">
        <v>17</v>
      </c>
      <c r="D353" t="s">
        <v>18</v>
      </c>
      <c r="E353">
        <v>900</v>
      </c>
      <c r="F353">
        <v>0</v>
      </c>
      <c r="G353">
        <v>4.8499999999999996</v>
      </c>
      <c r="H353">
        <v>4363.5</v>
      </c>
      <c r="I353" t="s">
        <v>501</v>
      </c>
      <c r="J353">
        <v>2.73</v>
      </c>
      <c r="K353">
        <v>2.21</v>
      </c>
      <c r="L353">
        <v>0</v>
      </c>
      <c r="M353">
        <v>0</v>
      </c>
      <c r="N353">
        <v>1200</v>
      </c>
      <c r="O353">
        <v>216.4</v>
      </c>
      <c r="P353">
        <v>1421.34</v>
      </c>
      <c r="Q353" s="18">
        <f>YEAR(A353)</f>
        <v>2024</v>
      </c>
      <c r="R353" s="18">
        <f>MONTH(A353)</f>
        <v>2</v>
      </c>
      <c r="S353" s="18">
        <f>IF(R353&lt;4,Q353-1,Q353)</f>
        <v>2023</v>
      </c>
      <c r="T353" s="18">
        <f>IF(R353&lt;4,R353+9,R353-3)</f>
        <v>11</v>
      </c>
      <c r="U353" s="18">
        <f>IF(LEN(T353)=1,_xlfn.CONCAT(0,T353),T353)</f>
        <v>11</v>
      </c>
      <c r="V353" s="18" t="str">
        <f>_xlfn.CONCAT(S353,U353)</f>
        <v>202311</v>
      </c>
      <c r="W353" s="18" t="str">
        <f>_xlfn.CONCAT(TEXT(A353,"MMM"),"-",MID(Q353,3,2))</f>
        <v>Feb-24</v>
      </c>
      <c r="X353" s="19">
        <f>IFERROR(IF(D353="Sell",(H353-P353),-(H353+P353)),0)</f>
        <v>2942.16</v>
      </c>
      <c r="Y353" s="19">
        <f>X353/1000</f>
        <v>2.9421599999999999</v>
      </c>
    </row>
    <row r="354" spans="1:25" x14ac:dyDescent="0.25">
      <c r="A354" s="1">
        <v>45351</v>
      </c>
      <c r="B354" t="s">
        <v>497</v>
      </c>
      <c r="C354" t="s">
        <v>17</v>
      </c>
      <c r="D354" t="s">
        <v>18</v>
      </c>
      <c r="E354">
        <v>900</v>
      </c>
      <c r="F354">
        <v>0</v>
      </c>
      <c r="G354">
        <v>4.9000000000000004</v>
      </c>
      <c r="H354">
        <v>4410</v>
      </c>
      <c r="I354" t="s">
        <v>502</v>
      </c>
      <c r="J354">
        <v>2.75</v>
      </c>
      <c r="K354">
        <v>2.23</v>
      </c>
      <c r="L354">
        <v>0</v>
      </c>
      <c r="M354">
        <v>0</v>
      </c>
      <c r="N354">
        <v>1200</v>
      </c>
      <c r="O354">
        <v>216.4</v>
      </c>
      <c r="P354">
        <v>1421.38</v>
      </c>
      <c r="Q354" s="18">
        <f>YEAR(A354)</f>
        <v>2024</v>
      </c>
      <c r="R354" s="18">
        <f>MONTH(A354)</f>
        <v>2</v>
      </c>
      <c r="S354" s="18">
        <f>IF(R354&lt;4,Q354-1,Q354)</f>
        <v>2023</v>
      </c>
      <c r="T354" s="18">
        <f>IF(R354&lt;4,R354+9,R354-3)</f>
        <v>11</v>
      </c>
      <c r="U354" s="18">
        <f>IF(LEN(T354)=1,_xlfn.CONCAT(0,T354),T354)</f>
        <v>11</v>
      </c>
      <c r="V354" s="18" t="str">
        <f>_xlfn.CONCAT(S354,U354)</f>
        <v>202311</v>
      </c>
      <c r="W354" s="18" t="str">
        <f>_xlfn.CONCAT(TEXT(A354,"MMM"),"-",MID(Q354,3,2))</f>
        <v>Feb-24</v>
      </c>
      <c r="X354" s="19">
        <f>IFERROR(IF(D354="Sell",(H354-P354),-(H354+P354)),0)</f>
        <v>2988.62</v>
      </c>
      <c r="Y354" s="19">
        <f>X354/1000</f>
        <v>2.9886200000000001</v>
      </c>
    </row>
    <row r="355" spans="1:25" x14ac:dyDescent="0.25">
      <c r="A355" s="1">
        <v>45351</v>
      </c>
      <c r="B355" t="s">
        <v>497</v>
      </c>
      <c r="C355" t="s">
        <v>17</v>
      </c>
      <c r="D355" t="s">
        <v>18</v>
      </c>
      <c r="E355">
        <v>900</v>
      </c>
      <c r="F355">
        <v>0</v>
      </c>
      <c r="G355">
        <v>4.8499999999999996</v>
      </c>
      <c r="H355">
        <v>4365</v>
      </c>
      <c r="I355" t="s">
        <v>503</v>
      </c>
      <c r="J355">
        <v>2.74</v>
      </c>
      <c r="K355">
        <v>2.2000000000000002</v>
      </c>
      <c r="L355">
        <v>0</v>
      </c>
      <c r="M355">
        <v>0</v>
      </c>
      <c r="N355">
        <v>1200</v>
      </c>
      <c r="O355">
        <v>216.4</v>
      </c>
      <c r="P355">
        <v>1421.34</v>
      </c>
      <c r="Q355" s="18">
        <f>YEAR(A355)</f>
        <v>2024</v>
      </c>
      <c r="R355" s="18">
        <f>MONTH(A355)</f>
        <v>2</v>
      </c>
      <c r="S355" s="18">
        <f>IF(R355&lt;4,Q355-1,Q355)</f>
        <v>2023</v>
      </c>
      <c r="T355" s="18">
        <f>IF(R355&lt;4,R355+9,R355-3)</f>
        <v>11</v>
      </c>
      <c r="U355" s="18">
        <f>IF(LEN(T355)=1,_xlfn.CONCAT(0,T355),T355)</f>
        <v>11</v>
      </c>
      <c r="V355" s="18" t="str">
        <f>_xlfn.CONCAT(S355,U355)</f>
        <v>202311</v>
      </c>
      <c r="W355" s="18" t="str">
        <f>_xlfn.CONCAT(TEXT(A355,"MMM"),"-",MID(Q355,3,2))</f>
        <v>Feb-24</v>
      </c>
      <c r="X355" s="19">
        <f>IFERROR(IF(D355="Sell",(H355-P355),-(H355+P355)),0)</f>
        <v>2943.66</v>
      </c>
      <c r="Y355" s="19">
        <f>X355/1000</f>
        <v>2.9436599999999999</v>
      </c>
    </row>
    <row r="356" spans="1:25" x14ac:dyDescent="0.25">
      <c r="A356" s="1">
        <v>45351</v>
      </c>
      <c r="B356" t="s">
        <v>497</v>
      </c>
      <c r="C356" t="s">
        <v>17</v>
      </c>
      <c r="D356" t="s">
        <v>18</v>
      </c>
      <c r="E356">
        <v>900</v>
      </c>
      <c r="F356">
        <v>0</v>
      </c>
      <c r="G356">
        <v>6.95</v>
      </c>
      <c r="H356">
        <v>6255</v>
      </c>
      <c r="I356" t="s">
        <v>504</v>
      </c>
      <c r="J356">
        <v>3.84</v>
      </c>
      <c r="K356">
        <v>3.17</v>
      </c>
      <c r="L356">
        <v>0</v>
      </c>
      <c r="M356">
        <v>0</v>
      </c>
      <c r="N356">
        <v>1200</v>
      </c>
      <c r="O356">
        <v>216.54</v>
      </c>
      <c r="P356">
        <v>1423.55</v>
      </c>
      <c r="Q356" s="18">
        <f>YEAR(A356)</f>
        <v>2024</v>
      </c>
      <c r="R356" s="18">
        <f>MONTH(A356)</f>
        <v>2</v>
      </c>
      <c r="S356" s="18">
        <f>IF(R356&lt;4,Q356-1,Q356)</f>
        <v>2023</v>
      </c>
      <c r="T356" s="18">
        <f>IF(R356&lt;4,R356+9,R356-3)</f>
        <v>11</v>
      </c>
      <c r="U356" s="18">
        <f>IF(LEN(T356)=1,_xlfn.CONCAT(0,T356),T356)</f>
        <v>11</v>
      </c>
      <c r="V356" s="18" t="str">
        <f>_xlfn.CONCAT(S356,U356)</f>
        <v>202311</v>
      </c>
      <c r="W356" s="18" t="str">
        <f>_xlfn.CONCAT(TEXT(A356,"MMM"),"-",MID(Q356,3,2))</f>
        <v>Feb-24</v>
      </c>
      <c r="X356" s="19">
        <f>IFERROR(IF(D356="Sell",(H356-P356),-(H356+P356)),0)</f>
        <v>4831.45</v>
      </c>
      <c r="Y356" s="19">
        <f>X356/1000</f>
        <v>4.8314500000000002</v>
      </c>
    </row>
    <row r="357" spans="1:25" x14ac:dyDescent="0.25">
      <c r="A357" s="1">
        <v>45351</v>
      </c>
      <c r="B357" t="s">
        <v>497</v>
      </c>
      <c r="C357" t="s">
        <v>17</v>
      </c>
      <c r="D357" t="s">
        <v>22</v>
      </c>
      <c r="E357">
        <v>900</v>
      </c>
      <c r="F357">
        <v>0</v>
      </c>
      <c r="G357">
        <v>8.9499999999999993</v>
      </c>
      <c r="H357">
        <v>8055</v>
      </c>
      <c r="I357" t="s">
        <v>505</v>
      </c>
      <c r="J357">
        <v>0</v>
      </c>
      <c r="K357">
        <v>4.07</v>
      </c>
      <c r="L357">
        <v>0</v>
      </c>
      <c r="M357">
        <v>0</v>
      </c>
      <c r="N357">
        <v>1200</v>
      </c>
      <c r="O357">
        <v>216.74</v>
      </c>
      <c r="P357">
        <v>1420.81</v>
      </c>
      <c r="Q357" s="18">
        <f>YEAR(A357)</f>
        <v>2024</v>
      </c>
      <c r="R357" s="18">
        <f>MONTH(A357)</f>
        <v>2</v>
      </c>
      <c r="S357" s="18">
        <f>IF(R357&lt;4,Q357-1,Q357)</f>
        <v>2023</v>
      </c>
      <c r="T357" s="18">
        <f>IF(R357&lt;4,R357+9,R357-3)</f>
        <v>11</v>
      </c>
      <c r="U357" s="18">
        <f>IF(LEN(T357)=1,_xlfn.CONCAT(0,T357),T357)</f>
        <v>11</v>
      </c>
      <c r="V357" s="18" t="str">
        <f>_xlfn.CONCAT(S357,U357)</f>
        <v>202311</v>
      </c>
      <c r="W357" s="18" t="str">
        <f>_xlfn.CONCAT(TEXT(A357,"MMM"),"-",MID(Q357,3,2))</f>
        <v>Feb-24</v>
      </c>
      <c r="X357" s="19">
        <f>IFERROR(IF(D357="Sell",(H357-P357),-(H357+P357)),0)</f>
        <v>-9475.81</v>
      </c>
      <c r="Y357" s="19">
        <f>X357/1000</f>
        <v>-9.4758099999999992</v>
      </c>
    </row>
    <row r="358" spans="1:25" x14ac:dyDescent="0.25">
      <c r="A358" s="1">
        <v>45351</v>
      </c>
      <c r="B358" t="s">
        <v>497</v>
      </c>
      <c r="C358" t="s">
        <v>17</v>
      </c>
      <c r="D358" t="s">
        <v>22</v>
      </c>
      <c r="E358">
        <v>900</v>
      </c>
      <c r="F358">
        <v>0</v>
      </c>
      <c r="G358">
        <v>9.6999999999999993</v>
      </c>
      <c r="H358">
        <v>8730</v>
      </c>
      <c r="I358" t="s">
        <v>506</v>
      </c>
      <c r="J358">
        <v>0</v>
      </c>
      <c r="K358">
        <v>4.41</v>
      </c>
      <c r="L358">
        <v>0</v>
      </c>
      <c r="M358">
        <v>0</v>
      </c>
      <c r="N358">
        <v>1200</v>
      </c>
      <c r="O358">
        <v>216.8</v>
      </c>
      <c r="P358">
        <v>1421.21</v>
      </c>
      <c r="Q358" s="18">
        <f>YEAR(A358)</f>
        <v>2024</v>
      </c>
      <c r="R358" s="18">
        <f>MONTH(A358)</f>
        <v>2</v>
      </c>
      <c r="S358" s="18">
        <f>IF(R358&lt;4,Q358-1,Q358)</f>
        <v>2023</v>
      </c>
      <c r="T358" s="18">
        <f>IF(R358&lt;4,R358+9,R358-3)</f>
        <v>11</v>
      </c>
      <c r="U358" s="18">
        <f>IF(LEN(T358)=1,_xlfn.CONCAT(0,T358),T358)</f>
        <v>11</v>
      </c>
      <c r="V358" s="18" t="str">
        <f>_xlfn.CONCAT(S358,U358)</f>
        <v>202311</v>
      </c>
      <c r="W358" s="18" t="str">
        <f>_xlfn.CONCAT(TEXT(A358,"MMM"),"-",MID(Q358,3,2))</f>
        <v>Feb-24</v>
      </c>
      <c r="X358" s="19">
        <f>IFERROR(IF(D358="Sell",(H358-P358),-(H358+P358)),0)</f>
        <v>-10151.209999999999</v>
      </c>
      <c r="Y358" s="19">
        <f>X358/1000</f>
        <v>-10.151209999999999</v>
      </c>
    </row>
    <row r="359" spans="1:25" x14ac:dyDescent="0.25">
      <c r="A359" s="1">
        <v>45351</v>
      </c>
      <c r="B359" t="s">
        <v>497</v>
      </c>
      <c r="C359" t="s">
        <v>17</v>
      </c>
      <c r="D359" t="s">
        <v>22</v>
      </c>
      <c r="E359">
        <v>900</v>
      </c>
      <c r="F359">
        <v>0</v>
      </c>
      <c r="G359">
        <v>9.1</v>
      </c>
      <c r="H359">
        <v>8190</v>
      </c>
      <c r="I359" t="s">
        <v>507</v>
      </c>
      <c r="J359">
        <v>0</v>
      </c>
      <c r="K359">
        <v>4.13</v>
      </c>
      <c r="L359">
        <v>2</v>
      </c>
      <c r="M359">
        <v>0.01</v>
      </c>
      <c r="N359">
        <v>1200</v>
      </c>
      <c r="O359">
        <v>216.76</v>
      </c>
      <c r="P359">
        <v>1422.9</v>
      </c>
      <c r="Q359" s="18">
        <f>YEAR(A359)</f>
        <v>2024</v>
      </c>
      <c r="R359" s="18">
        <f>MONTH(A359)</f>
        <v>2</v>
      </c>
      <c r="S359" s="18">
        <f>IF(R359&lt;4,Q359-1,Q359)</f>
        <v>2023</v>
      </c>
      <c r="T359" s="18">
        <f>IF(R359&lt;4,R359+9,R359-3)</f>
        <v>11</v>
      </c>
      <c r="U359" s="18">
        <f>IF(LEN(T359)=1,_xlfn.CONCAT(0,T359),T359)</f>
        <v>11</v>
      </c>
      <c r="V359" s="18" t="str">
        <f>_xlfn.CONCAT(S359,U359)</f>
        <v>202311</v>
      </c>
      <c r="W359" s="18" t="str">
        <f>_xlfn.CONCAT(TEXT(A359,"MMM"),"-",MID(Q359,3,2))</f>
        <v>Feb-24</v>
      </c>
      <c r="X359" s="19">
        <f>IFERROR(IF(D359="Sell",(H359-P359),-(H359+P359)),0)</f>
        <v>-9612.9</v>
      </c>
      <c r="Y359" s="19">
        <f>X359/1000</f>
        <v>-9.6128999999999998</v>
      </c>
    </row>
    <row r="360" spans="1:25" x14ac:dyDescent="0.25">
      <c r="A360" s="1">
        <v>45351</v>
      </c>
      <c r="B360" t="s">
        <v>497</v>
      </c>
      <c r="C360" t="s">
        <v>17</v>
      </c>
      <c r="D360" t="s">
        <v>22</v>
      </c>
      <c r="E360">
        <v>900</v>
      </c>
      <c r="F360">
        <v>0</v>
      </c>
      <c r="G360">
        <v>18.2</v>
      </c>
      <c r="H360">
        <v>16379.25</v>
      </c>
      <c r="I360" t="s">
        <v>508</v>
      </c>
      <c r="J360">
        <v>0</v>
      </c>
      <c r="K360">
        <v>8.2799999999999994</v>
      </c>
      <c r="L360">
        <v>0</v>
      </c>
      <c r="M360">
        <v>0.01</v>
      </c>
      <c r="N360">
        <v>1200</v>
      </c>
      <c r="O360">
        <v>217.5</v>
      </c>
      <c r="P360">
        <v>1425.79</v>
      </c>
      <c r="Q360" s="18">
        <f>YEAR(A360)</f>
        <v>2024</v>
      </c>
      <c r="R360" s="18">
        <f>MONTH(A360)</f>
        <v>2</v>
      </c>
      <c r="S360" s="18">
        <f>IF(R360&lt;4,Q360-1,Q360)</f>
        <v>2023</v>
      </c>
      <c r="T360" s="18">
        <f>IF(R360&lt;4,R360+9,R360-3)</f>
        <v>11</v>
      </c>
      <c r="U360" s="18">
        <f>IF(LEN(T360)=1,_xlfn.CONCAT(0,T360),T360)</f>
        <v>11</v>
      </c>
      <c r="V360" s="18" t="str">
        <f>_xlfn.CONCAT(S360,U360)</f>
        <v>202311</v>
      </c>
      <c r="W360" s="18" t="str">
        <f>_xlfn.CONCAT(TEXT(A360,"MMM"),"-",MID(Q360,3,2))</f>
        <v>Feb-24</v>
      </c>
      <c r="X360" s="19">
        <f>IFERROR(IF(D360="Sell",(H360-P360),-(H360+P360)),0)</f>
        <v>-17805.04</v>
      </c>
      <c r="Y360" s="19">
        <f>X360/1000</f>
        <v>-17.805040000000002</v>
      </c>
    </row>
    <row r="361" spans="1:25" x14ac:dyDescent="0.25">
      <c r="A361" s="1">
        <v>45351</v>
      </c>
      <c r="B361" t="s">
        <v>497</v>
      </c>
      <c r="C361" t="s">
        <v>17</v>
      </c>
      <c r="D361" t="s">
        <v>22</v>
      </c>
      <c r="E361">
        <v>900</v>
      </c>
      <c r="F361">
        <v>0</v>
      </c>
      <c r="G361">
        <v>25.7</v>
      </c>
      <c r="H361">
        <v>23130</v>
      </c>
      <c r="I361" t="s">
        <v>509</v>
      </c>
      <c r="J361">
        <v>0</v>
      </c>
      <c r="K361">
        <v>11.67</v>
      </c>
      <c r="L361">
        <v>0</v>
      </c>
      <c r="M361">
        <v>0.01</v>
      </c>
      <c r="N361">
        <v>1200</v>
      </c>
      <c r="O361">
        <v>218.12</v>
      </c>
      <c r="P361">
        <v>1429.8</v>
      </c>
      <c r="Q361" s="18">
        <f>YEAR(A361)</f>
        <v>2024</v>
      </c>
      <c r="R361" s="18">
        <f>MONTH(A361)</f>
        <v>2</v>
      </c>
      <c r="S361" s="18">
        <f>IF(R361&lt;4,Q361-1,Q361)</f>
        <v>2023</v>
      </c>
      <c r="T361" s="18">
        <f>IF(R361&lt;4,R361+9,R361-3)</f>
        <v>11</v>
      </c>
      <c r="U361" s="18">
        <f>IF(LEN(T361)=1,_xlfn.CONCAT(0,T361),T361)</f>
        <v>11</v>
      </c>
      <c r="V361" s="18" t="str">
        <f>_xlfn.CONCAT(S361,U361)</f>
        <v>202311</v>
      </c>
      <c r="W361" s="18" t="str">
        <f>_xlfn.CONCAT(TEXT(A361,"MMM"),"-",MID(Q361,3,2))</f>
        <v>Feb-24</v>
      </c>
      <c r="X361" s="19">
        <f>IFERROR(IF(D361="Sell",(H361-P361),-(H361+P361)),0)</f>
        <v>-24559.8</v>
      </c>
      <c r="Y361" s="19">
        <f>X361/1000</f>
        <v>-24.559799999999999</v>
      </c>
    </row>
    <row r="362" spans="1:25" x14ac:dyDescent="0.25">
      <c r="A362" s="1">
        <v>45352</v>
      </c>
      <c r="B362" t="s">
        <v>487</v>
      </c>
      <c r="C362" t="s">
        <v>17</v>
      </c>
      <c r="D362" t="s">
        <v>18</v>
      </c>
      <c r="E362">
        <v>160</v>
      </c>
      <c r="F362">
        <v>0</v>
      </c>
      <c r="G362">
        <v>95.4</v>
      </c>
      <c r="H362">
        <v>15264</v>
      </c>
      <c r="I362" t="s">
        <v>488</v>
      </c>
      <c r="J362">
        <v>9.4700000000000006</v>
      </c>
      <c r="K362">
        <v>7.71</v>
      </c>
      <c r="L362">
        <v>0</v>
      </c>
      <c r="M362">
        <v>0.02</v>
      </c>
      <c r="N362">
        <v>80</v>
      </c>
      <c r="O362">
        <v>15.8</v>
      </c>
      <c r="P362">
        <v>113</v>
      </c>
      <c r="Q362" s="18">
        <f>YEAR(A362)</f>
        <v>2024</v>
      </c>
      <c r="R362" s="18">
        <f>MONTH(A362)</f>
        <v>3</v>
      </c>
      <c r="S362" s="18">
        <f>IF(R362&lt;4,Q362-1,Q362)</f>
        <v>2023</v>
      </c>
      <c r="T362" s="18">
        <f>IF(R362&lt;4,R362+9,R362-3)</f>
        <v>12</v>
      </c>
      <c r="U362" s="18">
        <f>IF(LEN(T362)=1,_xlfn.CONCAT(0,T362),T362)</f>
        <v>12</v>
      </c>
      <c r="V362" s="18" t="str">
        <f>_xlfn.CONCAT(S362,U362)</f>
        <v>202312</v>
      </c>
      <c r="W362" s="18" t="str">
        <f>_xlfn.CONCAT(TEXT(A362,"MMM"),"-",MID(Q362,3,2))</f>
        <v>Mar-24</v>
      </c>
      <c r="X362" s="19">
        <f>IFERROR(IF(D362="Sell",(H362-P362),-(H362+P362)),0)</f>
        <v>15151</v>
      </c>
      <c r="Y362" s="19">
        <f>X362/1000</f>
        <v>15.151</v>
      </c>
    </row>
    <row r="363" spans="1:25" x14ac:dyDescent="0.25">
      <c r="A363" s="1">
        <v>45352</v>
      </c>
      <c r="B363" t="s">
        <v>487</v>
      </c>
      <c r="C363" t="s">
        <v>17</v>
      </c>
      <c r="D363" t="s">
        <v>22</v>
      </c>
      <c r="E363">
        <v>160</v>
      </c>
      <c r="F363">
        <v>0</v>
      </c>
      <c r="G363">
        <v>89.3</v>
      </c>
      <c r="H363">
        <v>14288</v>
      </c>
      <c r="I363" t="s">
        <v>489</v>
      </c>
      <c r="J363">
        <v>0</v>
      </c>
      <c r="K363">
        <v>7.21</v>
      </c>
      <c r="L363">
        <v>0.43</v>
      </c>
      <c r="M363">
        <v>0.01</v>
      </c>
      <c r="N363">
        <v>80</v>
      </c>
      <c r="O363">
        <v>15.7</v>
      </c>
      <c r="P363">
        <v>103.35</v>
      </c>
      <c r="Q363" s="18">
        <f>YEAR(A363)</f>
        <v>2024</v>
      </c>
      <c r="R363" s="18">
        <f>MONTH(A363)</f>
        <v>3</v>
      </c>
      <c r="S363" s="18">
        <f>IF(R363&lt;4,Q363-1,Q363)</f>
        <v>2023</v>
      </c>
      <c r="T363" s="18">
        <f>IF(R363&lt;4,R363+9,R363-3)</f>
        <v>12</v>
      </c>
      <c r="U363" s="18">
        <f>IF(LEN(T363)=1,_xlfn.CONCAT(0,T363),T363)</f>
        <v>12</v>
      </c>
      <c r="V363" s="18" t="str">
        <f>_xlfn.CONCAT(S363,U363)</f>
        <v>202312</v>
      </c>
      <c r="W363" s="18" t="str">
        <f>_xlfn.CONCAT(TEXT(A363,"MMM"),"-",MID(Q363,3,2))</f>
        <v>Mar-24</v>
      </c>
      <c r="X363" s="19">
        <f>IFERROR(IF(D363="Sell",(H363-P363),-(H363+P363)),0)</f>
        <v>-14391.35</v>
      </c>
      <c r="Y363" s="19">
        <f>X363/1000</f>
        <v>-14.391350000000001</v>
      </c>
    </row>
    <row r="364" spans="1:25" x14ac:dyDescent="0.25">
      <c r="A364" s="1">
        <v>45352</v>
      </c>
      <c r="B364" t="s">
        <v>490</v>
      </c>
      <c r="C364" t="s">
        <v>17</v>
      </c>
      <c r="D364" t="s">
        <v>18</v>
      </c>
      <c r="E364">
        <v>300</v>
      </c>
      <c r="F364">
        <v>0</v>
      </c>
      <c r="G364">
        <v>217.45</v>
      </c>
      <c r="H364">
        <v>65235</v>
      </c>
      <c r="I364" t="s">
        <v>491</v>
      </c>
      <c r="J364">
        <v>40.770000000000003</v>
      </c>
      <c r="K364">
        <v>32.94</v>
      </c>
      <c r="L364">
        <v>0</v>
      </c>
      <c r="M364">
        <v>0.06</v>
      </c>
      <c r="N364">
        <v>120</v>
      </c>
      <c r="O364">
        <v>27.54</v>
      </c>
      <c r="P364">
        <v>221.31</v>
      </c>
      <c r="Q364" s="18">
        <f>YEAR(A364)</f>
        <v>2024</v>
      </c>
      <c r="R364" s="18">
        <f>MONTH(A364)</f>
        <v>3</v>
      </c>
      <c r="S364" s="18">
        <f>IF(R364&lt;4,Q364-1,Q364)</f>
        <v>2023</v>
      </c>
      <c r="T364" s="18">
        <f>IF(R364&lt;4,R364+9,R364-3)</f>
        <v>12</v>
      </c>
      <c r="U364" s="18">
        <f>IF(LEN(T364)=1,_xlfn.CONCAT(0,T364),T364)</f>
        <v>12</v>
      </c>
      <c r="V364" s="18" t="str">
        <f>_xlfn.CONCAT(S364,U364)</f>
        <v>202312</v>
      </c>
      <c r="W364" s="18" t="str">
        <f>_xlfn.CONCAT(TEXT(A364,"MMM"),"-",MID(Q364,3,2))</f>
        <v>Mar-24</v>
      </c>
      <c r="X364" s="19">
        <f>IFERROR(IF(D364="Sell",(H364-P364),-(H364+P364)),0)</f>
        <v>65013.69</v>
      </c>
      <c r="Y364" s="19">
        <f>X364/1000</f>
        <v>65.013689999999997</v>
      </c>
    </row>
    <row r="365" spans="1:25" x14ac:dyDescent="0.25">
      <c r="A365" s="1">
        <v>45352</v>
      </c>
      <c r="B365" t="s">
        <v>490</v>
      </c>
      <c r="C365" t="s">
        <v>17</v>
      </c>
      <c r="D365" t="s">
        <v>22</v>
      </c>
      <c r="E365">
        <v>300</v>
      </c>
      <c r="F365">
        <v>0</v>
      </c>
      <c r="G365">
        <v>185.2</v>
      </c>
      <c r="H365">
        <v>55560</v>
      </c>
      <c r="I365" t="s">
        <v>492</v>
      </c>
      <c r="J365">
        <v>0</v>
      </c>
      <c r="K365">
        <v>28.06</v>
      </c>
      <c r="L365">
        <v>2.17</v>
      </c>
      <c r="M365">
        <v>0.06</v>
      </c>
      <c r="N365">
        <v>120</v>
      </c>
      <c r="O365">
        <v>26.66</v>
      </c>
      <c r="P365">
        <v>176.95</v>
      </c>
      <c r="Q365" s="18">
        <f>YEAR(A365)</f>
        <v>2024</v>
      </c>
      <c r="R365" s="18">
        <f>MONTH(A365)</f>
        <v>3</v>
      </c>
      <c r="S365" s="18">
        <f>IF(R365&lt;4,Q365-1,Q365)</f>
        <v>2023</v>
      </c>
      <c r="T365" s="18">
        <f>IF(R365&lt;4,R365+9,R365-3)</f>
        <v>12</v>
      </c>
      <c r="U365" s="18">
        <f>IF(LEN(T365)=1,_xlfn.CONCAT(0,T365),T365)</f>
        <v>12</v>
      </c>
      <c r="V365" s="18" t="str">
        <f>_xlfn.CONCAT(S365,U365)</f>
        <v>202312</v>
      </c>
      <c r="W365" s="18" t="str">
        <f>_xlfn.CONCAT(TEXT(A365,"MMM"),"-",MID(Q365,3,2))</f>
        <v>Mar-24</v>
      </c>
      <c r="X365" s="19">
        <f>IFERROR(IF(D365="Sell",(H365-P365),-(H365+P365)),0)</f>
        <v>-55736.95</v>
      </c>
      <c r="Y365" s="19">
        <f>X365/1000</f>
        <v>-55.73695</v>
      </c>
    </row>
    <row r="366" spans="1:25" x14ac:dyDescent="0.25">
      <c r="A366" s="1">
        <v>45352</v>
      </c>
      <c r="B366" t="s">
        <v>493</v>
      </c>
      <c r="C366" t="s">
        <v>17</v>
      </c>
      <c r="D366" t="s">
        <v>18</v>
      </c>
      <c r="E366">
        <v>225</v>
      </c>
      <c r="F366">
        <v>0</v>
      </c>
      <c r="G366">
        <v>48.05</v>
      </c>
      <c r="H366">
        <v>10811.25</v>
      </c>
      <c r="I366" t="s">
        <v>494</v>
      </c>
      <c r="J366">
        <v>6.75</v>
      </c>
      <c r="K366">
        <v>5.46</v>
      </c>
      <c r="L366">
        <v>0</v>
      </c>
      <c r="M366">
        <v>0</v>
      </c>
      <c r="N366">
        <v>60</v>
      </c>
      <c r="O366">
        <v>11.76</v>
      </c>
      <c r="P366">
        <v>83.97</v>
      </c>
      <c r="Q366" s="18">
        <f>YEAR(A366)</f>
        <v>2024</v>
      </c>
      <c r="R366" s="18">
        <f>MONTH(A366)</f>
        <v>3</v>
      </c>
      <c r="S366" s="18">
        <f>IF(R366&lt;4,Q366-1,Q366)</f>
        <v>2023</v>
      </c>
      <c r="T366" s="18">
        <f>IF(R366&lt;4,R366+9,R366-3)</f>
        <v>12</v>
      </c>
      <c r="U366" s="18">
        <f>IF(LEN(T366)=1,_xlfn.CONCAT(0,T366),T366)</f>
        <v>12</v>
      </c>
      <c r="V366" s="18" t="str">
        <f>_xlfn.CONCAT(S366,U366)</f>
        <v>202312</v>
      </c>
      <c r="W366" s="18" t="str">
        <f>_xlfn.CONCAT(TEXT(A366,"MMM"),"-",MID(Q366,3,2))</f>
        <v>Mar-24</v>
      </c>
      <c r="X366" s="19">
        <f>IFERROR(IF(D366="Sell",(H366-P366),-(H366+P366)),0)</f>
        <v>10727.28</v>
      </c>
      <c r="Y366" s="19">
        <f>X366/1000</f>
        <v>10.72728</v>
      </c>
    </row>
    <row r="367" spans="1:25" x14ac:dyDescent="0.25">
      <c r="A367" s="1">
        <v>45352</v>
      </c>
      <c r="B367" t="s">
        <v>493</v>
      </c>
      <c r="C367" t="s">
        <v>17</v>
      </c>
      <c r="D367" t="s">
        <v>22</v>
      </c>
      <c r="E367">
        <v>150</v>
      </c>
      <c r="F367">
        <v>0</v>
      </c>
      <c r="G367">
        <v>56.65</v>
      </c>
      <c r="H367">
        <v>8497.5</v>
      </c>
      <c r="I367" t="s">
        <v>495</v>
      </c>
      <c r="J367">
        <v>0</v>
      </c>
      <c r="K367">
        <v>4.29</v>
      </c>
      <c r="L367">
        <v>0.4</v>
      </c>
      <c r="M367">
        <v>0.01</v>
      </c>
      <c r="N367">
        <v>40</v>
      </c>
      <c r="O367">
        <v>7.98</v>
      </c>
      <c r="P367">
        <v>52.68</v>
      </c>
      <c r="Q367" s="18">
        <f>YEAR(A367)</f>
        <v>2024</v>
      </c>
      <c r="R367" s="18">
        <f>MONTH(A367)</f>
        <v>3</v>
      </c>
      <c r="S367" s="18">
        <f>IF(R367&lt;4,Q367-1,Q367)</f>
        <v>2023</v>
      </c>
      <c r="T367" s="18">
        <f>IF(R367&lt;4,R367+9,R367-3)</f>
        <v>12</v>
      </c>
      <c r="U367" s="18">
        <f>IF(LEN(T367)=1,_xlfn.CONCAT(0,T367),T367)</f>
        <v>12</v>
      </c>
      <c r="V367" s="18" t="str">
        <f>_xlfn.CONCAT(S367,U367)</f>
        <v>202312</v>
      </c>
      <c r="W367" s="18" t="str">
        <f>_xlfn.CONCAT(TEXT(A367,"MMM"),"-",MID(Q367,3,2))</f>
        <v>Mar-24</v>
      </c>
      <c r="X367" s="19">
        <f>IFERROR(IF(D367="Sell",(H367-P367),-(H367+P367)),0)</f>
        <v>-8550.18</v>
      </c>
      <c r="Y367" s="19">
        <f>X367/1000</f>
        <v>-8.550180000000001</v>
      </c>
    </row>
    <row r="368" spans="1:25" x14ac:dyDescent="0.25">
      <c r="A368" s="1">
        <v>45352</v>
      </c>
      <c r="B368" t="s">
        <v>493</v>
      </c>
      <c r="C368" t="s">
        <v>17</v>
      </c>
      <c r="D368" t="s">
        <v>22</v>
      </c>
      <c r="E368">
        <v>75</v>
      </c>
      <c r="F368">
        <v>0</v>
      </c>
      <c r="G368">
        <v>64.2</v>
      </c>
      <c r="H368">
        <v>4815</v>
      </c>
      <c r="I368" t="s">
        <v>496</v>
      </c>
      <c r="J368">
        <v>0</v>
      </c>
      <c r="K368">
        <v>2.4300000000000002</v>
      </c>
      <c r="L368">
        <v>0</v>
      </c>
      <c r="M368">
        <v>0</v>
      </c>
      <c r="N368">
        <v>20</v>
      </c>
      <c r="O368">
        <v>4.04</v>
      </c>
      <c r="P368">
        <v>26.47</v>
      </c>
      <c r="Q368" s="18">
        <f>YEAR(A368)</f>
        <v>2024</v>
      </c>
      <c r="R368" s="18">
        <f>MONTH(A368)</f>
        <v>3</v>
      </c>
      <c r="S368" s="18">
        <f>IF(R368&lt;4,Q368-1,Q368)</f>
        <v>2023</v>
      </c>
      <c r="T368" s="18">
        <f>IF(R368&lt;4,R368+9,R368-3)</f>
        <v>12</v>
      </c>
      <c r="U368" s="18">
        <f>IF(LEN(T368)=1,_xlfn.CONCAT(0,T368),T368)</f>
        <v>12</v>
      </c>
      <c r="V368" s="18" t="str">
        <f>_xlfn.CONCAT(S368,U368)</f>
        <v>202312</v>
      </c>
      <c r="W368" s="18" t="str">
        <f>_xlfn.CONCAT(TEXT(A368,"MMM"),"-",MID(Q368,3,2))</f>
        <v>Mar-24</v>
      </c>
      <c r="X368" s="19">
        <f>IFERROR(IF(D368="Sell",(H368-P368),-(H368+P368)),0)</f>
        <v>-4841.47</v>
      </c>
      <c r="Y368" s="19">
        <f>X368/1000</f>
        <v>-4.8414700000000002</v>
      </c>
    </row>
    <row r="369" spans="1:25" x14ac:dyDescent="0.25">
      <c r="A369" s="1">
        <v>45355</v>
      </c>
      <c r="B369" t="s">
        <v>484</v>
      </c>
      <c r="C369" t="s">
        <v>17</v>
      </c>
      <c r="D369" t="s">
        <v>18</v>
      </c>
      <c r="E369">
        <v>105</v>
      </c>
      <c r="F369">
        <v>0</v>
      </c>
      <c r="G369">
        <v>327.05</v>
      </c>
      <c r="H369">
        <v>34340.25</v>
      </c>
      <c r="I369" t="s">
        <v>485</v>
      </c>
      <c r="J369">
        <v>21</v>
      </c>
      <c r="K369">
        <v>17.34</v>
      </c>
      <c r="L369">
        <v>0</v>
      </c>
      <c r="M369">
        <v>0.03</v>
      </c>
      <c r="N369">
        <v>140</v>
      </c>
      <c r="O369">
        <v>28.32</v>
      </c>
      <c r="P369">
        <v>206.69</v>
      </c>
      <c r="Q369" s="18">
        <f>YEAR(A369)</f>
        <v>2024</v>
      </c>
      <c r="R369" s="18">
        <f>MONTH(A369)</f>
        <v>3</v>
      </c>
      <c r="S369" s="18">
        <f>IF(R369&lt;4,Q369-1,Q369)</f>
        <v>2023</v>
      </c>
      <c r="T369" s="18">
        <f>IF(R369&lt;4,R369+9,R369-3)</f>
        <v>12</v>
      </c>
      <c r="U369" s="18">
        <f>IF(LEN(T369)=1,_xlfn.CONCAT(0,T369),T369)</f>
        <v>12</v>
      </c>
      <c r="V369" s="18" t="str">
        <f>_xlfn.CONCAT(S369,U369)</f>
        <v>202312</v>
      </c>
      <c r="W369" s="18" t="str">
        <f>_xlfn.CONCAT(TEXT(A369,"MMM"),"-",MID(Q369,3,2))</f>
        <v>Mar-24</v>
      </c>
      <c r="X369" s="19">
        <f>IFERROR(IF(D369="Sell",(H369-P369),-(H369+P369)),0)</f>
        <v>34133.56</v>
      </c>
      <c r="Y369" s="19">
        <f>X369/1000</f>
        <v>34.133559999999996</v>
      </c>
    </row>
    <row r="370" spans="1:25" x14ac:dyDescent="0.25">
      <c r="A370" s="1">
        <v>45355</v>
      </c>
      <c r="B370" t="s">
        <v>484</v>
      </c>
      <c r="C370" t="s">
        <v>17</v>
      </c>
      <c r="D370" t="s">
        <v>22</v>
      </c>
      <c r="E370">
        <v>105</v>
      </c>
      <c r="F370">
        <v>0</v>
      </c>
      <c r="G370">
        <v>302.51</v>
      </c>
      <c r="H370">
        <v>31763.25</v>
      </c>
      <c r="I370" t="s">
        <v>486</v>
      </c>
      <c r="J370">
        <v>0</v>
      </c>
      <c r="K370">
        <v>16.04</v>
      </c>
      <c r="L370">
        <v>1</v>
      </c>
      <c r="M370">
        <v>0.03</v>
      </c>
      <c r="N370">
        <v>140</v>
      </c>
      <c r="O370">
        <v>28.1</v>
      </c>
      <c r="P370">
        <v>185.17</v>
      </c>
      <c r="Q370" s="18">
        <f>YEAR(A370)</f>
        <v>2024</v>
      </c>
      <c r="R370" s="18">
        <f>MONTH(A370)</f>
        <v>3</v>
      </c>
      <c r="S370" s="18">
        <f>IF(R370&lt;4,Q370-1,Q370)</f>
        <v>2023</v>
      </c>
      <c r="T370" s="18">
        <f>IF(R370&lt;4,R370+9,R370-3)</f>
        <v>12</v>
      </c>
      <c r="U370" s="18">
        <f>IF(LEN(T370)=1,_xlfn.CONCAT(0,T370),T370)</f>
        <v>12</v>
      </c>
      <c r="V370" s="18" t="str">
        <f>_xlfn.CONCAT(S370,U370)</f>
        <v>202312</v>
      </c>
      <c r="W370" s="18" t="str">
        <f>_xlfn.CONCAT(TEXT(A370,"MMM"),"-",MID(Q370,3,2))</f>
        <v>Mar-24</v>
      </c>
      <c r="X370" s="19">
        <f>IFERROR(IF(D370="Sell",(H370-P370),-(H370+P370)),0)</f>
        <v>-31948.42</v>
      </c>
      <c r="Y370" s="19">
        <f>X370/1000</f>
        <v>-31.948419999999999</v>
      </c>
    </row>
    <row r="371" spans="1:25" x14ac:dyDescent="0.25">
      <c r="A371" s="1">
        <v>45356</v>
      </c>
      <c r="B371" t="s">
        <v>471</v>
      </c>
      <c r="C371" t="s">
        <v>17</v>
      </c>
      <c r="D371" t="s">
        <v>18</v>
      </c>
      <c r="E371">
        <v>105</v>
      </c>
      <c r="F371">
        <v>0</v>
      </c>
      <c r="G371">
        <v>95</v>
      </c>
      <c r="H371">
        <v>9975</v>
      </c>
      <c r="I371" t="s">
        <v>472</v>
      </c>
      <c r="J371">
        <v>6.23</v>
      </c>
      <c r="K371">
        <v>5.04</v>
      </c>
      <c r="L371">
        <v>0</v>
      </c>
      <c r="M371">
        <v>0.01</v>
      </c>
      <c r="N371">
        <v>140</v>
      </c>
      <c r="O371">
        <v>26.1</v>
      </c>
      <c r="P371">
        <v>177.38</v>
      </c>
      <c r="Q371" s="18">
        <f>YEAR(A371)</f>
        <v>2024</v>
      </c>
      <c r="R371" s="18">
        <f>MONTH(A371)</f>
        <v>3</v>
      </c>
      <c r="S371" s="18">
        <f>IF(R371&lt;4,Q371-1,Q371)</f>
        <v>2023</v>
      </c>
      <c r="T371" s="18">
        <f>IF(R371&lt;4,R371+9,R371-3)</f>
        <v>12</v>
      </c>
      <c r="U371" s="18">
        <f>IF(LEN(T371)=1,_xlfn.CONCAT(0,T371),T371)</f>
        <v>12</v>
      </c>
      <c r="V371" s="18" t="str">
        <f>_xlfn.CONCAT(S371,U371)</f>
        <v>202312</v>
      </c>
      <c r="W371" s="18" t="str">
        <f>_xlfn.CONCAT(TEXT(A371,"MMM"),"-",MID(Q371,3,2))</f>
        <v>Mar-24</v>
      </c>
      <c r="X371" s="19">
        <f>IFERROR(IF(D371="Sell",(H371-P371),-(H371+P371)),0)</f>
        <v>9797.6200000000008</v>
      </c>
      <c r="Y371" s="19">
        <f>X371/1000</f>
        <v>9.7976200000000002</v>
      </c>
    </row>
    <row r="372" spans="1:25" x14ac:dyDescent="0.25">
      <c r="A372" s="1">
        <v>45356</v>
      </c>
      <c r="B372" t="s">
        <v>471</v>
      </c>
      <c r="C372" t="s">
        <v>17</v>
      </c>
      <c r="D372" t="s">
        <v>22</v>
      </c>
      <c r="E372">
        <v>105</v>
      </c>
      <c r="F372">
        <v>0</v>
      </c>
      <c r="G372">
        <v>83.85</v>
      </c>
      <c r="H372">
        <v>8804.25</v>
      </c>
      <c r="I372" t="s">
        <v>473</v>
      </c>
      <c r="J372">
        <v>0</v>
      </c>
      <c r="K372">
        <v>4.46</v>
      </c>
      <c r="L372">
        <v>0</v>
      </c>
      <c r="M372">
        <v>0.01</v>
      </c>
      <c r="N372">
        <v>140</v>
      </c>
      <c r="O372">
        <v>26.02</v>
      </c>
      <c r="P372">
        <v>170.49</v>
      </c>
      <c r="Q372" s="18">
        <f>YEAR(A372)</f>
        <v>2024</v>
      </c>
      <c r="R372" s="18">
        <f>MONTH(A372)</f>
        <v>3</v>
      </c>
      <c r="S372" s="18">
        <f>IF(R372&lt;4,Q372-1,Q372)</f>
        <v>2023</v>
      </c>
      <c r="T372" s="18">
        <f>IF(R372&lt;4,R372+9,R372-3)</f>
        <v>12</v>
      </c>
      <c r="U372" s="18">
        <f>IF(LEN(T372)=1,_xlfn.CONCAT(0,T372),T372)</f>
        <v>12</v>
      </c>
      <c r="V372" s="18" t="str">
        <f>_xlfn.CONCAT(S372,U372)</f>
        <v>202312</v>
      </c>
      <c r="W372" s="18" t="str">
        <f>_xlfn.CONCAT(TEXT(A372,"MMM"),"-",MID(Q372,3,2))</f>
        <v>Mar-24</v>
      </c>
      <c r="X372" s="19">
        <f>IFERROR(IF(D372="Sell",(H372-P372),-(H372+P372)),0)</f>
        <v>-8974.74</v>
      </c>
      <c r="Y372" s="19">
        <f>X372/1000</f>
        <v>-8.9747400000000006</v>
      </c>
    </row>
    <row r="373" spans="1:25" x14ac:dyDescent="0.25">
      <c r="A373" s="1">
        <v>45356</v>
      </c>
      <c r="B373" t="s">
        <v>474</v>
      </c>
      <c r="C373" t="s">
        <v>17</v>
      </c>
      <c r="D373" t="s">
        <v>18</v>
      </c>
      <c r="E373">
        <v>105</v>
      </c>
      <c r="F373">
        <v>0</v>
      </c>
      <c r="G373">
        <v>252.3</v>
      </c>
      <c r="H373">
        <v>26491.5</v>
      </c>
      <c r="I373" t="s">
        <v>475</v>
      </c>
      <c r="J373">
        <v>16.559999999999999</v>
      </c>
      <c r="K373">
        <v>13.38</v>
      </c>
      <c r="L373">
        <v>0</v>
      </c>
      <c r="M373">
        <v>0.03</v>
      </c>
      <c r="N373">
        <v>140</v>
      </c>
      <c r="O373">
        <v>27.62</v>
      </c>
      <c r="P373">
        <v>197.59</v>
      </c>
      <c r="Q373" s="18">
        <f>YEAR(A373)</f>
        <v>2024</v>
      </c>
      <c r="R373" s="18">
        <f>MONTH(A373)</f>
        <v>3</v>
      </c>
      <c r="S373" s="18">
        <f>IF(R373&lt;4,Q373-1,Q373)</f>
        <v>2023</v>
      </c>
      <c r="T373" s="18">
        <f>IF(R373&lt;4,R373+9,R373-3)</f>
        <v>12</v>
      </c>
      <c r="U373" s="18">
        <f>IF(LEN(T373)=1,_xlfn.CONCAT(0,T373),T373)</f>
        <v>12</v>
      </c>
      <c r="V373" s="18" t="str">
        <f>_xlfn.CONCAT(S373,U373)</f>
        <v>202312</v>
      </c>
      <c r="W373" s="18" t="str">
        <f>_xlfn.CONCAT(TEXT(A373,"MMM"),"-",MID(Q373,3,2))</f>
        <v>Mar-24</v>
      </c>
      <c r="X373" s="19">
        <f>IFERROR(IF(D373="Sell",(H373-P373),-(H373+P373)),0)</f>
        <v>26293.91</v>
      </c>
      <c r="Y373" s="19">
        <f>X373/1000</f>
        <v>26.29391</v>
      </c>
    </row>
    <row r="374" spans="1:25" x14ac:dyDescent="0.25">
      <c r="A374" s="1">
        <v>45356</v>
      </c>
      <c r="B374" t="s">
        <v>474</v>
      </c>
      <c r="C374" t="s">
        <v>17</v>
      </c>
      <c r="D374" t="s">
        <v>22</v>
      </c>
      <c r="E374">
        <v>105</v>
      </c>
      <c r="F374">
        <v>0</v>
      </c>
      <c r="G374">
        <v>239.85</v>
      </c>
      <c r="H374">
        <v>25184.25</v>
      </c>
      <c r="I374" t="s">
        <v>476</v>
      </c>
      <c r="J374">
        <v>0</v>
      </c>
      <c r="K374">
        <v>12.72</v>
      </c>
      <c r="L374">
        <v>0</v>
      </c>
      <c r="M374">
        <v>0.02</v>
      </c>
      <c r="N374">
        <v>140</v>
      </c>
      <c r="O374">
        <v>27.5</v>
      </c>
      <c r="P374">
        <v>180.24</v>
      </c>
      <c r="Q374" s="18">
        <f>YEAR(A374)</f>
        <v>2024</v>
      </c>
      <c r="R374" s="18">
        <f>MONTH(A374)</f>
        <v>3</v>
      </c>
      <c r="S374" s="18">
        <f>IF(R374&lt;4,Q374-1,Q374)</f>
        <v>2023</v>
      </c>
      <c r="T374" s="18">
        <f>IF(R374&lt;4,R374+9,R374-3)</f>
        <v>12</v>
      </c>
      <c r="U374" s="18">
        <f>IF(LEN(T374)=1,_xlfn.CONCAT(0,T374),T374)</f>
        <v>12</v>
      </c>
      <c r="V374" s="18" t="str">
        <f>_xlfn.CONCAT(S374,U374)</f>
        <v>202312</v>
      </c>
      <c r="W374" s="18" t="str">
        <f>_xlfn.CONCAT(TEXT(A374,"MMM"),"-",MID(Q374,3,2))</f>
        <v>Mar-24</v>
      </c>
      <c r="X374" s="19">
        <f>IFERROR(IF(D374="Sell",(H374-P374),-(H374+P374)),0)</f>
        <v>-25364.49</v>
      </c>
      <c r="Y374" s="19">
        <f>X374/1000</f>
        <v>-25.36449</v>
      </c>
    </row>
    <row r="375" spans="1:25" x14ac:dyDescent="0.25">
      <c r="A375" s="1">
        <v>45356</v>
      </c>
      <c r="B375" t="s">
        <v>474</v>
      </c>
      <c r="C375" t="s">
        <v>17</v>
      </c>
      <c r="D375" t="s">
        <v>18</v>
      </c>
      <c r="E375">
        <v>105</v>
      </c>
      <c r="F375">
        <v>0</v>
      </c>
      <c r="G375">
        <v>211</v>
      </c>
      <c r="H375">
        <v>22155</v>
      </c>
      <c r="I375" t="s">
        <v>477</v>
      </c>
      <c r="J375">
        <v>13.85</v>
      </c>
      <c r="K375">
        <v>11.19</v>
      </c>
      <c r="L375">
        <v>0</v>
      </c>
      <c r="M375">
        <v>0.03</v>
      </c>
      <c r="N375">
        <v>140</v>
      </c>
      <c r="O375">
        <v>27.22</v>
      </c>
      <c r="P375">
        <v>192.29</v>
      </c>
      <c r="Q375" s="18">
        <f>YEAR(A375)</f>
        <v>2024</v>
      </c>
      <c r="R375" s="18">
        <f>MONTH(A375)</f>
        <v>3</v>
      </c>
      <c r="S375" s="18">
        <f>IF(R375&lt;4,Q375-1,Q375)</f>
        <v>2023</v>
      </c>
      <c r="T375" s="18">
        <f>IF(R375&lt;4,R375+9,R375-3)</f>
        <v>12</v>
      </c>
      <c r="U375" s="18">
        <f>IF(LEN(T375)=1,_xlfn.CONCAT(0,T375),T375)</f>
        <v>12</v>
      </c>
      <c r="V375" s="18" t="str">
        <f>_xlfn.CONCAT(S375,U375)</f>
        <v>202312</v>
      </c>
      <c r="W375" s="18" t="str">
        <f>_xlfn.CONCAT(TEXT(A375,"MMM"),"-",MID(Q375,3,2))</f>
        <v>Mar-24</v>
      </c>
      <c r="X375" s="19">
        <f>IFERROR(IF(D375="Sell",(H375-P375),-(H375+P375)),0)</f>
        <v>21962.71</v>
      </c>
      <c r="Y375" s="19">
        <f>X375/1000</f>
        <v>21.962709999999998</v>
      </c>
    </row>
    <row r="376" spans="1:25" x14ac:dyDescent="0.25">
      <c r="A376" s="1">
        <v>45356</v>
      </c>
      <c r="B376" t="s">
        <v>474</v>
      </c>
      <c r="C376" t="s">
        <v>17</v>
      </c>
      <c r="D376" t="s">
        <v>22</v>
      </c>
      <c r="E376">
        <v>105</v>
      </c>
      <c r="F376">
        <v>0</v>
      </c>
      <c r="G376">
        <v>201.35</v>
      </c>
      <c r="H376">
        <v>21141.75</v>
      </c>
      <c r="I376" t="s">
        <v>478</v>
      </c>
      <c r="J376">
        <v>0</v>
      </c>
      <c r="K376">
        <v>10.68</v>
      </c>
      <c r="L376">
        <v>1.98</v>
      </c>
      <c r="M376">
        <v>0.02</v>
      </c>
      <c r="N376">
        <v>140</v>
      </c>
      <c r="O376">
        <v>27.12</v>
      </c>
      <c r="P376">
        <v>179.8</v>
      </c>
      <c r="Q376" s="18">
        <f>YEAR(A376)</f>
        <v>2024</v>
      </c>
      <c r="R376" s="18">
        <f>MONTH(A376)</f>
        <v>3</v>
      </c>
      <c r="S376" s="18">
        <f>IF(R376&lt;4,Q376-1,Q376)</f>
        <v>2023</v>
      </c>
      <c r="T376" s="18">
        <f>IF(R376&lt;4,R376+9,R376-3)</f>
        <v>12</v>
      </c>
      <c r="U376" s="18">
        <f>IF(LEN(T376)=1,_xlfn.CONCAT(0,T376),T376)</f>
        <v>12</v>
      </c>
      <c r="V376" s="18" t="str">
        <f>_xlfn.CONCAT(S376,U376)</f>
        <v>202312</v>
      </c>
      <c r="W376" s="18" t="str">
        <f>_xlfn.CONCAT(TEXT(A376,"MMM"),"-",MID(Q376,3,2))</f>
        <v>Mar-24</v>
      </c>
      <c r="X376" s="19">
        <f>IFERROR(IF(D376="Sell",(H376-P376),-(H376+P376)),0)</f>
        <v>-21321.55</v>
      </c>
      <c r="Y376" s="19">
        <f>X376/1000</f>
        <v>-21.321549999999998</v>
      </c>
    </row>
    <row r="377" spans="1:25" x14ac:dyDescent="0.25">
      <c r="A377" s="1">
        <v>45356</v>
      </c>
      <c r="B377" t="s">
        <v>471</v>
      </c>
      <c r="C377" t="s">
        <v>17</v>
      </c>
      <c r="D377" t="s">
        <v>18</v>
      </c>
      <c r="E377">
        <v>60</v>
      </c>
      <c r="F377">
        <v>0</v>
      </c>
      <c r="G377">
        <v>275</v>
      </c>
      <c r="H377">
        <v>16500</v>
      </c>
      <c r="I377" t="s">
        <v>479</v>
      </c>
      <c r="J377">
        <v>10.31</v>
      </c>
      <c r="K377">
        <v>8.33</v>
      </c>
      <c r="L377">
        <v>0</v>
      </c>
      <c r="M377">
        <v>0.02</v>
      </c>
      <c r="N377">
        <v>80</v>
      </c>
      <c r="O377">
        <v>15.9</v>
      </c>
      <c r="P377">
        <v>114.56</v>
      </c>
      <c r="Q377" s="18">
        <f>YEAR(A377)</f>
        <v>2024</v>
      </c>
      <c r="R377" s="18">
        <f>MONTH(A377)</f>
        <v>3</v>
      </c>
      <c r="S377" s="18">
        <f>IF(R377&lt;4,Q377-1,Q377)</f>
        <v>2023</v>
      </c>
      <c r="T377" s="18">
        <f>IF(R377&lt;4,R377+9,R377-3)</f>
        <v>12</v>
      </c>
      <c r="U377" s="18">
        <f>IF(LEN(T377)=1,_xlfn.CONCAT(0,T377),T377)</f>
        <v>12</v>
      </c>
      <c r="V377" s="18" t="str">
        <f>_xlfn.CONCAT(S377,U377)</f>
        <v>202312</v>
      </c>
      <c r="W377" s="18" t="str">
        <f>_xlfn.CONCAT(TEXT(A377,"MMM"),"-",MID(Q377,3,2))</f>
        <v>Mar-24</v>
      </c>
      <c r="X377" s="19">
        <f>IFERROR(IF(D377="Sell",(H377-P377),-(H377+P377)),0)</f>
        <v>16385.439999999999</v>
      </c>
      <c r="Y377" s="19">
        <f>X377/1000</f>
        <v>16.385439999999999</v>
      </c>
    </row>
    <row r="378" spans="1:25" x14ac:dyDescent="0.25">
      <c r="A378" s="1">
        <v>45356</v>
      </c>
      <c r="B378" t="s">
        <v>471</v>
      </c>
      <c r="C378" t="s">
        <v>17</v>
      </c>
      <c r="D378" t="s">
        <v>18</v>
      </c>
      <c r="E378">
        <v>45</v>
      </c>
      <c r="F378">
        <v>0</v>
      </c>
      <c r="G378">
        <v>255.75</v>
      </c>
      <c r="H378">
        <v>11508.75</v>
      </c>
      <c r="I378" t="s">
        <v>480</v>
      </c>
      <c r="J378">
        <v>7.19</v>
      </c>
      <c r="K378">
        <v>5.81</v>
      </c>
      <c r="L378">
        <v>0</v>
      </c>
      <c r="M378">
        <v>0.01</v>
      </c>
      <c r="N378">
        <v>60</v>
      </c>
      <c r="O378">
        <v>11.84</v>
      </c>
      <c r="P378">
        <v>84.85</v>
      </c>
      <c r="Q378" s="18">
        <f>YEAR(A378)</f>
        <v>2024</v>
      </c>
      <c r="R378" s="18">
        <f>MONTH(A378)</f>
        <v>3</v>
      </c>
      <c r="S378" s="18">
        <f>IF(R378&lt;4,Q378-1,Q378)</f>
        <v>2023</v>
      </c>
      <c r="T378" s="18">
        <f>IF(R378&lt;4,R378+9,R378-3)</f>
        <v>12</v>
      </c>
      <c r="U378" s="18">
        <f>IF(LEN(T378)=1,_xlfn.CONCAT(0,T378),T378)</f>
        <v>12</v>
      </c>
      <c r="V378" s="18" t="str">
        <f>_xlfn.CONCAT(S378,U378)</f>
        <v>202312</v>
      </c>
      <c r="W378" s="18" t="str">
        <f>_xlfn.CONCAT(TEXT(A378,"MMM"),"-",MID(Q378,3,2))</f>
        <v>Mar-24</v>
      </c>
      <c r="X378" s="19">
        <f>IFERROR(IF(D378="Sell",(H378-P378),-(H378+P378)),0)</f>
        <v>11423.9</v>
      </c>
      <c r="Y378" s="19">
        <f>X378/1000</f>
        <v>11.4239</v>
      </c>
    </row>
    <row r="379" spans="1:25" x14ac:dyDescent="0.25">
      <c r="A379" s="1">
        <v>45356</v>
      </c>
      <c r="B379" t="s">
        <v>471</v>
      </c>
      <c r="C379" t="s">
        <v>17</v>
      </c>
      <c r="D379" t="s">
        <v>22</v>
      </c>
      <c r="E379">
        <v>105</v>
      </c>
      <c r="F379">
        <v>0</v>
      </c>
      <c r="G379">
        <v>239.8</v>
      </c>
      <c r="H379">
        <v>25179</v>
      </c>
      <c r="I379" t="s">
        <v>481</v>
      </c>
      <c r="J379">
        <v>0</v>
      </c>
      <c r="K379">
        <v>12.72</v>
      </c>
      <c r="L379">
        <v>1.02</v>
      </c>
      <c r="M379">
        <v>0.03</v>
      </c>
      <c r="N379">
        <v>140</v>
      </c>
      <c r="O379">
        <v>27.5</v>
      </c>
      <c r="P379">
        <v>181.27</v>
      </c>
      <c r="Q379" s="18">
        <f>YEAR(A379)</f>
        <v>2024</v>
      </c>
      <c r="R379" s="18">
        <f>MONTH(A379)</f>
        <v>3</v>
      </c>
      <c r="S379" s="18">
        <f>IF(R379&lt;4,Q379-1,Q379)</f>
        <v>2023</v>
      </c>
      <c r="T379" s="18">
        <f>IF(R379&lt;4,R379+9,R379-3)</f>
        <v>12</v>
      </c>
      <c r="U379" s="18">
        <f>IF(LEN(T379)=1,_xlfn.CONCAT(0,T379),T379)</f>
        <v>12</v>
      </c>
      <c r="V379" s="18" t="str">
        <f>_xlfn.CONCAT(S379,U379)</f>
        <v>202312</v>
      </c>
      <c r="W379" s="18" t="str">
        <f>_xlfn.CONCAT(TEXT(A379,"MMM"),"-",MID(Q379,3,2))</f>
        <v>Mar-24</v>
      </c>
      <c r="X379" s="19">
        <f>IFERROR(IF(D379="Sell",(H379-P379),-(H379+P379)),0)</f>
        <v>-25360.27</v>
      </c>
      <c r="Y379" s="19">
        <f>X379/1000</f>
        <v>-25.36027</v>
      </c>
    </row>
    <row r="380" spans="1:25" x14ac:dyDescent="0.25">
      <c r="A380" s="1">
        <v>45356</v>
      </c>
      <c r="B380" t="s">
        <v>474</v>
      </c>
      <c r="C380" t="s">
        <v>17</v>
      </c>
      <c r="D380" t="s">
        <v>18</v>
      </c>
      <c r="E380">
        <v>105</v>
      </c>
      <c r="F380">
        <v>0</v>
      </c>
      <c r="G380">
        <v>215.17</v>
      </c>
      <c r="H380">
        <v>22593</v>
      </c>
      <c r="I380" t="s">
        <v>482</v>
      </c>
      <c r="J380">
        <v>13.86</v>
      </c>
      <c r="K380">
        <v>11.41</v>
      </c>
      <c r="L380">
        <v>0</v>
      </c>
      <c r="M380">
        <v>0.02</v>
      </c>
      <c r="N380">
        <v>140</v>
      </c>
      <c r="O380">
        <v>27.26</v>
      </c>
      <c r="P380">
        <v>192.55</v>
      </c>
      <c r="Q380" s="18">
        <f>YEAR(A380)</f>
        <v>2024</v>
      </c>
      <c r="R380" s="18">
        <f>MONTH(A380)</f>
        <v>3</v>
      </c>
      <c r="S380" s="18">
        <f>IF(R380&lt;4,Q380-1,Q380)</f>
        <v>2023</v>
      </c>
      <c r="T380" s="18">
        <f>IF(R380&lt;4,R380+9,R380-3)</f>
        <v>12</v>
      </c>
      <c r="U380" s="18">
        <f>IF(LEN(T380)=1,_xlfn.CONCAT(0,T380),T380)</f>
        <v>12</v>
      </c>
      <c r="V380" s="18" t="str">
        <f>_xlfn.CONCAT(S380,U380)</f>
        <v>202312</v>
      </c>
      <c r="W380" s="18" t="str">
        <f>_xlfn.CONCAT(TEXT(A380,"MMM"),"-",MID(Q380,3,2))</f>
        <v>Mar-24</v>
      </c>
      <c r="X380" s="19">
        <f>IFERROR(IF(D380="Sell",(H380-P380),-(H380+P380)),0)</f>
        <v>22400.45</v>
      </c>
      <c r="Y380" s="19">
        <f>X380/1000</f>
        <v>22.400449999999999</v>
      </c>
    </row>
    <row r="381" spans="1:25" x14ac:dyDescent="0.25">
      <c r="A381" s="1">
        <v>45356</v>
      </c>
      <c r="B381" t="s">
        <v>474</v>
      </c>
      <c r="C381" t="s">
        <v>17</v>
      </c>
      <c r="D381" t="s">
        <v>22</v>
      </c>
      <c r="E381">
        <v>105</v>
      </c>
      <c r="F381">
        <v>0</v>
      </c>
      <c r="G381">
        <v>252.3</v>
      </c>
      <c r="H381">
        <v>26491.5</v>
      </c>
      <c r="I381" t="s">
        <v>483</v>
      </c>
      <c r="J381">
        <v>0</v>
      </c>
      <c r="K381">
        <v>13.37</v>
      </c>
      <c r="L381">
        <v>0</v>
      </c>
      <c r="M381">
        <v>0.03</v>
      </c>
      <c r="N381">
        <v>140</v>
      </c>
      <c r="O381">
        <v>27.6</v>
      </c>
      <c r="P381">
        <v>181</v>
      </c>
      <c r="Q381" s="18">
        <f>YEAR(A381)</f>
        <v>2024</v>
      </c>
      <c r="R381" s="18">
        <f>MONTH(A381)</f>
        <v>3</v>
      </c>
      <c r="S381" s="18">
        <f>IF(R381&lt;4,Q381-1,Q381)</f>
        <v>2023</v>
      </c>
      <c r="T381" s="18">
        <f>IF(R381&lt;4,R381+9,R381-3)</f>
        <v>12</v>
      </c>
      <c r="U381" s="18">
        <f>IF(LEN(T381)=1,_xlfn.CONCAT(0,T381),T381)</f>
        <v>12</v>
      </c>
      <c r="V381" s="18" t="str">
        <f>_xlfn.CONCAT(S381,U381)</f>
        <v>202312</v>
      </c>
      <c r="W381" s="18" t="str">
        <f>_xlfn.CONCAT(TEXT(A381,"MMM"),"-",MID(Q381,3,2))</f>
        <v>Mar-24</v>
      </c>
      <c r="X381" s="19">
        <f>IFERROR(IF(D381="Sell",(H381-P381),-(H381+P381)),0)</f>
        <v>-26672.5</v>
      </c>
      <c r="Y381" s="19">
        <f>X381/1000</f>
        <v>-26.672499999999999</v>
      </c>
    </row>
    <row r="382" spans="1:25" x14ac:dyDescent="0.25">
      <c r="A382" s="1">
        <v>45357</v>
      </c>
      <c r="B382" t="s">
        <v>463</v>
      </c>
      <c r="C382" t="s">
        <v>17</v>
      </c>
      <c r="D382" t="s">
        <v>18</v>
      </c>
      <c r="E382">
        <v>525</v>
      </c>
      <c r="F382">
        <v>0</v>
      </c>
      <c r="G382">
        <v>23.65</v>
      </c>
      <c r="H382">
        <v>12416.25</v>
      </c>
      <c r="I382" t="s">
        <v>464</v>
      </c>
      <c r="J382">
        <v>7.76</v>
      </c>
      <c r="K382">
        <v>6.27</v>
      </c>
      <c r="L382">
        <v>0</v>
      </c>
      <c r="M382">
        <v>0.01</v>
      </c>
      <c r="N382">
        <v>700</v>
      </c>
      <c r="O382">
        <v>127.12</v>
      </c>
      <c r="P382">
        <v>841.16</v>
      </c>
      <c r="Q382" s="18">
        <f>YEAR(A382)</f>
        <v>2024</v>
      </c>
      <c r="R382" s="18">
        <f>MONTH(A382)</f>
        <v>3</v>
      </c>
      <c r="S382" s="18">
        <f>IF(R382&lt;4,Q382-1,Q382)</f>
        <v>2023</v>
      </c>
      <c r="T382" s="18">
        <f>IF(R382&lt;4,R382+9,R382-3)</f>
        <v>12</v>
      </c>
      <c r="U382" s="18">
        <f>IF(LEN(T382)=1,_xlfn.CONCAT(0,T382),T382)</f>
        <v>12</v>
      </c>
      <c r="V382" s="18" t="str">
        <f>_xlfn.CONCAT(S382,U382)</f>
        <v>202312</v>
      </c>
      <c r="W382" s="18" t="str">
        <f>_xlfn.CONCAT(TEXT(A382,"MMM"),"-",MID(Q382,3,2))</f>
        <v>Mar-24</v>
      </c>
      <c r="X382" s="19">
        <f>IFERROR(IF(D382="Sell",(H382-P382),-(H382+P382)),0)</f>
        <v>11575.09</v>
      </c>
      <c r="Y382" s="19">
        <f>X382/1000</f>
        <v>11.575089999999999</v>
      </c>
    </row>
    <row r="383" spans="1:25" x14ac:dyDescent="0.25">
      <c r="A383" s="1">
        <v>45357</v>
      </c>
      <c r="B383" t="s">
        <v>463</v>
      </c>
      <c r="C383" t="s">
        <v>17</v>
      </c>
      <c r="D383" t="s">
        <v>22</v>
      </c>
      <c r="E383">
        <v>525</v>
      </c>
      <c r="F383">
        <v>0</v>
      </c>
      <c r="G383">
        <v>52</v>
      </c>
      <c r="H383">
        <v>27300</v>
      </c>
      <c r="I383" t="s">
        <v>465</v>
      </c>
      <c r="J383">
        <v>0</v>
      </c>
      <c r="K383">
        <v>13.79</v>
      </c>
      <c r="L383">
        <v>0.82</v>
      </c>
      <c r="M383">
        <v>0.03</v>
      </c>
      <c r="N383">
        <v>700</v>
      </c>
      <c r="O383">
        <v>128.47999999999999</v>
      </c>
      <c r="P383">
        <v>843.12</v>
      </c>
      <c r="Q383" s="18">
        <f>YEAR(A383)</f>
        <v>2024</v>
      </c>
      <c r="R383" s="18">
        <f>MONTH(A383)</f>
        <v>3</v>
      </c>
      <c r="S383" s="18">
        <f>IF(R383&lt;4,Q383-1,Q383)</f>
        <v>2023</v>
      </c>
      <c r="T383" s="18">
        <f>IF(R383&lt;4,R383+9,R383-3)</f>
        <v>12</v>
      </c>
      <c r="U383" s="18">
        <f>IF(LEN(T383)=1,_xlfn.CONCAT(0,T383),T383)</f>
        <v>12</v>
      </c>
      <c r="V383" s="18" t="str">
        <f>_xlfn.CONCAT(S383,U383)</f>
        <v>202312</v>
      </c>
      <c r="W383" s="18" t="str">
        <f>_xlfn.CONCAT(TEXT(A383,"MMM"),"-",MID(Q383,3,2))</f>
        <v>Mar-24</v>
      </c>
      <c r="X383" s="19">
        <f>IFERROR(IF(D383="Sell",(H383-P383),-(H383+P383)),0)</f>
        <v>-28143.119999999999</v>
      </c>
      <c r="Y383" s="19">
        <f>X383/1000</f>
        <v>-28.14312</v>
      </c>
    </row>
    <row r="384" spans="1:25" x14ac:dyDescent="0.25">
      <c r="A384" s="1">
        <v>45357</v>
      </c>
      <c r="B384" t="s">
        <v>466</v>
      </c>
      <c r="C384" t="s">
        <v>17</v>
      </c>
      <c r="D384" t="s">
        <v>18</v>
      </c>
      <c r="E384">
        <v>510</v>
      </c>
      <c r="F384">
        <v>0</v>
      </c>
      <c r="G384">
        <v>24.66</v>
      </c>
      <c r="H384">
        <v>12576</v>
      </c>
      <c r="I384" t="s">
        <v>467</v>
      </c>
      <c r="J384">
        <v>7.79</v>
      </c>
      <c r="K384">
        <v>6.36</v>
      </c>
      <c r="L384">
        <v>0</v>
      </c>
      <c r="M384">
        <v>0</v>
      </c>
      <c r="N384">
        <v>680</v>
      </c>
      <c r="O384">
        <v>123.54</v>
      </c>
      <c r="P384">
        <v>817.69</v>
      </c>
      <c r="Q384" s="18">
        <f>YEAR(A384)</f>
        <v>2024</v>
      </c>
      <c r="R384" s="18">
        <f>MONTH(A384)</f>
        <v>3</v>
      </c>
      <c r="S384" s="18">
        <f>IF(R384&lt;4,Q384-1,Q384)</f>
        <v>2023</v>
      </c>
      <c r="T384" s="18">
        <f>IF(R384&lt;4,R384+9,R384-3)</f>
        <v>12</v>
      </c>
      <c r="U384" s="18">
        <f>IF(LEN(T384)=1,_xlfn.CONCAT(0,T384),T384)</f>
        <v>12</v>
      </c>
      <c r="V384" s="18" t="str">
        <f>_xlfn.CONCAT(S384,U384)</f>
        <v>202312</v>
      </c>
      <c r="W384" s="18" t="str">
        <f>_xlfn.CONCAT(TEXT(A384,"MMM"),"-",MID(Q384,3,2))</f>
        <v>Mar-24</v>
      </c>
      <c r="X384" s="19">
        <f>IFERROR(IF(D384="Sell",(H384-P384),-(H384+P384)),0)</f>
        <v>11758.31</v>
      </c>
      <c r="Y384" s="19">
        <f>X384/1000</f>
        <v>11.75831</v>
      </c>
    </row>
    <row r="385" spans="1:25" x14ac:dyDescent="0.25">
      <c r="A385" s="1">
        <v>45357</v>
      </c>
      <c r="B385" t="s">
        <v>466</v>
      </c>
      <c r="C385" t="s">
        <v>17</v>
      </c>
      <c r="D385" t="s">
        <v>22</v>
      </c>
      <c r="E385">
        <v>510</v>
      </c>
      <c r="F385">
        <v>0</v>
      </c>
      <c r="G385">
        <v>41</v>
      </c>
      <c r="H385">
        <v>20910</v>
      </c>
      <c r="I385" t="s">
        <v>468</v>
      </c>
      <c r="J385">
        <v>0</v>
      </c>
      <c r="K385">
        <v>10.56</v>
      </c>
      <c r="L385">
        <v>1.18</v>
      </c>
      <c r="M385">
        <v>0.02</v>
      </c>
      <c r="N385">
        <v>680</v>
      </c>
      <c r="O385">
        <v>124.3</v>
      </c>
      <c r="P385">
        <v>816.06</v>
      </c>
      <c r="Q385" s="18">
        <f>YEAR(A385)</f>
        <v>2024</v>
      </c>
      <c r="R385" s="18">
        <f>MONTH(A385)</f>
        <v>3</v>
      </c>
      <c r="S385" s="18">
        <f>IF(R385&lt;4,Q385-1,Q385)</f>
        <v>2023</v>
      </c>
      <c r="T385" s="18">
        <f>IF(R385&lt;4,R385+9,R385-3)</f>
        <v>12</v>
      </c>
      <c r="U385" s="18">
        <f>IF(LEN(T385)=1,_xlfn.CONCAT(0,T385),T385)</f>
        <v>12</v>
      </c>
      <c r="V385" s="18" t="str">
        <f>_xlfn.CONCAT(S385,U385)</f>
        <v>202312</v>
      </c>
      <c r="W385" s="18" t="str">
        <f>_xlfn.CONCAT(TEXT(A385,"MMM"),"-",MID(Q385,3,2))</f>
        <v>Mar-24</v>
      </c>
      <c r="X385" s="19">
        <f>IFERROR(IF(D385="Sell",(H385-P385),-(H385+P385)),0)</f>
        <v>-21726.06</v>
      </c>
      <c r="Y385" s="19">
        <f>X385/1000</f>
        <v>-21.72606</v>
      </c>
    </row>
    <row r="386" spans="1:25" x14ac:dyDescent="0.25">
      <c r="A386" s="1">
        <v>45357</v>
      </c>
      <c r="B386" t="s">
        <v>466</v>
      </c>
      <c r="C386" t="s">
        <v>17</v>
      </c>
      <c r="D386" t="s">
        <v>18</v>
      </c>
      <c r="E386">
        <v>105</v>
      </c>
      <c r="F386">
        <v>0</v>
      </c>
      <c r="G386">
        <v>37.4</v>
      </c>
      <c r="H386">
        <v>3927</v>
      </c>
      <c r="I386" t="s">
        <v>469</v>
      </c>
      <c r="J386">
        <v>2.4500000000000002</v>
      </c>
      <c r="K386">
        <v>1.98</v>
      </c>
      <c r="L386">
        <v>0</v>
      </c>
      <c r="M386">
        <v>0</v>
      </c>
      <c r="N386">
        <v>140</v>
      </c>
      <c r="O386">
        <v>25.56</v>
      </c>
      <c r="P386">
        <v>169.99</v>
      </c>
      <c r="Q386" s="18">
        <f>YEAR(A386)</f>
        <v>2024</v>
      </c>
      <c r="R386" s="18">
        <f>MONTH(A386)</f>
        <v>3</v>
      </c>
      <c r="S386" s="18">
        <f>IF(R386&lt;4,Q386-1,Q386)</f>
        <v>2023</v>
      </c>
      <c r="T386" s="18">
        <f>IF(R386&lt;4,R386+9,R386-3)</f>
        <v>12</v>
      </c>
      <c r="U386" s="18">
        <f>IF(LEN(T386)=1,_xlfn.CONCAT(0,T386),T386)</f>
        <v>12</v>
      </c>
      <c r="V386" s="18" t="str">
        <f>_xlfn.CONCAT(S386,U386)</f>
        <v>202312</v>
      </c>
      <c r="W386" s="18" t="str">
        <f>_xlfn.CONCAT(TEXT(A386,"MMM"),"-",MID(Q386,3,2))</f>
        <v>Mar-24</v>
      </c>
      <c r="X386" s="19">
        <f>IFERROR(IF(D386="Sell",(H386-P386),-(H386+P386)),0)</f>
        <v>3757.01</v>
      </c>
      <c r="Y386" s="19">
        <f>X386/1000</f>
        <v>3.7570100000000002</v>
      </c>
    </row>
    <row r="387" spans="1:25" x14ac:dyDescent="0.25">
      <c r="A387" s="1">
        <v>45357</v>
      </c>
      <c r="B387" t="s">
        <v>466</v>
      </c>
      <c r="C387" t="s">
        <v>17</v>
      </c>
      <c r="D387" t="s">
        <v>22</v>
      </c>
      <c r="E387">
        <v>105</v>
      </c>
      <c r="F387">
        <v>0</v>
      </c>
      <c r="G387">
        <v>134.69999999999999</v>
      </c>
      <c r="H387">
        <v>14143.5</v>
      </c>
      <c r="I387" t="s">
        <v>470</v>
      </c>
      <c r="J387">
        <v>0</v>
      </c>
      <c r="K387">
        <v>7.14</v>
      </c>
      <c r="L387">
        <v>0</v>
      </c>
      <c r="M387">
        <v>0.01</v>
      </c>
      <c r="N387">
        <v>140</v>
      </c>
      <c r="O387">
        <v>26.48</v>
      </c>
      <c r="P387">
        <v>173.63</v>
      </c>
      <c r="Q387" s="18">
        <f>YEAR(A387)</f>
        <v>2024</v>
      </c>
      <c r="R387" s="18">
        <f>MONTH(A387)</f>
        <v>3</v>
      </c>
      <c r="S387" s="18">
        <f>IF(R387&lt;4,Q387-1,Q387)</f>
        <v>2023</v>
      </c>
      <c r="T387" s="18">
        <f>IF(R387&lt;4,R387+9,R387-3)</f>
        <v>12</v>
      </c>
      <c r="U387" s="18">
        <f>IF(LEN(T387)=1,_xlfn.CONCAT(0,T387),T387)</f>
        <v>12</v>
      </c>
      <c r="V387" s="18" t="str">
        <f>_xlfn.CONCAT(S387,U387)</f>
        <v>202312</v>
      </c>
      <c r="W387" s="18" t="str">
        <f>_xlfn.CONCAT(TEXT(A387,"MMM"),"-",MID(Q387,3,2))</f>
        <v>Mar-24</v>
      </c>
      <c r="X387" s="19">
        <f>IFERROR(IF(D387="Sell",(H387-P387),-(H387+P387)),0)</f>
        <v>-14317.13</v>
      </c>
      <c r="Y387" s="19">
        <f>X387/1000</f>
        <v>-14.317129999999999</v>
      </c>
    </row>
    <row r="388" spans="1:25" x14ac:dyDescent="0.25">
      <c r="A388" s="1">
        <v>45358</v>
      </c>
      <c r="B388" t="s">
        <v>443</v>
      </c>
      <c r="C388" t="s">
        <v>17</v>
      </c>
      <c r="D388" t="s">
        <v>22</v>
      </c>
      <c r="E388">
        <v>75</v>
      </c>
      <c r="F388">
        <v>0</v>
      </c>
      <c r="G388">
        <v>346.55</v>
      </c>
      <c r="H388">
        <v>25991.25</v>
      </c>
      <c r="I388" t="s">
        <v>453</v>
      </c>
      <c r="J388">
        <v>0</v>
      </c>
      <c r="K388">
        <v>13.13</v>
      </c>
      <c r="L388">
        <v>0.78</v>
      </c>
      <c r="M388">
        <v>0.03</v>
      </c>
      <c r="N388">
        <v>100</v>
      </c>
      <c r="O388">
        <v>20.36</v>
      </c>
      <c r="P388">
        <v>134.30000000000001</v>
      </c>
      <c r="Q388" s="18">
        <f>YEAR(A388)</f>
        <v>2024</v>
      </c>
      <c r="R388" s="18">
        <f>MONTH(A388)</f>
        <v>3</v>
      </c>
      <c r="S388" s="18">
        <f>IF(R388&lt;4,Q388-1,Q388)</f>
        <v>2023</v>
      </c>
      <c r="T388" s="18">
        <f>IF(R388&lt;4,R388+9,R388-3)</f>
        <v>12</v>
      </c>
      <c r="U388" s="18">
        <f>IF(LEN(T388)=1,_xlfn.CONCAT(0,T388),T388)</f>
        <v>12</v>
      </c>
      <c r="V388" s="18" t="str">
        <f>_xlfn.CONCAT(S388,U388)</f>
        <v>202312</v>
      </c>
      <c r="W388" s="18" t="str">
        <f>_xlfn.CONCAT(TEXT(A388,"MMM"),"-",MID(Q388,3,2))</f>
        <v>Mar-24</v>
      </c>
      <c r="X388" s="19">
        <f>IFERROR(IF(D388="Sell",(H388-P388),-(H388+P388)),0)</f>
        <v>-26125.55</v>
      </c>
      <c r="Y388" s="19">
        <f>X388/1000</f>
        <v>-26.12555</v>
      </c>
    </row>
    <row r="389" spans="1:25" x14ac:dyDescent="0.25">
      <c r="A389" s="1">
        <v>45358</v>
      </c>
      <c r="B389" t="s">
        <v>454</v>
      </c>
      <c r="C389" t="s">
        <v>17</v>
      </c>
      <c r="D389" t="s">
        <v>18</v>
      </c>
      <c r="E389">
        <v>105</v>
      </c>
      <c r="F389">
        <v>0</v>
      </c>
      <c r="G389">
        <v>365.95</v>
      </c>
      <c r="H389">
        <v>38424.75</v>
      </c>
      <c r="I389" t="s">
        <v>455</v>
      </c>
      <c r="J389">
        <v>24.02</v>
      </c>
      <c r="K389">
        <v>19.399999999999999</v>
      </c>
      <c r="L389">
        <v>0</v>
      </c>
      <c r="M389">
        <v>0.04</v>
      </c>
      <c r="N389">
        <v>140</v>
      </c>
      <c r="O389">
        <v>28.7</v>
      </c>
      <c r="P389">
        <v>212.16</v>
      </c>
      <c r="Q389" s="18">
        <f>YEAR(A389)</f>
        <v>2024</v>
      </c>
      <c r="R389" s="18">
        <f>MONTH(A389)</f>
        <v>3</v>
      </c>
      <c r="S389" s="18">
        <f>IF(R389&lt;4,Q389-1,Q389)</f>
        <v>2023</v>
      </c>
      <c r="T389" s="18">
        <f>IF(R389&lt;4,R389+9,R389-3)</f>
        <v>12</v>
      </c>
      <c r="U389" s="18">
        <f>IF(LEN(T389)=1,_xlfn.CONCAT(0,T389),T389)</f>
        <v>12</v>
      </c>
      <c r="V389" s="18" t="str">
        <f>_xlfn.CONCAT(S389,U389)</f>
        <v>202312</v>
      </c>
      <c r="W389" s="18" t="str">
        <f>_xlfn.CONCAT(TEXT(A389,"MMM"),"-",MID(Q389,3,2))</f>
        <v>Mar-24</v>
      </c>
      <c r="X389" s="19">
        <f>IFERROR(IF(D389="Sell",(H389-P389),-(H389+P389)),0)</f>
        <v>38212.589999999997</v>
      </c>
      <c r="Y389" s="19">
        <f>X389/1000</f>
        <v>38.212589999999999</v>
      </c>
    </row>
    <row r="390" spans="1:25" x14ac:dyDescent="0.25">
      <c r="A390" s="1">
        <v>45358</v>
      </c>
      <c r="B390" t="s">
        <v>454</v>
      </c>
      <c r="C390" t="s">
        <v>17</v>
      </c>
      <c r="D390" t="s">
        <v>22</v>
      </c>
      <c r="E390">
        <v>105</v>
      </c>
      <c r="F390">
        <v>0</v>
      </c>
      <c r="G390">
        <v>350.4</v>
      </c>
      <c r="H390">
        <v>36792</v>
      </c>
      <c r="I390" t="s">
        <v>456</v>
      </c>
      <c r="J390">
        <v>0</v>
      </c>
      <c r="K390">
        <v>18.579999999999998</v>
      </c>
      <c r="L390">
        <v>1.1000000000000001</v>
      </c>
      <c r="M390">
        <v>0.04</v>
      </c>
      <c r="N390">
        <v>140</v>
      </c>
      <c r="O390">
        <v>28.56</v>
      </c>
      <c r="P390">
        <v>188.28</v>
      </c>
      <c r="Q390" s="18">
        <f>YEAR(A390)</f>
        <v>2024</v>
      </c>
      <c r="R390" s="18">
        <f>MONTH(A390)</f>
        <v>3</v>
      </c>
      <c r="S390" s="18">
        <f>IF(R390&lt;4,Q390-1,Q390)</f>
        <v>2023</v>
      </c>
      <c r="T390" s="18">
        <f>IF(R390&lt;4,R390+9,R390-3)</f>
        <v>12</v>
      </c>
      <c r="U390" s="18">
        <f>IF(LEN(T390)=1,_xlfn.CONCAT(0,T390),T390)</f>
        <v>12</v>
      </c>
      <c r="V390" s="18" t="str">
        <f>_xlfn.CONCAT(S390,U390)</f>
        <v>202312</v>
      </c>
      <c r="W390" s="18" t="str">
        <f>_xlfn.CONCAT(TEXT(A390,"MMM"),"-",MID(Q390,3,2))</f>
        <v>Mar-24</v>
      </c>
      <c r="X390" s="19">
        <f>IFERROR(IF(D390="Sell",(H390-P390),-(H390+P390)),0)</f>
        <v>-36980.28</v>
      </c>
      <c r="Y390" s="19">
        <f>X390/1000</f>
        <v>-36.98028</v>
      </c>
    </row>
    <row r="391" spans="1:25" x14ac:dyDescent="0.25">
      <c r="A391" s="1">
        <v>45358</v>
      </c>
      <c r="B391" t="s">
        <v>457</v>
      </c>
      <c r="C391" t="s">
        <v>17</v>
      </c>
      <c r="D391" t="s">
        <v>18</v>
      </c>
      <c r="E391">
        <v>105</v>
      </c>
      <c r="F391">
        <v>0</v>
      </c>
      <c r="G391">
        <v>399.45</v>
      </c>
      <c r="H391">
        <v>41942.25</v>
      </c>
      <c r="I391" t="s">
        <v>458</v>
      </c>
      <c r="J391">
        <v>26.3</v>
      </c>
      <c r="K391">
        <v>21.18</v>
      </c>
      <c r="L391">
        <v>0</v>
      </c>
      <c r="M391">
        <v>0.04</v>
      </c>
      <c r="N391">
        <v>140</v>
      </c>
      <c r="O391">
        <v>29.02</v>
      </c>
      <c r="P391">
        <v>216.54</v>
      </c>
      <c r="Q391" s="18">
        <f>YEAR(A391)</f>
        <v>2024</v>
      </c>
      <c r="R391" s="18">
        <f>MONTH(A391)</f>
        <v>3</v>
      </c>
      <c r="S391" s="18">
        <f>IF(R391&lt;4,Q391-1,Q391)</f>
        <v>2023</v>
      </c>
      <c r="T391" s="18">
        <f>IF(R391&lt;4,R391+9,R391-3)</f>
        <v>12</v>
      </c>
      <c r="U391" s="18">
        <f>IF(LEN(T391)=1,_xlfn.CONCAT(0,T391),T391)</f>
        <v>12</v>
      </c>
      <c r="V391" s="18" t="str">
        <f>_xlfn.CONCAT(S391,U391)</f>
        <v>202312</v>
      </c>
      <c r="W391" s="18" t="str">
        <f>_xlfn.CONCAT(TEXT(A391,"MMM"),"-",MID(Q391,3,2))</f>
        <v>Mar-24</v>
      </c>
      <c r="X391" s="19">
        <f>IFERROR(IF(D391="Sell",(H391-P391),-(H391+P391)),0)</f>
        <v>41725.71</v>
      </c>
      <c r="Y391" s="19">
        <f>X391/1000</f>
        <v>41.725709999999999</v>
      </c>
    </row>
    <row r="392" spans="1:25" x14ac:dyDescent="0.25">
      <c r="A392" s="1">
        <v>45358</v>
      </c>
      <c r="B392" t="s">
        <v>457</v>
      </c>
      <c r="C392" t="s">
        <v>17</v>
      </c>
      <c r="D392" t="s">
        <v>22</v>
      </c>
      <c r="E392">
        <v>105</v>
      </c>
      <c r="F392">
        <v>0</v>
      </c>
      <c r="G392">
        <v>390.85</v>
      </c>
      <c r="H392">
        <v>41039.25</v>
      </c>
      <c r="I392" t="s">
        <v>459</v>
      </c>
      <c r="J392">
        <v>0</v>
      </c>
      <c r="K392">
        <v>20.72</v>
      </c>
      <c r="L392">
        <v>1.28</v>
      </c>
      <c r="M392">
        <v>0.04</v>
      </c>
      <c r="N392">
        <v>140</v>
      </c>
      <c r="O392">
        <v>28.94</v>
      </c>
      <c r="P392">
        <v>190.98</v>
      </c>
      <c r="Q392" s="18">
        <f>YEAR(A392)</f>
        <v>2024</v>
      </c>
      <c r="R392" s="18">
        <f>MONTH(A392)</f>
        <v>3</v>
      </c>
      <c r="S392" s="18">
        <f>IF(R392&lt;4,Q392-1,Q392)</f>
        <v>2023</v>
      </c>
      <c r="T392" s="18">
        <f>IF(R392&lt;4,R392+9,R392-3)</f>
        <v>12</v>
      </c>
      <c r="U392" s="18">
        <f>IF(LEN(T392)=1,_xlfn.CONCAT(0,T392),T392)</f>
        <v>12</v>
      </c>
      <c r="V392" s="18" t="str">
        <f>_xlfn.CONCAT(S392,U392)</f>
        <v>202312</v>
      </c>
      <c r="W392" s="18" t="str">
        <f>_xlfn.CONCAT(TEXT(A392,"MMM"),"-",MID(Q392,3,2))</f>
        <v>Mar-24</v>
      </c>
      <c r="X392" s="19">
        <f>IFERROR(IF(D392="Sell",(H392-P392),-(H392+P392)),0)</f>
        <v>-41230.230000000003</v>
      </c>
      <c r="Y392" s="19">
        <f>X392/1000</f>
        <v>-41.230230000000006</v>
      </c>
    </row>
    <row r="393" spans="1:25" x14ac:dyDescent="0.25">
      <c r="A393" s="1">
        <v>45358</v>
      </c>
      <c r="B393" t="s">
        <v>460</v>
      </c>
      <c r="C393" t="s">
        <v>17</v>
      </c>
      <c r="D393" t="s">
        <v>18</v>
      </c>
      <c r="E393">
        <v>900</v>
      </c>
      <c r="F393">
        <v>0</v>
      </c>
      <c r="G393">
        <v>35</v>
      </c>
      <c r="H393">
        <v>31500</v>
      </c>
      <c r="I393" t="s">
        <v>461</v>
      </c>
      <c r="J393">
        <v>19.690000000000001</v>
      </c>
      <c r="K393">
        <v>15.91</v>
      </c>
      <c r="L393">
        <v>0</v>
      </c>
      <c r="M393">
        <v>0.03</v>
      </c>
      <c r="N393">
        <v>360</v>
      </c>
      <c r="O393">
        <v>67.66</v>
      </c>
      <c r="P393">
        <v>463.29</v>
      </c>
      <c r="Q393" s="18">
        <f>YEAR(A393)</f>
        <v>2024</v>
      </c>
      <c r="R393" s="18">
        <f>MONTH(A393)</f>
        <v>3</v>
      </c>
      <c r="S393" s="18">
        <f>IF(R393&lt;4,Q393-1,Q393)</f>
        <v>2023</v>
      </c>
      <c r="T393" s="18">
        <f>IF(R393&lt;4,R393+9,R393-3)</f>
        <v>12</v>
      </c>
      <c r="U393" s="18">
        <f>IF(LEN(T393)=1,_xlfn.CONCAT(0,T393),T393)</f>
        <v>12</v>
      </c>
      <c r="V393" s="18" t="str">
        <f>_xlfn.CONCAT(S393,U393)</f>
        <v>202312</v>
      </c>
      <c r="W393" s="18" t="str">
        <f>_xlfn.CONCAT(TEXT(A393,"MMM"),"-",MID(Q393,3,2))</f>
        <v>Mar-24</v>
      </c>
      <c r="X393" s="19">
        <f>IFERROR(IF(D393="Sell",(H393-P393),-(H393+P393)),0)</f>
        <v>31036.71</v>
      </c>
      <c r="Y393" s="19">
        <f>X393/1000</f>
        <v>31.036709999999999</v>
      </c>
    </row>
    <row r="394" spans="1:25" x14ac:dyDescent="0.25">
      <c r="A394" s="1">
        <v>45358</v>
      </c>
      <c r="B394" t="s">
        <v>460</v>
      </c>
      <c r="C394" t="s">
        <v>17</v>
      </c>
      <c r="D394" t="s">
        <v>22</v>
      </c>
      <c r="E394">
        <v>900</v>
      </c>
      <c r="F394">
        <v>0</v>
      </c>
      <c r="G394">
        <v>31</v>
      </c>
      <c r="H394">
        <v>27900</v>
      </c>
      <c r="I394" t="s">
        <v>462</v>
      </c>
      <c r="J394">
        <v>0</v>
      </c>
      <c r="K394">
        <v>14.09</v>
      </c>
      <c r="L394">
        <v>0.84</v>
      </c>
      <c r="M394">
        <v>0.03</v>
      </c>
      <c r="N394">
        <v>360</v>
      </c>
      <c r="O394">
        <v>67.34</v>
      </c>
      <c r="P394">
        <v>442.3</v>
      </c>
      <c r="Q394" s="18">
        <f>YEAR(A394)</f>
        <v>2024</v>
      </c>
      <c r="R394" s="18">
        <f>MONTH(A394)</f>
        <v>3</v>
      </c>
      <c r="S394" s="18">
        <f>IF(R394&lt;4,Q394-1,Q394)</f>
        <v>2023</v>
      </c>
      <c r="T394" s="18">
        <f>IF(R394&lt;4,R394+9,R394-3)</f>
        <v>12</v>
      </c>
      <c r="U394" s="18">
        <f>IF(LEN(T394)=1,_xlfn.CONCAT(0,T394),T394)</f>
        <v>12</v>
      </c>
      <c r="V394" s="18" t="str">
        <f>_xlfn.CONCAT(S394,U394)</f>
        <v>202312</v>
      </c>
      <c r="W394" s="18" t="str">
        <f>_xlfn.CONCAT(TEXT(A394,"MMM"),"-",MID(Q394,3,2))</f>
        <v>Mar-24</v>
      </c>
      <c r="X394" s="19">
        <f>IFERROR(IF(D394="Sell",(H394-P394),-(H394+P394)),0)</f>
        <v>-28342.3</v>
      </c>
      <c r="Y394" s="19">
        <f>X394/1000</f>
        <v>-28.342299999999998</v>
      </c>
    </row>
    <row r="395" spans="1:25" x14ac:dyDescent="0.25">
      <c r="A395" s="1">
        <v>45362</v>
      </c>
      <c r="B395" t="s">
        <v>449</v>
      </c>
      <c r="C395" t="s">
        <v>17</v>
      </c>
      <c r="D395" t="s">
        <v>18</v>
      </c>
      <c r="E395">
        <v>120</v>
      </c>
      <c r="F395">
        <v>0</v>
      </c>
      <c r="G395">
        <v>412</v>
      </c>
      <c r="H395">
        <v>49440</v>
      </c>
      <c r="I395" t="s">
        <v>450</v>
      </c>
      <c r="J395">
        <v>30.54</v>
      </c>
      <c r="K395">
        <v>24.96</v>
      </c>
      <c r="L395">
        <v>0</v>
      </c>
      <c r="M395">
        <v>0.05</v>
      </c>
      <c r="N395">
        <v>160</v>
      </c>
      <c r="O395">
        <v>33.299999999999997</v>
      </c>
      <c r="P395">
        <v>248.85</v>
      </c>
      <c r="Q395" s="18">
        <f>YEAR(A395)</f>
        <v>2024</v>
      </c>
      <c r="R395" s="18">
        <f>MONTH(A395)</f>
        <v>3</v>
      </c>
      <c r="S395" s="18">
        <f>IF(R395&lt;4,Q395-1,Q395)</f>
        <v>2023</v>
      </c>
      <c r="T395" s="18">
        <f>IF(R395&lt;4,R395+9,R395-3)</f>
        <v>12</v>
      </c>
      <c r="U395" s="18">
        <f>IF(LEN(T395)=1,_xlfn.CONCAT(0,T395),T395)</f>
        <v>12</v>
      </c>
      <c r="V395" s="18" t="str">
        <f>_xlfn.CONCAT(S395,U395)</f>
        <v>202312</v>
      </c>
      <c r="W395" s="18" t="str">
        <f>_xlfn.CONCAT(TEXT(A395,"MMM"),"-",MID(Q395,3,2))</f>
        <v>Mar-24</v>
      </c>
      <c r="X395" s="19">
        <f>IFERROR(IF(D395="Sell",(H395-P395),-(H395+P395)),0)</f>
        <v>49191.15</v>
      </c>
      <c r="Y395" s="19">
        <f>X395/1000</f>
        <v>49.19115</v>
      </c>
    </row>
    <row r="396" spans="1:25" x14ac:dyDescent="0.25">
      <c r="A396" s="1">
        <v>45362</v>
      </c>
      <c r="B396" t="s">
        <v>449</v>
      </c>
      <c r="C396" t="s">
        <v>17</v>
      </c>
      <c r="D396" t="s">
        <v>22</v>
      </c>
      <c r="E396">
        <v>120</v>
      </c>
      <c r="F396">
        <v>0</v>
      </c>
      <c r="G396">
        <v>301.10000000000002</v>
      </c>
      <c r="H396">
        <v>36132</v>
      </c>
      <c r="I396" t="s">
        <v>451</v>
      </c>
      <c r="J396">
        <v>0</v>
      </c>
      <c r="K396">
        <v>18.239999999999998</v>
      </c>
      <c r="L396">
        <v>1</v>
      </c>
      <c r="M396">
        <v>0.04</v>
      </c>
      <c r="N396">
        <v>160</v>
      </c>
      <c r="O396">
        <v>32.08</v>
      </c>
      <c r="P396">
        <v>211.36</v>
      </c>
      <c r="Q396" s="18">
        <f>YEAR(A396)</f>
        <v>2024</v>
      </c>
      <c r="R396" s="18">
        <f>MONTH(A396)</f>
        <v>3</v>
      </c>
      <c r="S396" s="18">
        <f>IF(R396&lt;4,Q396-1,Q396)</f>
        <v>2023</v>
      </c>
      <c r="T396" s="18">
        <f>IF(R396&lt;4,R396+9,R396-3)</f>
        <v>12</v>
      </c>
      <c r="U396" s="18">
        <f>IF(LEN(T396)=1,_xlfn.CONCAT(0,T396),T396)</f>
        <v>12</v>
      </c>
      <c r="V396" s="18" t="str">
        <f>_xlfn.CONCAT(S396,U396)</f>
        <v>202312</v>
      </c>
      <c r="W396" s="18" t="str">
        <f>_xlfn.CONCAT(TEXT(A396,"MMM"),"-",MID(Q396,3,2))</f>
        <v>Mar-24</v>
      </c>
      <c r="X396" s="19">
        <f>IFERROR(IF(D396="Sell",(H396-P396),-(H396+P396)),0)</f>
        <v>-36343.360000000001</v>
      </c>
      <c r="Y396" s="19">
        <f>X396/1000</f>
        <v>-36.343360000000004</v>
      </c>
    </row>
    <row r="397" spans="1:25" x14ac:dyDescent="0.25">
      <c r="A397" s="1">
        <v>45362</v>
      </c>
      <c r="B397" t="s">
        <v>443</v>
      </c>
      <c r="C397" t="s">
        <v>17</v>
      </c>
      <c r="D397" t="s">
        <v>18</v>
      </c>
      <c r="E397">
        <v>75</v>
      </c>
      <c r="F397">
        <v>0</v>
      </c>
      <c r="G397">
        <v>201.9</v>
      </c>
      <c r="H397">
        <v>15142.5</v>
      </c>
      <c r="I397" t="s">
        <v>452</v>
      </c>
      <c r="J397">
        <v>9.4600000000000009</v>
      </c>
      <c r="K397">
        <v>7.65</v>
      </c>
      <c r="L397">
        <v>0</v>
      </c>
      <c r="M397">
        <v>0.02</v>
      </c>
      <c r="N397">
        <v>100</v>
      </c>
      <c r="O397">
        <v>19.38</v>
      </c>
      <c r="P397">
        <v>136.51</v>
      </c>
      <c r="Q397" s="18">
        <f>YEAR(A397)</f>
        <v>2024</v>
      </c>
      <c r="R397" s="18">
        <f>MONTH(A397)</f>
        <v>3</v>
      </c>
      <c r="S397" s="18">
        <f>IF(R397&lt;4,Q397-1,Q397)</f>
        <v>2023</v>
      </c>
      <c r="T397" s="18">
        <f>IF(R397&lt;4,R397+9,R397-3)</f>
        <v>12</v>
      </c>
      <c r="U397" s="18">
        <f>IF(LEN(T397)=1,_xlfn.CONCAT(0,T397),T397)</f>
        <v>12</v>
      </c>
      <c r="V397" s="18" t="str">
        <f>_xlfn.CONCAT(S397,U397)</f>
        <v>202312</v>
      </c>
      <c r="W397" s="18" t="str">
        <f>_xlfn.CONCAT(TEXT(A397,"MMM"),"-",MID(Q397,3,2))</f>
        <v>Mar-24</v>
      </c>
      <c r="X397" s="19">
        <f>IFERROR(IF(D397="Sell",(H397-P397),-(H397+P397)),0)</f>
        <v>15005.99</v>
      </c>
      <c r="Y397" s="19">
        <f>X397/1000</f>
        <v>15.005990000000001</v>
      </c>
    </row>
    <row r="398" spans="1:25" x14ac:dyDescent="0.25">
      <c r="A398" s="1">
        <v>45363</v>
      </c>
      <c r="B398" t="s">
        <v>424</v>
      </c>
      <c r="C398" t="s">
        <v>17</v>
      </c>
      <c r="D398" t="s">
        <v>18</v>
      </c>
      <c r="E398">
        <v>120</v>
      </c>
      <c r="F398">
        <v>0</v>
      </c>
      <c r="G398">
        <v>212</v>
      </c>
      <c r="H398">
        <v>25440</v>
      </c>
      <c r="I398" t="s">
        <v>430</v>
      </c>
      <c r="J398">
        <v>15.9</v>
      </c>
      <c r="K398">
        <v>12.85</v>
      </c>
      <c r="L398">
        <v>0</v>
      </c>
      <c r="M398">
        <v>0.03</v>
      </c>
      <c r="N398">
        <v>160</v>
      </c>
      <c r="O398">
        <v>31.1</v>
      </c>
      <c r="P398">
        <v>219.88</v>
      </c>
      <c r="Q398" s="18">
        <f>YEAR(A398)</f>
        <v>2024</v>
      </c>
      <c r="R398" s="18">
        <f>MONTH(A398)</f>
        <v>3</v>
      </c>
      <c r="S398" s="18">
        <f>IF(R398&lt;4,Q398-1,Q398)</f>
        <v>2023</v>
      </c>
      <c r="T398" s="18">
        <f>IF(R398&lt;4,R398+9,R398-3)</f>
        <v>12</v>
      </c>
      <c r="U398" s="18">
        <f>IF(LEN(T398)=1,_xlfn.CONCAT(0,T398),T398)</f>
        <v>12</v>
      </c>
      <c r="V398" s="18" t="str">
        <f>_xlfn.CONCAT(S398,U398)</f>
        <v>202312</v>
      </c>
      <c r="W398" s="18" t="str">
        <f>_xlfn.CONCAT(TEXT(A398,"MMM"),"-",MID(Q398,3,2))</f>
        <v>Mar-24</v>
      </c>
      <c r="X398" s="19">
        <f>IFERROR(IF(D398="Sell",(H398-P398),-(H398+P398)),0)</f>
        <v>25220.12</v>
      </c>
      <c r="Y398" s="19">
        <f>X398/1000</f>
        <v>25.220119999999998</v>
      </c>
    </row>
    <row r="399" spans="1:25" x14ac:dyDescent="0.25">
      <c r="A399" s="1">
        <v>45363</v>
      </c>
      <c r="B399" t="s">
        <v>424</v>
      </c>
      <c r="C399" t="s">
        <v>17</v>
      </c>
      <c r="D399" t="s">
        <v>22</v>
      </c>
      <c r="E399">
        <v>60</v>
      </c>
      <c r="F399">
        <v>0</v>
      </c>
      <c r="G399">
        <v>232</v>
      </c>
      <c r="H399">
        <v>13920</v>
      </c>
      <c r="I399" t="s">
        <v>431</v>
      </c>
      <c r="J399">
        <v>0</v>
      </c>
      <c r="K399">
        <v>7.03</v>
      </c>
      <c r="L399">
        <v>0</v>
      </c>
      <c r="M399">
        <v>0.01</v>
      </c>
      <c r="N399">
        <v>80</v>
      </c>
      <c r="O399">
        <v>15.66</v>
      </c>
      <c r="P399">
        <v>102.7</v>
      </c>
      <c r="Q399" s="18">
        <f>YEAR(A399)</f>
        <v>2024</v>
      </c>
      <c r="R399" s="18">
        <f>MONTH(A399)</f>
        <v>3</v>
      </c>
      <c r="S399" s="18">
        <f>IF(R399&lt;4,Q399-1,Q399)</f>
        <v>2023</v>
      </c>
      <c r="T399" s="18">
        <f>IF(R399&lt;4,R399+9,R399-3)</f>
        <v>12</v>
      </c>
      <c r="U399" s="18">
        <f>IF(LEN(T399)=1,_xlfn.CONCAT(0,T399),T399)</f>
        <v>12</v>
      </c>
      <c r="V399" s="18" t="str">
        <f>_xlfn.CONCAT(S399,U399)</f>
        <v>202312</v>
      </c>
      <c r="W399" s="18" t="str">
        <f>_xlfn.CONCAT(TEXT(A399,"MMM"),"-",MID(Q399,3,2))</f>
        <v>Mar-24</v>
      </c>
      <c r="X399" s="19">
        <f>IFERROR(IF(D399="Sell",(H399-P399),-(H399+P399)),0)</f>
        <v>-14022.7</v>
      </c>
      <c r="Y399" s="19">
        <f>X399/1000</f>
        <v>-14.0227</v>
      </c>
    </row>
    <row r="400" spans="1:25" x14ac:dyDescent="0.25">
      <c r="A400" s="1">
        <v>45363</v>
      </c>
      <c r="B400" t="s">
        <v>424</v>
      </c>
      <c r="C400" t="s">
        <v>17</v>
      </c>
      <c r="D400" t="s">
        <v>22</v>
      </c>
      <c r="E400">
        <v>60</v>
      </c>
      <c r="F400">
        <v>0</v>
      </c>
      <c r="G400">
        <v>237.4</v>
      </c>
      <c r="H400">
        <v>14244</v>
      </c>
      <c r="I400" t="s">
        <v>432</v>
      </c>
      <c r="J400">
        <v>0</v>
      </c>
      <c r="K400">
        <v>7.19</v>
      </c>
      <c r="L400">
        <v>0.84</v>
      </c>
      <c r="M400">
        <v>0.01</v>
      </c>
      <c r="N400">
        <v>80</v>
      </c>
      <c r="O400">
        <v>15.7</v>
      </c>
      <c r="P400">
        <v>103.74</v>
      </c>
      <c r="Q400" s="18">
        <f>YEAR(A400)</f>
        <v>2024</v>
      </c>
      <c r="R400" s="18">
        <f>MONTH(A400)</f>
        <v>3</v>
      </c>
      <c r="S400" s="18">
        <f>IF(R400&lt;4,Q400-1,Q400)</f>
        <v>2023</v>
      </c>
      <c r="T400" s="18">
        <f>IF(R400&lt;4,R400+9,R400-3)</f>
        <v>12</v>
      </c>
      <c r="U400" s="18">
        <f>IF(LEN(T400)=1,_xlfn.CONCAT(0,T400),T400)</f>
        <v>12</v>
      </c>
      <c r="V400" s="18" t="str">
        <f>_xlfn.CONCAT(S400,U400)</f>
        <v>202312</v>
      </c>
      <c r="W400" s="18" t="str">
        <f>_xlfn.CONCAT(TEXT(A400,"MMM"),"-",MID(Q400,3,2))</f>
        <v>Mar-24</v>
      </c>
      <c r="X400" s="19">
        <f>IFERROR(IF(D400="Sell",(H400-P400),-(H400+P400)),0)</f>
        <v>-14347.74</v>
      </c>
      <c r="Y400" s="19">
        <f>X400/1000</f>
        <v>-14.34774</v>
      </c>
    </row>
    <row r="401" spans="1:25" x14ac:dyDescent="0.25">
      <c r="A401" s="1">
        <v>45363</v>
      </c>
      <c r="B401" t="s">
        <v>433</v>
      </c>
      <c r="C401" t="s">
        <v>17</v>
      </c>
      <c r="D401" t="s">
        <v>18</v>
      </c>
      <c r="E401">
        <v>135</v>
      </c>
      <c r="F401">
        <v>0</v>
      </c>
      <c r="G401">
        <v>281.10000000000002</v>
      </c>
      <c r="H401">
        <v>37948.5</v>
      </c>
      <c r="I401" t="s">
        <v>434</v>
      </c>
      <c r="J401">
        <v>24.12</v>
      </c>
      <c r="K401">
        <v>19.16</v>
      </c>
      <c r="L401">
        <v>0</v>
      </c>
      <c r="M401">
        <v>0.04</v>
      </c>
      <c r="N401">
        <v>180</v>
      </c>
      <c r="O401">
        <v>35.86</v>
      </c>
      <c r="P401">
        <v>259.18</v>
      </c>
      <c r="Q401" s="18">
        <f>YEAR(A401)</f>
        <v>2024</v>
      </c>
      <c r="R401" s="18">
        <f>MONTH(A401)</f>
        <v>3</v>
      </c>
      <c r="S401" s="18">
        <f>IF(R401&lt;4,Q401-1,Q401)</f>
        <v>2023</v>
      </c>
      <c r="T401" s="18">
        <f>IF(R401&lt;4,R401+9,R401-3)</f>
        <v>12</v>
      </c>
      <c r="U401" s="18">
        <f>IF(LEN(T401)=1,_xlfn.CONCAT(0,T401),T401)</f>
        <v>12</v>
      </c>
      <c r="V401" s="18" t="str">
        <f>_xlfn.CONCAT(S401,U401)</f>
        <v>202312</v>
      </c>
      <c r="W401" s="18" t="str">
        <f>_xlfn.CONCAT(TEXT(A401,"MMM"),"-",MID(Q401,3,2))</f>
        <v>Mar-24</v>
      </c>
      <c r="X401" s="19">
        <f>IFERROR(IF(D401="Sell",(H401-P401),-(H401+P401)),0)</f>
        <v>37689.32</v>
      </c>
      <c r="Y401" s="19">
        <f>X401/1000</f>
        <v>37.689320000000002</v>
      </c>
    </row>
    <row r="402" spans="1:25" x14ac:dyDescent="0.25">
      <c r="A402" s="1">
        <v>45363</v>
      </c>
      <c r="B402" t="s">
        <v>433</v>
      </c>
      <c r="C402" t="s">
        <v>17</v>
      </c>
      <c r="D402" t="s">
        <v>22</v>
      </c>
      <c r="E402">
        <v>45</v>
      </c>
      <c r="F402">
        <v>0</v>
      </c>
      <c r="G402">
        <v>237.95</v>
      </c>
      <c r="H402">
        <v>10707.75</v>
      </c>
      <c r="I402" t="s">
        <v>435</v>
      </c>
      <c r="J402">
        <v>0</v>
      </c>
      <c r="K402">
        <v>5.4</v>
      </c>
      <c r="L402">
        <v>0</v>
      </c>
      <c r="M402">
        <v>0.01</v>
      </c>
      <c r="N402">
        <v>60</v>
      </c>
      <c r="O402">
        <v>11.76</v>
      </c>
      <c r="P402">
        <v>77.17</v>
      </c>
      <c r="Q402" s="18">
        <f>YEAR(A402)</f>
        <v>2024</v>
      </c>
      <c r="R402" s="18">
        <f>MONTH(A402)</f>
        <v>3</v>
      </c>
      <c r="S402" s="18">
        <f>IF(R402&lt;4,Q402-1,Q402)</f>
        <v>2023</v>
      </c>
      <c r="T402" s="18">
        <f>IF(R402&lt;4,R402+9,R402-3)</f>
        <v>12</v>
      </c>
      <c r="U402" s="18">
        <f>IF(LEN(T402)=1,_xlfn.CONCAT(0,T402),T402)</f>
        <v>12</v>
      </c>
      <c r="V402" s="18" t="str">
        <f>_xlfn.CONCAT(S402,U402)</f>
        <v>202312</v>
      </c>
      <c r="W402" s="18" t="str">
        <f>_xlfn.CONCAT(TEXT(A402,"MMM"),"-",MID(Q402,3,2))</f>
        <v>Mar-24</v>
      </c>
      <c r="X402" s="19">
        <f>IFERROR(IF(D402="Sell",(H402-P402),-(H402+P402)),0)</f>
        <v>-10784.92</v>
      </c>
      <c r="Y402" s="19">
        <f>X402/1000</f>
        <v>-10.78492</v>
      </c>
    </row>
    <row r="403" spans="1:25" x14ac:dyDescent="0.25">
      <c r="A403" s="1">
        <v>45363</v>
      </c>
      <c r="B403" t="s">
        <v>433</v>
      </c>
      <c r="C403" t="s">
        <v>17</v>
      </c>
      <c r="D403" t="s">
        <v>22</v>
      </c>
      <c r="E403">
        <v>45</v>
      </c>
      <c r="F403">
        <v>0</v>
      </c>
      <c r="G403">
        <v>238.55</v>
      </c>
      <c r="H403">
        <v>10734.75</v>
      </c>
      <c r="I403" t="s">
        <v>436</v>
      </c>
      <c r="J403">
        <v>0</v>
      </c>
      <c r="K403">
        <v>5.42</v>
      </c>
      <c r="L403">
        <v>1.0900000000000001</v>
      </c>
      <c r="M403">
        <v>0.01</v>
      </c>
      <c r="N403">
        <v>60</v>
      </c>
      <c r="O403">
        <v>11.78</v>
      </c>
      <c r="P403">
        <v>78.3</v>
      </c>
      <c r="Q403" s="18">
        <f>YEAR(A403)</f>
        <v>2024</v>
      </c>
      <c r="R403" s="18">
        <f>MONTH(A403)</f>
        <v>3</v>
      </c>
      <c r="S403" s="18">
        <f>IF(R403&lt;4,Q403-1,Q403)</f>
        <v>2023</v>
      </c>
      <c r="T403" s="18">
        <f>IF(R403&lt;4,R403+9,R403-3)</f>
        <v>12</v>
      </c>
      <c r="U403" s="18">
        <f>IF(LEN(T403)=1,_xlfn.CONCAT(0,T403),T403)</f>
        <v>12</v>
      </c>
      <c r="V403" s="18" t="str">
        <f>_xlfn.CONCAT(S403,U403)</f>
        <v>202312</v>
      </c>
      <c r="W403" s="18" t="str">
        <f>_xlfn.CONCAT(TEXT(A403,"MMM"),"-",MID(Q403,3,2))</f>
        <v>Mar-24</v>
      </c>
      <c r="X403" s="19">
        <f>IFERROR(IF(D403="Sell",(H403-P403),-(H403+P403)),0)</f>
        <v>-10813.05</v>
      </c>
      <c r="Y403" s="19">
        <f>X403/1000</f>
        <v>-10.813049999999999</v>
      </c>
    </row>
    <row r="404" spans="1:25" x14ac:dyDescent="0.25">
      <c r="A404" s="1">
        <v>45363</v>
      </c>
      <c r="B404" t="s">
        <v>433</v>
      </c>
      <c r="C404" t="s">
        <v>17</v>
      </c>
      <c r="D404" t="s">
        <v>22</v>
      </c>
      <c r="E404">
        <v>45</v>
      </c>
      <c r="F404">
        <v>0</v>
      </c>
      <c r="G404">
        <v>301.8</v>
      </c>
      <c r="H404">
        <v>13581</v>
      </c>
      <c r="I404" t="s">
        <v>437</v>
      </c>
      <c r="J404">
        <v>0</v>
      </c>
      <c r="K404">
        <v>6.86</v>
      </c>
      <c r="L404">
        <v>0</v>
      </c>
      <c r="M404">
        <v>0.01</v>
      </c>
      <c r="N404">
        <v>60</v>
      </c>
      <c r="O404">
        <v>12.04</v>
      </c>
      <c r="P404">
        <v>78.91</v>
      </c>
      <c r="Q404" s="18">
        <f>YEAR(A404)</f>
        <v>2024</v>
      </c>
      <c r="R404" s="18">
        <f>MONTH(A404)</f>
        <v>3</v>
      </c>
      <c r="S404" s="18">
        <f>IF(R404&lt;4,Q404-1,Q404)</f>
        <v>2023</v>
      </c>
      <c r="T404" s="18">
        <f>IF(R404&lt;4,R404+9,R404-3)</f>
        <v>12</v>
      </c>
      <c r="U404" s="18">
        <f>IF(LEN(T404)=1,_xlfn.CONCAT(0,T404),T404)</f>
        <v>12</v>
      </c>
      <c r="V404" s="18" t="str">
        <f>_xlfn.CONCAT(S404,U404)</f>
        <v>202312</v>
      </c>
      <c r="W404" s="18" t="str">
        <f>_xlfn.CONCAT(TEXT(A404,"MMM"),"-",MID(Q404,3,2))</f>
        <v>Mar-24</v>
      </c>
      <c r="X404" s="19">
        <f>IFERROR(IF(D404="Sell",(H404-P404),-(H404+P404)),0)</f>
        <v>-13659.91</v>
      </c>
      <c r="Y404" s="19">
        <f>X404/1000</f>
        <v>-13.65991</v>
      </c>
    </row>
    <row r="405" spans="1:25" x14ac:dyDescent="0.25">
      <c r="A405" s="1">
        <v>45363</v>
      </c>
      <c r="B405" t="s">
        <v>438</v>
      </c>
      <c r="C405" t="s">
        <v>17</v>
      </c>
      <c r="D405" t="s">
        <v>18</v>
      </c>
      <c r="E405">
        <v>150</v>
      </c>
      <c r="F405">
        <v>0</v>
      </c>
      <c r="G405">
        <v>147.25</v>
      </c>
      <c r="H405">
        <v>22087.5</v>
      </c>
      <c r="I405" t="s">
        <v>439</v>
      </c>
      <c r="J405">
        <v>13.8</v>
      </c>
      <c r="K405">
        <v>11.15</v>
      </c>
      <c r="L405">
        <v>0</v>
      </c>
      <c r="M405">
        <v>0.02</v>
      </c>
      <c r="N405">
        <v>200</v>
      </c>
      <c r="O405">
        <v>38.020000000000003</v>
      </c>
      <c r="P405">
        <v>262.99</v>
      </c>
      <c r="Q405" s="18">
        <f>YEAR(A405)</f>
        <v>2024</v>
      </c>
      <c r="R405" s="18">
        <f>MONTH(A405)</f>
        <v>3</v>
      </c>
      <c r="S405" s="18">
        <f>IF(R405&lt;4,Q405-1,Q405)</f>
        <v>2023</v>
      </c>
      <c r="T405" s="18">
        <f>IF(R405&lt;4,R405+9,R405-3)</f>
        <v>12</v>
      </c>
      <c r="U405" s="18">
        <f>IF(LEN(T405)=1,_xlfn.CONCAT(0,T405),T405)</f>
        <v>12</v>
      </c>
      <c r="V405" s="18" t="str">
        <f>_xlfn.CONCAT(S405,U405)</f>
        <v>202312</v>
      </c>
      <c r="W405" s="18" t="str">
        <f>_xlfn.CONCAT(TEXT(A405,"MMM"),"-",MID(Q405,3,2))</f>
        <v>Mar-24</v>
      </c>
      <c r="X405" s="19">
        <f>IFERROR(IF(D405="Sell",(H405-P405),-(H405+P405)),0)</f>
        <v>21824.51</v>
      </c>
      <c r="Y405" s="19">
        <f>X405/1000</f>
        <v>21.82451</v>
      </c>
    </row>
    <row r="406" spans="1:25" x14ac:dyDescent="0.25">
      <c r="A406" s="1">
        <v>45363</v>
      </c>
      <c r="B406" t="s">
        <v>438</v>
      </c>
      <c r="C406" t="s">
        <v>17</v>
      </c>
      <c r="D406" t="s">
        <v>22</v>
      </c>
      <c r="E406">
        <v>60</v>
      </c>
      <c r="F406">
        <v>0</v>
      </c>
      <c r="G406">
        <v>105.25</v>
      </c>
      <c r="H406">
        <v>6315</v>
      </c>
      <c r="I406" t="s">
        <v>440</v>
      </c>
      <c r="J406">
        <v>0</v>
      </c>
      <c r="K406">
        <v>3.19</v>
      </c>
      <c r="L406">
        <v>0.61</v>
      </c>
      <c r="M406">
        <v>0.01</v>
      </c>
      <c r="N406">
        <v>80</v>
      </c>
      <c r="O406">
        <v>14.98</v>
      </c>
      <c r="P406">
        <v>98.79</v>
      </c>
      <c r="Q406" s="18">
        <f>YEAR(A406)</f>
        <v>2024</v>
      </c>
      <c r="R406" s="18">
        <f>MONTH(A406)</f>
        <v>3</v>
      </c>
      <c r="S406" s="18">
        <f>IF(R406&lt;4,Q406-1,Q406)</f>
        <v>2023</v>
      </c>
      <c r="T406" s="18">
        <f>IF(R406&lt;4,R406+9,R406-3)</f>
        <v>12</v>
      </c>
      <c r="U406" s="18">
        <f>IF(LEN(T406)=1,_xlfn.CONCAT(0,T406),T406)</f>
        <v>12</v>
      </c>
      <c r="V406" s="18" t="str">
        <f>_xlfn.CONCAT(S406,U406)</f>
        <v>202312</v>
      </c>
      <c r="W406" s="18" t="str">
        <f>_xlfn.CONCAT(TEXT(A406,"MMM"),"-",MID(Q406,3,2))</f>
        <v>Mar-24</v>
      </c>
      <c r="X406" s="19">
        <f>IFERROR(IF(D406="Sell",(H406-P406),-(H406+P406)),0)</f>
        <v>-6413.79</v>
      </c>
      <c r="Y406" s="19">
        <f>X406/1000</f>
        <v>-6.4137899999999997</v>
      </c>
    </row>
    <row r="407" spans="1:25" x14ac:dyDescent="0.25">
      <c r="A407" s="1">
        <v>45363</v>
      </c>
      <c r="B407" t="s">
        <v>438</v>
      </c>
      <c r="C407" t="s">
        <v>17</v>
      </c>
      <c r="D407" t="s">
        <v>22</v>
      </c>
      <c r="E407">
        <v>60</v>
      </c>
      <c r="F407">
        <v>0</v>
      </c>
      <c r="G407">
        <v>99.03</v>
      </c>
      <c r="H407">
        <v>5941.5</v>
      </c>
      <c r="I407" t="s">
        <v>441</v>
      </c>
      <c r="J407">
        <v>0</v>
      </c>
      <c r="K407">
        <v>3</v>
      </c>
      <c r="L407">
        <v>0</v>
      </c>
      <c r="M407">
        <v>0</v>
      </c>
      <c r="N407">
        <v>80</v>
      </c>
      <c r="O407">
        <v>14.94</v>
      </c>
      <c r="P407">
        <v>97.94</v>
      </c>
      <c r="Q407" s="18">
        <f>YEAR(A407)</f>
        <v>2024</v>
      </c>
      <c r="R407" s="18">
        <f>MONTH(A407)</f>
        <v>3</v>
      </c>
      <c r="S407" s="18">
        <f>IF(R407&lt;4,Q407-1,Q407)</f>
        <v>2023</v>
      </c>
      <c r="T407" s="18">
        <f>IF(R407&lt;4,R407+9,R407-3)</f>
        <v>12</v>
      </c>
      <c r="U407" s="18">
        <f>IF(LEN(T407)=1,_xlfn.CONCAT(0,T407),T407)</f>
        <v>12</v>
      </c>
      <c r="V407" s="18" t="str">
        <f>_xlfn.CONCAT(S407,U407)</f>
        <v>202312</v>
      </c>
      <c r="W407" s="18" t="str">
        <f>_xlfn.CONCAT(TEXT(A407,"MMM"),"-",MID(Q407,3,2))</f>
        <v>Mar-24</v>
      </c>
      <c r="X407" s="19">
        <f>IFERROR(IF(D407="Sell",(H407-P407),-(H407+P407)),0)</f>
        <v>-6039.44</v>
      </c>
      <c r="Y407" s="19">
        <f>X407/1000</f>
        <v>-6.0394399999999999</v>
      </c>
    </row>
    <row r="408" spans="1:25" x14ac:dyDescent="0.25">
      <c r="A408" s="1">
        <v>45363</v>
      </c>
      <c r="B408" t="s">
        <v>438</v>
      </c>
      <c r="C408" t="s">
        <v>17</v>
      </c>
      <c r="D408" t="s">
        <v>22</v>
      </c>
      <c r="E408">
        <v>30</v>
      </c>
      <c r="F408">
        <v>0</v>
      </c>
      <c r="G408">
        <v>270.05</v>
      </c>
      <c r="H408">
        <v>8101.5</v>
      </c>
      <c r="I408" t="s">
        <v>442</v>
      </c>
      <c r="J408">
        <v>0</v>
      </c>
      <c r="K408">
        <v>4.09</v>
      </c>
      <c r="L408">
        <v>0</v>
      </c>
      <c r="M408">
        <v>0.01</v>
      </c>
      <c r="N408">
        <v>40</v>
      </c>
      <c r="O408">
        <v>7.94</v>
      </c>
      <c r="P408">
        <v>52.04</v>
      </c>
      <c r="Q408" s="18">
        <f>YEAR(A408)</f>
        <v>2024</v>
      </c>
      <c r="R408" s="18">
        <f>MONTH(A408)</f>
        <v>3</v>
      </c>
      <c r="S408" s="18">
        <f>IF(R408&lt;4,Q408-1,Q408)</f>
        <v>2023</v>
      </c>
      <c r="T408" s="18">
        <f>IF(R408&lt;4,R408+9,R408-3)</f>
        <v>12</v>
      </c>
      <c r="U408" s="18">
        <f>IF(LEN(T408)=1,_xlfn.CONCAT(0,T408),T408)</f>
        <v>12</v>
      </c>
      <c r="V408" s="18" t="str">
        <f>_xlfn.CONCAT(S408,U408)</f>
        <v>202312</v>
      </c>
      <c r="W408" s="18" t="str">
        <f>_xlfn.CONCAT(TEXT(A408,"MMM"),"-",MID(Q408,3,2))</f>
        <v>Mar-24</v>
      </c>
      <c r="X408" s="19">
        <f>IFERROR(IF(D408="Sell",(H408-P408),-(H408+P408)),0)</f>
        <v>-8153.54</v>
      </c>
      <c r="Y408" s="19">
        <f>X408/1000</f>
        <v>-8.1535399999999996</v>
      </c>
    </row>
    <row r="409" spans="1:25" x14ac:dyDescent="0.25">
      <c r="A409" s="1">
        <v>45363</v>
      </c>
      <c r="B409" t="s">
        <v>443</v>
      </c>
      <c r="C409" t="s">
        <v>17</v>
      </c>
      <c r="D409" t="s">
        <v>18</v>
      </c>
      <c r="E409">
        <v>120</v>
      </c>
      <c r="F409">
        <v>0</v>
      </c>
      <c r="G409">
        <v>145.05000000000001</v>
      </c>
      <c r="H409">
        <v>17406</v>
      </c>
      <c r="I409" t="s">
        <v>444</v>
      </c>
      <c r="J409">
        <v>10.88</v>
      </c>
      <c r="K409">
        <v>8.7899999999999991</v>
      </c>
      <c r="L409">
        <v>0</v>
      </c>
      <c r="M409">
        <v>0.01</v>
      </c>
      <c r="N409">
        <v>160</v>
      </c>
      <c r="O409">
        <v>30.38</v>
      </c>
      <c r="P409">
        <v>210.06</v>
      </c>
      <c r="Q409" s="18">
        <f>YEAR(A409)</f>
        <v>2024</v>
      </c>
      <c r="R409" s="18">
        <f>MONTH(A409)</f>
        <v>3</v>
      </c>
      <c r="S409" s="18">
        <f>IF(R409&lt;4,Q409-1,Q409)</f>
        <v>2023</v>
      </c>
      <c r="T409" s="18">
        <f>IF(R409&lt;4,R409+9,R409-3)</f>
        <v>12</v>
      </c>
      <c r="U409" s="18">
        <f>IF(LEN(T409)=1,_xlfn.CONCAT(0,T409),T409)</f>
        <v>12</v>
      </c>
      <c r="V409" s="18" t="str">
        <f>_xlfn.CONCAT(S409,U409)</f>
        <v>202312</v>
      </c>
      <c r="W409" s="18" t="str">
        <f>_xlfn.CONCAT(TEXT(A409,"MMM"),"-",MID(Q409,3,2))</f>
        <v>Mar-24</v>
      </c>
      <c r="X409" s="19">
        <f>IFERROR(IF(D409="Sell",(H409-P409),-(H409+P409)),0)</f>
        <v>17195.939999999999</v>
      </c>
      <c r="Y409" s="19">
        <f>X409/1000</f>
        <v>17.19594</v>
      </c>
    </row>
    <row r="410" spans="1:25" x14ac:dyDescent="0.25">
      <c r="A410" s="1">
        <v>45363</v>
      </c>
      <c r="B410" t="s">
        <v>443</v>
      </c>
      <c r="C410" t="s">
        <v>17</v>
      </c>
      <c r="D410" t="s">
        <v>22</v>
      </c>
      <c r="E410">
        <v>120</v>
      </c>
      <c r="F410">
        <v>0</v>
      </c>
      <c r="G410">
        <v>127.18</v>
      </c>
      <c r="H410">
        <v>15261</v>
      </c>
      <c r="I410" t="s">
        <v>445</v>
      </c>
      <c r="J410">
        <v>0</v>
      </c>
      <c r="K410">
        <v>7.71</v>
      </c>
      <c r="L410">
        <v>0.46</v>
      </c>
      <c r="M410">
        <v>0.01</v>
      </c>
      <c r="N410">
        <v>160</v>
      </c>
      <c r="O410">
        <v>30.18</v>
      </c>
      <c r="P410">
        <v>198.36</v>
      </c>
      <c r="Q410" s="18">
        <f>YEAR(A410)</f>
        <v>2024</v>
      </c>
      <c r="R410" s="18">
        <f>MONTH(A410)</f>
        <v>3</v>
      </c>
      <c r="S410" s="18">
        <f>IF(R410&lt;4,Q410-1,Q410)</f>
        <v>2023</v>
      </c>
      <c r="T410" s="18">
        <f>IF(R410&lt;4,R410+9,R410-3)</f>
        <v>12</v>
      </c>
      <c r="U410" s="18">
        <f>IF(LEN(T410)=1,_xlfn.CONCAT(0,T410),T410)</f>
        <v>12</v>
      </c>
      <c r="V410" s="18" t="str">
        <f>_xlfn.CONCAT(S410,U410)</f>
        <v>202312</v>
      </c>
      <c r="W410" s="18" t="str">
        <f>_xlfn.CONCAT(TEXT(A410,"MMM"),"-",MID(Q410,3,2))</f>
        <v>Mar-24</v>
      </c>
      <c r="X410" s="19">
        <f>IFERROR(IF(D410="Sell",(H410-P410),-(H410+P410)),0)</f>
        <v>-15459.36</v>
      </c>
      <c r="Y410" s="19">
        <f>X410/1000</f>
        <v>-15.45936</v>
      </c>
    </row>
    <row r="411" spans="1:25" x14ac:dyDescent="0.25">
      <c r="A411" s="1">
        <v>45363</v>
      </c>
      <c r="B411" t="s">
        <v>433</v>
      </c>
      <c r="C411" t="s">
        <v>17</v>
      </c>
      <c r="D411" t="s">
        <v>18</v>
      </c>
      <c r="E411">
        <v>30</v>
      </c>
      <c r="F411">
        <v>0</v>
      </c>
      <c r="G411">
        <v>282.7</v>
      </c>
      <c r="H411">
        <v>8481</v>
      </c>
      <c r="I411" t="s">
        <v>446</v>
      </c>
      <c r="J411">
        <v>5.3</v>
      </c>
      <c r="K411">
        <v>4.28</v>
      </c>
      <c r="L411">
        <v>0</v>
      </c>
      <c r="M411">
        <v>0</v>
      </c>
      <c r="N411">
        <v>40</v>
      </c>
      <c r="O411">
        <v>7.96</v>
      </c>
      <c r="P411">
        <v>57.54</v>
      </c>
      <c r="Q411" s="18">
        <f>YEAR(A411)</f>
        <v>2024</v>
      </c>
      <c r="R411" s="18">
        <f>MONTH(A411)</f>
        <v>3</v>
      </c>
      <c r="S411" s="18">
        <f>IF(R411&lt;4,Q411-1,Q411)</f>
        <v>2023</v>
      </c>
      <c r="T411" s="18">
        <f>IF(R411&lt;4,R411+9,R411-3)</f>
        <v>12</v>
      </c>
      <c r="U411" s="18">
        <f>IF(LEN(T411)=1,_xlfn.CONCAT(0,T411),T411)</f>
        <v>12</v>
      </c>
      <c r="V411" s="18" t="str">
        <f>_xlfn.CONCAT(S411,U411)</f>
        <v>202312</v>
      </c>
      <c r="W411" s="18" t="str">
        <f>_xlfn.CONCAT(TEXT(A411,"MMM"),"-",MID(Q411,3,2))</f>
        <v>Mar-24</v>
      </c>
      <c r="X411" s="19">
        <f>IFERROR(IF(D411="Sell",(H411-P411),-(H411+P411)),0)</f>
        <v>8423.4599999999991</v>
      </c>
      <c r="Y411" s="19">
        <f>X411/1000</f>
        <v>8.4234599999999986</v>
      </c>
    </row>
    <row r="412" spans="1:25" x14ac:dyDescent="0.25">
      <c r="A412" s="1">
        <v>45363</v>
      </c>
      <c r="B412" t="s">
        <v>433</v>
      </c>
      <c r="C412" t="s">
        <v>17</v>
      </c>
      <c r="D412" t="s">
        <v>22</v>
      </c>
      <c r="E412">
        <v>15</v>
      </c>
      <c r="F412">
        <v>0</v>
      </c>
      <c r="G412">
        <v>232.9</v>
      </c>
      <c r="H412">
        <v>3493.5</v>
      </c>
      <c r="I412" t="s">
        <v>447</v>
      </c>
      <c r="J412">
        <v>0</v>
      </c>
      <c r="K412">
        <v>1.76</v>
      </c>
      <c r="L412">
        <v>0</v>
      </c>
      <c r="M412">
        <v>0</v>
      </c>
      <c r="N412">
        <v>20</v>
      </c>
      <c r="O412">
        <v>3.92</v>
      </c>
      <c r="P412">
        <v>25.68</v>
      </c>
      <c r="Q412" s="18">
        <f>YEAR(A412)</f>
        <v>2024</v>
      </c>
      <c r="R412" s="18">
        <f>MONTH(A412)</f>
        <v>3</v>
      </c>
      <c r="S412" s="18">
        <f>IF(R412&lt;4,Q412-1,Q412)</f>
        <v>2023</v>
      </c>
      <c r="T412" s="18">
        <f>IF(R412&lt;4,R412+9,R412-3)</f>
        <v>12</v>
      </c>
      <c r="U412" s="18">
        <f>IF(LEN(T412)=1,_xlfn.CONCAT(0,T412),T412)</f>
        <v>12</v>
      </c>
      <c r="V412" s="18" t="str">
        <f>_xlfn.CONCAT(S412,U412)</f>
        <v>202312</v>
      </c>
      <c r="W412" s="18" t="str">
        <f>_xlfn.CONCAT(TEXT(A412,"MMM"),"-",MID(Q412,3,2))</f>
        <v>Mar-24</v>
      </c>
      <c r="X412" s="19">
        <f>IFERROR(IF(D412="Sell",(H412-P412),-(H412+P412)),0)</f>
        <v>-3519.18</v>
      </c>
      <c r="Y412" s="19">
        <f>X412/1000</f>
        <v>-3.51918</v>
      </c>
    </row>
    <row r="413" spans="1:25" x14ac:dyDescent="0.25">
      <c r="A413" s="1">
        <v>45363</v>
      </c>
      <c r="B413" t="s">
        <v>433</v>
      </c>
      <c r="C413" t="s">
        <v>17</v>
      </c>
      <c r="D413" t="s">
        <v>22</v>
      </c>
      <c r="E413">
        <v>15</v>
      </c>
      <c r="F413">
        <v>0</v>
      </c>
      <c r="G413">
        <v>242.5</v>
      </c>
      <c r="H413">
        <v>3637.5</v>
      </c>
      <c r="I413" t="s">
        <v>448</v>
      </c>
      <c r="J413">
        <v>0</v>
      </c>
      <c r="K413">
        <v>1.84</v>
      </c>
      <c r="L413">
        <v>0</v>
      </c>
      <c r="M413">
        <v>0</v>
      </c>
      <c r="N413">
        <v>20</v>
      </c>
      <c r="O413">
        <v>3.94</v>
      </c>
      <c r="P413">
        <v>25.78</v>
      </c>
      <c r="Q413" s="18">
        <f>YEAR(A413)</f>
        <v>2024</v>
      </c>
      <c r="R413" s="18">
        <f>MONTH(A413)</f>
        <v>3</v>
      </c>
      <c r="S413" s="18">
        <f>IF(R413&lt;4,Q413-1,Q413)</f>
        <v>2023</v>
      </c>
      <c r="T413" s="18">
        <f>IF(R413&lt;4,R413+9,R413-3)</f>
        <v>12</v>
      </c>
      <c r="U413" s="18">
        <f>IF(LEN(T413)=1,_xlfn.CONCAT(0,T413),T413)</f>
        <v>12</v>
      </c>
      <c r="V413" s="18" t="str">
        <f>_xlfn.CONCAT(S413,U413)</f>
        <v>202312</v>
      </c>
      <c r="W413" s="18" t="str">
        <f>_xlfn.CONCAT(TEXT(A413,"MMM"),"-",MID(Q413,3,2))</f>
        <v>Mar-24</v>
      </c>
      <c r="X413" s="19">
        <f>IFERROR(IF(D413="Sell",(H413-P413),-(H413+P413)),0)</f>
        <v>-3663.28</v>
      </c>
      <c r="Y413" s="19">
        <f>X413/1000</f>
        <v>-3.6632800000000003</v>
      </c>
    </row>
    <row r="414" spans="1:25" x14ac:dyDescent="0.25">
      <c r="A414" s="1">
        <v>45364</v>
      </c>
      <c r="B414" t="s">
        <v>412</v>
      </c>
      <c r="C414" t="s">
        <v>17</v>
      </c>
      <c r="D414" t="s">
        <v>18</v>
      </c>
      <c r="E414">
        <v>900</v>
      </c>
      <c r="F414">
        <v>0</v>
      </c>
      <c r="G414">
        <v>30.1</v>
      </c>
      <c r="H414">
        <v>27090</v>
      </c>
      <c r="I414" t="s">
        <v>413</v>
      </c>
      <c r="J414">
        <v>16.93</v>
      </c>
      <c r="K414">
        <v>13.68</v>
      </c>
      <c r="L414">
        <v>0</v>
      </c>
      <c r="M414">
        <v>0.03</v>
      </c>
      <c r="N414">
        <v>1200</v>
      </c>
      <c r="O414">
        <v>218.46</v>
      </c>
      <c r="P414">
        <v>1449.1</v>
      </c>
      <c r="Q414" s="18">
        <f>YEAR(A414)</f>
        <v>2024</v>
      </c>
      <c r="R414" s="18">
        <f>MONTH(A414)</f>
        <v>3</v>
      </c>
      <c r="S414" s="18">
        <f>IF(R414&lt;4,Q414-1,Q414)</f>
        <v>2023</v>
      </c>
      <c r="T414" s="18">
        <f>IF(R414&lt;4,R414+9,R414-3)</f>
        <v>12</v>
      </c>
      <c r="U414" s="18">
        <f>IF(LEN(T414)=1,_xlfn.CONCAT(0,T414),T414)</f>
        <v>12</v>
      </c>
      <c r="V414" s="18" t="str">
        <f>_xlfn.CONCAT(S414,U414)</f>
        <v>202312</v>
      </c>
      <c r="W414" s="18" t="str">
        <f>_xlfn.CONCAT(TEXT(A414,"MMM"),"-",MID(Q414,3,2))</f>
        <v>Mar-24</v>
      </c>
      <c r="X414" s="19">
        <f>IFERROR(IF(D414="Sell",(H414-P414),-(H414+P414)),0)</f>
        <v>25640.9</v>
      </c>
      <c r="Y414" s="19">
        <f>X414/1000</f>
        <v>25.640900000000002</v>
      </c>
    </row>
    <row r="415" spans="1:25" x14ac:dyDescent="0.25">
      <c r="A415" s="1">
        <v>45364</v>
      </c>
      <c r="B415" t="s">
        <v>412</v>
      </c>
      <c r="C415" t="s">
        <v>17</v>
      </c>
      <c r="D415" t="s">
        <v>22</v>
      </c>
      <c r="E415">
        <v>900</v>
      </c>
      <c r="F415">
        <v>0</v>
      </c>
      <c r="G415">
        <v>49.1</v>
      </c>
      <c r="H415">
        <v>44190</v>
      </c>
      <c r="I415" t="s">
        <v>414</v>
      </c>
      <c r="J415">
        <v>0</v>
      </c>
      <c r="K415">
        <v>22.32</v>
      </c>
      <c r="L415">
        <v>1.33</v>
      </c>
      <c r="M415">
        <v>0.03</v>
      </c>
      <c r="N415">
        <v>1200</v>
      </c>
      <c r="O415">
        <v>220</v>
      </c>
      <c r="P415">
        <v>1443.68</v>
      </c>
      <c r="Q415" s="18">
        <f>YEAR(A415)</f>
        <v>2024</v>
      </c>
      <c r="R415" s="18">
        <f>MONTH(A415)</f>
        <v>3</v>
      </c>
      <c r="S415" s="18">
        <f>IF(R415&lt;4,Q415-1,Q415)</f>
        <v>2023</v>
      </c>
      <c r="T415" s="18">
        <f>IF(R415&lt;4,R415+9,R415-3)</f>
        <v>12</v>
      </c>
      <c r="U415" s="18">
        <f>IF(LEN(T415)=1,_xlfn.CONCAT(0,T415),T415)</f>
        <v>12</v>
      </c>
      <c r="V415" s="18" t="str">
        <f>_xlfn.CONCAT(S415,U415)</f>
        <v>202312</v>
      </c>
      <c r="W415" s="18" t="str">
        <f>_xlfn.CONCAT(TEXT(A415,"MMM"),"-",MID(Q415,3,2))</f>
        <v>Mar-24</v>
      </c>
      <c r="X415" s="19">
        <f>IFERROR(IF(D415="Sell",(H415-P415),-(H415+P415)),0)</f>
        <v>-45633.68</v>
      </c>
      <c r="Y415" s="19">
        <f>X415/1000</f>
        <v>-45.633679999999998</v>
      </c>
    </row>
    <row r="416" spans="1:25" x14ac:dyDescent="0.25">
      <c r="A416" s="1">
        <v>45364</v>
      </c>
      <c r="B416" t="s">
        <v>415</v>
      </c>
      <c r="C416" t="s">
        <v>17</v>
      </c>
      <c r="D416" t="s">
        <v>18</v>
      </c>
      <c r="E416">
        <v>300</v>
      </c>
      <c r="F416">
        <v>0</v>
      </c>
      <c r="G416">
        <v>78.31</v>
      </c>
      <c r="H416">
        <v>23491.5</v>
      </c>
      <c r="I416" t="s">
        <v>416</v>
      </c>
      <c r="J416">
        <v>14.68</v>
      </c>
      <c r="K416">
        <v>11.87</v>
      </c>
      <c r="L416">
        <v>0</v>
      </c>
      <c r="M416">
        <v>0.02</v>
      </c>
      <c r="N416">
        <v>400</v>
      </c>
      <c r="O416">
        <v>74.14</v>
      </c>
      <c r="P416">
        <v>500.71</v>
      </c>
      <c r="Q416" s="18">
        <f>YEAR(A416)</f>
        <v>2024</v>
      </c>
      <c r="R416" s="18">
        <f>MONTH(A416)</f>
        <v>3</v>
      </c>
      <c r="S416" s="18">
        <f>IF(R416&lt;4,Q416-1,Q416)</f>
        <v>2023</v>
      </c>
      <c r="T416" s="18">
        <f>IF(R416&lt;4,R416+9,R416-3)</f>
        <v>12</v>
      </c>
      <c r="U416" s="18">
        <f>IF(LEN(T416)=1,_xlfn.CONCAT(0,T416),T416)</f>
        <v>12</v>
      </c>
      <c r="V416" s="18" t="str">
        <f>_xlfn.CONCAT(S416,U416)</f>
        <v>202312</v>
      </c>
      <c r="W416" s="18" t="str">
        <f>_xlfn.CONCAT(TEXT(A416,"MMM"),"-",MID(Q416,3,2))</f>
        <v>Mar-24</v>
      </c>
      <c r="X416" s="19">
        <f>IFERROR(IF(D416="Sell",(H416-P416),-(H416+P416)),0)</f>
        <v>22990.79</v>
      </c>
      <c r="Y416" s="19">
        <f>X416/1000</f>
        <v>22.990790000000001</v>
      </c>
    </row>
    <row r="417" spans="1:25" x14ac:dyDescent="0.25">
      <c r="A417" s="1">
        <v>45364</v>
      </c>
      <c r="B417" t="s">
        <v>415</v>
      </c>
      <c r="C417" t="s">
        <v>17</v>
      </c>
      <c r="D417" t="s">
        <v>22</v>
      </c>
      <c r="E417">
        <v>300</v>
      </c>
      <c r="F417">
        <v>0</v>
      </c>
      <c r="G417">
        <v>105.45</v>
      </c>
      <c r="H417">
        <v>31635</v>
      </c>
      <c r="I417" t="s">
        <v>417</v>
      </c>
      <c r="J417">
        <v>0</v>
      </c>
      <c r="K417">
        <v>15.98</v>
      </c>
      <c r="L417">
        <v>0.95</v>
      </c>
      <c r="M417">
        <v>0.03</v>
      </c>
      <c r="N417">
        <v>400</v>
      </c>
      <c r="O417">
        <v>74.88</v>
      </c>
      <c r="P417">
        <v>491.84</v>
      </c>
      <c r="Q417" s="18">
        <f>YEAR(A417)</f>
        <v>2024</v>
      </c>
      <c r="R417" s="18">
        <f>MONTH(A417)</f>
        <v>3</v>
      </c>
      <c r="S417" s="18">
        <f>IF(R417&lt;4,Q417-1,Q417)</f>
        <v>2023</v>
      </c>
      <c r="T417" s="18">
        <f>IF(R417&lt;4,R417+9,R417-3)</f>
        <v>12</v>
      </c>
      <c r="U417" s="18">
        <f>IF(LEN(T417)=1,_xlfn.CONCAT(0,T417),T417)</f>
        <v>12</v>
      </c>
      <c r="V417" s="18" t="str">
        <f>_xlfn.CONCAT(S417,U417)</f>
        <v>202312</v>
      </c>
      <c r="W417" s="18" t="str">
        <f>_xlfn.CONCAT(TEXT(A417,"MMM"),"-",MID(Q417,3,2))</f>
        <v>Mar-24</v>
      </c>
      <c r="X417" s="19">
        <f>IFERROR(IF(D417="Sell",(H417-P417),-(H417+P417)),0)</f>
        <v>-32126.84</v>
      </c>
      <c r="Y417" s="19">
        <f>X417/1000</f>
        <v>-32.126840000000001</v>
      </c>
    </row>
    <row r="418" spans="1:25" x14ac:dyDescent="0.25">
      <c r="A418" s="1">
        <v>45364</v>
      </c>
      <c r="B418" t="s">
        <v>418</v>
      </c>
      <c r="C418" t="s">
        <v>17</v>
      </c>
      <c r="D418" t="s">
        <v>18</v>
      </c>
      <c r="E418">
        <v>600</v>
      </c>
      <c r="F418">
        <v>0</v>
      </c>
      <c r="G418">
        <v>40.39</v>
      </c>
      <c r="H418">
        <v>24234.75</v>
      </c>
      <c r="I418" t="s">
        <v>419</v>
      </c>
      <c r="J418">
        <v>15.18</v>
      </c>
      <c r="K418">
        <v>12.23</v>
      </c>
      <c r="L418">
        <v>0</v>
      </c>
      <c r="M418">
        <v>0</v>
      </c>
      <c r="N418">
        <v>800</v>
      </c>
      <c r="O418">
        <v>146.16</v>
      </c>
      <c r="P418">
        <v>973.57</v>
      </c>
      <c r="Q418" s="18">
        <f>YEAR(A418)</f>
        <v>2024</v>
      </c>
      <c r="R418" s="18">
        <f>MONTH(A418)</f>
        <v>3</v>
      </c>
      <c r="S418" s="18">
        <f>IF(R418&lt;4,Q418-1,Q418)</f>
        <v>2023</v>
      </c>
      <c r="T418" s="18">
        <f>IF(R418&lt;4,R418+9,R418-3)</f>
        <v>12</v>
      </c>
      <c r="U418" s="18">
        <f>IF(LEN(T418)=1,_xlfn.CONCAT(0,T418),T418)</f>
        <v>12</v>
      </c>
      <c r="V418" s="18" t="str">
        <f>_xlfn.CONCAT(S418,U418)</f>
        <v>202312</v>
      </c>
      <c r="W418" s="18" t="str">
        <f>_xlfn.CONCAT(TEXT(A418,"MMM"),"-",MID(Q418,3,2))</f>
        <v>Mar-24</v>
      </c>
      <c r="X418" s="19">
        <f>IFERROR(IF(D418="Sell",(H418-P418),-(H418+P418)),0)</f>
        <v>23261.18</v>
      </c>
      <c r="Y418" s="19">
        <f>X418/1000</f>
        <v>23.26118</v>
      </c>
    </row>
    <row r="419" spans="1:25" x14ac:dyDescent="0.25">
      <c r="A419" s="1">
        <v>45364</v>
      </c>
      <c r="B419" t="s">
        <v>418</v>
      </c>
      <c r="C419" t="s">
        <v>17</v>
      </c>
      <c r="D419" t="s">
        <v>22</v>
      </c>
      <c r="E419">
        <v>600</v>
      </c>
      <c r="F419">
        <v>0</v>
      </c>
      <c r="G419">
        <v>47.95</v>
      </c>
      <c r="H419">
        <v>28771.5</v>
      </c>
      <c r="I419" t="s">
        <v>420</v>
      </c>
      <c r="J419">
        <v>0</v>
      </c>
      <c r="K419">
        <v>14.54</v>
      </c>
      <c r="L419">
        <v>2.84</v>
      </c>
      <c r="M419">
        <v>0.03</v>
      </c>
      <c r="N419">
        <v>800</v>
      </c>
      <c r="O419">
        <v>146.63999999999999</v>
      </c>
      <c r="P419">
        <v>964.05</v>
      </c>
      <c r="Q419" s="18">
        <f>YEAR(A419)</f>
        <v>2024</v>
      </c>
      <c r="R419" s="18">
        <f>MONTH(A419)</f>
        <v>3</v>
      </c>
      <c r="S419" s="18">
        <f>IF(R419&lt;4,Q419-1,Q419)</f>
        <v>2023</v>
      </c>
      <c r="T419" s="18">
        <f>IF(R419&lt;4,R419+9,R419-3)</f>
        <v>12</v>
      </c>
      <c r="U419" s="18">
        <f>IF(LEN(T419)=1,_xlfn.CONCAT(0,T419),T419)</f>
        <v>12</v>
      </c>
      <c r="V419" s="18" t="str">
        <f>_xlfn.CONCAT(S419,U419)</f>
        <v>202312</v>
      </c>
      <c r="W419" s="18" t="str">
        <f>_xlfn.CONCAT(TEXT(A419,"MMM"),"-",MID(Q419,3,2))</f>
        <v>Mar-24</v>
      </c>
      <c r="X419" s="19">
        <f>IFERROR(IF(D419="Sell",(H419-P419),-(H419+P419)),0)</f>
        <v>-29735.55</v>
      </c>
      <c r="Y419" s="19">
        <f>X419/1000</f>
        <v>-29.73555</v>
      </c>
    </row>
    <row r="420" spans="1:25" x14ac:dyDescent="0.25">
      <c r="A420" s="1">
        <v>45364</v>
      </c>
      <c r="B420" t="s">
        <v>418</v>
      </c>
      <c r="C420" t="s">
        <v>17</v>
      </c>
      <c r="D420" t="s">
        <v>18</v>
      </c>
      <c r="E420">
        <v>210</v>
      </c>
      <c r="F420">
        <v>0</v>
      </c>
      <c r="G420">
        <v>61.5</v>
      </c>
      <c r="H420">
        <v>12915</v>
      </c>
      <c r="I420" t="s">
        <v>421</v>
      </c>
      <c r="J420">
        <v>8.07</v>
      </c>
      <c r="K420">
        <v>6.52</v>
      </c>
      <c r="L420">
        <v>0</v>
      </c>
      <c r="M420">
        <v>0.01</v>
      </c>
      <c r="N420">
        <v>280</v>
      </c>
      <c r="O420">
        <v>51.58</v>
      </c>
      <c r="P420">
        <v>346.18</v>
      </c>
      <c r="Q420" s="18">
        <f>YEAR(A420)</f>
        <v>2024</v>
      </c>
      <c r="R420" s="18">
        <f>MONTH(A420)</f>
        <v>3</v>
      </c>
      <c r="S420" s="18">
        <f>IF(R420&lt;4,Q420-1,Q420)</f>
        <v>2023</v>
      </c>
      <c r="T420" s="18">
        <f>IF(R420&lt;4,R420+9,R420-3)</f>
        <v>12</v>
      </c>
      <c r="U420" s="18">
        <f>IF(LEN(T420)=1,_xlfn.CONCAT(0,T420),T420)</f>
        <v>12</v>
      </c>
      <c r="V420" s="18" t="str">
        <f>_xlfn.CONCAT(S420,U420)</f>
        <v>202312</v>
      </c>
      <c r="W420" s="18" t="str">
        <f>_xlfn.CONCAT(TEXT(A420,"MMM"),"-",MID(Q420,3,2))</f>
        <v>Mar-24</v>
      </c>
      <c r="X420" s="19">
        <f>IFERROR(IF(D420="Sell",(H420-P420),-(H420+P420)),0)</f>
        <v>12568.82</v>
      </c>
      <c r="Y420" s="19">
        <f>X420/1000</f>
        <v>12.568820000000001</v>
      </c>
    </row>
    <row r="421" spans="1:25" x14ac:dyDescent="0.25">
      <c r="A421" s="1">
        <v>45364</v>
      </c>
      <c r="B421" t="s">
        <v>418</v>
      </c>
      <c r="C421" t="s">
        <v>17</v>
      </c>
      <c r="D421" t="s">
        <v>22</v>
      </c>
      <c r="E421">
        <v>105</v>
      </c>
      <c r="F421">
        <v>0</v>
      </c>
      <c r="G421">
        <v>72.349999999999994</v>
      </c>
      <c r="H421">
        <v>7596.75</v>
      </c>
      <c r="I421" t="s">
        <v>422</v>
      </c>
      <c r="J421">
        <v>0</v>
      </c>
      <c r="K421">
        <v>3.84</v>
      </c>
      <c r="L421">
        <v>0</v>
      </c>
      <c r="M421">
        <v>0.01</v>
      </c>
      <c r="N421">
        <v>140</v>
      </c>
      <c r="O421">
        <v>25.9</v>
      </c>
      <c r="P421">
        <v>169.75</v>
      </c>
      <c r="Q421" s="18">
        <f>YEAR(A421)</f>
        <v>2024</v>
      </c>
      <c r="R421" s="18">
        <f>MONTH(A421)</f>
        <v>3</v>
      </c>
      <c r="S421" s="18">
        <f>IF(R421&lt;4,Q421-1,Q421)</f>
        <v>2023</v>
      </c>
      <c r="T421" s="18">
        <f>IF(R421&lt;4,R421+9,R421-3)</f>
        <v>12</v>
      </c>
      <c r="U421" s="18">
        <f>IF(LEN(T421)=1,_xlfn.CONCAT(0,T421),T421)</f>
        <v>12</v>
      </c>
      <c r="V421" s="18" t="str">
        <f>_xlfn.CONCAT(S421,U421)</f>
        <v>202312</v>
      </c>
      <c r="W421" s="18" t="str">
        <f>_xlfn.CONCAT(TEXT(A421,"MMM"),"-",MID(Q421,3,2))</f>
        <v>Mar-24</v>
      </c>
      <c r="X421" s="19">
        <f>IFERROR(IF(D421="Sell",(H421-P421),-(H421+P421)),0)</f>
        <v>-7766.5</v>
      </c>
      <c r="Y421" s="19">
        <f>X421/1000</f>
        <v>-7.7664999999999997</v>
      </c>
    </row>
    <row r="422" spans="1:25" x14ac:dyDescent="0.25">
      <c r="A422" s="1">
        <v>45364</v>
      </c>
      <c r="B422" t="s">
        <v>418</v>
      </c>
      <c r="C422" t="s">
        <v>17</v>
      </c>
      <c r="D422" t="s">
        <v>22</v>
      </c>
      <c r="E422">
        <v>105</v>
      </c>
      <c r="F422">
        <v>0</v>
      </c>
      <c r="G422">
        <v>107.45</v>
      </c>
      <c r="H422">
        <v>11282.25</v>
      </c>
      <c r="I422" t="s">
        <v>423</v>
      </c>
      <c r="J422">
        <v>0</v>
      </c>
      <c r="K422">
        <v>5.7</v>
      </c>
      <c r="L422">
        <v>0</v>
      </c>
      <c r="M422">
        <v>0.01</v>
      </c>
      <c r="N422">
        <v>140</v>
      </c>
      <c r="O422">
        <v>26.22</v>
      </c>
      <c r="P422">
        <v>171.93</v>
      </c>
      <c r="Q422" s="18">
        <f>YEAR(A422)</f>
        <v>2024</v>
      </c>
      <c r="R422" s="18">
        <f>MONTH(A422)</f>
        <v>3</v>
      </c>
      <c r="S422" s="18">
        <f>IF(R422&lt;4,Q422-1,Q422)</f>
        <v>2023</v>
      </c>
      <c r="T422" s="18">
        <f>IF(R422&lt;4,R422+9,R422-3)</f>
        <v>12</v>
      </c>
      <c r="U422" s="18">
        <f>IF(LEN(T422)=1,_xlfn.CONCAT(0,T422),T422)</f>
        <v>12</v>
      </c>
      <c r="V422" s="18" t="str">
        <f>_xlfn.CONCAT(S422,U422)</f>
        <v>202312</v>
      </c>
      <c r="W422" s="18" t="str">
        <f>_xlfn.CONCAT(TEXT(A422,"MMM"),"-",MID(Q422,3,2))</f>
        <v>Mar-24</v>
      </c>
      <c r="X422" s="19">
        <f>IFERROR(IF(D422="Sell",(H422-P422),-(H422+P422)),0)</f>
        <v>-11454.18</v>
      </c>
      <c r="Y422" s="19">
        <f>X422/1000</f>
        <v>-11.454180000000001</v>
      </c>
    </row>
    <row r="423" spans="1:25" x14ac:dyDescent="0.25">
      <c r="A423" s="1">
        <v>45364</v>
      </c>
      <c r="B423" t="s">
        <v>424</v>
      </c>
      <c r="C423" t="s">
        <v>17</v>
      </c>
      <c r="D423" t="s">
        <v>18</v>
      </c>
      <c r="E423">
        <v>240</v>
      </c>
      <c r="F423">
        <v>0</v>
      </c>
      <c r="G423">
        <v>143.75</v>
      </c>
      <c r="H423">
        <v>34500</v>
      </c>
      <c r="I423" t="s">
        <v>425</v>
      </c>
      <c r="J423">
        <v>21.56</v>
      </c>
      <c r="K423">
        <v>17.420000000000002</v>
      </c>
      <c r="L423">
        <v>0</v>
      </c>
      <c r="M423">
        <v>0.04</v>
      </c>
      <c r="N423">
        <v>320</v>
      </c>
      <c r="O423">
        <v>60.76</v>
      </c>
      <c r="P423">
        <v>419.78</v>
      </c>
      <c r="Q423" s="18">
        <f>YEAR(A423)</f>
        <v>2024</v>
      </c>
      <c r="R423" s="18">
        <f>MONTH(A423)</f>
        <v>3</v>
      </c>
      <c r="S423" s="18">
        <f>IF(R423&lt;4,Q423-1,Q423)</f>
        <v>2023</v>
      </c>
      <c r="T423" s="18">
        <f>IF(R423&lt;4,R423+9,R423-3)</f>
        <v>12</v>
      </c>
      <c r="U423" s="18">
        <f>IF(LEN(T423)=1,_xlfn.CONCAT(0,T423),T423)</f>
        <v>12</v>
      </c>
      <c r="V423" s="18" t="str">
        <f>_xlfn.CONCAT(S423,U423)</f>
        <v>202312</v>
      </c>
      <c r="W423" s="18" t="str">
        <f>_xlfn.CONCAT(TEXT(A423,"MMM"),"-",MID(Q423,3,2))</f>
        <v>Mar-24</v>
      </c>
      <c r="X423" s="19">
        <f>IFERROR(IF(D423="Sell",(H423-P423),-(H423+P423)),0)</f>
        <v>34080.22</v>
      </c>
      <c r="Y423" s="19">
        <f>X423/1000</f>
        <v>34.080220000000004</v>
      </c>
    </row>
    <row r="424" spans="1:25" x14ac:dyDescent="0.25">
      <c r="A424" s="1">
        <v>45364</v>
      </c>
      <c r="B424" t="s">
        <v>424</v>
      </c>
      <c r="C424" t="s">
        <v>17</v>
      </c>
      <c r="D424" t="s">
        <v>22</v>
      </c>
      <c r="E424">
        <v>240</v>
      </c>
      <c r="F424">
        <v>0</v>
      </c>
      <c r="G424">
        <v>122.9</v>
      </c>
      <c r="H424">
        <v>29496</v>
      </c>
      <c r="I424" t="s">
        <v>426</v>
      </c>
      <c r="J424">
        <v>0</v>
      </c>
      <c r="K424">
        <v>14.9</v>
      </c>
      <c r="L424">
        <v>0.88</v>
      </c>
      <c r="M424">
        <v>0.03</v>
      </c>
      <c r="N424">
        <v>320</v>
      </c>
      <c r="O424">
        <v>60.28</v>
      </c>
      <c r="P424">
        <v>396.09</v>
      </c>
      <c r="Q424" s="18">
        <f>YEAR(A424)</f>
        <v>2024</v>
      </c>
      <c r="R424" s="18">
        <f>MONTH(A424)</f>
        <v>3</v>
      </c>
      <c r="S424" s="18">
        <f>IF(R424&lt;4,Q424-1,Q424)</f>
        <v>2023</v>
      </c>
      <c r="T424" s="18">
        <f>IF(R424&lt;4,R424+9,R424-3)</f>
        <v>12</v>
      </c>
      <c r="U424" s="18">
        <f>IF(LEN(T424)=1,_xlfn.CONCAT(0,T424),T424)</f>
        <v>12</v>
      </c>
      <c r="V424" s="18" t="str">
        <f>_xlfn.CONCAT(S424,U424)</f>
        <v>202312</v>
      </c>
      <c r="W424" s="18" t="str">
        <f>_xlfn.CONCAT(TEXT(A424,"MMM"),"-",MID(Q424,3,2))</f>
        <v>Mar-24</v>
      </c>
      <c r="X424" s="19">
        <f>IFERROR(IF(D424="Sell",(H424-P424),-(H424+P424)),0)</f>
        <v>-29892.09</v>
      </c>
      <c r="Y424" s="19">
        <f>X424/1000</f>
        <v>-29.89209</v>
      </c>
    </row>
    <row r="425" spans="1:25" x14ac:dyDescent="0.25">
      <c r="A425" s="1">
        <v>45364</v>
      </c>
      <c r="B425" t="s">
        <v>418</v>
      </c>
      <c r="C425" t="s">
        <v>17</v>
      </c>
      <c r="D425" t="s">
        <v>18</v>
      </c>
      <c r="E425">
        <v>240</v>
      </c>
      <c r="F425">
        <v>0</v>
      </c>
      <c r="G425">
        <v>110.61</v>
      </c>
      <c r="H425">
        <v>26547</v>
      </c>
      <c r="I425" t="s">
        <v>427</v>
      </c>
      <c r="J425">
        <v>16.59</v>
      </c>
      <c r="K425">
        <v>13.41</v>
      </c>
      <c r="L425">
        <v>0</v>
      </c>
      <c r="M425">
        <v>0.02</v>
      </c>
      <c r="N425">
        <v>320</v>
      </c>
      <c r="O425">
        <v>60.04</v>
      </c>
      <c r="P425">
        <v>410.06</v>
      </c>
      <c r="Q425" s="18">
        <f>YEAR(A425)</f>
        <v>2024</v>
      </c>
      <c r="R425" s="18">
        <f>MONTH(A425)</f>
        <v>3</v>
      </c>
      <c r="S425" s="18">
        <f>IF(R425&lt;4,Q425-1,Q425)</f>
        <v>2023</v>
      </c>
      <c r="T425" s="18">
        <f>IF(R425&lt;4,R425+9,R425-3)</f>
        <v>12</v>
      </c>
      <c r="U425" s="18">
        <f>IF(LEN(T425)=1,_xlfn.CONCAT(0,T425),T425)</f>
        <v>12</v>
      </c>
      <c r="V425" s="18" t="str">
        <f>_xlfn.CONCAT(S425,U425)</f>
        <v>202312</v>
      </c>
      <c r="W425" s="18" t="str">
        <f>_xlfn.CONCAT(TEXT(A425,"MMM"),"-",MID(Q425,3,2))</f>
        <v>Mar-24</v>
      </c>
      <c r="X425" s="19">
        <f>IFERROR(IF(D425="Sell",(H425-P425),-(H425+P425)),0)</f>
        <v>26136.94</v>
      </c>
      <c r="Y425" s="19">
        <f>X425/1000</f>
        <v>26.136939999999999</v>
      </c>
    </row>
    <row r="426" spans="1:25" x14ac:dyDescent="0.25">
      <c r="A426" s="1">
        <v>45364</v>
      </c>
      <c r="B426" t="s">
        <v>418</v>
      </c>
      <c r="C426" t="s">
        <v>17</v>
      </c>
      <c r="D426" t="s">
        <v>22</v>
      </c>
      <c r="E426">
        <v>120</v>
      </c>
      <c r="F426">
        <v>0</v>
      </c>
      <c r="G426">
        <v>126.05</v>
      </c>
      <c r="H426">
        <v>15126</v>
      </c>
      <c r="I426" t="s">
        <v>428</v>
      </c>
      <c r="J426">
        <v>0</v>
      </c>
      <c r="K426">
        <v>7.64</v>
      </c>
      <c r="L426">
        <v>0</v>
      </c>
      <c r="M426">
        <v>0.01</v>
      </c>
      <c r="N426">
        <v>160</v>
      </c>
      <c r="O426">
        <v>30.16</v>
      </c>
      <c r="P426">
        <v>197.81</v>
      </c>
      <c r="Q426" s="18">
        <f>YEAR(A426)</f>
        <v>2024</v>
      </c>
      <c r="R426" s="18">
        <f>MONTH(A426)</f>
        <v>3</v>
      </c>
      <c r="S426" s="18">
        <f>IF(R426&lt;4,Q426-1,Q426)</f>
        <v>2023</v>
      </c>
      <c r="T426" s="18">
        <f>IF(R426&lt;4,R426+9,R426-3)</f>
        <v>12</v>
      </c>
      <c r="U426" s="18">
        <f>IF(LEN(T426)=1,_xlfn.CONCAT(0,T426),T426)</f>
        <v>12</v>
      </c>
      <c r="V426" s="18" t="str">
        <f>_xlfn.CONCAT(S426,U426)</f>
        <v>202312</v>
      </c>
      <c r="W426" s="18" t="str">
        <f>_xlfn.CONCAT(TEXT(A426,"MMM"),"-",MID(Q426,3,2))</f>
        <v>Mar-24</v>
      </c>
      <c r="X426" s="19">
        <f>IFERROR(IF(D426="Sell",(H426-P426),-(H426+P426)),0)</f>
        <v>-15323.81</v>
      </c>
      <c r="Y426" s="19">
        <f>X426/1000</f>
        <v>-15.32381</v>
      </c>
    </row>
    <row r="427" spans="1:25" x14ac:dyDescent="0.25">
      <c r="A427" s="1">
        <v>45364</v>
      </c>
      <c r="B427" t="s">
        <v>418</v>
      </c>
      <c r="C427" t="s">
        <v>17</v>
      </c>
      <c r="D427" t="s">
        <v>22</v>
      </c>
      <c r="E427">
        <v>120</v>
      </c>
      <c r="F427">
        <v>0</v>
      </c>
      <c r="G427">
        <v>140.22999999999999</v>
      </c>
      <c r="H427">
        <v>16827.75</v>
      </c>
      <c r="I427" t="s">
        <v>429</v>
      </c>
      <c r="J427">
        <v>0</v>
      </c>
      <c r="K427">
        <v>8.5</v>
      </c>
      <c r="L427">
        <v>0</v>
      </c>
      <c r="M427">
        <v>0.02</v>
      </c>
      <c r="N427">
        <v>160</v>
      </c>
      <c r="O427">
        <v>30.34</v>
      </c>
      <c r="P427">
        <v>198.86</v>
      </c>
      <c r="Q427" s="18">
        <f>YEAR(A427)</f>
        <v>2024</v>
      </c>
      <c r="R427" s="18">
        <f>MONTH(A427)</f>
        <v>3</v>
      </c>
      <c r="S427" s="18">
        <f>IF(R427&lt;4,Q427-1,Q427)</f>
        <v>2023</v>
      </c>
      <c r="T427" s="18">
        <f>IF(R427&lt;4,R427+9,R427-3)</f>
        <v>12</v>
      </c>
      <c r="U427" s="18">
        <f>IF(LEN(T427)=1,_xlfn.CONCAT(0,T427),T427)</f>
        <v>12</v>
      </c>
      <c r="V427" s="18" t="str">
        <f>_xlfn.CONCAT(S427,U427)</f>
        <v>202312</v>
      </c>
      <c r="W427" s="18" t="str">
        <f>_xlfn.CONCAT(TEXT(A427,"MMM"),"-",MID(Q427,3,2))</f>
        <v>Mar-24</v>
      </c>
      <c r="X427" s="19">
        <f>IFERROR(IF(D427="Sell",(H427-P427),-(H427+P427)),0)</f>
        <v>-17026.61</v>
      </c>
      <c r="Y427" s="19">
        <f>X427/1000</f>
        <v>-17.026610000000002</v>
      </c>
    </row>
    <row r="428" spans="1:25" x14ac:dyDescent="0.25">
      <c r="A428" s="1">
        <v>45365</v>
      </c>
      <c r="B428" t="s">
        <v>401</v>
      </c>
      <c r="C428" t="s">
        <v>17</v>
      </c>
      <c r="D428" t="s">
        <v>18</v>
      </c>
      <c r="E428">
        <v>45</v>
      </c>
      <c r="F428">
        <v>0</v>
      </c>
      <c r="G428">
        <v>283.2</v>
      </c>
      <c r="H428">
        <v>12744</v>
      </c>
      <c r="I428" t="s">
        <v>402</v>
      </c>
      <c r="J428">
        <v>7.97</v>
      </c>
      <c r="K428">
        <v>6.44</v>
      </c>
      <c r="L428">
        <v>0</v>
      </c>
      <c r="M428">
        <v>0.01</v>
      </c>
      <c r="N428">
        <v>60</v>
      </c>
      <c r="O428">
        <v>11.96</v>
      </c>
      <c r="P428">
        <v>86.38</v>
      </c>
      <c r="Q428" s="18">
        <f>YEAR(A428)</f>
        <v>2024</v>
      </c>
      <c r="R428" s="18">
        <f>MONTH(A428)</f>
        <v>3</v>
      </c>
      <c r="S428" s="18">
        <f>IF(R428&lt;4,Q428-1,Q428)</f>
        <v>2023</v>
      </c>
      <c r="T428" s="18">
        <f>IF(R428&lt;4,R428+9,R428-3)</f>
        <v>12</v>
      </c>
      <c r="U428" s="18">
        <f>IF(LEN(T428)=1,_xlfn.CONCAT(0,T428),T428)</f>
        <v>12</v>
      </c>
      <c r="V428" s="18" t="str">
        <f>_xlfn.CONCAT(S428,U428)</f>
        <v>202312</v>
      </c>
      <c r="W428" s="18" t="str">
        <f>_xlfn.CONCAT(TEXT(A428,"MMM"),"-",MID(Q428,3,2))</f>
        <v>Mar-24</v>
      </c>
      <c r="X428" s="19">
        <f>IFERROR(IF(D428="Sell",(H428-P428),-(H428+P428)),0)</f>
        <v>12657.62</v>
      </c>
      <c r="Y428" s="19">
        <f>X428/1000</f>
        <v>12.657620000000001</v>
      </c>
    </row>
    <row r="429" spans="1:25" x14ac:dyDescent="0.25">
      <c r="A429" s="1">
        <v>45365</v>
      </c>
      <c r="B429" t="s">
        <v>401</v>
      </c>
      <c r="C429" t="s">
        <v>17</v>
      </c>
      <c r="D429" t="s">
        <v>22</v>
      </c>
      <c r="E429">
        <v>30</v>
      </c>
      <c r="F429">
        <v>0</v>
      </c>
      <c r="G429">
        <v>488.45</v>
      </c>
      <c r="H429">
        <v>14653.5</v>
      </c>
      <c r="I429" t="s">
        <v>403</v>
      </c>
      <c r="J429">
        <v>0</v>
      </c>
      <c r="K429">
        <v>7.4</v>
      </c>
      <c r="L429">
        <v>0.3</v>
      </c>
      <c r="M429">
        <v>0.01</v>
      </c>
      <c r="N429">
        <v>40</v>
      </c>
      <c r="O429">
        <v>8.5399999999999991</v>
      </c>
      <c r="P429">
        <v>56.25</v>
      </c>
      <c r="Q429" s="18">
        <f>YEAR(A429)</f>
        <v>2024</v>
      </c>
      <c r="R429" s="18">
        <f>MONTH(A429)</f>
        <v>3</v>
      </c>
      <c r="S429" s="18">
        <f>IF(R429&lt;4,Q429-1,Q429)</f>
        <v>2023</v>
      </c>
      <c r="T429" s="18">
        <f>IF(R429&lt;4,R429+9,R429-3)</f>
        <v>12</v>
      </c>
      <c r="U429" s="18">
        <f>IF(LEN(T429)=1,_xlfn.CONCAT(0,T429),T429)</f>
        <v>12</v>
      </c>
      <c r="V429" s="18" t="str">
        <f>_xlfn.CONCAT(S429,U429)</f>
        <v>202312</v>
      </c>
      <c r="W429" s="18" t="str">
        <f>_xlfn.CONCAT(TEXT(A429,"MMM"),"-",MID(Q429,3,2))</f>
        <v>Mar-24</v>
      </c>
      <c r="X429" s="19">
        <f>IFERROR(IF(D429="Sell",(H429-P429),-(H429+P429)),0)</f>
        <v>-14709.75</v>
      </c>
      <c r="Y429" s="19">
        <f>X429/1000</f>
        <v>-14.70975</v>
      </c>
    </row>
    <row r="430" spans="1:25" x14ac:dyDescent="0.25">
      <c r="A430" s="1">
        <v>45365</v>
      </c>
      <c r="B430" t="s">
        <v>401</v>
      </c>
      <c r="C430" t="s">
        <v>17</v>
      </c>
      <c r="D430" t="s">
        <v>22</v>
      </c>
      <c r="E430">
        <v>15</v>
      </c>
      <c r="F430">
        <v>0</v>
      </c>
      <c r="G430">
        <v>479.1</v>
      </c>
      <c r="H430">
        <v>7186.5</v>
      </c>
      <c r="I430" t="s">
        <v>404</v>
      </c>
      <c r="J430">
        <v>0</v>
      </c>
      <c r="K430">
        <v>3.63</v>
      </c>
      <c r="L430">
        <v>0</v>
      </c>
      <c r="M430">
        <v>0.01</v>
      </c>
      <c r="N430">
        <v>20</v>
      </c>
      <c r="O430">
        <v>4.26</v>
      </c>
      <c r="P430">
        <v>27.9</v>
      </c>
      <c r="Q430" s="18">
        <f>YEAR(A430)</f>
        <v>2024</v>
      </c>
      <c r="R430" s="18">
        <f>MONTH(A430)</f>
        <v>3</v>
      </c>
      <c r="S430" s="18">
        <f>IF(R430&lt;4,Q430-1,Q430)</f>
        <v>2023</v>
      </c>
      <c r="T430" s="18">
        <f>IF(R430&lt;4,R430+9,R430-3)</f>
        <v>12</v>
      </c>
      <c r="U430" s="18">
        <f>IF(LEN(T430)=1,_xlfn.CONCAT(0,T430),T430)</f>
        <v>12</v>
      </c>
      <c r="V430" s="18" t="str">
        <f>_xlfn.CONCAT(S430,U430)</f>
        <v>202312</v>
      </c>
      <c r="W430" s="18" t="str">
        <f>_xlfn.CONCAT(TEXT(A430,"MMM"),"-",MID(Q430,3,2))</f>
        <v>Mar-24</v>
      </c>
      <c r="X430" s="19">
        <f>IFERROR(IF(D430="Sell",(H430-P430),-(H430+P430)),0)</f>
        <v>-7214.4</v>
      </c>
      <c r="Y430" s="19">
        <f>X430/1000</f>
        <v>-7.2143999999999995</v>
      </c>
    </row>
    <row r="431" spans="1:25" x14ac:dyDescent="0.25">
      <c r="A431" s="1">
        <v>45365</v>
      </c>
      <c r="B431" t="s">
        <v>405</v>
      </c>
      <c r="C431" t="s">
        <v>17</v>
      </c>
      <c r="D431" t="s">
        <v>18</v>
      </c>
      <c r="E431">
        <v>30</v>
      </c>
      <c r="F431">
        <v>0</v>
      </c>
      <c r="G431">
        <v>590.04999999999995</v>
      </c>
      <c r="H431">
        <v>17701.5</v>
      </c>
      <c r="I431" t="s">
        <v>406</v>
      </c>
      <c r="J431">
        <v>11.06</v>
      </c>
      <c r="K431">
        <v>8.94</v>
      </c>
      <c r="L431">
        <v>0</v>
      </c>
      <c r="M431">
        <v>0.02</v>
      </c>
      <c r="N431">
        <v>40</v>
      </c>
      <c r="O431">
        <v>8.8000000000000007</v>
      </c>
      <c r="P431">
        <v>68.819999999999993</v>
      </c>
      <c r="Q431" s="18">
        <f>YEAR(A431)</f>
        <v>2024</v>
      </c>
      <c r="R431" s="18">
        <f>MONTH(A431)</f>
        <v>3</v>
      </c>
      <c r="S431" s="18">
        <f>IF(R431&lt;4,Q431-1,Q431)</f>
        <v>2023</v>
      </c>
      <c r="T431" s="18">
        <f>IF(R431&lt;4,R431+9,R431-3)</f>
        <v>12</v>
      </c>
      <c r="U431" s="18">
        <f>IF(LEN(T431)=1,_xlfn.CONCAT(0,T431),T431)</f>
        <v>12</v>
      </c>
      <c r="V431" s="18" t="str">
        <f>_xlfn.CONCAT(S431,U431)</f>
        <v>202312</v>
      </c>
      <c r="W431" s="18" t="str">
        <f>_xlfn.CONCAT(TEXT(A431,"MMM"),"-",MID(Q431,3,2))</f>
        <v>Mar-24</v>
      </c>
      <c r="X431" s="19">
        <f>IFERROR(IF(D431="Sell",(H431-P431),-(H431+P431)),0)</f>
        <v>17632.68</v>
      </c>
      <c r="Y431" s="19">
        <f>X431/1000</f>
        <v>17.632680000000001</v>
      </c>
    </row>
    <row r="432" spans="1:25" x14ac:dyDescent="0.25">
      <c r="A432" s="1">
        <v>45365</v>
      </c>
      <c r="B432" t="s">
        <v>405</v>
      </c>
      <c r="C432" t="s">
        <v>17</v>
      </c>
      <c r="D432" t="s">
        <v>22</v>
      </c>
      <c r="E432">
        <v>15</v>
      </c>
      <c r="F432">
        <v>0</v>
      </c>
      <c r="G432">
        <v>486.45</v>
      </c>
      <c r="H432">
        <v>7296.75</v>
      </c>
      <c r="I432" t="s">
        <v>407</v>
      </c>
      <c r="J432">
        <v>0</v>
      </c>
      <c r="K432">
        <v>3.68</v>
      </c>
      <c r="L432">
        <v>0.46</v>
      </c>
      <c r="M432">
        <v>0.01</v>
      </c>
      <c r="N432">
        <v>20</v>
      </c>
      <c r="O432">
        <v>4.26</v>
      </c>
      <c r="P432">
        <v>28.41</v>
      </c>
      <c r="Q432" s="18">
        <f>YEAR(A432)</f>
        <v>2024</v>
      </c>
      <c r="R432" s="18">
        <f>MONTH(A432)</f>
        <v>3</v>
      </c>
      <c r="S432" s="18">
        <f>IF(R432&lt;4,Q432-1,Q432)</f>
        <v>2023</v>
      </c>
      <c r="T432" s="18">
        <f>IF(R432&lt;4,R432+9,R432-3)</f>
        <v>12</v>
      </c>
      <c r="U432" s="18">
        <f>IF(LEN(T432)=1,_xlfn.CONCAT(0,T432),T432)</f>
        <v>12</v>
      </c>
      <c r="V432" s="18" t="str">
        <f>_xlfn.CONCAT(S432,U432)</f>
        <v>202312</v>
      </c>
      <c r="W432" s="18" t="str">
        <f>_xlfn.CONCAT(TEXT(A432,"MMM"),"-",MID(Q432,3,2))</f>
        <v>Mar-24</v>
      </c>
      <c r="X432" s="19">
        <f>IFERROR(IF(D432="Sell",(H432-P432),-(H432+P432)),0)</f>
        <v>-7325.16</v>
      </c>
      <c r="Y432" s="19">
        <f>X432/1000</f>
        <v>-7.3251599999999994</v>
      </c>
    </row>
    <row r="433" spans="1:25" x14ac:dyDescent="0.25">
      <c r="A433" s="1">
        <v>45365</v>
      </c>
      <c r="B433" t="s">
        <v>405</v>
      </c>
      <c r="C433" t="s">
        <v>17</v>
      </c>
      <c r="D433" t="s">
        <v>22</v>
      </c>
      <c r="E433">
        <v>15</v>
      </c>
      <c r="F433">
        <v>0</v>
      </c>
      <c r="G433">
        <v>529.70000000000005</v>
      </c>
      <c r="H433">
        <v>7945.5</v>
      </c>
      <c r="I433" t="s">
        <v>408</v>
      </c>
      <c r="J433">
        <v>0</v>
      </c>
      <c r="K433">
        <v>4.01</v>
      </c>
      <c r="L433">
        <v>0</v>
      </c>
      <c r="M433">
        <v>0.01</v>
      </c>
      <c r="N433">
        <v>20</v>
      </c>
      <c r="O433">
        <v>4.32</v>
      </c>
      <c r="P433">
        <v>28.34</v>
      </c>
      <c r="Q433" s="18">
        <f>YEAR(A433)</f>
        <v>2024</v>
      </c>
      <c r="R433" s="18">
        <f>MONTH(A433)</f>
        <v>3</v>
      </c>
      <c r="S433" s="18">
        <f>IF(R433&lt;4,Q433-1,Q433)</f>
        <v>2023</v>
      </c>
      <c r="T433" s="18">
        <f>IF(R433&lt;4,R433+9,R433-3)</f>
        <v>12</v>
      </c>
      <c r="U433" s="18">
        <f>IF(LEN(T433)=1,_xlfn.CONCAT(0,T433),T433)</f>
        <v>12</v>
      </c>
      <c r="V433" s="18" t="str">
        <f>_xlfn.CONCAT(S433,U433)</f>
        <v>202312</v>
      </c>
      <c r="W433" s="18" t="str">
        <f>_xlfn.CONCAT(TEXT(A433,"MMM"),"-",MID(Q433,3,2))</f>
        <v>Mar-24</v>
      </c>
      <c r="X433" s="19">
        <f>IFERROR(IF(D433="Sell",(H433-P433),-(H433+P433)),0)</f>
        <v>-7973.84</v>
      </c>
      <c r="Y433" s="19">
        <f>X433/1000</f>
        <v>-7.97384</v>
      </c>
    </row>
    <row r="434" spans="1:25" x14ac:dyDescent="0.25">
      <c r="A434" s="1">
        <v>45365</v>
      </c>
      <c r="B434" t="s">
        <v>409</v>
      </c>
      <c r="C434" t="s">
        <v>17</v>
      </c>
      <c r="D434" t="s">
        <v>18</v>
      </c>
      <c r="E434">
        <v>15</v>
      </c>
      <c r="F434">
        <v>0</v>
      </c>
      <c r="G434">
        <v>553.04999999999995</v>
      </c>
      <c r="H434">
        <v>8295.75</v>
      </c>
      <c r="I434" t="s">
        <v>410</v>
      </c>
      <c r="J434">
        <v>4.97</v>
      </c>
      <c r="K434">
        <v>4.1900000000000004</v>
      </c>
      <c r="L434">
        <v>0</v>
      </c>
      <c r="M434">
        <v>0.01</v>
      </c>
      <c r="N434">
        <v>20</v>
      </c>
      <c r="O434">
        <v>4.3600000000000003</v>
      </c>
      <c r="P434">
        <v>33.53</v>
      </c>
      <c r="Q434" s="18">
        <f>YEAR(A434)</f>
        <v>2024</v>
      </c>
      <c r="R434" s="18">
        <f>MONTH(A434)</f>
        <v>3</v>
      </c>
      <c r="S434" s="18">
        <f>IF(R434&lt;4,Q434-1,Q434)</f>
        <v>2023</v>
      </c>
      <c r="T434" s="18">
        <f>IF(R434&lt;4,R434+9,R434-3)</f>
        <v>12</v>
      </c>
      <c r="U434" s="18">
        <f>IF(LEN(T434)=1,_xlfn.CONCAT(0,T434),T434)</f>
        <v>12</v>
      </c>
      <c r="V434" s="18" t="str">
        <f>_xlfn.CONCAT(S434,U434)</f>
        <v>202312</v>
      </c>
      <c r="W434" s="18" t="str">
        <f>_xlfn.CONCAT(TEXT(A434,"MMM"),"-",MID(Q434,3,2))</f>
        <v>Mar-24</v>
      </c>
      <c r="X434" s="19">
        <f>IFERROR(IF(D434="Sell",(H434-P434),-(H434+P434)),0)</f>
        <v>8262.2199999999993</v>
      </c>
      <c r="Y434" s="19">
        <f>X434/1000</f>
        <v>8.2622199999999992</v>
      </c>
    </row>
    <row r="435" spans="1:25" x14ac:dyDescent="0.25">
      <c r="A435" s="1">
        <v>45365</v>
      </c>
      <c r="B435" t="s">
        <v>409</v>
      </c>
      <c r="C435" t="s">
        <v>17</v>
      </c>
      <c r="D435" t="s">
        <v>22</v>
      </c>
      <c r="E435">
        <v>15</v>
      </c>
      <c r="F435">
        <v>0</v>
      </c>
      <c r="G435">
        <v>527.9</v>
      </c>
      <c r="H435">
        <v>7918.5</v>
      </c>
      <c r="I435" t="s">
        <v>411</v>
      </c>
      <c r="J435">
        <v>0</v>
      </c>
      <c r="K435">
        <v>4</v>
      </c>
      <c r="L435">
        <v>0.24</v>
      </c>
      <c r="M435">
        <v>0.01</v>
      </c>
      <c r="N435">
        <v>20</v>
      </c>
      <c r="O435">
        <v>4.32</v>
      </c>
      <c r="P435">
        <v>28.57</v>
      </c>
      <c r="Q435" s="18">
        <f>YEAR(A435)</f>
        <v>2024</v>
      </c>
      <c r="R435" s="18">
        <f>MONTH(A435)</f>
        <v>3</v>
      </c>
      <c r="S435" s="18">
        <f>IF(R435&lt;4,Q435-1,Q435)</f>
        <v>2023</v>
      </c>
      <c r="T435" s="18">
        <f>IF(R435&lt;4,R435+9,R435-3)</f>
        <v>12</v>
      </c>
      <c r="U435" s="18">
        <f>IF(LEN(T435)=1,_xlfn.CONCAT(0,T435),T435)</f>
        <v>12</v>
      </c>
      <c r="V435" s="18" t="str">
        <f>_xlfn.CONCAT(S435,U435)</f>
        <v>202312</v>
      </c>
      <c r="W435" s="18" t="str">
        <f>_xlfn.CONCAT(TEXT(A435,"MMM"),"-",MID(Q435,3,2))</f>
        <v>Mar-24</v>
      </c>
      <c r="X435" s="19">
        <f>IFERROR(IF(D435="Sell",(H435-P435),-(H435+P435)),0)</f>
        <v>-7947.07</v>
      </c>
      <c r="Y435" s="19">
        <f>X435/1000</f>
        <v>-7.9470700000000001</v>
      </c>
    </row>
    <row r="436" spans="1:25" x14ac:dyDescent="0.25">
      <c r="A436" s="1">
        <v>45366</v>
      </c>
      <c r="B436" t="s">
        <v>390</v>
      </c>
      <c r="C436" t="s">
        <v>17</v>
      </c>
      <c r="D436" t="s">
        <v>22</v>
      </c>
      <c r="E436">
        <v>30</v>
      </c>
      <c r="F436">
        <v>0</v>
      </c>
      <c r="G436">
        <v>35.700000000000003</v>
      </c>
      <c r="H436">
        <v>1071</v>
      </c>
      <c r="I436" t="s">
        <v>398</v>
      </c>
      <c r="J436">
        <v>0</v>
      </c>
      <c r="K436">
        <v>0.54</v>
      </c>
      <c r="L436">
        <v>0</v>
      </c>
      <c r="M436">
        <v>0</v>
      </c>
      <c r="N436">
        <v>40</v>
      </c>
      <c r="O436">
        <v>7.3</v>
      </c>
      <c r="P436">
        <v>47.84</v>
      </c>
      <c r="Q436" s="18">
        <f>YEAR(A436)</f>
        <v>2024</v>
      </c>
      <c r="R436" s="18">
        <f>MONTH(A436)</f>
        <v>3</v>
      </c>
      <c r="S436" s="18">
        <f>IF(R436&lt;4,Q436-1,Q436)</f>
        <v>2023</v>
      </c>
      <c r="T436" s="18">
        <f>IF(R436&lt;4,R436+9,R436-3)</f>
        <v>12</v>
      </c>
      <c r="U436" s="18">
        <f>IF(LEN(T436)=1,_xlfn.CONCAT(0,T436),T436)</f>
        <v>12</v>
      </c>
      <c r="V436" s="18" t="str">
        <f>_xlfn.CONCAT(S436,U436)</f>
        <v>202312</v>
      </c>
      <c r="W436" s="18" t="str">
        <f>_xlfn.CONCAT(TEXT(A436,"MMM"),"-",MID(Q436,3,2))</f>
        <v>Mar-24</v>
      </c>
      <c r="X436" s="19">
        <f>IFERROR(IF(D436="Sell",(H436-P436),-(H436+P436)),0)</f>
        <v>-1118.8399999999999</v>
      </c>
      <c r="Y436" s="19">
        <f>X436/1000</f>
        <v>-1.1188399999999998</v>
      </c>
    </row>
    <row r="437" spans="1:25" x14ac:dyDescent="0.25">
      <c r="A437" s="1">
        <v>45366</v>
      </c>
      <c r="B437" t="s">
        <v>392</v>
      </c>
      <c r="C437" t="s">
        <v>17</v>
      </c>
      <c r="D437" t="s">
        <v>18</v>
      </c>
      <c r="E437">
        <v>15</v>
      </c>
      <c r="F437">
        <v>0</v>
      </c>
      <c r="G437">
        <v>363.4</v>
      </c>
      <c r="H437">
        <v>5451</v>
      </c>
      <c r="I437" t="s">
        <v>399</v>
      </c>
      <c r="J437">
        <v>3</v>
      </c>
      <c r="K437">
        <v>2.75</v>
      </c>
      <c r="L437">
        <v>0</v>
      </c>
      <c r="M437">
        <v>0.01</v>
      </c>
      <c r="N437">
        <v>20</v>
      </c>
      <c r="O437">
        <v>4.0999999999999996</v>
      </c>
      <c r="P437">
        <v>29.86</v>
      </c>
      <c r="Q437" s="18">
        <f>YEAR(A437)</f>
        <v>2024</v>
      </c>
      <c r="R437" s="18">
        <f>MONTH(A437)</f>
        <v>3</v>
      </c>
      <c r="S437" s="18">
        <f>IF(R437&lt;4,Q437-1,Q437)</f>
        <v>2023</v>
      </c>
      <c r="T437" s="18">
        <f>IF(R437&lt;4,R437+9,R437-3)</f>
        <v>12</v>
      </c>
      <c r="U437" s="18">
        <f>IF(LEN(T437)=1,_xlfn.CONCAT(0,T437),T437)</f>
        <v>12</v>
      </c>
      <c r="V437" s="18" t="str">
        <f>_xlfn.CONCAT(S437,U437)</f>
        <v>202312</v>
      </c>
      <c r="W437" s="18" t="str">
        <f>_xlfn.CONCAT(TEXT(A437,"MMM"),"-",MID(Q437,3,2))</f>
        <v>Mar-24</v>
      </c>
      <c r="X437" s="19">
        <f>IFERROR(IF(D437="Sell",(H437-P437),-(H437+P437)),0)</f>
        <v>5421.14</v>
      </c>
      <c r="Y437" s="19">
        <f>X437/1000</f>
        <v>5.4211400000000003</v>
      </c>
    </row>
    <row r="438" spans="1:25" x14ac:dyDescent="0.25">
      <c r="A438" s="1">
        <v>45366</v>
      </c>
      <c r="B438" t="s">
        <v>392</v>
      </c>
      <c r="C438" t="s">
        <v>17</v>
      </c>
      <c r="D438" t="s">
        <v>22</v>
      </c>
      <c r="E438">
        <v>15</v>
      </c>
      <c r="F438">
        <v>0</v>
      </c>
      <c r="G438">
        <v>264.64999999999998</v>
      </c>
      <c r="H438">
        <v>3969.75</v>
      </c>
      <c r="I438" t="s">
        <v>400</v>
      </c>
      <c r="J438">
        <v>0</v>
      </c>
      <c r="K438">
        <v>2</v>
      </c>
      <c r="L438">
        <v>0</v>
      </c>
      <c r="M438">
        <v>0</v>
      </c>
      <c r="N438">
        <v>20</v>
      </c>
      <c r="O438">
        <v>3.96</v>
      </c>
      <c r="P438">
        <v>25.96</v>
      </c>
      <c r="Q438" s="18">
        <f>YEAR(A438)</f>
        <v>2024</v>
      </c>
      <c r="R438" s="18">
        <f>MONTH(A438)</f>
        <v>3</v>
      </c>
      <c r="S438" s="18">
        <f>IF(R438&lt;4,Q438-1,Q438)</f>
        <v>2023</v>
      </c>
      <c r="T438" s="18">
        <f>IF(R438&lt;4,R438+9,R438-3)</f>
        <v>12</v>
      </c>
      <c r="U438" s="18">
        <f>IF(LEN(T438)=1,_xlfn.CONCAT(0,T438),T438)</f>
        <v>12</v>
      </c>
      <c r="V438" s="18" t="str">
        <f>_xlfn.CONCAT(S438,U438)</f>
        <v>202312</v>
      </c>
      <c r="W438" s="18" t="str">
        <f>_xlfn.CONCAT(TEXT(A438,"MMM"),"-",MID(Q438,3,2))</f>
        <v>Mar-24</v>
      </c>
      <c r="X438" s="19">
        <f>IFERROR(IF(D438="Sell",(H438-P438),-(H438+P438)),0)</f>
        <v>-3995.71</v>
      </c>
      <c r="Y438" s="19">
        <f>X438/1000</f>
        <v>-3.9957099999999999</v>
      </c>
    </row>
    <row r="439" spans="1:25" x14ac:dyDescent="0.25">
      <c r="A439" s="1">
        <v>45369</v>
      </c>
      <c r="B439" t="s">
        <v>386</v>
      </c>
      <c r="C439" t="s">
        <v>17</v>
      </c>
      <c r="D439" t="s">
        <v>18</v>
      </c>
      <c r="E439">
        <v>30</v>
      </c>
      <c r="F439">
        <v>0</v>
      </c>
      <c r="G439">
        <v>124.2</v>
      </c>
      <c r="H439">
        <v>3726</v>
      </c>
      <c r="I439" t="s">
        <v>387</v>
      </c>
      <c r="J439">
        <v>2.33</v>
      </c>
      <c r="K439">
        <v>1.88</v>
      </c>
      <c r="L439">
        <v>0</v>
      </c>
      <c r="M439">
        <v>0</v>
      </c>
      <c r="N439">
        <v>40</v>
      </c>
      <c r="O439">
        <v>7.54</v>
      </c>
      <c r="P439">
        <v>51.75</v>
      </c>
      <c r="Q439" s="18">
        <f>YEAR(A439)</f>
        <v>2024</v>
      </c>
      <c r="R439" s="18">
        <f>MONTH(A439)</f>
        <v>3</v>
      </c>
      <c r="S439" s="18">
        <f>IF(R439&lt;4,Q439-1,Q439)</f>
        <v>2023</v>
      </c>
      <c r="T439" s="18">
        <f>IF(R439&lt;4,R439+9,R439-3)</f>
        <v>12</v>
      </c>
      <c r="U439" s="18">
        <f>IF(LEN(T439)=1,_xlfn.CONCAT(0,T439),T439)</f>
        <v>12</v>
      </c>
      <c r="V439" s="18" t="str">
        <f>_xlfn.CONCAT(S439,U439)</f>
        <v>202312</v>
      </c>
      <c r="W439" s="18" t="str">
        <f>_xlfn.CONCAT(TEXT(A439,"MMM"),"-",MID(Q439,3,2))</f>
        <v>Mar-24</v>
      </c>
      <c r="X439" s="19">
        <f>IFERROR(IF(D439="Sell",(H439-P439),-(H439+P439)),0)</f>
        <v>3674.25</v>
      </c>
      <c r="Y439" s="19">
        <f>X439/1000</f>
        <v>3.6742499999999998</v>
      </c>
    </row>
    <row r="440" spans="1:25" x14ac:dyDescent="0.25">
      <c r="A440" s="1">
        <v>45369</v>
      </c>
      <c r="B440" t="s">
        <v>386</v>
      </c>
      <c r="C440" t="s">
        <v>17</v>
      </c>
      <c r="D440" t="s">
        <v>22</v>
      </c>
      <c r="E440">
        <v>15</v>
      </c>
      <c r="F440">
        <v>0</v>
      </c>
      <c r="G440">
        <v>255.45</v>
      </c>
      <c r="H440">
        <v>3831.75</v>
      </c>
      <c r="I440" t="s">
        <v>388</v>
      </c>
      <c r="J440">
        <v>0</v>
      </c>
      <c r="K440">
        <v>1.94</v>
      </c>
      <c r="L440">
        <v>0.69</v>
      </c>
      <c r="M440">
        <v>0</v>
      </c>
      <c r="N440">
        <v>20</v>
      </c>
      <c r="O440">
        <v>3.94</v>
      </c>
      <c r="P440">
        <v>26.57</v>
      </c>
      <c r="Q440" s="18">
        <f>YEAR(A440)</f>
        <v>2024</v>
      </c>
      <c r="R440" s="18">
        <f>MONTH(A440)</f>
        <v>3</v>
      </c>
      <c r="S440" s="18">
        <f>IF(R440&lt;4,Q440-1,Q440)</f>
        <v>2023</v>
      </c>
      <c r="T440" s="18">
        <f>IF(R440&lt;4,R440+9,R440-3)</f>
        <v>12</v>
      </c>
      <c r="U440" s="18">
        <f>IF(LEN(T440)=1,_xlfn.CONCAT(0,T440),T440)</f>
        <v>12</v>
      </c>
      <c r="V440" s="18" t="str">
        <f>_xlfn.CONCAT(S440,U440)</f>
        <v>202312</v>
      </c>
      <c r="W440" s="18" t="str">
        <f>_xlfn.CONCAT(TEXT(A440,"MMM"),"-",MID(Q440,3,2))</f>
        <v>Mar-24</v>
      </c>
      <c r="X440" s="19">
        <f>IFERROR(IF(D440="Sell",(H440-P440),-(H440+P440)),0)</f>
        <v>-3858.32</v>
      </c>
      <c r="Y440" s="19">
        <f>X440/1000</f>
        <v>-3.85832</v>
      </c>
    </row>
    <row r="441" spans="1:25" x14ac:dyDescent="0.25">
      <c r="A441" s="1">
        <v>45369</v>
      </c>
      <c r="B441" t="s">
        <v>386</v>
      </c>
      <c r="C441" t="s">
        <v>17</v>
      </c>
      <c r="D441" t="s">
        <v>22</v>
      </c>
      <c r="E441">
        <v>15</v>
      </c>
      <c r="F441">
        <v>0</v>
      </c>
      <c r="G441">
        <v>277.3</v>
      </c>
      <c r="H441">
        <v>4159.5</v>
      </c>
      <c r="I441" t="s">
        <v>389</v>
      </c>
      <c r="J441">
        <v>0</v>
      </c>
      <c r="K441">
        <v>2.1</v>
      </c>
      <c r="L441">
        <v>0</v>
      </c>
      <c r="M441">
        <v>0</v>
      </c>
      <c r="N441">
        <v>20</v>
      </c>
      <c r="O441">
        <v>3.98</v>
      </c>
      <c r="P441">
        <v>26.08</v>
      </c>
      <c r="Q441" s="18">
        <f>YEAR(A441)</f>
        <v>2024</v>
      </c>
      <c r="R441" s="18">
        <f>MONTH(A441)</f>
        <v>3</v>
      </c>
      <c r="S441" s="18">
        <f>IF(R441&lt;4,Q441-1,Q441)</f>
        <v>2023</v>
      </c>
      <c r="T441" s="18">
        <f>IF(R441&lt;4,R441+9,R441-3)</f>
        <v>12</v>
      </c>
      <c r="U441" s="18">
        <f>IF(LEN(T441)=1,_xlfn.CONCAT(0,T441),T441)</f>
        <v>12</v>
      </c>
      <c r="V441" s="18" t="str">
        <f>_xlfn.CONCAT(S441,U441)</f>
        <v>202312</v>
      </c>
      <c r="W441" s="18" t="str">
        <f>_xlfn.CONCAT(TEXT(A441,"MMM"),"-",MID(Q441,3,2))</f>
        <v>Mar-24</v>
      </c>
      <c r="X441" s="19">
        <f>IFERROR(IF(D441="Sell",(H441-P441),-(H441+P441)),0)</f>
        <v>-4185.58</v>
      </c>
      <c r="Y441" s="19">
        <f>X441/1000</f>
        <v>-4.1855799999999999</v>
      </c>
    </row>
    <row r="442" spans="1:25" x14ac:dyDescent="0.25">
      <c r="A442" s="1">
        <v>45369</v>
      </c>
      <c r="B442" t="s">
        <v>390</v>
      </c>
      <c r="C442" t="s">
        <v>17</v>
      </c>
      <c r="D442" t="s">
        <v>18</v>
      </c>
      <c r="E442">
        <v>30</v>
      </c>
      <c r="F442">
        <v>0</v>
      </c>
      <c r="G442">
        <v>16.7</v>
      </c>
      <c r="H442">
        <v>501</v>
      </c>
      <c r="I442" t="s">
        <v>391</v>
      </c>
      <c r="J442">
        <v>0.31</v>
      </c>
      <c r="K442">
        <v>0.25</v>
      </c>
      <c r="L442">
        <v>0</v>
      </c>
      <c r="M442">
        <v>0</v>
      </c>
      <c r="N442">
        <v>40</v>
      </c>
      <c r="O442">
        <v>7.24</v>
      </c>
      <c r="P442">
        <v>47.8</v>
      </c>
      <c r="Q442" s="18">
        <f>YEAR(A442)</f>
        <v>2024</v>
      </c>
      <c r="R442" s="18">
        <f>MONTH(A442)</f>
        <v>3</v>
      </c>
      <c r="S442" s="18">
        <f>IF(R442&lt;4,Q442-1,Q442)</f>
        <v>2023</v>
      </c>
      <c r="T442" s="18">
        <f>IF(R442&lt;4,R442+9,R442-3)</f>
        <v>12</v>
      </c>
      <c r="U442" s="18">
        <f>IF(LEN(T442)=1,_xlfn.CONCAT(0,T442),T442)</f>
        <v>12</v>
      </c>
      <c r="V442" s="18" t="str">
        <f>_xlfn.CONCAT(S442,U442)</f>
        <v>202312</v>
      </c>
      <c r="W442" s="18" t="str">
        <f>_xlfn.CONCAT(TEXT(A442,"MMM"),"-",MID(Q442,3,2))</f>
        <v>Mar-24</v>
      </c>
      <c r="X442" s="19">
        <f>IFERROR(IF(D442="Sell",(H442-P442),-(H442+P442)),0)</f>
        <v>453.2</v>
      </c>
      <c r="Y442" s="19">
        <f>X442/1000</f>
        <v>0.45319999999999999</v>
      </c>
    </row>
    <row r="443" spans="1:25" x14ac:dyDescent="0.25">
      <c r="A443" s="1">
        <v>45369</v>
      </c>
      <c r="B443" t="s">
        <v>392</v>
      </c>
      <c r="C443" t="s">
        <v>17</v>
      </c>
      <c r="D443" t="s">
        <v>18</v>
      </c>
      <c r="E443">
        <v>15</v>
      </c>
      <c r="F443">
        <v>0</v>
      </c>
      <c r="G443">
        <v>418.25</v>
      </c>
      <c r="H443">
        <v>6273.75</v>
      </c>
      <c r="I443" t="s">
        <v>393</v>
      </c>
      <c r="J443">
        <v>3.92</v>
      </c>
      <c r="K443">
        <v>3.17</v>
      </c>
      <c r="L443">
        <v>0</v>
      </c>
      <c r="M443">
        <v>0.01</v>
      </c>
      <c r="N443">
        <v>20</v>
      </c>
      <c r="O443">
        <v>4.18</v>
      </c>
      <c r="P443">
        <v>31.28</v>
      </c>
      <c r="Q443" s="18">
        <f>YEAR(A443)</f>
        <v>2024</v>
      </c>
      <c r="R443" s="18">
        <f>MONTH(A443)</f>
        <v>3</v>
      </c>
      <c r="S443" s="18">
        <f>IF(R443&lt;4,Q443-1,Q443)</f>
        <v>2023</v>
      </c>
      <c r="T443" s="18">
        <f>IF(R443&lt;4,R443+9,R443-3)</f>
        <v>12</v>
      </c>
      <c r="U443" s="18">
        <f>IF(LEN(T443)=1,_xlfn.CONCAT(0,T443),T443)</f>
        <v>12</v>
      </c>
      <c r="V443" s="18" t="str">
        <f>_xlfn.CONCAT(S443,U443)</f>
        <v>202312</v>
      </c>
      <c r="W443" s="18" t="str">
        <f>_xlfn.CONCAT(TEXT(A443,"MMM"),"-",MID(Q443,3,2))</f>
        <v>Mar-24</v>
      </c>
      <c r="X443" s="19">
        <f>IFERROR(IF(D443="Sell",(H443-P443),-(H443+P443)),0)</f>
        <v>6242.47</v>
      </c>
      <c r="Y443" s="19">
        <f>X443/1000</f>
        <v>6.24247</v>
      </c>
    </row>
    <row r="444" spans="1:25" x14ac:dyDescent="0.25">
      <c r="A444" s="1">
        <v>45369</v>
      </c>
      <c r="B444" t="s">
        <v>392</v>
      </c>
      <c r="C444" t="s">
        <v>17</v>
      </c>
      <c r="D444" t="s">
        <v>22</v>
      </c>
      <c r="E444">
        <v>15</v>
      </c>
      <c r="F444">
        <v>0</v>
      </c>
      <c r="G444">
        <v>331.5</v>
      </c>
      <c r="H444">
        <v>4972.5</v>
      </c>
      <c r="I444" t="s">
        <v>394</v>
      </c>
      <c r="J444">
        <v>0</v>
      </c>
      <c r="K444">
        <v>2.5099999999999998</v>
      </c>
      <c r="L444">
        <v>0.15</v>
      </c>
      <c r="M444">
        <v>0</v>
      </c>
      <c r="N444">
        <v>20</v>
      </c>
      <c r="O444">
        <v>4.0599999999999996</v>
      </c>
      <c r="P444">
        <v>26.72</v>
      </c>
      <c r="Q444" s="18">
        <f>YEAR(A444)</f>
        <v>2024</v>
      </c>
      <c r="R444" s="18">
        <f>MONTH(A444)</f>
        <v>3</v>
      </c>
      <c r="S444" s="18">
        <f>IF(R444&lt;4,Q444-1,Q444)</f>
        <v>2023</v>
      </c>
      <c r="T444" s="18">
        <f>IF(R444&lt;4,R444+9,R444-3)</f>
        <v>12</v>
      </c>
      <c r="U444" s="18">
        <f>IF(LEN(T444)=1,_xlfn.CONCAT(0,T444),T444)</f>
        <v>12</v>
      </c>
      <c r="V444" s="18" t="str">
        <f>_xlfn.CONCAT(S444,U444)</f>
        <v>202312</v>
      </c>
      <c r="W444" s="18" t="str">
        <f>_xlfn.CONCAT(TEXT(A444,"MMM"),"-",MID(Q444,3,2))</f>
        <v>Mar-24</v>
      </c>
      <c r="X444" s="19">
        <f>IFERROR(IF(D444="Sell",(H444-P444),-(H444+P444)),0)</f>
        <v>-4999.22</v>
      </c>
      <c r="Y444" s="19">
        <f>X444/1000</f>
        <v>-4.9992200000000002</v>
      </c>
    </row>
    <row r="445" spans="1:25" x14ac:dyDescent="0.25">
      <c r="A445" s="1">
        <v>45369</v>
      </c>
      <c r="B445" t="s">
        <v>395</v>
      </c>
      <c r="C445" t="s">
        <v>17</v>
      </c>
      <c r="D445" t="s">
        <v>18</v>
      </c>
      <c r="E445">
        <v>15</v>
      </c>
      <c r="F445">
        <v>0</v>
      </c>
      <c r="G445">
        <v>425</v>
      </c>
      <c r="H445">
        <v>6375</v>
      </c>
      <c r="I445" t="s">
        <v>396</v>
      </c>
      <c r="J445">
        <v>4.4400000000000004</v>
      </c>
      <c r="K445">
        <v>3.22</v>
      </c>
      <c r="L445">
        <v>0</v>
      </c>
      <c r="M445">
        <v>0.01</v>
      </c>
      <c r="N445">
        <v>20</v>
      </c>
      <c r="O445">
        <v>4.18</v>
      </c>
      <c r="P445">
        <v>31.85</v>
      </c>
      <c r="Q445" s="18">
        <f>YEAR(A445)</f>
        <v>2024</v>
      </c>
      <c r="R445" s="18">
        <f>MONTH(A445)</f>
        <v>3</v>
      </c>
      <c r="S445" s="18">
        <f>IF(R445&lt;4,Q445-1,Q445)</f>
        <v>2023</v>
      </c>
      <c r="T445" s="18">
        <f>IF(R445&lt;4,R445+9,R445-3)</f>
        <v>12</v>
      </c>
      <c r="U445" s="18">
        <f>IF(LEN(T445)=1,_xlfn.CONCAT(0,T445),T445)</f>
        <v>12</v>
      </c>
      <c r="V445" s="18" t="str">
        <f>_xlfn.CONCAT(S445,U445)</f>
        <v>202312</v>
      </c>
      <c r="W445" s="18" t="str">
        <f>_xlfn.CONCAT(TEXT(A445,"MMM"),"-",MID(Q445,3,2))</f>
        <v>Mar-24</v>
      </c>
      <c r="X445" s="19">
        <f>IFERROR(IF(D445="Sell",(H445-P445),-(H445+P445)),0)</f>
        <v>6343.15</v>
      </c>
      <c r="Y445" s="19">
        <f>X445/1000</f>
        <v>6.3431499999999996</v>
      </c>
    </row>
    <row r="446" spans="1:25" x14ac:dyDescent="0.25">
      <c r="A446" s="1">
        <v>45369</v>
      </c>
      <c r="B446" t="s">
        <v>395</v>
      </c>
      <c r="C446" t="s">
        <v>17</v>
      </c>
      <c r="D446" t="s">
        <v>22</v>
      </c>
      <c r="E446">
        <v>15</v>
      </c>
      <c r="F446">
        <v>0</v>
      </c>
      <c r="G446">
        <v>364.05</v>
      </c>
      <c r="H446">
        <v>5460.75</v>
      </c>
      <c r="I446" t="s">
        <v>397</v>
      </c>
      <c r="J446">
        <v>0</v>
      </c>
      <c r="K446">
        <v>2.76</v>
      </c>
      <c r="L446">
        <v>0.16</v>
      </c>
      <c r="M446">
        <v>0.01</v>
      </c>
      <c r="N446">
        <v>20</v>
      </c>
      <c r="O446">
        <v>4.0999999999999996</v>
      </c>
      <c r="P446">
        <v>27.03</v>
      </c>
      <c r="Q446" s="18">
        <f>YEAR(A446)</f>
        <v>2024</v>
      </c>
      <c r="R446" s="18">
        <f>MONTH(A446)</f>
        <v>3</v>
      </c>
      <c r="S446" s="18">
        <f>IF(R446&lt;4,Q446-1,Q446)</f>
        <v>2023</v>
      </c>
      <c r="T446" s="18">
        <f>IF(R446&lt;4,R446+9,R446-3)</f>
        <v>12</v>
      </c>
      <c r="U446" s="18">
        <f>IF(LEN(T446)=1,_xlfn.CONCAT(0,T446),T446)</f>
        <v>12</v>
      </c>
      <c r="V446" s="18" t="str">
        <f>_xlfn.CONCAT(S446,U446)</f>
        <v>202312</v>
      </c>
      <c r="W446" s="18" t="str">
        <f>_xlfn.CONCAT(TEXT(A446,"MMM"),"-",MID(Q446,3,2))</f>
        <v>Mar-24</v>
      </c>
      <c r="X446" s="19">
        <f>IFERROR(IF(D446="Sell",(H446-P446),-(H446+P446)),0)</f>
        <v>-5487.78</v>
      </c>
      <c r="Y446" s="19">
        <f>X446/1000</f>
        <v>-5.4877799999999999</v>
      </c>
    </row>
    <row r="447" spans="1:25" x14ac:dyDescent="0.25">
      <c r="A447" s="1">
        <v>45370</v>
      </c>
      <c r="B447" t="s">
        <v>372</v>
      </c>
      <c r="C447" t="s">
        <v>17</v>
      </c>
      <c r="D447" t="s">
        <v>22</v>
      </c>
      <c r="E447">
        <v>50</v>
      </c>
      <c r="F447">
        <v>0</v>
      </c>
      <c r="G447">
        <v>45.65</v>
      </c>
      <c r="H447">
        <v>2282.5</v>
      </c>
      <c r="I447" t="s">
        <v>373</v>
      </c>
      <c r="J447">
        <v>0</v>
      </c>
      <c r="K447">
        <v>1.1499999999999999</v>
      </c>
      <c r="L447">
        <v>7.0000000000000007E-2</v>
      </c>
      <c r="M447">
        <v>0</v>
      </c>
      <c r="N447">
        <v>20</v>
      </c>
      <c r="O447">
        <v>3.8</v>
      </c>
      <c r="P447">
        <v>25.02</v>
      </c>
      <c r="Q447" s="18">
        <f>YEAR(A447)</f>
        <v>2024</v>
      </c>
      <c r="R447" s="18">
        <f>MONTH(A447)</f>
        <v>3</v>
      </c>
      <c r="S447" s="18">
        <f>IF(R447&lt;4,Q447-1,Q447)</f>
        <v>2023</v>
      </c>
      <c r="T447" s="18">
        <f>IF(R447&lt;4,R447+9,R447-3)</f>
        <v>12</v>
      </c>
      <c r="U447" s="18">
        <f>IF(LEN(T447)=1,_xlfn.CONCAT(0,T447),T447)</f>
        <v>12</v>
      </c>
      <c r="V447" s="18" t="str">
        <f>_xlfn.CONCAT(S447,U447)</f>
        <v>202312</v>
      </c>
      <c r="W447" s="18" t="str">
        <f>_xlfn.CONCAT(TEXT(A447,"MMM"),"-",MID(Q447,3,2))</f>
        <v>Mar-24</v>
      </c>
      <c r="X447" s="19">
        <f>IFERROR(IF(D447="Sell",(H447-P447),-(H447+P447)),0)</f>
        <v>-2307.52</v>
      </c>
      <c r="Y447" s="19">
        <f>X447/1000</f>
        <v>-2.3075199999999998</v>
      </c>
    </row>
    <row r="448" spans="1:25" x14ac:dyDescent="0.25">
      <c r="A448" s="1">
        <v>45370</v>
      </c>
      <c r="B448" t="s">
        <v>374</v>
      </c>
      <c r="C448" t="s">
        <v>17</v>
      </c>
      <c r="D448" t="s">
        <v>18</v>
      </c>
      <c r="E448">
        <v>450</v>
      </c>
      <c r="F448">
        <v>0</v>
      </c>
      <c r="G448">
        <v>126.73</v>
      </c>
      <c r="H448">
        <v>57030</v>
      </c>
      <c r="I448" t="s">
        <v>375</v>
      </c>
      <c r="J448">
        <v>35.65</v>
      </c>
      <c r="K448">
        <v>28.8</v>
      </c>
      <c r="L448">
        <v>0</v>
      </c>
      <c r="M448">
        <v>0.04</v>
      </c>
      <c r="N448">
        <v>600</v>
      </c>
      <c r="O448">
        <v>113.2</v>
      </c>
      <c r="P448">
        <v>777.69</v>
      </c>
      <c r="Q448" s="18">
        <f>YEAR(A448)</f>
        <v>2024</v>
      </c>
      <c r="R448" s="18">
        <f>MONTH(A448)</f>
        <v>3</v>
      </c>
      <c r="S448" s="18">
        <f>IF(R448&lt;4,Q448-1,Q448)</f>
        <v>2023</v>
      </c>
      <c r="T448" s="18">
        <f>IF(R448&lt;4,R448+9,R448-3)</f>
        <v>12</v>
      </c>
      <c r="U448" s="18">
        <f>IF(LEN(T448)=1,_xlfn.CONCAT(0,T448),T448)</f>
        <v>12</v>
      </c>
      <c r="V448" s="18" t="str">
        <f>_xlfn.CONCAT(S448,U448)</f>
        <v>202312</v>
      </c>
      <c r="W448" s="18" t="str">
        <f>_xlfn.CONCAT(TEXT(A448,"MMM"),"-",MID(Q448,3,2))</f>
        <v>Mar-24</v>
      </c>
      <c r="X448" s="19">
        <f>IFERROR(IF(D448="Sell",(H448-P448),-(H448+P448)),0)</f>
        <v>56252.31</v>
      </c>
      <c r="Y448" s="19">
        <f>X448/1000</f>
        <v>56.252309999999994</v>
      </c>
    </row>
    <row r="449" spans="1:25" x14ac:dyDescent="0.25">
      <c r="A449" s="1">
        <v>45370</v>
      </c>
      <c r="B449" t="s">
        <v>374</v>
      </c>
      <c r="C449" t="s">
        <v>17</v>
      </c>
      <c r="D449" t="s">
        <v>22</v>
      </c>
      <c r="E449">
        <v>225</v>
      </c>
      <c r="F449">
        <v>0</v>
      </c>
      <c r="G449">
        <v>149.56</v>
      </c>
      <c r="H449">
        <v>33651</v>
      </c>
      <c r="I449" t="s">
        <v>376</v>
      </c>
      <c r="J449">
        <v>0</v>
      </c>
      <c r="K449">
        <v>16.989999999999998</v>
      </c>
      <c r="L449">
        <v>0</v>
      </c>
      <c r="M449">
        <v>0.04</v>
      </c>
      <c r="N449">
        <v>300</v>
      </c>
      <c r="O449">
        <v>57.08</v>
      </c>
      <c r="P449">
        <v>374.11</v>
      </c>
      <c r="Q449" s="18">
        <f>YEAR(A449)</f>
        <v>2024</v>
      </c>
      <c r="R449" s="18">
        <f>MONTH(A449)</f>
        <v>3</v>
      </c>
      <c r="S449" s="18">
        <f>IF(R449&lt;4,Q449-1,Q449)</f>
        <v>2023</v>
      </c>
      <c r="T449" s="18">
        <f>IF(R449&lt;4,R449+9,R449-3)</f>
        <v>12</v>
      </c>
      <c r="U449" s="18">
        <f>IF(LEN(T449)=1,_xlfn.CONCAT(0,T449),T449)</f>
        <v>12</v>
      </c>
      <c r="V449" s="18" t="str">
        <f>_xlfn.CONCAT(S449,U449)</f>
        <v>202312</v>
      </c>
      <c r="W449" s="18" t="str">
        <f>_xlfn.CONCAT(TEXT(A449,"MMM"),"-",MID(Q449,3,2))</f>
        <v>Mar-24</v>
      </c>
      <c r="X449" s="19">
        <f>IFERROR(IF(D449="Sell",(H449-P449),-(H449+P449)),0)</f>
        <v>-34025.11</v>
      </c>
      <c r="Y449" s="19">
        <f>X449/1000</f>
        <v>-34.025109999999998</v>
      </c>
    </row>
    <row r="450" spans="1:25" x14ac:dyDescent="0.25">
      <c r="A450" s="1">
        <v>45370</v>
      </c>
      <c r="B450" t="s">
        <v>374</v>
      </c>
      <c r="C450" t="s">
        <v>17</v>
      </c>
      <c r="D450" t="s">
        <v>22</v>
      </c>
      <c r="E450">
        <v>225</v>
      </c>
      <c r="F450">
        <v>0</v>
      </c>
      <c r="G450">
        <v>197.69</v>
      </c>
      <c r="H450">
        <v>44481</v>
      </c>
      <c r="I450" t="s">
        <v>377</v>
      </c>
      <c r="J450">
        <v>0</v>
      </c>
      <c r="K450">
        <v>22.46</v>
      </c>
      <c r="L450">
        <v>2.34</v>
      </c>
      <c r="M450">
        <v>0.05</v>
      </c>
      <c r="N450">
        <v>300</v>
      </c>
      <c r="O450">
        <v>58.06</v>
      </c>
      <c r="P450">
        <v>382.91</v>
      </c>
      <c r="Q450" s="18">
        <f>YEAR(A450)</f>
        <v>2024</v>
      </c>
      <c r="R450" s="18">
        <f>MONTH(A450)</f>
        <v>3</v>
      </c>
      <c r="S450" s="18">
        <f>IF(R450&lt;4,Q450-1,Q450)</f>
        <v>2023</v>
      </c>
      <c r="T450" s="18">
        <f>IF(R450&lt;4,R450+9,R450-3)</f>
        <v>12</v>
      </c>
      <c r="U450" s="18">
        <f>IF(LEN(T450)=1,_xlfn.CONCAT(0,T450),T450)</f>
        <v>12</v>
      </c>
      <c r="V450" s="18" t="str">
        <f>_xlfn.CONCAT(S450,U450)</f>
        <v>202312</v>
      </c>
      <c r="W450" s="18" t="str">
        <f>_xlfn.CONCAT(TEXT(A450,"MMM"),"-",MID(Q450,3,2))</f>
        <v>Mar-24</v>
      </c>
      <c r="X450" s="19">
        <f>IFERROR(IF(D450="Sell",(H450-P450),-(H450+P450)),0)</f>
        <v>-44863.91</v>
      </c>
      <c r="Y450" s="19">
        <f>X450/1000</f>
        <v>-44.863910000000004</v>
      </c>
    </row>
    <row r="451" spans="1:25" x14ac:dyDescent="0.25">
      <c r="A451" s="1">
        <v>45370</v>
      </c>
      <c r="B451" t="s">
        <v>372</v>
      </c>
      <c r="C451" t="s">
        <v>17</v>
      </c>
      <c r="D451" t="s">
        <v>18</v>
      </c>
      <c r="E451">
        <v>50</v>
      </c>
      <c r="F451">
        <v>0</v>
      </c>
      <c r="G451">
        <v>45.75</v>
      </c>
      <c r="H451">
        <v>2287.5</v>
      </c>
      <c r="I451" t="s">
        <v>378</v>
      </c>
      <c r="J451">
        <v>1.43</v>
      </c>
      <c r="K451">
        <v>1.1599999999999999</v>
      </c>
      <c r="L451">
        <v>0</v>
      </c>
      <c r="M451">
        <v>0</v>
      </c>
      <c r="N451">
        <v>20</v>
      </c>
      <c r="O451">
        <v>3.8</v>
      </c>
      <c r="P451">
        <v>26.39</v>
      </c>
      <c r="Q451" s="18">
        <f>YEAR(A451)</f>
        <v>2024</v>
      </c>
      <c r="R451" s="18">
        <f>MONTH(A451)</f>
        <v>3</v>
      </c>
      <c r="S451" s="18">
        <f>IF(R451&lt;4,Q451-1,Q451)</f>
        <v>2023</v>
      </c>
      <c r="T451" s="18">
        <f>IF(R451&lt;4,R451+9,R451-3)</f>
        <v>12</v>
      </c>
      <c r="U451" s="18">
        <f>IF(LEN(T451)=1,_xlfn.CONCAT(0,T451),T451)</f>
        <v>12</v>
      </c>
      <c r="V451" s="18" t="str">
        <f>_xlfn.CONCAT(S451,U451)</f>
        <v>202312</v>
      </c>
      <c r="W451" s="18" t="str">
        <f>_xlfn.CONCAT(TEXT(A451,"MMM"),"-",MID(Q451,3,2))</f>
        <v>Mar-24</v>
      </c>
      <c r="X451" s="19">
        <f>IFERROR(IF(D451="Sell",(H451-P451),-(H451+P451)),0)</f>
        <v>2261.11</v>
      </c>
      <c r="Y451" s="19">
        <f>X451/1000</f>
        <v>2.26111</v>
      </c>
    </row>
    <row r="452" spans="1:25" x14ac:dyDescent="0.25">
      <c r="A452" s="1">
        <v>45370</v>
      </c>
      <c r="B452" t="s">
        <v>379</v>
      </c>
      <c r="C452" t="s">
        <v>17</v>
      </c>
      <c r="D452" t="s">
        <v>18</v>
      </c>
      <c r="E452">
        <v>105</v>
      </c>
      <c r="F452">
        <v>0</v>
      </c>
      <c r="G452">
        <v>165.04</v>
      </c>
      <c r="H452">
        <v>17329.5</v>
      </c>
      <c r="I452" t="s">
        <v>380</v>
      </c>
      <c r="J452">
        <v>10.83</v>
      </c>
      <c r="K452">
        <v>8.75</v>
      </c>
      <c r="L452">
        <v>0</v>
      </c>
      <c r="M452">
        <v>0</v>
      </c>
      <c r="N452">
        <v>140</v>
      </c>
      <c r="O452">
        <v>26.8</v>
      </c>
      <c r="P452">
        <v>186.38</v>
      </c>
      <c r="Q452" s="18">
        <f>YEAR(A452)</f>
        <v>2024</v>
      </c>
      <c r="R452" s="18">
        <f>MONTH(A452)</f>
        <v>3</v>
      </c>
      <c r="S452" s="18">
        <f>IF(R452&lt;4,Q452-1,Q452)</f>
        <v>2023</v>
      </c>
      <c r="T452" s="18">
        <f>IF(R452&lt;4,R452+9,R452-3)</f>
        <v>12</v>
      </c>
      <c r="U452" s="18">
        <f>IF(LEN(T452)=1,_xlfn.CONCAT(0,T452),T452)</f>
        <v>12</v>
      </c>
      <c r="V452" s="18" t="str">
        <f>_xlfn.CONCAT(S452,U452)</f>
        <v>202312</v>
      </c>
      <c r="W452" s="18" t="str">
        <f>_xlfn.CONCAT(TEXT(A452,"MMM"),"-",MID(Q452,3,2))</f>
        <v>Mar-24</v>
      </c>
      <c r="X452" s="19">
        <f>IFERROR(IF(D452="Sell",(H452-P452),-(H452+P452)),0)</f>
        <v>17143.12</v>
      </c>
      <c r="Y452" s="19">
        <f>X452/1000</f>
        <v>17.14312</v>
      </c>
    </row>
    <row r="453" spans="1:25" x14ac:dyDescent="0.25">
      <c r="A453" s="1">
        <v>45370</v>
      </c>
      <c r="B453" t="s">
        <v>365</v>
      </c>
      <c r="C453" t="s">
        <v>17</v>
      </c>
      <c r="D453" t="s">
        <v>18</v>
      </c>
      <c r="E453">
        <v>15</v>
      </c>
      <c r="F453">
        <v>0</v>
      </c>
      <c r="G453">
        <v>108.3</v>
      </c>
      <c r="H453">
        <v>1624.5</v>
      </c>
      <c r="I453" t="s">
        <v>381</v>
      </c>
      <c r="J453">
        <v>1.02</v>
      </c>
      <c r="K453">
        <v>0.82</v>
      </c>
      <c r="L453">
        <v>0</v>
      </c>
      <c r="M453">
        <v>0</v>
      </c>
      <c r="N453">
        <v>20</v>
      </c>
      <c r="O453">
        <v>3.74</v>
      </c>
      <c r="P453">
        <v>25.58</v>
      </c>
      <c r="Q453" s="18">
        <f>YEAR(A453)</f>
        <v>2024</v>
      </c>
      <c r="R453" s="18">
        <f>MONTH(A453)</f>
        <v>3</v>
      </c>
      <c r="S453" s="18">
        <f>IF(R453&lt;4,Q453-1,Q453)</f>
        <v>2023</v>
      </c>
      <c r="T453" s="18">
        <f>IF(R453&lt;4,R453+9,R453-3)</f>
        <v>12</v>
      </c>
      <c r="U453" s="18">
        <f>IF(LEN(T453)=1,_xlfn.CONCAT(0,T453),T453)</f>
        <v>12</v>
      </c>
      <c r="V453" s="18" t="str">
        <f>_xlfn.CONCAT(S453,U453)</f>
        <v>202312</v>
      </c>
      <c r="W453" s="18" t="str">
        <f>_xlfn.CONCAT(TEXT(A453,"MMM"),"-",MID(Q453,3,2))</f>
        <v>Mar-24</v>
      </c>
      <c r="X453" s="19">
        <f>IFERROR(IF(D453="Sell",(H453-P453),-(H453+P453)),0)</f>
        <v>1598.92</v>
      </c>
      <c r="Y453" s="19">
        <f>X453/1000</f>
        <v>1.5989200000000001</v>
      </c>
    </row>
    <row r="454" spans="1:25" x14ac:dyDescent="0.25">
      <c r="A454" s="1">
        <v>45370</v>
      </c>
      <c r="B454" t="s">
        <v>379</v>
      </c>
      <c r="C454" t="s">
        <v>17</v>
      </c>
      <c r="D454" t="s">
        <v>22</v>
      </c>
      <c r="E454">
        <v>105</v>
      </c>
      <c r="F454">
        <v>0</v>
      </c>
      <c r="G454">
        <v>178.35</v>
      </c>
      <c r="H454">
        <v>18726.75</v>
      </c>
      <c r="I454" t="s">
        <v>382</v>
      </c>
      <c r="J454">
        <v>0</v>
      </c>
      <c r="K454">
        <v>9.4600000000000009</v>
      </c>
      <c r="L454">
        <v>0.56000000000000005</v>
      </c>
      <c r="M454">
        <v>0.02</v>
      </c>
      <c r="N454">
        <v>140</v>
      </c>
      <c r="O454">
        <v>26.9</v>
      </c>
      <c r="P454">
        <v>176.94</v>
      </c>
      <c r="Q454" s="18">
        <f>YEAR(A454)</f>
        <v>2024</v>
      </c>
      <c r="R454" s="18">
        <f>MONTH(A454)</f>
        <v>3</v>
      </c>
      <c r="S454" s="18">
        <f>IF(R454&lt;4,Q454-1,Q454)</f>
        <v>2023</v>
      </c>
      <c r="T454" s="18">
        <f>IF(R454&lt;4,R454+9,R454-3)</f>
        <v>12</v>
      </c>
      <c r="U454" s="18">
        <f>IF(LEN(T454)=1,_xlfn.CONCAT(0,T454),T454)</f>
        <v>12</v>
      </c>
      <c r="V454" s="18" t="str">
        <f>_xlfn.CONCAT(S454,U454)</f>
        <v>202312</v>
      </c>
      <c r="W454" s="18" t="str">
        <f>_xlfn.CONCAT(TEXT(A454,"MMM"),"-",MID(Q454,3,2))</f>
        <v>Mar-24</v>
      </c>
      <c r="X454" s="19">
        <f>IFERROR(IF(D454="Sell",(H454-P454),-(H454+P454)),0)</f>
        <v>-18903.689999999999</v>
      </c>
      <c r="Y454" s="19">
        <f>X454/1000</f>
        <v>-18.903689999999997</v>
      </c>
    </row>
    <row r="455" spans="1:25" x14ac:dyDescent="0.25">
      <c r="A455" s="1">
        <v>45370</v>
      </c>
      <c r="B455" t="s">
        <v>365</v>
      </c>
      <c r="C455" t="s">
        <v>17</v>
      </c>
      <c r="D455" t="s">
        <v>18</v>
      </c>
      <c r="E455">
        <v>900</v>
      </c>
      <c r="F455">
        <v>0</v>
      </c>
      <c r="G455">
        <v>169</v>
      </c>
      <c r="H455">
        <v>152100</v>
      </c>
      <c r="I455" t="s">
        <v>383</v>
      </c>
      <c r="J455">
        <v>95.07</v>
      </c>
      <c r="K455">
        <v>76.8</v>
      </c>
      <c r="L455">
        <v>0</v>
      </c>
      <c r="M455">
        <v>0.14000000000000001</v>
      </c>
      <c r="N455">
        <v>1200</v>
      </c>
      <c r="O455">
        <v>229.86</v>
      </c>
      <c r="P455">
        <v>1601.87</v>
      </c>
      <c r="Q455" s="18">
        <f>YEAR(A455)</f>
        <v>2024</v>
      </c>
      <c r="R455" s="18">
        <f>MONTH(A455)</f>
        <v>3</v>
      </c>
      <c r="S455" s="18">
        <f>IF(R455&lt;4,Q455-1,Q455)</f>
        <v>2023</v>
      </c>
      <c r="T455" s="18">
        <f>IF(R455&lt;4,R455+9,R455-3)</f>
        <v>12</v>
      </c>
      <c r="U455" s="18">
        <f>IF(LEN(T455)=1,_xlfn.CONCAT(0,T455),T455)</f>
        <v>12</v>
      </c>
      <c r="V455" s="18" t="str">
        <f>_xlfn.CONCAT(S455,U455)</f>
        <v>202312</v>
      </c>
      <c r="W455" s="18" t="str">
        <f>_xlfn.CONCAT(TEXT(A455,"MMM"),"-",MID(Q455,3,2))</f>
        <v>Mar-24</v>
      </c>
      <c r="X455" s="19">
        <f>IFERROR(IF(D455="Sell",(H455-P455),-(H455+P455)),0)</f>
        <v>150498.13</v>
      </c>
      <c r="Y455" s="19">
        <f>X455/1000</f>
        <v>150.49813</v>
      </c>
    </row>
    <row r="456" spans="1:25" x14ac:dyDescent="0.25">
      <c r="A456" s="1">
        <v>45370</v>
      </c>
      <c r="B456" t="s">
        <v>365</v>
      </c>
      <c r="C456" t="s">
        <v>17</v>
      </c>
      <c r="D456" t="s">
        <v>22</v>
      </c>
      <c r="E456">
        <v>900</v>
      </c>
      <c r="F456">
        <v>0</v>
      </c>
      <c r="G456">
        <v>164.95</v>
      </c>
      <c r="H456">
        <v>148455</v>
      </c>
      <c r="I456" t="s">
        <v>384</v>
      </c>
      <c r="J456">
        <v>0</v>
      </c>
      <c r="K456">
        <v>74.98</v>
      </c>
      <c r="L456">
        <v>5.03</v>
      </c>
      <c r="M456">
        <v>0.15</v>
      </c>
      <c r="N456">
        <v>1200</v>
      </c>
      <c r="O456">
        <v>229.52</v>
      </c>
      <c r="P456">
        <v>1509.68</v>
      </c>
      <c r="Q456" s="18">
        <f>YEAR(A456)</f>
        <v>2024</v>
      </c>
      <c r="R456" s="18">
        <f>MONTH(A456)</f>
        <v>3</v>
      </c>
      <c r="S456" s="18">
        <f>IF(R456&lt;4,Q456-1,Q456)</f>
        <v>2023</v>
      </c>
      <c r="T456" s="18">
        <f>IF(R456&lt;4,R456+9,R456-3)</f>
        <v>12</v>
      </c>
      <c r="U456" s="18">
        <f>IF(LEN(T456)=1,_xlfn.CONCAT(0,T456),T456)</f>
        <v>12</v>
      </c>
      <c r="V456" s="18" t="str">
        <f>_xlfn.CONCAT(S456,U456)</f>
        <v>202312</v>
      </c>
      <c r="W456" s="18" t="str">
        <f>_xlfn.CONCAT(TEXT(A456,"MMM"),"-",MID(Q456,3,2))</f>
        <v>Mar-24</v>
      </c>
      <c r="X456" s="19">
        <f>IFERROR(IF(D456="Sell",(H456-P456),-(H456+P456)),0)</f>
        <v>-149964.68</v>
      </c>
      <c r="Y456" s="19">
        <f>X456/1000</f>
        <v>-149.96467999999999</v>
      </c>
    </row>
    <row r="457" spans="1:25" x14ac:dyDescent="0.25">
      <c r="A457" s="1">
        <v>45370</v>
      </c>
      <c r="B457" t="s">
        <v>365</v>
      </c>
      <c r="C457" t="s">
        <v>17</v>
      </c>
      <c r="D457" t="s">
        <v>22</v>
      </c>
      <c r="E457">
        <v>15</v>
      </c>
      <c r="F457">
        <v>0</v>
      </c>
      <c r="G457">
        <v>171</v>
      </c>
      <c r="H457">
        <v>2565</v>
      </c>
      <c r="I457" t="s">
        <v>385</v>
      </c>
      <c r="J457">
        <v>0</v>
      </c>
      <c r="K457">
        <v>1.3</v>
      </c>
      <c r="L457">
        <v>0</v>
      </c>
      <c r="M457">
        <v>0</v>
      </c>
      <c r="N457">
        <v>20</v>
      </c>
      <c r="O457">
        <v>3.84</v>
      </c>
      <c r="P457">
        <v>25.14</v>
      </c>
      <c r="Q457" s="18">
        <f>YEAR(A457)</f>
        <v>2024</v>
      </c>
      <c r="R457" s="18">
        <f>MONTH(A457)</f>
        <v>3</v>
      </c>
      <c r="S457" s="18">
        <f>IF(R457&lt;4,Q457-1,Q457)</f>
        <v>2023</v>
      </c>
      <c r="T457" s="18">
        <f>IF(R457&lt;4,R457+9,R457-3)</f>
        <v>12</v>
      </c>
      <c r="U457" s="18">
        <f>IF(LEN(T457)=1,_xlfn.CONCAT(0,T457),T457)</f>
        <v>12</v>
      </c>
      <c r="V457" s="18" t="str">
        <f>_xlfn.CONCAT(S457,U457)</f>
        <v>202312</v>
      </c>
      <c r="W457" s="18" t="str">
        <f>_xlfn.CONCAT(TEXT(A457,"MMM"),"-",MID(Q457,3,2))</f>
        <v>Mar-24</v>
      </c>
      <c r="X457" s="19">
        <f>IFERROR(IF(D457="Sell",(H457-P457),-(H457+P457)),0)</f>
        <v>-2590.14</v>
      </c>
      <c r="Y457" s="19">
        <f>X457/1000</f>
        <v>-2.5901399999999999</v>
      </c>
    </row>
    <row r="458" spans="1:25" x14ac:dyDescent="0.25">
      <c r="A458" s="1">
        <v>45371</v>
      </c>
      <c r="B458" t="s">
        <v>365</v>
      </c>
      <c r="C458" t="s">
        <v>17</v>
      </c>
      <c r="D458" t="s">
        <v>18</v>
      </c>
      <c r="E458">
        <v>450</v>
      </c>
      <c r="F458">
        <v>0</v>
      </c>
      <c r="G458">
        <v>59.22</v>
      </c>
      <c r="H458">
        <v>26650.5</v>
      </c>
      <c r="I458" t="s">
        <v>366</v>
      </c>
      <c r="J458">
        <v>16.670000000000002</v>
      </c>
      <c r="K458">
        <v>13.46</v>
      </c>
      <c r="L458">
        <v>0</v>
      </c>
      <c r="M458">
        <v>0.02</v>
      </c>
      <c r="N458">
        <v>600</v>
      </c>
      <c r="O458">
        <v>110.4</v>
      </c>
      <c r="P458">
        <v>740.55</v>
      </c>
      <c r="Q458" s="18">
        <f>YEAR(A458)</f>
        <v>2024</v>
      </c>
      <c r="R458" s="18">
        <f>MONTH(A458)</f>
        <v>3</v>
      </c>
      <c r="S458" s="18">
        <f>IF(R458&lt;4,Q458-1,Q458)</f>
        <v>2023</v>
      </c>
      <c r="T458" s="18">
        <f>IF(R458&lt;4,R458+9,R458-3)</f>
        <v>12</v>
      </c>
      <c r="U458" s="18">
        <f>IF(LEN(T458)=1,_xlfn.CONCAT(0,T458),T458)</f>
        <v>12</v>
      </c>
      <c r="V458" s="18" t="str">
        <f>_xlfn.CONCAT(S458,U458)</f>
        <v>202312</v>
      </c>
      <c r="W458" s="18" t="str">
        <f>_xlfn.CONCAT(TEXT(A458,"MMM"),"-",MID(Q458,3,2))</f>
        <v>Mar-24</v>
      </c>
      <c r="X458" s="19">
        <f>IFERROR(IF(D458="Sell",(H458-P458),-(H458+P458)),0)</f>
        <v>25909.95</v>
      </c>
      <c r="Y458" s="19">
        <f>X458/1000</f>
        <v>25.909950000000002</v>
      </c>
    </row>
    <row r="459" spans="1:25" x14ac:dyDescent="0.25">
      <c r="A459" s="1">
        <v>45371</v>
      </c>
      <c r="B459" t="s">
        <v>365</v>
      </c>
      <c r="C459" t="s">
        <v>17</v>
      </c>
      <c r="D459" t="s">
        <v>18</v>
      </c>
      <c r="E459">
        <v>900</v>
      </c>
      <c r="F459">
        <v>0</v>
      </c>
      <c r="G459">
        <v>59.48</v>
      </c>
      <c r="H459">
        <v>53532</v>
      </c>
      <c r="I459" t="s">
        <v>367</v>
      </c>
      <c r="J459">
        <v>33.479999999999997</v>
      </c>
      <c r="K459">
        <v>27.02</v>
      </c>
      <c r="L459">
        <v>0</v>
      </c>
      <c r="M459">
        <v>0.04</v>
      </c>
      <c r="N459">
        <v>1200</v>
      </c>
      <c r="O459">
        <v>220.82</v>
      </c>
      <c r="P459">
        <v>1481.36</v>
      </c>
      <c r="Q459" s="18">
        <f>YEAR(A459)</f>
        <v>2024</v>
      </c>
      <c r="R459" s="18">
        <f>MONTH(A459)</f>
        <v>3</v>
      </c>
      <c r="S459" s="18">
        <f>IF(R459&lt;4,Q459-1,Q459)</f>
        <v>2023</v>
      </c>
      <c r="T459" s="18">
        <f>IF(R459&lt;4,R459+9,R459-3)</f>
        <v>12</v>
      </c>
      <c r="U459" s="18">
        <f>IF(LEN(T459)=1,_xlfn.CONCAT(0,T459),T459)</f>
        <v>12</v>
      </c>
      <c r="V459" s="18" t="str">
        <f>_xlfn.CONCAT(S459,U459)</f>
        <v>202312</v>
      </c>
      <c r="W459" s="18" t="str">
        <f>_xlfn.CONCAT(TEXT(A459,"MMM"),"-",MID(Q459,3,2))</f>
        <v>Mar-24</v>
      </c>
      <c r="X459" s="19">
        <f>IFERROR(IF(D459="Sell",(H459-P459),-(H459+P459)),0)</f>
        <v>52050.64</v>
      </c>
      <c r="Y459" s="19">
        <f>X459/1000</f>
        <v>52.050640000000001</v>
      </c>
    </row>
    <row r="460" spans="1:25" x14ac:dyDescent="0.25">
      <c r="A460" s="1">
        <v>45371</v>
      </c>
      <c r="B460" t="s">
        <v>365</v>
      </c>
      <c r="C460" t="s">
        <v>17</v>
      </c>
      <c r="D460" t="s">
        <v>18</v>
      </c>
      <c r="E460">
        <v>900</v>
      </c>
      <c r="F460">
        <v>0</v>
      </c>
      <c r="G460">
        <v>57.62</v>
      </c>
      <c r="H460">
        <v>51858.75</v>
      </c>
      <c r="I460" t="s">
        <v>368</v>
      </c>
      <c r="J460">
        <v>32.880000000000003</v>
      </c>
      <c r="K460">
        <v>26.19</v>
      </c>
      <c r="L460">
        <v>0</v>
      </c>
      <c r="M460">
        <v>0.05</v>
      </c>
      <c r="N460">
        <v>1200</v>
      </c>
      <c r="O460">
        <v>220.76</v>
      </c>
      <c r="P460">
        <v>1479.88</v>
      </c>
      <c r="Q460" s="18">
        <f>YEAR(A460)</f>
        <v>2024</v>
      </c>
      <c r="R460" s="18">
        <f>MONTH(A460)</f>
        <v>3</v>
      </c>
      <c r="S460" s="18">
        <f>IF(R460&lt;4,Q460-1,Q460)</f>
        <v>2023</v>
      </c>
      <c r="T460" s="18">
        <f>IF(R460&lt;4,R460+9,R460-3)</f>
        <v>12</v>
      </c>
      <c r="U460" s="18">
        <f>IF(LEN(T460)=1,_xlfn.CONCAT(0,T460),T460)</f>
        <v>12</v>
      </c>
      <c r="V460" s="18" t="str">
        <f>_xlfn.CONCAT(S460,U460)</f>
        <v>202312</v>
      </c>
      <c r="W460" s="18" t="str">
        <f>_xlfn.CONCAT(TEXT(A460,"MMM"),"-",MID(Q460,3,2))</f>
        <v>Mar-24</v>
      </c>
      <c r="X460" s="19">
        <f>IFERROR(IF(D460="Sell",(H460-P460),-(H460+P460)),0)</f>
        <v>50378.87</v>
      </c>
      <c r="Y460" s="19">
        <f>X460/1000</f>
        <v>50.378869999999999</v>
      </c>
    </row>
    <row r="461" spans="1:25" x14ac:dyDescent="0.25">
      <c r="A461" s="1">
        <v>45371</v>
      </c>
      <c r="B461" t="s">
        <v>365</v>
      </c>
      <c r="C461" t="s">
        <v>17</v>
      </c>
      <c r="D461" t="s">
        <v>22</v>
      </c>
      <c r="E461">
        <v>900</v>
      </c>
      <c r="F461">
        <v>0</v>
      </c>
      <c r="G461">
        <v>14.4</v>
      </c>
      <c r="H461">
        <v>12960</v>
      </c>
      <c r="I461" t="s">
        <v>369</v>
      </c>
      <c r="J461">
        <v>0</v>
      </c>
      <c r="K461">
        <v>6.55</v>
      </c>
      <c r="L461">
        <v>0</v>
      </c>
      <c r="M461">
        <v>0.01</v>
      </c>
      <c r="N461">
        <v>1200</v>
      </c>
      <c r="O461">
        <v>217.2</v>
      </c>
      <c r="P461">
        <v>1423.76</v>
      </c>
      <c r="Q461" s="18">
        <f>YEAR(A461)</f>
        <v>2024</v>
      </c>
      <c r="R461" s="18">
        <f>MONTH(A461)</f>
        <v>3</v>
      </c>
      <c r="S461" s="18">
        <f>IF(R461&lt;4,Q461-1,Q461)</f>
        <v>2023</v>
      </c>
      <c r="T461" s="18">
        <f>IF(R461&lt;4,R461+9,R461-3)</f>
        <v>12</v>
      </c>
      <c r="U461" s="18">
        <f>IF(LEN(T461)=1,_xlfn.CONCAT(0,T461),T461)</f>
        <v>12</v>
      </c>
      <c r="V461" s="18" t="str">
        <f>_xlfn.CONCAT(S461,U461)</f>
        <v>202312</v>
      </c>
      <c r="W461" s="18" t="str">
        <f>_xlfn.CONCAT(TEXT(A461,"MMM"),"-",MID(Q461,3,2))</f>
        <v>Mar-24</v>
      </c>
      <c r="X461" s="19">
        <f>IFERROR(IF(D461="Sell",(H461-P461),-(H461+P461)),0)</f>
        <v>-14383.76</v>
      </c>
      <c r="Y461" s="19">
        <f>X461/1000</f>
        <v>-14.383760000000001</v>
      </c>
    </row>
    <row r="462" spans="1:25" x14ac:dyDescent="0.25">
      <c r="A462" s="1">
        <v>45371</v>
      </c>
      <c r="B462" t="s">
        <v>365</v>
      </c>
      <c r="C462" t="s">
        <v>17</v>
      </c>
      <c r="D462" t="s">
        <v>22</v>
      </c>
      <c r="E462">
        <v>450</v>
      </c>
      <c r="F462">
        <v>0</v>
      </c>
      <c r="G462">
        <v>30.05</v>
      </c>
      <c r="H462">
        <v>13520.25</v>
      </c>
      <c r="I462" t="s">
        <v>370</v>
      </c>
      <c r="J462">
        <v>0</v>
      </c>
      <c r="K462">
        <v>6.89</v>
      </c>
      <c r="L462">
        <v>0</v>
      </c>
      <c r="M462">
        <v>0</v>
      </c>
      <c r="N462">
        <v>600</v>
      </c>
      <c r="O462">
        <v>109.2</v>
      </c>
      <c r="P462">
        <v>716.09</v>
      </c>
      <c r="Q462" s="18">
        <f>YEAR(A462)</f>
        <v>2024</v>
      </c>
      <c r="R462" s="18">
        <f>MONTH(A462)</f>
        <v>3</v>
      </c>
      <c r="S462" s="18">
        <f>IF(R462&lt;4,Q462-1,Q462)</f>
        <v>2023</v>
      </c>
      <c r="T462" s="18">
        <f>IF(R462&lt;4,R462+9,R462-3)</f>
        <v>12</v>
      </c>
      <c r="U462" s="18">
        <f>IF(LEN(T462)=1,_xlfn.CONCAT(0,T462),T462)</f>
        <v>12</v>
      </c>
      <c r="V462" s="18" t="str">
        <f>_xlfn.CONCAT(S462,U462)</f>
        <v>202312</v>
      </c>
      <c r="W462" s="18" t="str">
        <f>_xlfn.CONCAT(TEXT(A462,"MMM"),"-",MID(Q462,3,2))</f>
        <v>Mar-24</v>
      </c>
      <c r="X462" s="19">
        <f>IFERROR(IF(D462="Sell",(H462-P462),-(H462+P462)),0)</f>
        <v>-14236.34</v>
      </c>
      <c r="Y462" s="19">
        <f>X462/1000</f>
        <v>-14.23634</v>
      </c>
    </row>
    <row r="463" spans="1:25" x14ac:dyDescent="0.25">
      <c r="A463" s="1">
        <v>45371</v>
      </c>
      <c r="B463" t="s">
        <v>365</v>
      </c>
      <c r="C463" t="s">
        <v>17</v>
      </c>
      <c r="D463" t="s">
        <v>22</v>
      </c>
      <c r="E463">
        <v>900</v>
      </c>
      <c r="F463">
        <v>0</v>
      </c>
      <c r="G463">
        <v>94.52</v>
      </c>
      <c r="H463">
        <v>85069.5</v>
      </c>
      <c r="I463" t="s">
        <v>371</v>
      </c>
      <c r="J463">
        <v>0</v>
      </c>
      <c r="K463">
        <v>42.94</v>
      </c>
      <c r="L463">
        <v>3</v>
      </c>
      <c r="M463">
        <v>0.11</v>
      </c>
      <c r="N463">
        <v>1200</v>
      </c>
      <c r="O463">
        <v>223.76</v>
      </c>
      <c r="P463">
        <v>1469.81</v>
      </c>
      <c r="Q463" s="18">
        <f>YEAR(A463)</f>
        <v>2024</v>
      </c>
      <c r="R463" s="18">
        <f>MONTH(A463)</f>
        <v>3</v>
      </c>
      <c r="S463" s="18">
        <f>IF(R463&lt;4,Q463-1,Q463)</f>
        <v>2023</v>
      </c>
      <c r="T463" s="18">
        <f>IF(R463&lt;4,R463+9,R463-3)</f>
        <v>12</v>
      </c>
      <c r="U463" s="18">
        <f>IF(LEN(T463)=1,_xlfn.CONCAT(0,T463),T463)</f>
        <v>12</v>
      </c>
      <c r="V463" s="18" t="str">
        <f>_xlfn.CONCAT(S463,U463)</f>
        <v>202312</v>
      </c>
      <c r="W463" s="18" t="str">
        <f>_xlfn.CONCAT(TEXT(A463,"MMM"),"-",MID(Q463,3,2))</f>
        <v>Mar-24</v>
      </c>
      <c r="X463" s="19">
        <f>IFERROR(IF(D463="Sell",(H463-P463),-(H463+P463)),0)</f>
        <v>-86539.31</v>
      </c>
      <c r="Y463" s="19">
        <f>X463/1000</f>
        <v>-86.53931</v>
      </c>
    </row>
    <row r="464" spans="1:25" x14ac:dyDescent="0.25">
      <c r="A464" s="1">
        <v>45372</v>
      </c>
      <c r="B464" t="s">
        <v>359</v>
      </c>
      <c r="C464" t="s">
        <v>17</v>
      </c>
      <c r="D464" t="s">
        <v>18</v>
      </c>
      <c r="E464">
        <v>15</v>
      </c>
      <c r="F464">
        <v>0</v>
      </c>
      <c r="G464">
        <v>351.2</v>
      </c>
      <c r="H464">
        <v>5268</v>
      </c>
      <c r="I464" t="s">
        <v>360</v>
      </c>
      <c r="J464">
        <v>3.29</v>
      </c>
      <c r="K464">
        <v>2.66</v>
      </c>
      <c r="L464">
        <v>0</v>
      </c>
      <c r="M464">
        <v>0.01</v>
      </c>
      <c r="N464">
        <v>20</v>
      </c>
      <c r="O464">
        <v>4.08</v>
      </c>
      <c r="P464">
        <v>30.04</v>
      </c>
      <c r="Q464" s="18">
        <f>YEAR(A464)</f>
        <v>2024</v>
      </c>
      <c r="R464" s="18">
        <f>MONTH(A464)</f>
        <v>3</v>
      </c>
      <c r="S464" s="18">
        <f>IF(R464&lt;4,Q464-1,Q464)</f>
        <v>2023</v>
      </c>
      <c r="T464" s="18">
        <f>IF(R464&lt;4,R464+9,R464-3)</f>
        <v>12</v>
      </c>
      <c r="U464" s="18">
        <f>IF(LEN(T464)=1,_xlfn.CONCAT(0,T464),T464)</f>
        <v>12</v>
      </c>
      <c r="V464" s="18" t="str">
        <f>_xlfn.CONCAT(S464,U464)</f>
        <v>202312</v>
      </c>
      <c r="W464" s="18" t="str">
        <f>_xlfn.CONCAT(TEXT(A464,"MMM"),"-",MID(Q464,3,2))</f>
        <v>Mar-24</v>
      </c>
      <c r="X464" s="19">
        <f>IFERROR(IF(D464="Sell",(H464-P464),-(H464+P464)),0)</f>
        <v>5237.96</v>
      </c>
      <c r="Y464" s="19">
        <f>X464/1000</f>
        <v>5.2379600000000002</v>
      </c>
    </row>
    <row r="465" spans="1:25" x14ac:dyDescent="0.25">
      <c r="A465" s="1">
        <v>45372</v>
      </c>
      <c r="B465" t="s">
        <v>361</v>
      </c>
      <c r="C465" t="s">
        <v>17</v>
      </c>
      <c r="D465" t="s">
        <v>18</v>
      </c>
      <c r="E465">
        <v>50</v>
      </c>
      <c r="F465">
        <v>0</v>
      </c>
      <c r="G465">
        <v>12.4</v>
      </c>
      <c r="H465">
        <v>620</v>
      </c>
      <c r="I465" t="s">
        <v>362</v>
      </c>
      <c r="J465">
        <v>0.71</v>
      </c>
      <c r="K465">
        <v>0.31</v>
      </c>
      <c r="L465">
        <v>0</v>
      </c>
      <c r="M465">
        <v>0</v>
      </c>
      <c r="N465">
        <v>20</v>
      </c>
      <c r="O465">
        <v>3.66</v>
      </c>
      <c r="P465">
        <v>24.68</v>
      </c>
      <c r="Q465" s="18">
        <f>YEAR(A465)</f>
        <v>2024</v>
      </c>
      <c r="R465" s="18">
        <f>MONTH(A465)</f>
        <v>3</v>
      </c>
      <c r="S465" s="18">
        <f>IF(R465&lt;4,Q465-1,Q465)</f>
        <v>2023</v>
      </c>
      <c r="T465" s="18">
        <f>IF(R465&lt;4,R465+9,R465-3)</f>
        <v>12</v>
      </c>
      <c r="U465" s="18">
        <f>IF(LEN(T465)=1,_xlfn.CONCAT(0,T465),T465)</f>
        <v>12</v>
      </c>
      <c r="V465" s="18" t="str">
        <f>_xlfn.CONCAT(S465,U465)</f>
        <v>202312</v>
      </c>
      <c r="W465" s="18" t="str">
        <f>_xlfn.CONCAT(TEXT(A465,"MMM"),"-",MID(Q465,3,2))</f>
        <v>Mar-24</v>
      </c>
      <c r="X465" s="19">
        <f>IFERROR(IF(D465="Sell",(H465-P465),-(H465+P465)),0)</f>
        <v>595.32000000000005</v>
      </c>
      <c r="Y465" s="19">
        <f>X465/1000</f>
        <v>0.59532000000000007</v>
      </c>
    </row>
    <row r="466" spans="1:25" x14ac:dyDescent="0.25">
      <c r="A466" s="1">
        <v>45372</v>
      </c>
      <c r="B466" t="s">
        <v>361</v>
      </c>
      <c r="C466" t="s">
        <v>17</v>
      </c>
      <c r="D466" t="s">
        <v>22</v>
      </c>
      <c r="E466">
        <v>50</v>
      </c>
      <c r="F466">
        <v>0</v>
      </c>
      <c r="G466">
        <v>14.55</v>
      </c>
      <c r="H466">
        <v>727.5</v>
      </c>
      <c r="I466" t="s">
        <v>363</v>
      </c>
      <c r="J466">
        <v>0</v>
      </c>
      <c r="K466">
        <v>0.37</v>
      </c>
      <c r="L466">
        <v>0</v>
      </c>
      <c r="M466">
        <v>0</v>
      </c>
      <c r="N466">
        <v>20</v>
      </c>
      <c r="O466">
        <v>3.66</v>
      </c>
      <c r="P466">
        <v>24.03</v>
      </c>
      <c r="Q466" s="18">
        <f>YEAR(A466)</f>
        <v>2024</v>
      </c>
      <c r="R466" s="18">
        <f>MONTH(A466)</f>
        <v>3</v>
      </c>
      <c r="S466" s="18">
        <f>IF(R466&lt;4,Q466-1,Q466)</f>
        <v>2023</v>
      </c>
      <c r="T466" s="18">
        <f>IF(R466&lt;4,R466+9,R466-3)</f>
        <v>12</v>
      </c>
      <c r="U466" s="18">
        <f>IF(LEN(T466)=1,_xlfn.CONCAT(0,T466),T466)</f>
        <v>12</v>
      </c>
      <c r="V466" s="18" t="str">
        <f>_xlfn.CONCAT(S466,U466)</f>
        <v>202312</v>
      </c>
      <c r="W466" s="18" t="str">
        <f>_xlfn.CONCAT(TEXT(A466,"MMM"),"-",MID(Q466,3,2))</f>
        <v>Mar-24</v>
      </c>
      <c r="X466" s="19">
        <f>IFERROR(IF(D466="Sell",(H466-P466),-(H466+P466)),0)</f>
        <v>-751.53</v>
      </c>
      <c r="Y466" s="19">
        <f>X466/1000</f>
        <v>-0.75152999999999992</v>
      </c>
    </row>
    <row r="467" spans="1:25" x14ac:dyDescent="0.25">
      <c r="A467" s="1">
        <v>45372</v>
      </c>
      <c r="B467" t="s">
        <v>359</v>
      </c>
      <c r="C467" t="s">
        <v>17</v>
      </c>
      <c r="D467" t="s">
        <v>22</v>
      </c>
      <c r="E467">
        <v>15</v>
      </c>
      <c r="F467">
        <v>0</v>
      </c>
      <c r="G467">
        <v>392.1</v>
      </c>
      <c r="H467">
        <v>5881.5</v>
      </c>
      <c r="I467" t="s">
        <v>364</v>
      </c>
      <c r="J467">
        <v>0</v>
      </c>
      <c r="K467">
        <v>2.97</v>
      </c>
      <c r="L467">
        <v>0</v>
      </c>
      <c r="M467">
        <v>0.01</v>
      </c>
      <c r="N467">
        <v>20</v>
      </c>
      <c r="O467">
        <v>4.1399999999999997</v>
      </c>
      <c r="P467">
        <v>27.12</v>
      </c>
      <c r="Q467" s="18">
        <f>YEAR(A467)</f>
        <v>2024</v>
      </c>
      <c r="R467" s="18">
        <f>MONTH(A467)</f>
        <v>3</v>
      </c>
      <c r="S467" s="18">
        <f>IF(R467&lt;4,Q467-1,Q467)</f>
        <v>2023</v>
      </c>
      <c r="T467" s="18">
        <f>IF(R467&lt;4,R467+9,R467-3)</f>
        <v>12</v>
      </c>
      <c r="U467" s="18">
        <f>IF(LEN(T467)=1,_xlfn.CONCAT(0,T467),T467)</f>
        <v>12</v>
      </c>
      <c r="V467" s="18" t="str">
        <f>_xlfn.CONCAT(S467,U467)</f>
        <v>202312</v>
      </c>
      <c r="W467" s="18" t="str">
        <f>_xlfn.CONCAT(TEXT(A467,"MMM"),"-",MID(Q467,3,2))</f>
        <v>Mar-24</v>
      </c>
      <c r="X467" s="19">
        <f>IFERROR(IF(D467="Sell",(H467-P467),-(H467+P467)),0)</f>
        <v>-5908.62</v>
      </c>
      <c r="Y467" s="19">
        <f>X467/1000</f>
        <v>-5.90862</v>
      </c>
    </row>
    <row r="468" spans="1:25" x14ac:dyDescent="0.25">
      <c r="A468" s="1">
        <v>45373</v>
      </c>
      <c r="B468" t="s">
        <v>350</v>
      </c>
      <c r="C468" t="s">
        <v>17</v>
      </c>
      <c r="D468" t="s">
        <v>18</v>
      </c>
      <c r="E468">
        <v>60</v>
      </c>
      <c r="F468">
        <v>0</v>
      </c>
      <c r="G468">
        <v>323.89999999999998</v>
      </c>
      <c r="H468">
        <v>19434</v>
      </c>
      <c r="I468" t="s">
        <v>351</v>
      </c>
      <c r="J468">
        <v>12.14</v>
      </c>
      <c r="K468">
        <v>9.82</v>
      </c>
      <c r="L468">
        <v>0</v>
      </c>
      <c r="M468">
        <v>0.02</v>
      </c>
      <c r="N468">
        <v>80</v>
      </c>
      <c r="O468">
        <v>16.16</v>
      </c>
      <c r="P468">
        <v>118.14</v>
      </c>
      <c r="Q468" s="18">
        <f>YEAR(A468)</f>
        <v>2024</v>
      </c>
      <c r="R468" s="18">
        <f>MONTH(A468)</f>
        <v>3</v>
      </c>
      <c r="S468" s="18">
        <f>IF(R468&lt;4,Q468-1,Q468)</f>
        <v>2023</v>
      </c>
      <c r="T468" s="18">
        <f>IF(R468&lt;4,R468+9,R468-3)</f>
        <v>12</v>
      </c>
      <c r="U468" s="18">
        <f>IF(LEN(T468)=1,_xlfn.CONCAT(0,T468),T468)</f>
        <v>12</v>
      </c>
      <c r="V468" s="18" t="str">
        <f>_xlfn.CONCAT(S468,U468)</f>
        <v>202312</v>
      </c>
      <c r="W468" s="18" t="str">
        <f>_xlfn.CONCAT(TEXT(A468,"MMM"),"-",MID(Q468,3,2))</f>
        <v>Mar-24</v>
      </c>
      <c r="X468" s="19">
        <f>IFERROR(IF(D468="Sell",(H468-P468),-(H468+P468)),0)</f>
        <v>19315.86</v>
      </c>
      <c r="Y468" s="19">
        <f>X468/1000</f>
        <v>19.315860000000001</v>
      </c>
    </row>
    <row r="469" spans="1:25" x14ac:dyDescent="0.25">
      <c r="A469" s="1">
        <v>45373</v>
      </c>
      <c r="B469" t="s">
        <v>350</v>
      </c>
      <c r="C469" t="s">
        <v>17</v>
      </c>
      <c r="D469" t="s">
        <v>22</v>
      </c>
      <c r="E469">
        <v>60</v>
      </c>
      <c r="F469">
        <v>0</v>
      </c>
      <c r="G469">
        <v>378.5</v>
      </c>
      <c r="H469">
        <v>22710</v>
      </c>
      <c r="I469" t="s">
        <v>352</v>
      </c>
      <c r="J469">
        <v>0</v>
      </c>
      <c r="K469">
        <v>11.47</v>
      </c>
      <c r="L469">
        <v>0.68</v>
      </c>
      <c r="M469">
        <v>0.03</v>
      </c>
      <c r="N469">
        <v>80</v>
      </c>
      <c r="O469">
        <v>16.48</v>
      </c>
      <c r="P469">
        <v>108.66</v>
      </c>
      <c r="Q469" s="18">
        <f>YEAR(A469)</f>
        <v>2024</v>
      </c>
      <c r="R469" s="18">
        <f>MONTH(A469)</f>
        <v>3</v>
      </c>
      <c r="S469" s="18">
        <f>IF(R469&lt;4,Q469-1,Q469)</f>
        <v>2023</v>
      </c>
      <c r="T469" s="18">
        <f>IF(R469&lt;4,R469+9,R469-3)</f>
        <v>12</v>
      </c>
      <c r="U469" s="18">
        <f>IF(LEN(T469)=1,_xlfn.CONCAT(0,T469),T469)</f>
        <v>12</v>
      </c>
      <c r="V469" s="18" t="str">
        <f>_xlfn.CONCAT(S469,U469)</f>
        <v>202312</v>
      </c>
      <c r="W469" s="18" t="str">
        <f>_xlfn.CONCAT(TEXT(A469,"MMM"),"-",MID(Q469,3,2))</f>
        <v>Mar-24</v>
      </c>
      <c r="X469" s="19">
        <f>IFERROR(IF(D469="Sell",(H469-P469),-(H469+P469)),0)</f>
        <v>-22818.66</v>
      </c>
      <c r="Y469" s="19">
        <f>X469/1000</f>
        <v>-22.818660000000001</v>
      </c>
    </row>
    <row r="470" spans="1:25" x14ac:dyDescent="0.25">
      <c r="A470" s="1">
        <v>45373</v>
      </c>
      <c r="B470" t="s">
        <v>353</v>
      </c>
      <c r="C470" t="s">
        <v>17</v>
      </c>
      <c r="D470" t="s">
        <v>18</v>
      </c>
      <c r="E470">
        <v>105</v>
      </c>
      <c r="F470">
        <v>0</v>
      </c>
      <c r="G470">
        <v>193.75</v>
      </c>
      <c r="H470">
        <v>20343.75</v>
      </c>
      <c r="I470" t="s">
        <v>354</v>
      </c>
      <c r="J470">
        <v>12.72</v>
      </c>
      <c r="K470">
        <v>10.28</v>
      </c>
      <c r="L470">
        <v>0</v>
      </c>
      <c r="M470">
        <v>0.02</v>
      </c>
      <c r="N470">
        <v>140</v>
      </c>
      <c r="O470">
        <v>27.06</v>
      </c>
      <c r="P470">
        <v>190.08</v>
      </c>
      <c r="Q470" s="18">
        <f>YEAR(A470)</f>
        <v>2024</v>
      </c>
      <c r="R470" s="18">
        <f>MONTH(A470)</f>
        <v>3</v>
      </c>
      <c r="S470" s="18">
        <f>IF(R470&lt;4,Q470-1,Q470)</f>
        <v>2023</v>
      </c>
      <c r="T470" s="18">
        <f>IF(R470&lt;4,R470+9,R470-3)</f>
        <v>12</v>
      </c>
      <c r="U470" s="18">
        <f>IF(LEN(T470)=1,_xlfn.CONCAT(0,T470),T470)</f>
        <v>12</v>
      </c>
      <c r="V470" s="18" t="str">
        <f>_xlfn.CONCAT(S470,U470)</f>
        <v>202312</v>
      </c>
      <c r="W470" s="18" t="str">
        <f>_xlfn.CONCAT(TEXT(A470,"MMM"),"-",MID(Q470,3,2))</f>
        <v>Mar-24</v>
      </c>
      <c r="X470" s="19">
        <f>IFERROR(IF(D470="Sell",(H470-P470),-(H470+P470)),0)</f>
        <v>20153.669999999998</v>
      </c>
      <c r="Y470" s="19">
        <f>X470/1000</f>
        <v>20.153669999999998</v>
      </c>
    </row>
    <row r="471" spans="1:25" x14ac:dyDescent="0.25">
      <c r="A471" s="1">
        <v>45373</v>
      </c>
      <c r="B471" t="s">
        <v>353</v>
      </c>
      <c r="C471" t="s">
        <v>17</v>
      </c>
      <c r="D471" t="s">
        <v>22</v>
      </c>
      <c r="E471">
        <v>105</v>
      </c>
      <c r="F471">
        <v>0</v>
      </c>
      <c r="G471">
        <v>226.66</v>
      </c>
      <c r="H471">
        <v>23799</v>
      </c>
      <c r="I471" t="s">
        <v>355</v>
      </c>
      <c r="J471">
        <v>0</v>
      </c>
      <c r="K471">
        <v>12.02</v>
      </c>
      <c r="L471">
        <v>1.32</v>
      </c>
      <c r="M471">
        <v>0.02</v>
      </c>
      <c r="N471">
        <v>140</v>
      </c>
      <c r="O471">
        <v>27.36</v>
      </c>
      <c r="P471">
        <v>180.72</v>
      </c>
      <c r="Q471" s="18">
        <f>YEAR(A471)</f>
        <v>2024</v>
      </c>
      <c r="R471" s="18">
        <f>MONTH(A471)</f>
        <v>3</v>
      </c>
      <c r="S471" s="18">
        <f>IF(R471&lt;4,Q471-1,Q471)</f>
        <v>2023</v>
      </c>
      <c r="T471" s="18">
        <f>IF(R471&lt;4,R471+9,R471-3)</f>
        <v>12</v>
      </c>
      <c r="U471" s="18">
        <f>IF(LEN(T471)=1,_xlfn.CONCAT(0,T471),T471)</f>
        <v>12</v>
      </c>
      <c r="V471" s="18" t="str">
        <f>_xlfn.CONCAT(S471,U471)</f>
        <v>202312</v>
      </c>
      <c r="W471" s="18" t="str">
        <f>_xlfn.CONCAT(TEXT(A471,"MMM"),"-",MID(Q471,3,2))</f>
        <v>Mar-24</v>
      </c>
      <c r="X471" s="19">
        <f>IFERROR(IF(D471="Sell",(H471-P471),-(H471+P471)),0)</f>
        <v>-23979.72</v>
      </c>
      <c r="Y471" s="19">
        <f>X471/1000</f>
        <v>-23.97972</v>
      </c>
    </row>
    <row r="472" spans="1:25" x14ac:dyDescent="0.25">
      <c r="A472" s="1">
        <v>45373</v>
      </c>
      <c r="B472" t="s">
        <v>353</v>
      </c>
      <c r="C472" t="s">
        <v>17</v>
      </c>
      <c r="D472" t="s">
        <v>18</v>
      </c>
      <c r="E472">
        <v>30</v>
      </c>
      <c r="F472">
        <v>0</v>
      </c>
      <c r="G472">
        <v>214.15</v>
      </c>
      <c r="H472">
        <v>6424.5</v>
      </c>
      <c r="I472" t="s">
        <v>356</v>
      </c>
      <c r="J472">
        <v>4.1399999999999997</v>
      </c>
      <c r="K472">
        <v>3.24</v>
      </c>
      <c r="L472">
        <v>0</v>
      </c>
      <c r="M472">
        <v>0.01</v>
      </c>
      <c r="N472">
        <v>40</v>
      </c>
      <c r="O472">
        <v>7.78</v>
      </c>
      <c r="P472">
        <v>55.17</v>
      </c>
      <c r="Q472" s="18">
        <f>YEAR(A472)</f>
        <v>2024</v>
      </c>
      <c r="R472" s="18">
        <f>MONTH(A472)</f>
        <v>3</v>
      </c>
      <c r="S472" s="18">
        <f>IF(R472&lt;4,Q472-1,Q472)</f>
        <v>2023</v>
      </c>
      <c r="T472" s="18">
        <f>IF(R472&lt;4,R472+9,R472-3)</f>
        <v>12</v>
      </c>
      <c r="U472" s="18">
        <f>IF(LEN(T472)=1,_xlfn.CONCAT(0,T472),T472)</f>
        <v>12</v>
      </c>
      <c r="V472" s="18" t="str">
        <f>_xlfn.CONCAT(S472,U472)</f>
        <v>202312</v>
      </c>
      <c r="W472" s="18" t="str">
        <f>_xlfn.CONCAT(TEXT(A472,"MMM"),"-",MID(Q472,3,2))</f>
        <v>Mar-24</v>
      </c>
      <c r="X472" s="19">
        <f>IFERROR(IF(D472="Sell",(H472-P472),-(H472+P472)),0)</f>
        <v>6369.33</v>
      </c>
      <c r="Y472" s="19">
        <f>X472/1000</f>
        <v>6.3693299999999997</v>
      </c>
    </row>
    <row r="473" spans="1:25" x14ac:dyDescent="0.25">
      <c r="A473" s="1">
        <v>45373</v>
      </c>
      <c r="B473" t="s">
        <v>353</v>
      </c>
      <c r="C473" t="s">
        <v>17</v>
      </c>
      <c r="D473" t="s">
        <v>22</v>
      </c>
      <c r="E473">
        <v>15</v>
      </c>
      <c r="F473">
        <v>0</v>
      </c>
      <c r="G473">
        <v>214.65</v>
      </c>
      <c r="H473">
        <v>3219.75</v>
      </c>
      <c r="I473" t="s">
        <v>357</v>
      </c>
      <c r="J473">
        <v>0</v>
      </c>
      <c r="K473">
        <v>1.63</v>
      </c>
      <c r="L473">
        <v>0</v>
      </c>
      <c r="M473">
        <v>0</v>
      </c>
      <c r="N473">
        <v>20</v>
      </c>
      <c r="O473">
        <v>3.9</v>
      </c>
      <c r="P473">
        <v>25.53</v>
      </c>
      <c r="Q473" s="18">
        <f>YEAR(A473)</f>
        <v>2024</v>
      </c>
      <c r="R473" s="18">
        <f>MONTH(A473)</f>
        <v>3</v>
      </c>
      <c r="S473" s="18">
        <f>IF(R473&lt;4,Q473-1,Q473)</f>
        <v>2023</v>
      </c>
      <c r="T473" s="18">
        <f>IF(R473&lt;4,R473+9,R473-3)</f>
        <v>12</v>
      </c>
      <c r="U473" s="18">
        <f>IF(LEN(T473)=1,_xlfn.CONCAT(0,T473),T473)</f>
        <v>12</v>
      </c>
      <c r="V473" s="18" t="str">
        <f>_xlfn.CONCAT(S473,U473)</f>
        <v>202312</v>
      </c>
      <c r="W473" s="18" t="str">
        <f>_xlfn.CONCAT(TEXT(A473,"MMM"),"-",MID(Q473,3,2))</f>
        <v>Mar-24</v>
      </c>
      <c r="X473" s="19">
        <f>IFERROR(IF(D473="Sell",(H473-P473),-(H473+P473)),0)</f>
        <v>-3245.28</v>
      </c>
      <c r="Y473" s="19">
        <f>X473/1000</f>
        <v>-3.2452800000000002</v>
      </c>
    </row>
    <row r="474" spans="1:25" x14ac:dyDescent="0.25">
      <c r="A474" s="1">
        <v>45373</v>
      </c>
      <c r="B474" t="s">
        <v>353</v>
      </c>
      <c r="C474" t="s">
        <v>17</v>
      </c>
      <c r="D474" t="s">
        <v>22</v>
      </c>
      <c r="E474">
        <v>15</v>
      </c>
      <c r="F474">
        <v>0</v>
      </c>
      <c r="G474">
        <v>266.45</v>
      </c>
      <c r="H474">
        <v>3996.75</v>
      </c>
      <c r="I474" t="s">
        <v>358</v>
      </c>
      <c r="J474">
        <v>0</v>
      </c>
      <c r="K474">
        <v>2.02</v>
      </c>
      <c r="L474">
        <v>0</v>
      </c>
      <c r="M474">
        <v>0</v>
      </c>
      <c r="N474">
        <v>20</v>
      </c>
      <c r="O474">
        <v>3.96</v>
      </c>
      <c r="P474">
        <v>25.98</v>
      </c>
      <c r="Q474" s="18">
        <f>YEAR(A474)</f>
        <v>2024</v>
      </c>
      <c r="R474" s="18">
        <f>MONTH(A474)</f>
        <v>3</v>
      </c>
      <c r="S474" s="18">
        <f>IF(R474&lt;4,Q474-1,Q474)</f>
        <v>2023</v>
      </c>
      <c r="T474" s="18">
        <f>IF(R474&lt;4,R474+9,R474-3)</f>
        <v>12</v>
      </c>
      <c r="U474" s="18">
        <f>IF(LEN(T474)=1,_xlfn.CONCAT(0,T474),T474)</f>
        <v>12</v>
      </c>
      <c r="V474" s="18" t="str">
        <f>_xlfn.CONCAT(S474,U474)</f>
        <v>202312</v>
      </c>
      <c r="W474" s="18" t="str">
        <f>_xlfn.CONCAT(TEXT(A474,"MMM"),"-",MID(Q474,3,2))</f>
        <v>Mar-24</v>
      </c>
      <c r="X474" s="19">
        <f>IFERROR(IF(D474="Sell",(H474-P474),-(H474+P474)),0)</f>
        <v>-4022.73</v>
      </c>
      <c r="Y474" s="19">
        <f>X474/1000</f>
        <v>-4.0227300000000001</v>
      </c>
    </row>
    <row r="475" spans="1:25" x14ac:dyDescent="0.25">
      <c r="A475" s="1">
        <v>45378</v>
      </c>
      <c r="B475" t="s">
        <v>341</v>
      </c>
      <c r="C475" t="s">
        <v>17</v>
      </c>
      <c r="D475" t="s">
        <v>18</v>
      </c>
      <c r="E475">
        <v>840</v>
      </c>
      <c r="F475">
        <v>0</v>
      </c>
      <c r="G475">
        <v>2.85</v>
      </c>
      <c r="H475">
        <v>2394</v>
      </c>
      <c r="I475" t="s">
        <v>342</v>
      </c>
      <c r="J475">
        <v>2</v>
      </c>
      <c r="K475">
        <v>1.2</v>
      </c>
      <c r="L475">
        <v>0</v>
      </c>
      <c r="M475">
        <v>0</v>
      </c>
      <c r="N475">
        <v>1120</v>
      </c>
      <c r="O475">
        <v>201.82</v>
      </c>
      <c r="P475">
        <v>1325.02</v>
      </c>
      <c r="Q475" s="18">
        <f>YEAR(A475)</f>
        <v>2024</v>
      </c>
      <c r="R475" s="18">
        <f>MONTH(A475)</f>
        <v>3</v>
      </c>
      <c r="S475" s="18">
        <f>IF(R475&lt;4,Q475-1,Q475)</f>
        <v>2023</v>
      </c>
      <c r="T475" s="18">
        <f>IF(R475&lt;4,R475+9,R475-3)</f>
        <v>12</v>
      </c>
      <c r="U475" s="18">
        <f>IF(LEN(T475)=1,_xlfn.CONCAT(0,T475),T475)</f>
        <v>12</v>
      </c>
      <c r="V475" s="18" t="str">
        <f>_xlfn.CONCAT(S475,U475)</f>
        <v>202312</v>
      </c>
      <c r="W475" s="18" t="str">
        <f>_xlfn.CONCAT(TEXT(A475,"MMM"),"-",MID(Q475,3,2))</f>
        <v>Mar-24</v>
      </c>
      <c r="X475" s="19">
        <f>IFERROR(IF(D475="Sell",(H475-P475),-(H475+P475)),0)</f>
        <v>1068.98</v>
      </c>
      <c r="Y475" s="19">
        <f>X475/1000</f>
        <v>1.06898</v>
      </c>
    </row>
    <row r="476" spans="1:25" x14ac:dyDescent="0.25">
      <c r="A476" s="1">
        <v>45378</v>
      </c>
      <c r="B476" t="s">
        <v>341</v>
      </c>
      <c r="C476" t="s">
        <v>17</v>
      </c>
      <c r="D476" t="s">
        <v>22</v>
      </c>
      <c r="E476">
        <v>120</v>
      </c>
      <c r="F476">
        <v>0</v>
      </c>
      <c r="G476">
        <v>3.95</v>
      </c>
      <c r="H476">
        <v>474</v>
      </c>
      <c r="I476" t="s">
        <v>343</v>
      </c>
      <c r="J476">
        <v>0</v>
      </c>
      <c r="K476">
        <v>0.24</v>
      </c>
      <c r="L476">
        <v>0</v>
      </c>
      <c r="M476">
        <v>0</v>
      </c>
      <c r="N476">
        <v>160</v>
      </c>
      <c r="O476">
        <v>28.84</v>
      </c>
      <c r="P476">
        <v>189.08</v>
      </c>
      <c r="Q476" s="18">
        <f>YEAR(A476)</f>
        <v>2024</v>
      </c>
      <c r="R476" s="18">
        <f>MONTH(A476)</f>
        <v>3</v>
      </c>
      <c r="S476" s="18">
        <f>IF(R476&lt;4,Q476-1,Q476)</f>
        <v>2023</v>
      </c>
      <c r="T476" s="18">
        <f>IF(R476&lt;4,R476+9,R476-3)</f>
        <v>12</v>
      </c>
      <c r="U476" s="18">
        <f>IF(LEN(T476)=1,_xlfn.CONCAT(0,T476),T476)</f>
        <v>12</v>
      </c>
      <c r="V476" s="18" t="str">
        <f>_xlfn.CONCAT(S476,U476)</f>
        <v>202312</v>
      </c>
      <c r="W476" s="18" t="str">
        <f>_xlfn.CONCAT(TEXT(A476,"MMM"),"-",MID(Q476,3,2))</f>
        <v>Mar-24</v>
      </c>
      <c r="X476" s="19">
        <f>IFERROR(IF(D476="Sell",(H476-P476),-(H476+P476)),0)</f>
        <v>-663.08</v>
      </c>
      <c r="Y476" s="19">
        <f>X476/1000</f>
        <v>-0.66308</v>
      </c>
    </row>
    <row r="477" spans="1:25" x14ac:dyDescent="0.25">
      <c r="A477" s="1">
        <v>45378</v>
      </c>
      <c r="B477" t="s">
        <v>341</v>
      </c>
      <c r="C477" t="s">
        <v>17</v>
      </c>
      <c r="D477" t="s">
        <v>22</v>
      </c>
      <c r="E477">
        <v>120</v>
      </c>
      <c r="F477">
        <v>0</v>
      </c>
      <c r="G477">
        <v>6.1</v>
      </c>
      <c r="H477">
        <v>732</v>
      </c>
      <c r="I477" t="s">
        <v>344</v>
      </c>
      <c r="J477">
        <v>0</v>
      </c>
      <c r="K477">
        <v>0.37</v>
      </c>
      <c r="L477">
        <v>0</v>
      </c>
      <c r="M477">
        <v>0</v>
      </c>
      <c r="N477">
        <v>160</v>
      </c>
      <c r="O477">
        <v>28.86</v>
      </c>
      <c r="P477">
        <v>189.23</v>
      </c>
      <c r="Q477" s="18">
        <f>YEAR(A477)</f>
        <v>2024</v>
      </c>
      <c r="R477" s="18">
        <f>MONTH(A477)</f>
        <v>3</v>
      </c>
      <c r="S477" s="18">
        <f>IF(R477&lt;4,Q477-1,Q477)</f>
        <v>2023</v>
      </c>
      <c r="T477" s="18">
        <f>IF(R477&lt;4,R477+9,R477-3)</f>
        <v>12</v>
      </c>
      <c r="U477" s="18">
        <f>IF(LEN(T477)=1,_xlfn.CONCAT(0,T477),T477)</f>
        <v>12</v>
      </c>
      <c r="V477" s="18" t="str">
        <f>_xlfn.CONCAT(S477,U477)</f>
        <v>202312</v>
      </c>
      <c r="W477" s="18" t="str">
        <f>_xlfn.CONCAT(TEXT(A477,"MMM"),"-",MID(Q477,3,2))</f>
        <v>Mar-24</v>
      </c>
      <c r="X477" s="19">
        <f>IFERROR(IF(D477="Sell",(H477-P477),-(H477+P477)),0)</f>
        <v>-921.23</v>
      </c>
      <c r="Y477" s="19">
        <f>X477/1000</f>
        <v>-0.92122999999999999</v>
      </c>
    </row>
    <row r="478" spans="1:25" x14ac:dyDescent="0.25">
      <c r="A478" s="1">
        <v>45378</v>
      </c>
      <c r="B478" t="s">
        <v>341</v>
      </c>
      <c r="C478" t="s">
        <v>17</v>
      </c>
      <c r="D478" t="s">
        <v>22</v>
      </c>
      <c r="E478">
        <v>120</v>
      </c>
      <c r="F478">
        <v>0</v>
      </c>
      <c r="G478">
        <v>6.9</v>
      </c>
      <c r="H478">
        <v>828</v>
      </c>
      <c r="I478" t="s">
        <v>345</v>
      </c>
      <c r="J478">
        <v>0</v>
      </c>
      <c r="K478">
        <v>0.42</v>
      </c>
      <c r="L478">
        <v>0</v>
      </c>
      <c r="M478">
        <v>0</v>
      </c>
      <c r="N478">
        <v>160</v>
      </c>
      <c r="O478">
        <v>28.88</v>
      </c>
      <c r="P478">
        <v>189.3</v>
      </c>
      <c r="Q478" s="18">
        <f>YEAR(A478)</f>
        <v>2024</v>
      </c>
      <c r="R478" s="18">
        <f>MONTH(A478)</f>
        <v>3</v>
      </c>
      <c r="S478" s="18">
        <f>IF(R478&lt;4,Q478-1,Q478)</f>
        <v>2023</v>
      </c>
      <c r="T478" s="18">
        <f>IF(R478&lt;4,R478+9,R478-3)</f>
        <v>12</v>
      </c>
      <c r="U478" s="18">
        <f>IF(LEN(T478)=1,_xlfn.CONCAT(0,T478),T478)</f>
        <v>12</v>
      </c>
      <c r="V478" s="18" t="str">
        <f>_xlfn.CONCAT(S478,U478)</f>
        <v>202312</v>
      </c>
      <c r="W478" s="18" t="str">
        <f>_xlfn.CONCAT(TEXT(A478,"MMM"),"-",MID(Q478,3,2))</f>
        <v>Mar-24</v>
      </c>
      <c r="X478" s="19">
        <f>IFERROR(IF(D478="Sell",(H478-P478),-(H478+P478)),0)</f>
        <v>-1017.3</v>
      </c>
      <c r="Y478" s="19">
        <f>X478/1000</f>
        <v>-1.0172999999999999</v>
      </c>
    </row>
    <row r="479" spans="1:25" x14ac:dyDescent="0.25">
      <c r="A479" s="1">
        <v>45378</v>
      </c>
      <c r="B479" t="s">
        <v>341</v>
      </c>
      <c r="C479" t="s">
        <v>17</v>
      </c>
      <c r="D479" t="s">
        <v>22</v>
      </c>
      <c r="E479">
        <v>120</v>
      </c>
      <c r="F479">
        <v>0</v>
      </c>
      <c r="G479">
        <v>6.61</v>
      </c>
      <c r="H479">
        <v>792.75</v>
      </c>
      <c r="I479" t="s">
        <v>346</v>
      </c>
      <c r="J479">
        <v>0</v>
      </c>
      <c r="K479">
        <v>0.4</v>
      </c>
      <c r="L479">
        <v>0</v>
      </c>
      <c r="M479">
        <v>0</v>
      </c>
      <c r="N479">
        <v>160</v>
      </c>
      <c r="O479">
        <v>28.86</v>
      </c>
      <c r="P479">
        <v>189.26</v>
      </c>
      <c r="Q479" s="18">
        <f>YEAR(A479)</f>
        <v>2024</v>
      </c>
      <c r="R479" s="18">
        <f>MONTH(A479)</f>
        <v>3</v>
      </c>
      <c r="S479" s="18">
        <f>IF(R479&lt;4,Q479-1,Q479)</f>
        <v>2023</v>
      </c>
      <c r="T479" s="18">
        <f>IF(R479&lt;4,R479+9,R479-3)</f>
        <v>12</v>
      </c>
      <c r="U479" s="18">
        <f>IF(LEN(T479)=1,_xlfn.CONCAT(0,T479),T479)</f>
        <v>12</v>
      </c>
      <c r="V479" s="18" t="str">
        <f>_xlfn.CONCAT(S479,U479)</f>
        <v>202312</v>
      </c>
      <c r="W479" s="18" t="str">
        <f>_xlfn.CONCAT(TEXT(A479,"MMM"),"-",MID(Q479,3,2))</f>
        <v>Mar-24</v>
      </c>
      <c r="X479" s="19">
        <f>IFERROR(IF(D479="Sell",(H479-P479),-(H479+P479)),0)</f>
        <v>-982.01</v>
      </c>
      <c r="Y479" s="19">
        <f>X479/1000</f>
        <v>-0.98200999999999994</v>
      </c>
    </row>
    <row r="480" spans="1:25" x14ac:dyDescent="0.25">
      <c r="A480" s="1">
        <v>45378</v>
      </c>
      <c r="B480" t="s">
        <v>341</v>
      </c>
      <c r="C480" t="s">
        <v>17</v>
      </c>
      <c r="D480" t="s">
        <v>22</v>
      </c>
      <c r="E480">
        <v>120</v>
      </c>
      <c r="F480">
        <v>0</v>
      </c>
      <c r="G480">
        <v>11.35</v>
      </c>
      <c r="H480">
        <v>1362</v>
      </c>
      <c r="I480" t="s">
        <v>347</v>
      </c>
      <c r="J480">
        <v>0</v>
      </c>
      <c r="K480">
        <v>0.69</v>
      </c>
      <c r="L480">
        <v>0</v>
      </c>
      <c r="M480">
        <v>0</v>
      </c>
      <c r="N480">
        <v>160</v>
      </c>
      <c r="O480">
        <v>28.92</v>
      </c>
      <c r="P480">
        <v>189.61</v>
      </c>
      <c r="Q480" s="18">
        <f>YEAR(A480)</f>
        <v>2024</v>
      </c>
      <c r="R480" s="18">
        <f>MONTH(A480)</f>
        <v>3</v>
      </c>
      <c r="S480" s="18">
        <f>IF(R480&lt;4,Q480-1,Q480)</f>
        <v>2023</v>
      </c>
      <c r="T480" s="18">
        <f>IF(R480&lt;4,R480+9,R480-3)</f>
        <v>12</v>
      </c>
      <c r="U480" s="18">
        <f>IF(LEN(T480)=1,_xlfn.CONCAT(0,T480),T480)</f>
        <v>12</v>
      </c>
      <c r="V480" s="18" t="str">
        <f>_xlfn.CONCAT(S480,U480)</f>
        <v>202312</v>
      </c>
      <c r="W480" s="18" t="str">
        <f>_xlfn.CONCAT(TEXT(A480,"MMM"),"-",MID(Q480,3,2))</f>
        <v>Mar-24</v>
      </c>
      <c r="X480" s="19">
        <f>IFERROR(IF(D480="Sell",(H480-P480),-(H480+P480)),0)</f>
        <v>-1551.6100000000001</v>
      </c>
      <c r="Y480" s="19">
        <f>X480/1000</f>
        <v>-1.5516100000000002</v>
      </c>
    </row>
    <row r="481" spans="1:25" x14ac:dyDescent="0.25">
      <c r="A481" s="1">
        <v>45378</v>
      </c>
      <c r="B481" t="s">
        <v>341</v>
      </c>
      <c r="C481" t="s">
        <v>17</v>
      </c>
      <c r="D481" t="s">
        <v>22</v>
      </c>
      <c r="E481">
        <v>120</v>
      </c>
      <c r="F481">
        <v>0</v>
      </c>
      <c r="G481">
        <v>12.75</v>
      </c>
      <c r="H481">
        <v>1530</v>
      </c>
      <c r="I481" t="s">
        <v>348</v>
      </c>
      <c r="J481">
        <v>0</v>
      </c>
      <c r="K481">
        <v>0.77</v>
      </c>
      <c r="L481">
        <v>0</v>
      </c>
      <c r="M481">
        <v>0</v>
      </c>
      <c r="N481">
        <v>160</v>
      </c>
      <c r="O481">
        <v>28.94</v>
      </c>
      <c r="P481">
        <v>189.71</v>
      </c>
      <c r="Q481" s="18">
        <f>YEAR(A481)</f>
        <v>2024</v>
      </c>
      <c r="R481" s="18">
        <f>MONTH(A481)</f>
        <v>3</v>
      </c>
      <c r="S481" s="18">
        <f>IF(R481&lt;4,Q481-1,Q481)</f>
        <v>2023</v>
      </c>
      <c r="T481" s="18">
        <f>IF(R481&lt;4,R481+9,R481-3)</f>
        <v>12</v>
      </c>
      <c r="U481" s="18">
        <f>IF(LEN(T481)=1,_xlfn.CONCAT(0,T481),T481)</f>
        <v>12</v>
      </c>
      <c r="V481" s="18" t="str">
        <f>_xlfn.CONCAT(S481,U481)</f>
        <v>202312</v>
      </c>
      <c r="W481" s="18" t="str">
        <f>_xlfn.CONCAT(TEXT(A481,"MMM"),"-",MID(Q481,3,2))</f>
        <v>Mar-24</v>
      </c>
      <c r="X481" s="19">
        <f>IFERROR(IF(D481="Sell",(H481-P481),-(H481+P481)),0)</f>
        <v>-1719.71</v>
      </c>
      <c r="Y481" s="19">
        <f>X481/1000</f>
        <v>-1.7197100000000001</v>
      </c>
    </row>
    <row r="482" spans="1:25" x14ac:dyDescent="0.25">
      <c r="A482" s="1">
        <v>45378</v>
      </c>
      <c r="B482" t="s">
        <v>341</v>
      </c>
      <c r="C482" t="s">
        <v>17</v>
      </c>
      <c r="D482" t="s">
        <v>22</v>
      </c>
      <c r="E482">
        <v>120</v>
      </c>
      <c r="F482">
        <v>0</v>
      </c>
      <c r="G482">
        <v>26.24</v>
      </c>
      <c r="H482">
        <v>3148.5</v>
      </c>
      <c r="I482" t="s">
        <v>349</v>
      </c>
      <c r="J482">
        <v>0</v>
      </c>
      <c r="K482">
        <v>1.6</v>
      </c>
      <c r="L482">
        <v>0</v>
      </c>
      <c r="M482">
        <v>0</v>
      </c>
      <c r="N482">
        <v>160</v>
      </c>
      <c r="O482">
        <v>29.1</v>
      </c>
      <c r="P482">
        <v>190.7</v>
      </c>
      <c r="Q482" s="18">
        <f>YEAR(A482)</f>
        <v>2024</v>
      </c>
      <c r="R482" s="18">
        <f>MONTH(A482)</f>
        <v>3</v>
      </c>
      <c r="S482" s="18">
        <f>IF(R482&lt;4,Q482-1,Q482)</f>
        <v>2023</v>
      </c>
      <c r="T482" s="18">
        <f>IF(R482&lt;4,R482+9,R482-3)</f>
        <v>12</v>
      </c>
      <c r="U482" s="18">
        <f>IF(LEN(T482)=1,_xlfn.CONCAT(0,T482),T482)</f>
        <v>12</v>
      </c>
      <c r="V482" s="18" t="str">
        <f>_xlfn.CONCAT(S482,U482)</f>
        <v>202312</v>
      </c>
      <c r="W482" s="18" t="str">
        <f>_xlfn.CONCAT(TEXT(A482,"MMM"),"-",MID(Q482,3,2))</f>
        <v>Mar-24</v>
      </c>
      <c r="X482" s="19">
        <f>IFERROR(IF(D482="Sell",(H482-P482),-(H482+P482)),0)</f>
        <v>-3339.2</v>
      </c>
      <c r="Y482" s="19">
        <f>X482/1000</f>
        <v>-3.3391999999999999</v>
      </c>
    </row>
    <row r="483" spans="1:25" x14ac:dyDescent="0.25">
      <c r="A483" s="1">
        <v>45383</v>
      </c>
      <c r="B483" t="s">
        <v>327</v>
      </c>
      <c r="C483" t="s">
        <v>17</v>
      </c>
      <c r="D483" t="s">
        <v>18</v>
      </c>
      <c r="E483">
        <v>105</v>
      </c>
      <c r="F483">
        <v>0</v>
      </c>
      <c r="G483">
        <v>218.1</v>
      </c>
      <c r="H483">
        <v>22900.5</v>
      </c>
      <c r="I483" t="s">
        <v>339</v>
      </c>
      <c r="J483">
        <v>14</v>
      </c>
      <c r="K483">
        <v>11.45</v>
      </c>
      <c r="L483">
        <v>0</v>
      </c>
      <c r="M483">
        <v>0.02</v>
      </c>
      <c r="N483">
        <v>140</v>
      </c>
      <c r="O483">
        <v>27.26</v>
      </c>
      <c r="P483">
        <v>192.73</v>
      </c>
      <c r="Q483" s="18">
        <f>YEAR(A483)</f>
        <v>2024</v>
      </c>
      <c r="R483" s="18">
        <f>MONTH(A483)</f>
        <v>4</v>
      </c>
      <c r="S483" s="18">
        <f>IF(R483&lt;4,Q483-1,Q483)</f>
        <v>2024</v>
      </c>
      <c r="T483" s="18">
        <f>IF(R483&lt;4,R483+9,R483-3)</f>
        <v>1</v>
      </c>
      <c r="U483" s="18" t="str">
        <f>IF(LEN(T483)=1,_xlfn.CONCAT(0,T483),T483)</f>
        <v>01</v>
      </c>
      <c r="V483" s="18" t="str">
        <f>_xlfn.CONCAT(S483,U483)</f>
        <v>202401</v>
      </c>
      <c r="W483" s="18" t="str">
        <f>_xlfn.CONCAT(TEXT(A483,"MMM"),"-",MID(Q483,3,2))</f>
        <v>Apr-24</v>
      </c>
      <c r="X483" s="19">
        <f>IFERROR(IF(D483="Sell",(H483-P483),-(H483+P483)),0)</f>
        <v>22707.77</v>
      </c>
      <c r="Y483" s="19">
        <f>X483/1000</f>
        <v>22.70777</v>
      </c>
    </row>
    <row r="484" spans="1:25" x14ac:dyDescent="0.25">
      <c r="A484" s="1">
        <v>45383</v>
      </c>
      <c r="B484" t="s">
        <v>327</v>
      </c>
      <c r="C484" t="s">
        <v>17</v>
      </c>
      <c r="D484" t="s">
        <v>22</v>
      </c>
      <c r="E484">
        <v>105</v>
      </c>
      <c r="F484">
        <v>0</v>
      </c>
      <c r="G484">
        <v>267.04000000000002</v>
      </c>
      <c r="H484">
        <v>28038.75</v>
      </c>
      <c r="I484" t="s">
        <v>340</v>
      </c>
      <c r="J484">
        <v>0</v>
      </c>
      <c r="K484">
        <v>14.03</v>
      </c>
      <c r="L484">
        <v>1</v>
      </c>
      <c r="M484">
        <v>0.03</v>
      </c>
      <c r="N484">
        <v>140</v>
      </c>
      <c r="O484">
        <v>27.72</v>
      </c>
      <c r="P484">
        <v>182.78</v>
      </c>
      <c r="Q484" s="18">
        <f>YEAR(A484)</f>
        <v>2024</v>
      </c>
      <c r="R484" s="18">
        <f>MONTH(A484)</f>
        <v>4</v>
      </c>
      <c r="S484" s="18">
        <f>IF(R484&lt;4,Q484-1,Q484)</f>
        <v>2024</v>
      </c>
      <c r="T484" s="18">
        <f>IF(R484&lt;4,R484+9,R484-3)</f>
        <v>1</v>
      </c>
      <c r="U484" s="18" t="str">
        <f>IF(LEN(T484)=1,_xlfn.CONCAT(0,T484),T484)</f>
        <v>01</v>
      </c>
      <c r="V484" s="18" t="str">
        <f>_xlfn.CONCAT(S484,U484)</f>
        <v>202401</v>
      </c>
      <c r="W484" s="18" t="str">
        <f>_xlfn.CONCAT(TEXT(A484,"MMM"),"-",MID(Q484,3,2))</f>
        <v>Apr-24</v>
      </c>
      <c r="X484" s="19">
        <f>IFERROR(IF(D484="Sell",(H484-P484),-(H484+P484)),0)</f>
        <v>-28221.53</v>
      </c>
      <c r="Y484" s="19">
        <f>X484/1000</f>
        <v>-28.221529999999998</v>
      </c>
    </row>
    <row r="485" spans="1:25" x14ac:dyDescent="0.25">
      <c r="A485" s="1">
        <v>45384</v>
      </c>
      <c r="B485" t="s">
        <v>332</v>
      </c>
      <c r="C485" t="s">
        <v>17</v>
      </c>
      <c r="D485" t="s">
        <v>18</v>
      </c>
      <c r="E485">
        <v>105</v>
      </c>
      <c r="F485">
        <v>0</v>
      </c>
      <c r="G485">
        <v>109.97</v>
      </c>
      <c r="H485">
        <v>11547</v>
      </c>
      <c r="I485" t="s">
        <v>333</v>
      </c>
      <c r="J485">
        <v>7.21</v>
      </c>
      <c r="K485">
        <v>5.78</v>
      </c>
      <c r="L485">
        <v>0</v>
      </c>
      <c r="M485">
        <v>0.01</v>
      </c>
      <c r="N485">
        <v>140</v>
      </c>
      <c r="O485">
        <v>26.24</v>
      </c>
      <c r="P485">
        <v>179.24</v>
      </c>
      <c r="Q485" s="18">
        <f>YEAR(A485)</f>
        <v>2024</v>
      </c>
      <c r="R485" s="18">
        <f>MONTH(A485)</f>
        <v>4</v>
      </c>
      <c r="S485" s="18">
        <f>IF(R485&lt;4,Q485-1,Q485)</f>
        <v>2024</v>
      </c>
      <c r="T485" s="18">
        <f>IF(R485&lt;4,R485+9,R485-3)</f>
        <v>1</v>
      </c>
      <c r="U485" s="18" t="str">
        <f>IF(LEN(T485)=1,_xlfn.CONCAT(0,T485),T485)</f>
        <v>01</v>
      </c>
      <c r="V485" s="18" t="str">
        <f>_xlfn.CONCAT(S485,U485)</f>
        <v>202401</v>
      </c>
      <c r="W485" s="18" t="str">
        <f>_xlfn.CONCAT(TEXT(A485,"MMM"),"-",MID(Q485,3,2))</f>
        <v>Apr-24</v>
      </c>
      <c r="X485" s="19">
        <f>IFERROR(IF(D485="Sell",(H485-P485),-(H485+P485)),0)</f>
        <v>11367.76</v>
      </c>
      <c r="Y485" s="19">
        <f>X485/1000</f>
        <v>11.367760000000001</v>
      </c>
    </row>
    <row r="486" spans="1:25" x14ac:dyDescent="0.25">
      <c r="A486" s="1">
        <v>45384</v>
      </c>
      <c r="B486" t="s">
        <v>332</v>
      </c>
      <c r="C486" t="s">
        <v>17</v>
      </c>
      <c r="D486" t="s">
        <v>22</v>
      </c>
      <c r="E486">
        <v>105</v>
      </c>
      <c r="F486">
        <v>0</v>
      </c>
      <c r="G486">
        <v>129</v>
      </c>
      <c r="H486">
        <v>13545</v>
      </c>
      <c r="I486" t="s">
        <v>334</v>
      </c>
      <c r="J486">
        <v>0</v>
      </c>
      <c r="K486">
        <v>6.77</v>
      </c>
      <c r="L486">
        <v>0.93</v>
      </c>
      <c r="M486">
        <v>0.01</v>
      </c>
      <c r="N486">
        <v>140</v>
      </c>
      <c r="O486">
        <v>26.42</v>
      </c>
      <c r="P486">
        <v>174.13</v>
      </c>
      <c r="Q486" s="18">
        <f>YEAR(A486)</f>
        <v>2024</v>
      </c>
      <c r="R486" s="18">
        <f>MONTH(A486)</f>
        <v>4</v>
      </c>
      <c r="S486" s="18">
        <f>IF(R486&lt;4,Q486-1,Q486)</f>
        <v>2024</v>
      </c>
      <c r="T486" s="18">
        <f>IF(R486&lt;4,R486+9,R486-3)</f>
        <v>1</v>
      </c>
      <c r="U486" s="18" t="str">
        <f>IF(LEN(T486)=1,_xlfn.CONCAT(0,T486),T486)</f>
        <v>01</v>
      </c>
      <c r="V486" s="18" t="str">
        <f>_xlfn.CONCAT(S486,U486)</f>
        <v>202401</v>
      </c>
      <c r="W486" s="18" t="str">
        <f>_xlfn.CONCAT(TEXT(A486,"MMM"),"-",MID(Q486,3,2))</f>
        <v>Apr-24</v>
      </c>
      <c r="X486" s="19">
        <f>IFERROR(IF(D486="Sell",(H486-P486),-(H486+P486)),0)</f>
        <v>-13719.13</v>
      </c>
      <c r="Y486" s="19">
        <f>X486/1000</f>
        <v>-13.71913</v>
      </c>
    </row>
    <row r="487" spans="1:25" x14ac:dyDescent="0.25">
      <c r="A487" s="1">
        <v>45384</v>
      </c>
      <c r="B487" t="s">
        <v>332</v>
      </c>
      <c r="C487" t="s">
        <v>17</v>
      </c>
      <c r="D487" t="s">
        <v>18</v>
      </c>
      <c r="E487">
        <v>105</v>
      </c>
      <c r="F487">
        <v>0</v>
      </c>
      <c r="G487">
        <v>130.24</v>
      </c>
      <c r="H487">
        <v>13674.75</v>
      </c>
      <c r="I487" t="s">
        <v>335</v>
      </c>
      <c r="J487">
        <v>8.14</v>
      </c>
      <c r="K487">
        <v>6.83</v>
      </c>
      <c r="L487">
        <v>0</v>
      </c>
      <c r="M487">
        <v>0.01</v>
      </c>
      <c r="N487">
        <v>140</v>
      </c>
      <c r="O487">
        <v>26.44</v>
      </c>
      <c r="P487">
        <v>181.42</v>
      </c>
      <c r="Q487" s="18">
        <f>YEAR(A487)</f>
        <v>2024</v>
      </c>
      <c r="R487" s="18">
        <f>MONTH(A487)</f>
        <v>4</v>
      </c>
      <c r="S487" s="18">
        <f>IF(R487&lt;4,Q487-1,Q487)</f>
        <v>2024</v>
      </c>
      <c r="T487" s="18">
        <f>IF(R487&lt;4,R487+9,R487-3)</f>
        <v>1</v>
      </c>
      <c r="U487" s="18" t="str">
        <f>IF(LEN(T487)=1,_xlfn.CONCAT(0,T487),T487)</f>
        <v>01</v>
      </c>
      <c r="V487" s="18" t="str">
        <f>_xlfn.CONCAT(S487,U487)</f>
        <v>202401</v>
      </c>
      <c r="W487" s="18" t="str">
        <f>_xlfn.CONCAT(TEXT(A487,"MMM"),"-",MID(Q487,3,2))</f>
        <v>Apr-24</v>
      </c>
      <c r="X487" s="19">
        <f>IFERROR(IF(D487="Sell",(H487-P487),-(H487+P487)),0)</f>
        <v>13493.33</v>
      </c>
      <c r="Y487" s="19">
        <f>X487/1000</f>
        <v>13.49333</v>
      </c>
    </row>
    <row r="488" spans="1:25" x14ac:dyDescent="0.25">
      <c r="A488" s="1">
        <v>45384</v>
      </c>
      <c r="B488" t="s">
        <v>332</v>
      </c>
      <c r="C488" t="s">
        <v>17</v>
      </c>
      <c r="D488" t="s">
        <v>22</v>
      </c>
      <c r="E488">
        <v>105</v>
      </c>
      <c r="F488">
        <v>0</v>
      </c>
      <c r="G488">
        <v>153.99</v>
      </c>
      <c r="H488">
        <v>16168.5</v>
      </c>
      <c r="I488" t="s">
        <v>336</v>
      </c>
      <c r="J488">
        <v>0</v>
      </c>
      <c r="K488">
        <v>8.09</v>
      </c>
      <c r="L488">
        <v>0</v>
      </c>
      <c r="M488">
        <v>0.01</v>
      </c>
      <c r="N488">
        <v>140</v>
      </c>
      <c r="O488">
        <v>26.66</v>
      </c>
      <c r="P488">
        <v>174.76</v>
      </c>
      <c r="Q488" s="18">
        <f>YEAR(A488)</f>
        <v>2024</v>
      </c>
      <c r="R488" s="18">
        <f>MONTH(A488)</f>
        <v>4</v>
      </c>
      <c r="S488" s="18">
        <f>IF(R488&lt;4,Q488-1,Q488)</f>
        <v>2024</v>
      </c>
      <c r="T488" s="18">
        <f>IF(R488&lt;4,R488+9,R488-3)</f>
        <v>1</v>
      </c>
      <c r="U488" s="18" t="str">
        <f>IF(LEN(T488)=1,_xlfn.CONCAT(0,T488),T488)</f>
        <v>01</v>
      </c>
      <c r="V488" s="18" t="str">
        <f>_xlfn.CONCAT(S488,U488)</f>
        <v>202401</v>
      </c>
      <c r="W488" s="18" t="str">
        <f>_xlfn.CONCAT(TEXT(A488,"MMM"),"-",MID(Q488,3,2))</f>
        <v>Apr-24</v>
      </c>
      <c r="X488" s="19">
        <f>IFERROR(IF(D488="Sell",(H488-P488),-(H488+P488)),0)</f>
        <v>-16343.26</v>
      </c>
      <c r="Y488" s="19">
        <f>X488/1000</f>
        <v>-16.343260000000001</v>
      </c>
    </row>
    <row r="489" spans="1:25" x14ac:dyDescent="0.25">
      <c r="A489" s="1">
        <v>45384</v>
      </c>
      <c r="B489" t="s">
        <v>327</v>
      </c>
      <c r="C489" t="s">
        <v>17</v>
      </c>
      <c r="D489" t="s">
        <v>18</v>
      </c>
      <c r="E489">
        <v>15</v>
      </c>
      <c r="F489">
        <v>0</v>
      </c>
      <c r="G489">
        <v>175.4</v>
      </c>
      <c r="H489">
        <v>2631</v>
      </c>
      <c r="I489" t="s">
        <v>337</v>
      </c>
      <c r="J489">
        <v>1.64</v>
      </c>
      <c r="K489">
        <v>1.32</v>
      </c>
      <c r="L489">
        <v>0</v>
      </c>
      <c r="M489">
        <v>0</v>
      </c>
      <c r="N489">
        <v>20</v>
      </c>
      <c r="O489">
        <v>3.84</v>
      </c>
      <c r="P489">
        <v>26.8</v>
      </c>
      <c r="Q489" s="18">
        <f>YEAR(A489)</f>
        <v>2024</v>
      </c>
      <c r="R489" s="18">
        <f>MONTH(A489)</f>
        <v>4</v>
      </c>
      <c r="S489" s="18">
        <f>IF(R489&lt;4,Q489-1,Q489)</f>
        <v>2024</v>
      </c>
      <c r="T489" s="18">
        <f>IF(R489&lt;4,R489+9,R489-3)</f>
        <v>1</v>
      </c>
      <c r="U489" s="18" t="str">
        <f>IF(LEN(T489)=1,_xlfn.CONCAT(0,T489),T489)</f>
        <v>01</v>
      </c>
      <c r="V489" s="18" t="str">
        <f>_xlfn.CONCAT(S489,U489)</f>
        <v>202401</v>
      </c>
      <c r="W489" s="18" t="str">
        <f>_xlfn.CONCAT(TEXT(A489,"MMM"),"-",MID(Q489,3,2))</f>
        <v>Apr-24</v>
      </c>
      <c r="X489" s="19">
        <f>IFERROR(IF(D489="Sell",(H489-P489),-(H489+P489)),0)</f>
        <v>2604.1999999999998</v>
      </c>
      <c r="Y489" s="19">
        <f>X489/1000</f>
        <v>2.6041999999999996</v>
      </c>
    </row>
    <row r="490" spans="1:25" x14ac:dyDescent="0.25">
      <c r="A490" s="1">
        <v>45384</v>
      </c>
      <c r="B490" t="s">
        <v>327</v>
      </c>
      <c r="C490" t="s">
        <v>17</v>
      </c>
      <c r="D490" t="s">
        <v>22</v>
      </c>
      <c r="E490">
        <v>15</v>
      </c>
      <c r="F490">
        <v>0</v>
      </c>
      <c r="G490">
        <v>151.19999999999999</v>
      </c>
      <c r="H490">
        <v>2268</v>
      </c>
      <c r="I490" t="s">
        <v>338</v>
      </c>
      <c r="J490">
        <v>0</v>
      </c>
      <c r="K490">
        <v>1.1299999999999999</v>
      </c>
      <c r="L490">
        <v>7.0000000000000007E-2</v>
      </c>
      <c r="M490">
        <v>0</v>
      </c>
      <c r="N490">
        <v>20</v>
      </c>
      <c r="O490">
        <v>3.8</v>
      </c>
      <c r="P490">
        <v>25</v>
      </c>
      <c r="Q490" s="18">
        <f>YEAR(A490)</f>
        <v>2024</v>
      </c>
      <c r="R490" s="18">
        <f>MONTH(A490)</f>
        <v>4</v>
      </c>
      <c r="S490" s="18">
        <f>IF(R490&lt;4,Q490-1,Q490)</f>
        <v>2024</v>
      </c>
      <c r="T490" s="18">
        <f>IF(R490&lt;4,R490+9,R490-3)</f>
        <v>1</v>
      </c>
      <c r="U490" s="18" t="str">
        <f>IF(LEN(T490)=1,_xlfn.CONCAT(0,T490),T490)</f>
        <v>01</v>
      </c>
      <c r="V490" s="18" t="str">
        <f>_xlfn.CONCAT(S490,U490)</f>
        <v>202401</v>
      </c>
      <c r="W490" s="18" t="str">
        <f>_xlfn.CONCAT(TEXT(A490,"MMM"),"-",MID(Q490,3,2))</f>
        <v>Apr-24</v>
      </c>
      <c r="X490" s="19">
        <f>IFERROR(IF(D490="Sell",(H490-P490),-(H490+P490)),0)</f>
        <v>-2293</v>
      </c>
      <c r="Y490" s="19">
        <f>X490/1000</f>
        <v>-2.2930000000000001</v>
      </c>
    </row>
    <row r="491" spans="1:25" x14ac:dyDescent="0.25">
      <c r="A491" s="1">
        <v>45385</v>
      </c>
      <c r="B491" t="s">
        <v>327</v>
      </c>
      <c r="C491" t="s">
        <v>17</v>
      </c>
      <c r="D491" t="s">
        <v>18</v>
      </c>
      <c r="E491">
        <v>15</v>
      </c>
      <c r="F491">
        <v>0</v>
      </c>
      <c r="G491">
        <v>87.3</v>
      </c>
      <c r="H491">
        <v>1309.5</v>
      </c>
      <c r="I491" t="s">
        <v>328</v>
      </c>
      <c r="J491">
        <v>0.82</v>
      </c>
      <c r="K491">
        <v>0.65</v>
      </c>
      <c r="L491">
        <v>0</v>
      </c>
      <c r="M491">
        <v>0</v>
      </c>
      <c r="N491">
        <v>20</v>
      </c>
      <c r="O491">
        <v>3.72</v>
      </c>
      <c r="P491">
        <v>25.19</v>
      </c>
      <c r="Q491" s="18">
        <f>YEAR(A491)</f>
        <v>2024</v>
      </c>
      <c r="R491" s="18">
        <f>MONTH(A491)</f>
        <v>4</v>
      </c>
      <c r="S491" s="18">
        <f>IF(R491&lt;4,Q491-1,Q491)</f>
        <v>2024</v>
      </c>
      <c r="T491" s="18">
        <f>IF(R491&lt;4,R491+9,R491-3)</f>
        <v>1</v>
      </c>
      <c r="U491" s="18" t="str">
        <f>IF(LEN(T491)=1,_xlfn.CONCAT(0,T491),T491)</f>
        <v>01</v>
      </c>
      <c r="V491" s="18" t="str">
        <f>_xlfn.CONCAT(S491,U491)</f>
        <v>202401</v>
      </c>
      <c r="W491" s="18" t="str">
        <f>_xlfn.CONCAT(TEXT(A491,"MMM"),"-",MID(Q491,3,2))</f>
        <v>Apr-24</v>
      </c>
      <c r="X491" s="19">
        <f>IFERROR(IF(D491="Sell",(H491-P491),-(H491+P491)),0)</f>
        <v>1284.31</v>
      </c>
      <c r="Y491" s="19">
        <f>X491/1000</f>
        <v>1.2843099999999998</v>
      </c>
    </row>
    <row r="492" spans="1:25" x14ac:dyDescent="0.25">
      <c r="A492" s="1">
        <v>45385</v>
      </c>
      <c r="B492" t="s">
        <v>327</v>
      </c>
      <c r="C492" t="s">
        <v>17</v>
      </c>
      <c r="D492" t="s">
        <v>22</v>
      </c>
      <c r="E492">
        <v>15</v>
      </c>
      <c r="F492">
        <v>0</v>
      </c>
      <c r="G492">
        <v>31.1</v>
      </c>
      <c r="H492">
        <v>466.5</v>
      </c>
      <c r="I492" t="s">
        <v>329</v>
      </c>
      <c r="J492">
        <v>0</v>
      </c>
      <c r="K492">
        <v>0.23</v>
      </c>
      <c r="L492">
        <v>0</v>
      </c>
      <c r="M492">
        <v>0</v>
      </c>
      <c r="N492">
        <v>20</v>
      </c>
      <c r="O492">
        <v>3.64</v>
      </c>
      <c r="P492">
        <v>23.87</v>
      </c>
      <c r="Q492" s="18">
        <f>YEAR(A492)</f>
        <v>2024</v>
      </c>
      <c r="R492" s="18">
        <f>MONTH(A492)</f>
        <v>4</v>
      </c>
      <c r="S492" s="18">
        <f>IF(R492&lt;4,Q492-1,Q492)</f>
        <v>2024</v>
      </c>
      <c r="T492" s="18">
        <f>IF(R492&lt;4,R492+9,R492-3)</f>
        <v>1</v>
      </c>
      <c r="U492" s="18" t="str">
        <f>IF(LEN(T492)=1,_xlfn.CONCAT(0,T492),T492)</f>
        <v>01</v>
      </c>
      <c r="V492" s="18" t="str">
        <f>_xlfn.CONCAT(S492,U492)</f>
        <v>202401</v>
      </c>
      <c r="W492" s="18" t="str">
        <f>_xlfn.CONCAT(TEXT(A492,"MMM"),"-",MID(Q492,3,2))</f>
        <v>Apr-24</v>
      </c>
      <c r="X492" s="19">
        <f>IFERROR(IF(D492="Sell",(H492-P492),-(H492+P492)),0)</f>
        <v>-490.37</v>
      </c>
      <c r="Y492" s="19">
        <f>X492/1000</f>
        <v>-0.49037000000000003</v>
      </c>
    </row>
    <row r="493" spans="1:25" x14ac:dyDescent="0.25">
      <c r="A493" s="1">
        <v>45385</v>
      </c>
      <c r="B493" t="s">
        <v>327</v>
      </c>
      <c r="C493" t="s">
        <v>17</v>
      </c>
      <c r="D493" t="s">
        <v>18</v>
      </c>
      <c r="E493">
        <v>600</v>
      </c>
      <c r="F493">
        <v>0</v>
      </c>
      <c r="G493">
        <v>67.25</v>
      </c>
      <c r="H493">
        <v>40350</v>
      </c>
      <c r="I493" t="s">
        <v>330</v>
      </c>
      <c r="J493">
        <v>25.18</v>
      </c>
      <c r="K493">
        <v>20.18</v>
      </c>
      <c r="L493">
        <v>0</v>
      </c>
      <c r="M493">
        <v>0.04</v>
      </c>
      <c r="N493">
        <v>800</v>
      </c>
      <c r="O493">
        <v>147.63999999999999</v>
      </c>
      <c r="P493">
        <v>993.04</v>
      </c>
      <c r="Q493" s="18">
        <f>YEAR(A493)</f>
        <v>2024</v>
      </c>
      <c r="R493" s="18">
        <f>MONTH(A493)</f>
        <v>4</v>
      </c>
      <c r="S493" s="18">
        <f>IF(R493&lt;4,Q493-1,Q493)</f>
        <v>2024</v>
      </c>
      <c r="T493" s="18">
        <f>IF(R493&lt;4,R493+9,R493-3)</f>
        <v>1</v>
      </c>
      <c r="U493" s="18" t="str">
        <f>IF(LEN(T493)=1,_xlfn.CONCAT(0,T493),T493)</f>
        <v>01</v>
      </c>
      <c r="V493" s="18" t="str">
        <f>_xlfn.CONCAT(S493,U493)</f>
        <v>202401</v>
      </c>
      <c r="W493" s="18" t="str">
        <f>_xlfn.CONCAT(TEXT(A493,"MMM"),"-",MID(Q493,3,2))</f>
        <v>Apr-24</v>
      </c>
      <c r="X493" s="19">
        <f>IFERROR(IF(D493="Sell",(H493-P493),-(H493+P493)),0)</f>
        <v>39356.959999999999</v>
      </c>
      <c r="Y493" s="19">
        <f>X493/1000</f>
        <v>39.356960000000001</v>
      </c>
    </row>
    <row r="494" spans="1:25" x14ac:dyDescent="0.25">
      <c r="A494" s="1">
        <v>45385</v>
      </c>
      <c r="B494" t="s">
        <v>327</v>
      </c>
      <c r="C494" t="s">
        <v>17</v>
      </c>
      <c r="D494" t="s">
        <v>22</v>
      </c>
      <c r="E494">
        <v>600</v>
      </c>
      <c r="F494">
        <v>0</v>
      </c>
      <c r="G494">
        <v>34.1</v>
      </c>
      <c r="H494">
        <v>20460</v>
      </c>
      <c r="I494" t="s">
        <v>331</v>
      </c>
      <c r="J494">
        <v>0</v>
      </c>
      <c r="K494">
        <v>10.23</v>
      </c>
      <c r="L494">
        <v>1</v>
      </c>
      <c r="M494">
        <v>0.02</v>
      </c>
      <c r="N494">
        <v>800</v>
      </c>
      <c r="O494">
        <v>145.84</v>
      </c>
      <c r="P494">
        <v>957.09</v>
      </c>
      <c r="Q494" s="18">
        <f>YEAR(A494)</f>
        <v>2024</v>
      </c>
      <c r="R494" s="18">
        <f>MONTH(A494)</f>
        <v>4</v>
      </c>
      <c r="S494" s="18">
        <f>IF(R494&lt;4,Q494-1,Q494)</f>
        <v>2024</v>
      </c>
      <c r="T494" s="18">
        <f>IF(R494&lt;4,R494+9,R494-3)</f>
        <v>1</v>
      </c>
      <c r="U494" s="18" t="str">
        <f>IF(LEN(T494)=1,_xlfn.CONCAT(0,T494),T494)</f>
        <v>01</v>
      </c>
      <c r="V494" s="18" t="str">
        <f>_xlfn.CONCAT(S494,U494)</f>
        <v>202401</v>
      </c>
      <c r="W494" s="18" t="str">
        <f>_xlfn.CONCAT(TEXT(A494,"MMM"),"-",MID(Q494,3,2))</f>
        <v>Apr-24</v>
      </c>
      <c r="X494" s="19">
        <f>IFERROR(IF(D494="Sell",(H494-P494),-(H494+P494)),0)</f>
        <v>-21417.09</v>
      </c>
      <c r="Y494" s="19">
        <f>X494/1000</f>
        <v>-21.417090000000002</v>
      </c>
    </row>
    <row r="495" spans="1:25" x14ac:dyDescent="0.25">
      <c r="A495" s="1">
        <v>45386</v>
      </c>
      <c r="B495" t="s">
        <v>319</v>
      </c>
      <c r="C495" t="s">
        <v>17</v>
      </c>
      <c r="D495" t="s">
        <v>18</v>
      </c>
      <c r="E495">
        <v>900</v>
      </c>
      <c r="F495">
        <v>0</v>
      </c>
      <c r="G495">
        <v>52</v>
      </c>
      <c r="H495">
        <v>46800</v>
      </c>
      <c r="I495" t="s">
        <v>320</v>
      </c>
      <c r="J495">
        <v>29.25</v>
      </c>
      <c r="K495">
        <v>23.4</v>
      </c>
      <c r="L495">
        <v>0</v>
      </c>
      <c r="M495">
        <v>0.05</v>
      </c>
      <c r="N495">
        <v>360</v>
      </c>
      <c r="O495">
        <v>69.02</v>
      </c>
      <c r="P495">
        <v>481.72</v>
      </c>
      <c r="Q495" s="18">
        <f>YEAR(A495)</f>
        <v>2024</v>
      </c>
      <c r="R495" s="18">
        <f>MONTH(A495)</f>
        <v>4</v>
      </c>
      <c r="S495" s="18">
        <f>IF(R495&lt;4,Q495-1,Q495)</f>
        <v>2024</v>
      </c>
      <c r="T495" s="18">
        <f>IF(R495&lt;4,R495+9,R495-3)</f>
        <v>1</v>
      </c>
      <c r="U495" s="18" t="str">
        <f>IF(LEN(T495)=1,_xlfn.CONCAT(0,T495),T495)</f>
        <v>01</v>
      </c>
      <c r="V495" s="18" t="str">
        <f>_xlfn.CONCAT(S495,U495)</f>
        <v>202401</v>
      </c>
      <c r="W495" s="18" t="str">
        <f>_xlfn.CONCAT(TEXT(A495,"MMM"),"-",MID(Q495,3,2))</f>
        <v>Apr-24</v>
      </c>
      <c r="X495" s="19">
        <f>IFERROR(IF(D495="Sell",(H495-P495),-(H495+P495)),0)</f>
        <v>46318.28</v>
      </c>
      <c r="Y495" s="19">
        <f>X495/1000</f>
        <v>46.318280000000001</v>
      </c>
    </row>
    <row r="496" spans="1:25" x14ac:dyDescent="0.25">
      <c r="A496" s="1">
        <v>45386</v>
      </c>
      <c r="B496" t="s">
        <v>319</v>
      </c>
      <c r="C496" t="s">
        <v>17</v>
      </c>
      <c r="D496" t="s">
        <v>22</v>
      </c>
      <c r="E496">
        <v>300</v>
      </c>
      <c r="F496">
        <v>0</v>
      </c>
      <c r="G496">
        <v>25.05</v>
      </c>
      <c r="H496">
        <v>7515</v>
      </c>
      <c r="I496" t="s">
        <v>321</v>
      </c>
      <c r="J496">
        <v>0</v>
      </c>
      <c r="K496">
        <v>3.76</v>
      </c>
      <c r="L496">
        <v>0.51</v>
      </c>
      <c r="M496">
        <v>0.01</v>
      </c>
      <c r="N496">
        <v>120</v>
      </c>
      <c r="O496">
        <v>22.28</v>
      </c>
      <c r="P496">
        <v>146.56</v>
      </c>
      <c r="Q496" s="18">
        <f>YEAR(A496)</f>
        <v>2024</v>
      </c>
      <c r="R496" s="18">
        <f>MONTH(A496)</f>
        <v>4</v>
      </c>
      <c r="S496" s="18">
        <f>IF(R496&lt;4,Q496-1,Q496)</f>
        <v>2024</v>
      </c>
      <c r="T496" s="18">
        <f>IF(R496&lt;4,R496+9,R496-3)</f>
        <v>1</v>
      </c>
      <c r="U496" s="18" t="str">
        <f>IF(LEN(T496)=1,_xlfn.CONCAT(0,T496),T496)</f>
        <v>01</v>
      </c>
      <c r="V496" s="18" t="str">
        <f>_xlfn.CONCAT(S496,U496)</f>
        <v>202401</v>
      </c>
      <c r="W496" s="18" t="str">
        <f>_xlfn.CONCAT(TEXT(A496,"MMM"),"-",MID(Q496,3,2))</f>
        <v>Apr-24</v>
      </c>
      <c r="X496" s="19">
        <f>IFERROR(IF(D496="Sell",(H496-P496),-(H496+P496)),0)</f>
        <v>-7661.56</v>
      </c>
      <c r="Y496" s="19">
        <f>X496/1000</f>
        <v>-7.6615600000000006</v>
      </c>
    </row>
    <row r="497" spans="1:25" x14ac:dyDescent="0.25">
      <c r="A497" s="1">
        <v>45386</v>
      </c>
      <c r="B497" t="s">
        <v>319</v>
      </c>
      <c r="C497" t="s">
        <v>17</v>
      </c>
      <c r="D497" t="s">
        <v>22</v>
      </c>
      <c r="E497">
        <v>300</v>
      </c>
      <c r="F497">
        <v>0</v>
      </c>
      <c r="G497">
        <v>21</v>
      </c>
      <c r="H497">
        <v>6300</v>
      </c>
      <c r="I497" t="s">
        <v>322</v>
      </c>
      <c r="J497">
        <v>0</v>
      </c>
      <c r="K497">
        <v>3.18</v>
      </c>
      <c r="L497">
        <v>0</v>
      </c>
      <c r="M497">
        <v>0</v>
      </c>
      <c r="N497">
        <v>120</v>
      </c>
      <c r="O497">
        <v>22.2</v>
      </c>
      <c r="P497">
        <v>145.38</v>
      </c>
      <c r="Q497" s="18">
        <f>YEAR(A497)</f>
        <v>2024</v>
      </c>
      <c r="R497" s="18">
        <f>MONTH(A497)</f>
        <v>4</v>
      </c>
      <c r="S497" s="18">
        <f>IF(R497&lt;4,Q497-1,Q497)</f>
        <v>2024</v>
      </c>
      <c r="T497" s="18">
        <f>IF(R497&lt;4,R497+9,R497-3)</f>
        <v>1</v>
      </c>
      <c r="U497" s="18" t="str">
        <f>IF(LEN(T497)=1,_xlfn.CONCAT(0,T497),T497)</f>
        <v>01</v>
      </c>
      <c r="V497" s="18" t="str">
        <f>_xlfn.CONCAT(S497,U497)</f>
        <v>202401</v>
      </c>
      <c r="W497" s="18" t="str">
        <f>_xlfn.CONCAT(TEXT(A497,"MMM"),"-",MID(Q497,3,2))</f>
        <v>Apr-24</v>
      </c>
      <c r="X497" s="19">
        <f>IFERROR(IF(D497="Sell",(H497-P497),-(H497+P497)),0)</f>
        <v>-6445.38</v>
      </c>
      <c r="Y497" s="19">
        <f>X497/1000</f>
        <v>-6.4453800000000001</v>
      </c>
    </row>
    <row r="498" spans="1:25" x14ac:dyDescent="0.25">
      <c r="A498" s="1">
        <v>45386</v>
      </c>
      <c r="B498" t="s">
        <v>319</v>
      </c>
      <c r="C498" t="s">
        <v>17</v>
      </c>
      <c r="D498" t="s">
        <v>22</v>
      </c>
      <c r="E498">
        <v>300</v>
      </c>
      <c r="F498">
        <v>0</v>
      </c>
      <c r="G498">
        <v>41</v>
      </c>
      <c r="H498">
        <v>12300</v>
      </c>
      <c r="I498" t="s">
        <v>323</v>
      </c>
      <c r="J498">
        <v>0</v>
      </c>
      <c r="K498">
        <v>6.15</v>
      </c>
      <c r="L498">
        <v>0</v>
      </c>
      <c r="M498">
        <v>0.01</v>
      </c>
      <c r="N498">
        <v>120</v>
      </c>
      <c r="O498">
        <v>22.7</v>
      </c>
      <c r="P498">
        <v>148.86000000000001</v>
      </c>
      <c r="Q498" s="18">
        <f>YEAR(A498)</f>
        <v>2024</v>
      </c>
      <c r="R498" s="18">
        <f>MONTH(A498)</f>
        <v>4</v>
      </c>
      <c r="S498" s="18">
        <f>IF(R498&lt;4,Q498-1,Q498)</f>
        <v>2024</v>
      </c>
      <c r="T498" s="18">
        <f>IF(R498&lt;4,R498+9,R498-3)</f>
        <v>1</v>
      </c>
      <c r="U498" s="18" t="str">
        <f>IF(LEN(T498)=1,_xlfn.CONCAT(0,T498),T498)</f>
        <v>01</v>
      </c>
      <c r="V498" s="18" t="str">
        <f>_xlfn.CONCAT(S498,U498)</f>
        <v>202401</v>
      </c>
      <c r="W498" s="18" t="str">
        <f>_xlfn.CONCAT(TEXT(A498,"MMM"),"-",MID(Q498,3,2))</f>
        <v>Apr-24</v>
      </c>
      <c r="X498" s="19">
        <f>IFERROR(IF(D498="Sell",(H498-P498),-(H498+P498)),0)</f>
        <v>-12448.86</v>
      </c>
      <c r="Y498" s="19">
        <f>X498/1000</f>
        <v>-12.44886</v>
      </c>
    </row>
    <row r="499" spans="1:25" x14ac:dyDescent="0.25">
      <c r="A499" s="1">
        <v>45386</v>
      </c>
      <c r="B499" t="s">
        <v>324</v>
      </c>
      <c r="C499" t="s">
        <v>17</v>
      </c>
      <c r="D499" t="s">
        <v>18</v>
      </c>
      <c r="E499">
        <v>60</v>
      </c>
      <c r="F499">
        <v>0</v>
      </c>
      <c r="G499">
        <v>289.39999999999998</v>
      </c>
      <c r="H499">
        <v>17364</v>
      </c>
      <c r="I499" t="s">
        <v>325</v>
      </c>
      <c r="J499">
        <v>10.75</v>
      </c>
      <c r="K499">
        <v>8.68</v>
      </c>
      <c r="L499">
        <v>0</v>
      </c>
      <c r="M499">
        <v>0.02</v>
      </c>
      <c r="N499">
        <v>80</v>
      </c>
      <c r="O499">
        <v>15.96</v>
      </c>
      <c r="P499">
        <v>115.41</v>
      </c>
      <c r="Q499" s="18">
        <f>YEAR(A499)</f>
        <v>2024</v>
      </c>
      <c r="R499" s="18">
        <f>MONTH(A499)</f>
        <v>4</v>
      </c>
      <c r="S499" s="18">
        <f>IF(R499&lt;4,Q499-1,Q499)</f>
        <v>2024</v>
      </c>
      <c r="T499" s="18">
        <f>IF(R499&lt;4,R499+9,R499-3)</f>
        <v>1</v>
      </c>
      <c r="U499" s="18" t="str">
        <f>IF(LEN(T499)=1,_xlfn.CONCAT(0,T499),T499)</f>
        <v>01</v>
      </c>
      <c r="V499" s="18" t="str">
        <f>_xlfn.CONCAT(S499,U499)</f>
        <v>202401</v>
      </c>
      <c r="W499" s="18" t="str">
        <f>_xlfn.CONCAT(TEXT(A499,"MMM"),"-",MID(Q499,3,2))</f>
        <v>Apr-24</v>
      </c>
      <c r="X499" s="19">
        <f>IFERROR(IF(D499="Sell",(H499-P499),-(H499+P499)),0)</f>
        <v>17248.59</v>
      </c>
      <c r="Y499" s="19">
        <f>X499/1000</f>
        <v>17.24859</v>
      </c>
    </row>
    <row r="500" spans="1:25" x14ac:dyDescent="0.25">
      <c r="A500" s="1">
        <v>45386</v>
      </c>
      <c r="B500" t="s">
        <v>324</v>
      </c>
      <c r="C500" t="s">
        <v>17</v>
      </c>
      <c r="D500" t="s">
        <v>22</v>
      </c>
      <c r="E500">
        <v>60</v>
      </c>
      <c r="F500">
        <v>0</v>
      </c>
      <c r="G500">
        <v>272.08</v>
      </c>
      <c r="H500">
        <v>16324.5</v>
      </c>
      <c r="I500" t="s">
        <v>326</v>
      </c>
      <c r="J500">
        <v>0</v>
      </c>
      <c r="K500">
        <v>8.16</v>
      </c>
      <c r="L500">
        <v>0.49</v>
      </c>
      <c r="M500">
        <v>0.01</v>
      </c>
      <c r="N500">
        <v>80</v>
      </c>
      <c r="O500">
        <v>15.86</v>
      </c>
      <c r="P500">
        <v>104.52</v>
      </c>
      <c r="Q500" s="18">
        <f>YEAR(A500)</f>
        <v>2024</v>
      </c>
      <c r="R500" s="18">
        <f>MONTH(A500)</f>
        <v>4</v>
      </c>
      <c r="S500" s="18">
        <f>IF(R500&lt;4,Q500-1,Q500)</f>
        <v>2024</v>
      </c>
      <c r="T500" s="18">
        <f>IF(R500&lt;4,R500+9,R500-3)</f>
        <v>1</v>
      </c>
      <c r="U500" s="18" t="str">
        <f>IF(LEN(T500)=1,_xlfn.CONCAT(0,T500),T500)</f>
        <v>01</v>
      </c>
      <c r="V500" s="18" t="str">
        <f>_xlfn.CONCAT(S500,U500)</f>
        <v>202401</v>
      </c>
      <c r="W500" s="18" t="str">
        <f>_xlfn.CONCAT(TEXT(A500,"MMM"),"-",MID(Q500,3,2))</f>
        <v>Apr-24</v>
      </c>
      <c r="X500" s="19">
        <f>IFERROR(IF(D500="Sell",(H500-P500),-(H500+P500)),0)</f>
        <v>-16429.02</v>
      </c>
      <c r="Y500" s="19">
        <f>X500/1000</f>
        <v>-16.429020000000001</v>
      </c>
    </row>
    <row r="501" spans="1:25" x14ac:dyDescent="0.25">
      <c r="A501" s="1">
        <v>45390</v>
      </c>
      <c r="B501" t="s">
        <v>310</v>
      </c>
      <c r="C501" t="s">
        <v>17</v>
      </c>
      <c r="D501" t="s">
        <v>18</v>
      </c>
      <c r="E501">
        <v>105</v>
      </c>
      <c r="F501">
        <v>0</v>
      </c>
      <c r="G501">
        <v>297</v>
      </c>
      <c r="H501">
        <v>31185</v>
      </c>
      <c r="I501" t="s">
        <v>311</v>
      </c>
      <c r="J501">
        <v>19.489999999999998</v>
      </c>
      <c r="K501">
        <v>15.6</v>
      </c>
      <c r="L501">
        <v>0</v>
      </c>
      <c r="M501">
        <v>0.03</v>
      </c>
      <c r="N501">
        <v>140</v>
      </c>
      <c r="O501">
        <v>28.02</v>
      </c>
      <c r="P501">
        <v>203.14</v>
      </c>
      <c r="Q501" s="18">
        <f>YEAR(A501)</f>
        <v>2024</v>
      </c>
      <c r="R501" s="18">
        <f>MONTH(A501)</f>
        <v>4</v>
      </c>
      <c r="S501" s="18">
        <f>IF(R501&lt;4,Q501-1,Q501)</f>
        <v>2024</v>
      </c>
      <c r="T501" s="18">
        <f>IF(R501&lt;4,R501+9,R501-3)</f>
        <v>1</v>
      </c>
      <c r="U501" s="18" t="str">
        <f>IF(LEN(T501)=1,_xlfn.CONCAT(0,T501),T501)</f>
        <v>01</v>
      </c>
      <c r="V501" s="18" t="str">
        <f>_xlfn.CONCAT(S501,U501)</f>
        <v>202401</v>
      </c>
      <c r="W501" s="18" t="str">
        <f>_xlfn.CONCAT(TEXT(A501,"MMM"),"-",MID(Q501,3,2))</f>
        <v>Apr-24</v>
      </c>
      <c r="X501" s="19">
        <f>IFERROR(IF(D501="Sell",(H501-P501),-(H501+P501)),0)</f>
        <v>30981.86</v>
      </c>
      <c r="Y501" s="19">
        <f>X501/1000</f>
        <v>30.981860000000001</v>
      </c>
    </row>
    <row r="502" spans="1:25" x14ac:dyDescent="0.25">
      <c r="A502" s="1">
        <v>45390</v>
      </c>
      <c r="B502" t="s">
        <v>310</v>
      </c>
      <c r="C502" t="s">
        <v>17</v>
      </c>
      <c r="D502" t="s">
        <v>22</v>
      </c>
      <c r="E502">
        <v>105</v>
      </c>
      <c r="F502">
        <v>0</v>
      </c>
      <c r="G502">
        <v>289.08999999999997</v>
      </c>
      <c r="H502">
        <v>30354.75</v>
      </c>
      <c r="I502" t="s">
        <v>312</v>
      </c>
      <c r="J502">
        <v>0</v>
      </c>
      <c r="K502">
        <v>15.18</v>
      </c>
      <c r="L502">
        <v>2</v>
      </c>
      <c r="M502">
        <v>0.02</v>
      </c>
      <c r="N502">
        <v>140</v>
      </c>
      <c r="O502">
        <v>27.96</v>
      </c>
      <c r="P502">
        <v>185.16</v>
      </c>
      <c r="Q502" s="18">
        <f>YEAR(A502)</f>
        <v>2024</v>
      </c>
      <c r="R502" s="18">
        <f>MONTH(A502)</f>
        <v>4</v>
      </c>
      <c r="S502" s="18">
        <f>IF(R502&lt;4,Q502-1,Q502)</f>
        <v>2024</v>
      </c>
      <c r="T502" s="18">
        <f>IF(R502&lt;4,R502+9,R502-3)</f>
        <v>1</v>
      </c>
      <c r="U502" s="18" t="str">
        <f>IF(LEN(T502)=1,_xlfn.CONCAT(0,T502),T502)</f>
        <v>01</v>
      </c>
      <c r="V502" s="18" t="str">
        <f>_xlfn.CONCAT(S502,U502)</f>
        <v>202401</v>
      </c>
      <c r="W502" s="18" t="str">
        <f>_xlfn.CONCAT(TEXT(A502,"MMM"),"-",MID(Q502,3,2))</f>
        <v>Apr-24</v>
      </c>
      <c r="X502" s="19">
        <f>IFERROR(IF(D502="Sell",(H502-P502),-(H502+P502)),0)</f>
        <v>-30539.91</v>
      </c>
      <c r="Y502" s="19">
        <f>X502/1000</f>
        <v>-30.539909999999999</v>
      </c>
    </row>
    <row r="503" spans="1:25" x14ac:dyDescent="0.25">
      <c r="A503" s="1">
        <v>45390</v>
      </c>
      <c r="B503" t="s">
        <v>310</v>
      </c>
      <c r="C503" t="s">
        <v>17</v>
      </c>
      <c r="D503" t="s">
        <v>18</v>
      </c>
      <c r="E503">
        <v>75</v>
      </c>
      <c r="F503">
        <v>0</v>
      </c>
      <c r="G503">
        <v>299.14999999999998</v>
      </c>
      <c r="H503">
        <v>22436.25</v>
      </c>
      <c r="I503" t="s">
        <v>313</v>
      </c>
      <c r="J503">
        <v>14.51</v>
      </c>
      <c r="K503">
        <v>11.22</v>
      </c>
      <c r="L503">
        <v>0</v>
      </c>
      <c r="M503">
        <v>0.02</v>
      </c>
      <c r="N503">
        <v>100</v>
      </c>
      <c r="O503">
        <v>20.02</v>
      </c>
      <c r="P503">
        <v>145.77000000000001</v>
      </c>
      <c r="Q503" s="18">
        <f>YEAR(A503)</f>
        <v>2024</v>
      </c>
      <c r="R503" s="18">
        <f>MONTH(A503)</f>
        <v>4</v>
      </c>
      <c r="S503" s="18">
        <f>IF(R503&lt;4,Q503-1,Q503)</f>
        <v>2024</v>
      </c>
      <c r="T503" s="18">
        <f>IF(R503&lt;4,R503+9,R503-3)</f>
        <v>1</v>
      </c>
      <c r="U503" s="18" t="str">
        <f>IF(LEN(T503)=1,_xlfn.CONCAT(0,T503),T503)</f>
        <v>01</v>
      </c>
      <c r="V503" s="18" t="str">
        <f>_xlfn.CONCAT(S503,U503)</f>
        <v>202401</v>
      </c>
      <c r="W503" s="18" t="str">
        <f>_xlfn.CONCAT(TEXT(A503,"MMM"),"-",MID(Q503,3,2))</f>
        <v>Apr-24</v>
      </c>
      <c r="X503" s="19">
        <f>IFERROR(IF(D503="Sell",(H503-P503),-(H503+P503)),0)</f>
        <v>22290.48</v>
      </c>
      <c r="Y503" s="19">
        <f>X503/1000</f>
        <v>22.290479999999999</v>
      </c>
    </row>
    <row r="504" spans="1:25" x14ac:dyDescent="0.25">
      <c r="A504" s="1">
        <v>45390</v>
      </c>
      <c r="B504" t="s">
        <v>310</v>
      </c>
      <c r="C504" t="s">
        <v>17</v>
      </c>
      <c r="D504" t="s">
        <v>22</v>
      </c>
      <c r="E504">
        <v>15</v>
      </c>
      <c r="F504">
        <v>0</v>
      </c>
      <c r="G504">
        <v>271.25</v>
      </c>
      <c r="H504">
        <v>4068.75</v>
      </c>
      <c r="I504" t="s">
        <v>314</v>
      </c>
      <c r="J504">
        <v>0</v>
      </c>
      <c r="K504">
        <v>2.0299999999999998</v>
      </c>
      <c r="L504">
        <v>0</v>
      </c>
      <c r="M504">
        <v>0</v>
      </c>
      <c r="N504">
        <v>20</v>
      </c>
      <c r="O504">
        <v>3.96</v>
      </c>
      <c r="P504">
        <v>25.99</v>
      </c>
      <c r="Q504" s="18">
        <f>YEAR(A504)</f>
        <v>2024</v>
      </c>
      <c r="R504" s="18">
        <f>MONTH(A504)</f>
        <v>4</v>
      </c>
      <c r="S504" s="18">
        <f>IF(R504&lt;4,Q504-1,Q504)</f>
        <v>2024</v>
      </c>
      <c r="T504" s="18">
        <f>IF(R504&lt;4,R504+9,R504-3)</f>
        <v>1</v>
      </c>
      <c r="U504" s="18" t="str">
        <f>IF(LEN(T504)=1,_xlfn.CONCAT(0,T504),T504)</f>
        <v>01</v>
      </c>
      <c r="V504" s="18" t="str">
        <f>_xlfn.CONCAT(S504,U504)</f>
        <v>202401</v>
      </c>
      <c r="W504" s="18" t="str">
        <f>_xlfn.CONCAT(TEXT(A504,"MMM"),"-",MID(Q504,3,2))</f>
        <v>Apr-24</v>
      </c>
      <c r="X504" s="19">
        <f>IFERROR(IF(D504="Sell",(H504-P504),-(H504+P504)),0)</f>
        <v>-4094.74</v>
      </c>
      <c r="Y504" s="19">
        <f>X504/1000</f>
        <v>-4.0947399999999998</v>
      </c>
    </row>
    <row r="505" spans="1:25" x14ac:dyDescent="0.25">
      <c r="A505" s="1">
        <v>45390</v>
      </c>
      <c r="B505" t="s">
        <v>310</v>
      </c>
      <c r="C505" t="s">
        <v>17</v>
      </c>
      <c r="D505" t="s">
        <v>22</v>
      </c>
      <c r="E505">
        <v>15</v>
      </c>
      <c r="F505">
        <v>0</v>
      </c>
      <c r="G505">
        <v>270.14999999999998</v>
      </c>
      <c r="H505">
        <v>4052.25</v>
      </c>
      <c r="I505" t="s">
        <v>315</v>
      </c>
      <c r="J505">
        <v>0</v>
      </c>
      <c r="K505">
        <v>2.0299999999999998</v>
      </c>
      <c r="L505">
        <v>0</v>
      </c>
      <c r="M505">
        <v>0</v>
      </c>
      <c r="N505">
        <v>20</v>
      </c>
      <c r="O505">
        <v>3.96</v>
      </c>
      <c r="P505">
        <v>25.99</v>
      </c>
      <c r="Q505" s="18">
        <f>YEAR(A505)</f>
        <v>2024</v>
      </c>
      <c r="R505" s="18">
        <f>MONTH(A505)</f>
        <v>4</v>
      </c>
      <c r="S505" s="18">
        <f>IF(R505&lt;4,Q505-1,Q505)</f>
        <v>2024</v>
      </c>
      <c r="T505" s="18">
        <f>IF(R505&lt;4,R505+9,R505-3)</f>
        <v>1</v>
      </c>
      <c r="U505" s="18" t="str">
        <f>IF(LEN(T505)=1,_xlfn.CONCAT(0,T505),T505)</f>
        <v>01</v>
      </c>
      <c r="V505" s="18" t="str">
        <f>_xlfn.CONCAT(S505,U505)</f>
        <v>202401</v>
      </c>
      <c r="W505" s="18" t="str">
        <f>_xlfn.CONCAT(TEXT(A505,"MMM"),"-",MID(Q505,3,2))</f>
        <v>Apr-24</v>
      </c>
      <c r="X505" s="19">
        <f>IFERROR(IF(D505="Sell",(H505-P505),-(H505+P505)),0)</f>
        <v>-4078.24</v>
      </c>
      <c r="Y505" s="19">
        <f>X505/1000</f>
        <v>-4.0782400000000001</v>
      </c>
    </row>
    <row r="506" spans="1:25" x14ac:dyDescent="0.25">
      <c r="A506" s="1">
        <v>45390</v>
      </c>
      <c r="B506" t="s">
        <v>310</v>
      </c>
      <c r="C506" t="s">
        <v>17</v>
      </c>
      <c r="D506" t="s">
        <v>22</v>
      </c>
      <c r="E506">
        <v>15</v>
      </c>
      <c r="F506">
        <v>0</v>
      </c>
      <c r="G506">
        <v>291</v>
      </c>
      <c r="H506">
        <v>4365</v>
      </c>
      <c r="I506" t="s">
        <v>316</v>
      </c>
      <c r="J506">
        <v>0</v>
      </c>
      <c r="K506">
        <v>2.1800000000000002</v>
      </c>
      <c r="L506">
        <v>0</v>
      </c>
      <c r="M506">
        <v>0</v>
      </c>
      <c r="N506">
        <v>20</v>
      </c>
      <c r="O506">
        <v>4</v>
      </c>
      <c r="P506">
        <v>26.18</v>
      </c>
      <c r="Q506" s="18">
        <f>YEAR(A506)</f>
        <v>2024</v>
      </c>
      <c r="R506" s="18">
        <f>MONTH(A506)</f>
        <v>4</v>
      </c>
      <c r="S506" s="18">
        <f>IF(R506&lt;4,Q506-1,Q506)</f>
        <v>2024</v>
      </c>
      <c r="T506" s="18">
        <f>IF(R506&lt;4,R506+9,R506-3)</f>
        <v>1</v>
      </c>
      <c r="U506" s="18" t="str">
        <f>IF(LEN(T506)=1,_xlfn.CONCAT(0,T506),T506)</f>
        <v>01</v>
      </c>
      <c r="V506" s="18" t="str">
        <f>_xlfn.CONCAT(S506,U506)</f>
        <v>202401</v>
      </c>
      <c r="W506" s="18" t="str">
        <f>_xlfn.CONCAT(TEXT(A506,"MMM"),"-",MID(Q506,3,2))</f>
        <v>Apr-24</v>
      </c>
      <c r="X506" s="19">
        <f>IFERROR(IF(D506="Sell",(H506-P506),-(H506+P506)),0)</f>
        <v>-4391.18</v>
      </c>
      <c r="Y506" s="19">
        <f>X506/1000</f>
        <v>-4.3911800000000003</v>
      </c>
    </row>
    <row r="507" spans="1:25" x14ac:dyDescent="0.25">
      <c r="A507" s="1">
        <v>45390</v>
      </c>
      <c r="B507" t="s">
        <v>310</v>
      </c>
      <c r="C507" t="s">
        <v>17</v>
      </c>
      <c r="D507" t="s">
        <v>22</v>
      </c>
      <c r="E507">
        <v>15</v>
      </c>
      <c r="F507">
        <v>0</v>
      </c>
      <c r="G507">
        <v>315.39999999999998</v>
      </c>
      <c r="H507">
        <v>4731</v>
      </c>
      <c r="I507" t="s">
        <v>317</v>
      </c>
      <c r="J507">
        <v>0</v>
      </c>
      <c r="K507">
        <v>2.37</v>
      </c>
      <c r="L507">
        <v>0</v>
      </c>
      <c r="M507">
        <v>0</v>
      </c>
      <c r="N507">
        <v>20</v>
      </c>
      <c r="O507">
        <v>4.0199999999999996</v>
      </c>
      <c r="P507">
        <v>26.39</v>
      </c>
      <c r="Q507" s="18">
        <f>YEAR(A507)</f>
        <v>2024</v>
      </c>
      <c r="R507" s="18">
        <f>MONTH(A507)</f>
        <v>4</v>
      </c>
      <c r="S507" s="18">
        <f>IF(R507&lt;4,Q507-1,Q507)</f>
        <v>2024</v>
      </c>
      <c r="T507" s="18">
        <f>IF(R507&lt;4,R507+9,R507-3)</f>
        <v>1</v>
      </c>
      <c r="U507" s="18" t="str">
        <f>IF(LEN(T507)=1,_xlfn.CONCAT(0,T507),T507)</f>
        <v>01</v>
      </c>
      <c r="V507" s="18" t="str">
        <f>_xlfn.CONCAT(S507,U507)</f>
        <v>202401</v>
      </c>
      <c r="W507" s="18" t="str">
        <f>_xlfn.CONCAT(TEXT(A507,"MMM"),"-",MID(Q507,3,2))</f>
        <v>Apr-24</v>
      </c>
      <c r="X507" s="19">
        <f>IFERROR(IF(D507="Sell",(H507-P507),-(H507+P507)),0)</f>
        <v>-4757.3900000000003</v>
      </c>
      <c r="Y507" s="19">
        <f>X507/1000</f>
        <v>-4.75739</v>
      </c>
    </row>
    <row r="508" spans="1:25" x14ac:dyDescent="0.25">
      <c r="A508" s="1">
        <v>45390</v>
      </c>
      <c r="B508" t="s">
        <v>310</v>
      </c>
      <c r="C508" t="s">
        <v>17</v>
      </c>
      <c r="D508" t="s">
        <v>22</v>
      </c>
      <c r="E508">
        <v>15</v>
      </c>
      <c r="F508">
        <v>0</v>
      </c>
      <c r="G508">
        <v>301.39999999999998</v>
      </c>
      <c r="H508">
        <v>4521</v>
      </c>
      <c r="I508" t="s">
        <v>318</v>
      </c>
      <c r="J508">
        <v>0</v>
      </c>
      <c r="K508">
        <v>2.2599999999999998</v>
      </c>
      <c r="L508">
        <v>0</v>
      </c>
      <c r="M508">
        <v>0</v>
      </c>
      <c r="N508">
        <v>20</v>
      </c>
      <c r="O508">
        <v>4</v>
      </c>
      <c r="P508">
        <v>26.26</v>
      </c>
      <c r="Q508" s="18">
        <f>YEAR(A508)</f>
        <v>2024</v>
      </c>
      <c r="R508" s="18">
        <f>MONTH(A508)</f>
        <v>4</v>
      </c>
      <c r="S508" s="18">
        <f>IF(R508&lt;4,Q508-1,Q508)</f>
        <v>2024</v>
      </c>
      <c r="T508" s="18">
        <f>IF(R508&lt;4,R508+9,R508-3)</f>
        <v>1</v>
      </c>
      <c r="U508" s="18" t="str">
        <f>IF(LEN(T508)=1,_xlfn.CONCAT(0,T508),T508)</f>
        <v>01</v>
      </c>
      <c r="V508" s="18" t="str">
        <f>_xlfn.CONCAT(S508,U508)</f>
        <v>202401</v>
      </c>
      <c r="W508" s="18" t="str">
        <f>_xlfn.CONCAT(TEXT(A508,"MMM"),"-",MID(Q508,3,2))</f>
        <v>Apr-24</v>
      </c>
      <c r="X508" s="19">
        <f>IFERROR(IF(D508="Sell",(H508-P508),-(H508+P508)),0)</f>
        <v>-4547.26</v>
      </c>
      <c r="Y508" s="19">
        <f>X508/1000</f>
        <v>-4.5472600000000005</v>
      </c>
    </row>
    <row r="509" spans="1:25" x14ac:dyDescent="0.25">
      <c r="A509" s="1">
        <v>45391</v>
      </c>
      <c r="B509" t="s">
        <v>290</v>
      </c>
      <c r="C509" t="s">
        <v>17</v>
      </c>
      <c r="D509" t="s">
        <v>18</v>
      </c>
      <c r="E509">
        <v>60</v>
      </c>
      <c r="F509">
        <v>0</v>
      </c>
      <c r="G509">
        <v>175.65</v>
      </c>
      <c r="H509">
        <v>10539</v>
      </c>
      <c r="I509" t="s">
        <v>299</v>
      </c>
      <c r="J509">
        <v>6.59</v>
      </c>
      <c r="K509">
        <v>5.27</v>
      </c>
      <c r="L509">
        <v>0</v>
      </c>
      <c r="M509">
        <v>0.01</v>
      </c>
      <c r="N509">
        <v>80</v>
      </c>
      <c r="O509">
        <v>15.36</v>
      </c>
      <c r="P509">
        <v>107.23</v>
      </c>
      <c r="Q509" s="18">
        <f>YEAR(A509)</f>
        <v>2024</v>
      </c>
      <c r="R509" s="18">
        <f>MONTH(A509)</f>
        <v>4</v>
      </c>
      <c r="S509" s="18">
        <f>IF(R509&lt;4,Q509-1,Q509)</f>
        <v>2024</v>
      </c>
      <c r="T509" s="18">
        <f>IF(R509&lt;4,R509+9,R509-3)</f>
        <v>1</v>
      </c>
      <c r="U509" s="18" t="str">
        <f>IF(LEN(T509)=1,_xlfn.CONCAT(0,T509),T509)</f>
        <v>01</v>
      </c>
      <c r="V509" s="18" t="str">
        <f>_xlfn.CONCAT(S509,U509)</f>
        <v>202401</v>
      </c>
      <c r="W509" s="18" t="str">
        <f>_xlfn.CONCAT(TEXT(A509,"MMM"),"-",MID(Q509,3,2))</f>
        <v>Apr-24</v>
      </c>
      <c r="X509" s="19">
        <f>IFERROR(IF(D509="Sell",(H509-P509),-(H509+P509)),0)</f>
        <v>10431.77</v>
      </c>
      <c r="Y509" s="19">
        <f>X509/1000</f>
        <v>10.43177</v>
      </c>
    </row>
    <row r="510" spans="1:25" x14ac:dyDescent="0.25">
      <c r="A510" s="1">
        <v>45391</v>
      </c>
      <c r="B510" t="s">
        <v>290</v>
      </c>
      <c r="C510" t="s">
        <v>17</v>
      </c>
      <c r="D510" t="s">
        <v>22</v>
      </c>
      <c r="E510">
        <v>60</v>
      </c>
      <c r="F510">
        <v>0</v>
      </c>
      <c r="G510">
        <v>155.05000000000001</v>
      </c>
      <c r="H510">
        <v>9303</v>
      </c>
      <c r="I510" t="s">
        <v>300</v>
      </c>
      <c r="J510">
        <v>0</v>
      </c>
      <c r="K510">
        <v>4.6500000000000004</v>
      </c>
      <c r="L510">
        <v>0.28000000000000003</v>
      </c>
      <c r="M510">
        <v>0.01</v>
      </c>
      <c r="N510">
        <v>80</v>
      </c>
      <c r="O510">
        <v>15.24</v>
      </c>
      <c r="P510">
        <v>100.18</v>
      </c>
      <c r="Q510" s="18">
        <f>YEAR(A510)</f>
        <v>2024</v>
      </c>
      <c r="R510" s="18">
        <f>MONTH(A510)</f>
        <v>4</v>
      </c>
      <c r="S510" s="18">
        <f>IF(R510&lt;4,Q510-1,Q510)</f>
        <v>2024</v>
      </c>
      <c r="T510" s="18">
        <f>IF(R510&lt;4,R510+9,R510-3)</f>
        <v>1</v>
      </c>
      <c r="U510" s="18" t="str">
        <f>IF(LEN(T510)=1,_xlfn.CONCAT(0,T510),T510)</f>
        <v>01</v>
      </c>
      <c r="V510" s="18" t="str">
        <f>_xlfn.CONCAT(S510,U510)</f>
        <v>202401</v>
      </c>
      <c r="W510" s="18" t="str">
        <f>_xlfn.CONCAT(TEXT(A510,"MMM"),"-",MID(Q510,3,2))</f>
        <v>Apr-24</v>
      </c>
      <c r="X510" s="19">
        <f>IFERROR(IF(D510="Sell",(H510-P510),-(H510+P510)),0)</f>
        <v>-9403.18</v>
      </c>
      <c r="Y510" s="19">
        <f>X510/1000</f>
        <v>-9.4031800000000008</v>
      </c>
    </row>
    <row r="511" spans="1:25" x14ac:dyDescent="0.25">
      <c r="A511" s="1">
        <v>45391</v>
      </c>
      <c r="B511" t="s">
        <v>301</v>
      </c>
      <c r="C511" t="s">
        <v>17</v>
      </c>
      <c r="D511" t="s">
        <v>18</v>
      </c>
      <c r="E511">
        <v>360</v>
      </c>
      <c r="F511">
        <v>0</v>
      </c>
      <c r="G511">
        <v>62</v>
      </c>
      <c r="H511">
        <v>22320</v>
      </c>
      <c r="I511" t="s">
        <v>302</v>
      </c>
      <c r="J511">
        <v>13.95</v>
      </c>
      <c r="K511">
        <v>11.16</v>
      </c>
      <c r="L511">
        <v>0</v>
      </c>
      <c r="M511">
        <v>0.02</v>
      </c>
      <c r="N511">
        <v>180</v>
      </c>
      <c r="O511">
        <v>34.42</v>
      </c>
      <c r="P511">
        <v>239.55</v>
      </c>
      <c r="Q511" s="18">
        <f>YEAR(A511)</f>
        <v>2024</v>
      </c>
      <c r="R511" s="18">
        <f>MONTH(A511)</f>
        <v>4</v>
      </c>
      <c r="S511" s="18">
        <f>IF(R511&lt;4,Q511-1,Q511)</f>
        <v>2024</v>
      </c>
      <c r="T511" s="18">
        <f>IF(R511&lt;4,R511+9,R511-3)</f>
        <v>1</v>
      </c>
      <c r="U511" s="18" t="str">
        <f>IF(LEN(T511)=1,_xlfn.CONCAT(0,T511),T511)</f>
        <v>01</v>
      </c>
      <c r="V511" s="18" t="str">
        <f>_xlfn.CONCAT(S511,U511)</f>
        <v>202401</v>
      </c>
      <c r="W511" s="18" t="str">
        <f>_xlfn.CONCAT(TEXT(A511,"MMM"),"-",MID(Q511,3,2))</f>
        <v>Apr-24</v>
      </c>
      <c r="X511" s="19">
        <f>IFERROR(IF(D511="Sell",(H511-P511),-(H511+P511)),0)</f>
        <v>22080.45</v>
      </c>
      <c r="Y511" s="19">
        <f>X511/1000</f>
        <v>22.080449999999999</v>
      </c>
    </row>
    <row r="512" spans="1:25" x14ac:dyDescent="0.25">
      <c r="A512" s="1">
        <v>45391</v>
      </c>
      <c r="B512" t="s">
        <v>301</v>
      </c>
      <c r="C512" t="s">
        <v>17</v>
      </c>
      <c r="D512" t="s">
        <v>22</v>
      </c>
      <c r="E512">
        <v>360</v>
      </c>
      <c r="F512">
        <v>0</v>
      </c>
      <c r="G512">
        <v>37.200000000000003</v>
      </c>
      <c r="H512">
        <v>13392</v>
      </c>
      <c r="I512" t="s">
        <v>303</v>
      </c>
      <c r="J512">
        <v>0</v>
      </c>
      <c r="K512">
        <v>6.7</v>
      </c>
      <c r="L512">
        <v>0.43</v>
      </c>
      <c r="M512">
        <v>0.01</v>
      </c>
      <c r="N512">
        <v>180</v>
      </c>
      <c r="O512">
        <v>33.6</v>
      </c>
      <c r="P512">
        <v>220.74</v>
      </c>
      <c r="Q512" s="18">
        <f>YEAR(A512)</f>
        <v>2024</v>
      </c>
      <c r="R512" s="18">
        <f>MONTH(A512)</f>
        <v>4</v>
      </c>
      <c r="S512" s="18">
        <f>IF(R512&lt;4,Q512-1,Q512)</f>
        <v>2024</v>
      </c>
      <c r="T512" s="18">
        <f>IF(R512&lt;4,R512+9,R512-3)</f>
        <v>1</v>
      </c>
      <c r="U512" s="18" t="str">
        <f>IF(LEN(T512)=1,_xlfn.CONCAT(0,T512),T512)</f>
        <v>01</v>
      </c>
      <c r="V512" s="18" t="str">
        <f>_xlfn.CONCAT(S512,U512)</f>
        <v>202401</v>
      </c>
      <c r="W512" s="18" t="str">
        <f>_xlfn.CONCAT(TEXT(A512,"MMM"),"-",MID(Q512,3,2))</f>
        <v>Apr-24</v>
      </c>
      <c r="X512" s="19">
        <f>IFERROR(IF(D512="Sell",(H512-P512),-(H512+P512)),0)</f>
        <v>-13612.74</v>
      </c>
      <c r="Y512" s="19">
        <f>X512/1000</f>
        <v>-13.612740000000001</v>
      </c>
    </row>
    <row r="513" spans="1:25" x14ac:dyDescent="0.25">
      <c r="A513" s="1">
        <v>45391</v>
      </c>
      <c r="B513" t="s">
        <v>301</v>
      </c>
      <c r="C513" t="s">
        <v>17</v>
      </c>
      <c r="D513" t="s">
        <v>18</v>
      </c>
      <c r="E513">
        <v>40</v>
      </c>
      <c r="F513">
        <v>0</v>
      </c>
      <c r="G513">
        <v>53.15</v>
      </c>
      <c r="H513">
        <v>2126</v>
      </c>
      <c r="I513" t="s">
        <v>304</v>
      </c>
      <c r="J513">
        <v>1.33</v>
      </c>
      <c r="K513">
        <v>1.06</v>
      </c>
      <c r="L513">
        <v>0</v>
      </c>
      <c r="M513">
        <v>0</v>
      </c>
      <c r="N513">
        <v>20</v>
      </c>
      <c r="O513">
        <v>3.8</v>
      </c>
      <c r="P513">
        <v>26.19</v>
      </c>
      <c r="Q513" s="18">
        <f>YEAR(A513)</f>
        <v>2024</v>
      </c>
      <c r="R513" s="18">
        <f>MONTH(A513)</f>
        <v>4</v>
      </c>
      <c r="S513" s="18">
        <f>IF(R513&lt;4,Q513-1,Q513)</f>
        <v>2024</v>
      </c>
      <c r="T513" s="18">
        <f>IF(R513&lt;4,R513+9,R513-3)</f>
        <v>1</v>
      </c>
      <c r="U513" s="18" t="str">
        <f>IF(LEN(T513)=1,_xlfn.CONCAT(0,T513),T513)</f>
        <v>01</v>
      </c>
      <c r="V513" s="18" t="str">
        <f>_xlfn.CONCAT(S513,U513)</f>
        <v>202401</v>
      </c>
      <c r="W513" s="18" t="str">
        <f>_xlfn.CONCAT(TEXT(A513,"MMM"),"-",MID(Q513,3,2))</f>
        <v>Apr-24</v>
      </c>
      <c r="X513" s="19">
        <f>IFERROR(IF(D513="Sell",(H513-P513),-(H513+P513)),0)</f>
        <v>2099.81</v>
      </c>
      <c r="Y513" s="19">
        <f>X513/1000</f>
        <v>2.0998099999999997</v>
      </c>
    </row>
    <row r="514" spans="1:25" x14ac:dyDescent="0.25">
      <c r="A514" s="1">
        <v>45391</v>
      </c>
      <c r="B514" t="s">
        <v>301</v>
      </c>
      <c r="C514" t="s">
        <v>17</v>
      </c>
      <c r="D514" t="s">
        <v>22</v>
      </c>
      <c r="E514">
        <v>40</v>
      </c>
      <c r="F514">
        <v>0</v>
      </c>
      <c r="G514">
        <v>25.2</v>
      </c>
      <c r="H514">
        <v>1008</v>
      </c>
      <c r="I514" t="s">
        <v>305</v>
      </c>
      <c r="J514">
        <v>0</v>
      </c>
      <c r="K514">
        <v>0.5</v>
      </c>
      <c r="L514">
        <v>0</v>
      </c>
      <c r="M514">
        <v>0</v>
      </c>
      <c r="N514">
        <v>20</v>
      </c>
      <c r="O514">
        <v>3.7</v>
      </c>
      <c r="P514">
        <v>24.2</v>
      </c>
      <c r="Q514" s="18">
        <f>YEAR(A514)</f>
        <v>2024</v>
      </c>
      <c r="R514" s="18">
        <f>MONTH(A514)</f>
        <v>4</v>
      </c>
      <c r="S514" s="18">
        <f>IF(R514&lt;4,Q514-1,Q514)</f>
        <v>2024</v>
      </c>
      <c r="T514" s="18">
        <f>IF(R514&lt;4,R514+9,R514-3)</f>
        <v>1</v>
      </c>
      <c r="U514" s="18" t="str">
        <f>IF(LEN(T514)=1,_xlfn.CONCAT(0,T514),T514)</f>
        <v>01</v>
      </c>
      <c r="V514" s="18" t="str">
        <f>_xlfn.CONCAT(S514,U514)</f>
        <v>202401</v>
      </c>
      <c r="W514" s="18" t="str">
        <f>_xlfn.CONCAT(TEXT(A514,"MMM"),"-",MID(Q514,3,2))</f>
        <v>Apr-24</v>
      </c>
      <c r="X514" s="19">
        <f>IFERROR(IF(D514="Sell",(H514-P514),-(H514+P514)),0)</f>
        <v>-1032.2</v>
      </c>
      <c r="Y514" s="19">
        <f>X514/1000</f>
        <v>-1.0322</v>
      </c>
    </row>
    <row r="515" spans="1:25" x14ac:dyDescent="0.25">
      <c r="A515" s="1">
        <v>45391</v>
      </c>
      <c r="B515" t="s">
        <v>306</v>
      </c>
      <c r="C515" t="s">
        <v>17</v>
      </c>
      <c r="D515" t="s">
        <v>18</v>
      </c>
      <c r="E515">
        <v>150</v>
      </c>
      <c r="F515">
        <v>0</v>
      </c>
      <c r="G515">
        <v>189.65</v>
      </c>
      <c r="H515">
        <v>28447.5</v>
      </c>
      <c r="I515" t="s">
        <v>307</v>
      </c>
      <c r="J515">
        <v>18.13</v>
      </c>
      <c r="K515">
        <v>14.22</v>
      </c>
      <c r="L515">
        <v>0</v>
      </c>
      <c r="M515">
        <v>0.03</v>
      </c>
      <c r="N515">
        <v>200</v>
      </c>
      <c r="O515">
        <v>38.56</v>
      </c>
      <c r="P515">
        <v>270.94</v>
      </c>
      <c r="Q515" s="18">
        <f>YEAR(A515)</f>
        <v>2024</v>
      </c>
      <c r="R515" s="18">
        <f>MONTH(A515)</f>
        <v>4</v>
      </c>
      <c r="S515" s="18">
        <f>IF(R515&lt;4,Q515-1,Q515)</f>
        <v>2024</v>
      </c>
      <c r="T515" s="18">
        <f>IF(R515&lt;4,R515+9,R515-3)</f>
        <v>1</v>
      </c>
      <c r="U515" s="18" t="str">
        <f>IF(LEN(T515)=1,_xlfn.CONCAT(0,T515),T515)</f>
        <v>01</v>
      </c>
      <c r="V515" s="18" t="str">
        <f>_xlfn.CONCAT(S515,U515)</f>
        <v>202401</v>
      </c>
      <c r="W515" s="18" t="str">
        <f>_xlfn.CONCAT(TEXT(A515,"MMM"),"-",MID(Q515,3,2))</f>
        <v>Apr-24</v>
      </c>
      <c r="X515" s="19">
        <f>IFERROR(IF(D515="Sell",(H515-P515),-(H515+P515)),0)</f>
        <v>28176.560000000001</v>
      </c>
      <c r="Y515" s="19">
        <f>X515/1000</f>
        <v>28.176560000000002</v>
      </c>
    </row>
    <row r="516" spans="1:25" x14ac:dyDescent="0.25">
      <c r="A516" s="1">
        <v>45391</v>
      </c>
      <c r="B516" t="s">
        <v>306</v>
      </c>
      <c r="C516" t="s">
        <v>17</v>
      </c>
      <c r="D516" t="s">
        <v>22</v>
      </c>
      <c r="E516">
        <v>45</v>
      </c>
      <c r="F516">
        <v>0</v>
      </c>
      <c r="G516">
        <v>171.28</v>
      </c>
      <c r="H516">
        <v>7707.75</v>
      </c>
      <c r="I516" t="s">
        <v>308</v>
      </c>
      <c r="J516">
        <v>0</v>
      </c>
      <c r="K516">
        <v>3.85</v>
      </c>
      <c r="L516">
        <v>0</v>
      </c>
      <c r="M516">
        <v>0.01</v>
      </c>
      <c r="N516">
        <v>60</v>
      </c>
      <c r="O516">
        <v>11.5</v>
      </c>
      <c r="P516">
        <v>75.36</v>
      </c>
      <c r="Q516" s="18">
        <f>YEAR(A516)</f>
        <v>2024</v>
      </c>
      <c r="R516" s="18">
        <f>MONTH(A516)</f>
        <v>4</v>
      </c>
      <c r="S516" s="18">
        <f>IF(R516&lt;4,Q516-1,Q516)</f>
        <v>2024</v>
      </c>
      <c r="T516" s="18">
        <f>IF(R516&lt;4,R516+9,R516-3)</f>
        <v>1</v>
      </c>
      <c r="U516" s="18" t="str">
        <f>IF(LEN(T516)=1,_xlfn.CONCAT(0,T516),T516)</f>
        <v>01</v>
      </c>
      <c r="V516" s="18" t="str">
        <f>_xlfn.CONCAT(S516,U516)</f>
        <v>202401</v>
      </c>
      <c r="W516" s="18" t="str">
        <f>_xlfn.CONCAT(TEXT(A516,"MMM"),"-",MID(Q516,3,2))</f>
        <v>Apr-24</v>
      </c>
      <c r="X516" s="19">
        <f>IFERROR(IF(D516="Sell",(H516-P516),-(H516+P516)),0)</f>
        <v>-7783.11</v>
      </c>
      <c r="Y516" s="19">
        <f>X516/1000</f>
        <v>-7.7831099999999998</v>
      </c>
    </row>
    <row r="517" spans="1:25" x14ac:dyDescent="0.25">
      <c r="A517" s="1">
        <v>45391</v>
      </c>
      <c r="B517" t="s">
        <v>306</v>
      </c>
      <c r="C517" t="s">
        <v>17</v>
      </c>
      <c r="D517" t="s">
        <v>22</v>
      </c>
      <c r="E517">
        <v>105</v>
      </c>
      <c r="F517">
        <v>0</v>
      </c>
      <c r="G517">
        <v>183.35</v>
      </c>
      <c r="H517">
        <v>19251.75</v>
      </c>
      <c r="I517" t="s">
        <v>309</v>
      </c>
      <c r="J517">
        <v>0</v>
      </c>
      <c r="K517">
        <v>9.6300000000000008</v>
      </c>
      <c r="L517">
        <v>1.29</v>
      </c>
      <c r="M517">
        <v>0.02</v>
      </c>
      <c r="N517">
        <v>140</v>
      </c>
      <c r="O517">
        <v>26.94</v>
      </c>
      <c r="P517">
        <v>177.88</v>
      </c>
      <c r="Q517" s="18">
        <f>YEAR(A517)</f>
        <v>2024</v>
      </c>
      <c r="R517" s="18">
        <f>MONTH(A517)</f>
        <v>4</v>
      </c>
      <c r="S517" s="18">
        <f>IF(R517&lt;4,Q517-1,Q517)</f>
        <v>2024</v>
      </c>
      <c r="T517" s="18">
        <f>IF(R517&lt;4,R517+9,R517-3)</f>
        <v>1</v>
      </c>
      <c r="U517" s="18" t="str">
        <f>IF(LEN(T517)=1,_xlfn.CONCAT(0,T517),T517)</f>
        <v>01</v>
      </c>
      <c r="V517" s="18" t="str">
        <f>_xlfn.CONCAT(S517,U517)</f>
        <v>202401</v>
      </c>
      <c r="W517" s="18" t="str">
        <f>_xlfn.CONCAT(TEXT(A517,"MMM"),"-",MID(Q517,3,2))</f>
        <v>Apr-24</v>
      </c>
      <c r="X517" s="19">
        <f>IFERROR(IF(D517="Sell",(H517-P517),-(H517+P517)),0)</f>
        <v>-19429.63</v>
      </c>
      <c r="Y517" s="19">
        <f>X517/1000</f>
        <v>-19.42963</v>
      </c>
    </row>
    <row r="518" spans="1:25" x14ac:dyDescent="0.25">
      <c r="A518" s="1">
        <v>45392</v>
      </c>
      <c r="B518" t="s">
        <v>290</v>
      </c>
      <c r="C518" t="s">
        <v>17</v>
      </c>
      <c r="D518" t="s">
        <v>18</v>
      </c>
      <c r="E518">
        <v>420</v>
      </c>
      <c r="F518">
        <v>0</v>
      </c>
      <c r="G518">
        <v>34.25</v>
      </c>
      <c r="H518">
        <v>14385</v>
      </c>
      <c r="I518" t="s">
        <v>291</v>
      </c>
      <c r="J518">
        <v>8.99</v>
      </c>
      <c r="K518">
        <v>7.2</v>
      </c>
      <c r="L518">
        <v>0</v>
      </c>
      <c r="M518">
        <v>0.01</v>
      </c>
      <c r="N518">
        <v>560</v>
      </c>
      <c r="O518">
        <v>102.1</v>
      </c>
      <c r="P518">
        <v>678.3</v>
      </c>
      <c r="Q518" s="18">
        <f>YEAR(A518)</f>
        <v>2024</v>
      </c>
      <c r="R518" s="18">
        <f>MONTH(A518)</f>
        <v>4</v>
      </c>
      <c r="S518" s="18">
        <f>IF(R518&lt;4,Q518-1,Q518)</f>
        <v>2024</v>
      </c>
      <c r="T518" s="18">
        <f>IF(R518&lt;4,R518+9,R518-3)</f>
        <v>1</v>
      </c>
      <c r="U518" s="18" t="str">
        <f>IF(LEN(T518)=1,_xlfn.CONCAT(0,T518),T518)</f>
        <v>01</v>
      </c>
      <c r="V518" s="18" t="str">
        <f>_xlfn.CONCAT(S518,U518)</f>
        <v>202401</v>
      </c>
      <c r="W518" s="18" t="str">
        <f>_xlfn.CONCAT(TEXT(A518,"MMM"),"-",MID(Q518,3,2))</f>
        <v>Apr-24</v>
      </c>
      <c r="X518" s="19">
        <f>IFERROR(IF(D518="Sell",(H518-P518),-(H518+P518)),0)</f>
        <v>13706.7</v>
      </c>
      <c r="Y518" s="19">
        <f>X518/1000</f>
        <v>13.706700000000001</v>
      </c>
    </row>
    <row r="519" spans="1:25" x14ac:dyDescent="0.25">
      <c r="A519" s="1">
        <v>45392</v>
      </c>
      <c r="B519" t="s">
        <v>290</v>
      </c>
      <c r="C519" t="s">
        <v>17</v>
      </c>
      <c r="D519" t="s">
        <v>22</v>
      </c>
      <c r="E519">
        <v>210</v>
      </c>
      <c r="F519">
        <v>0</v>
      </c>
      <c r="G519">
        <v>24</v>
      </c>
      <c r="H519">
        <v>5040</v>
      </c>
      <c r="I519" t="s">
        <v>292</v>
      </c>
      <c r="J519">
        <v>0</v>
      </c>
      <c r="K519">
        <v>2.52</v>
      </c>
      <c r="L519">
        <v>0.34</v>
      </c>
      <c r="M519">
        <v>0.01</v>
      </c>
      <c r="N519">
        <v>280</v>
      </c>
      <c r="O519">
        <v>50.86</v>
      </c>
      <c r="P519">
        <v>333.73</v>
      </c>
      <c r="Q519" s="18">
        <f>YEAR(A519)</f>
        <v>2024</v>
      </c>
      <c r="R519" s="18">
        <f>MONTH(A519)</f>
        <v>4</v>
      </c>
      <c r="S519" s="18">
        <f>IF(R519&lt;4,Q519-1,Q519)</f>
        <v>2024</v>
      </c>
      <c r="T519" s="18">
        <f>IF(R519&lt;4,R519+9,R519-3)</f>
        <v>1</v>
      </c>
      <c r="U519" s="18" t="str">
        <f>IF(LEN(T519)=1,_xlfn.CONCAT(0,T519),T519)</f>
        <v>01</v>
      </c>
      <c r="V519" s="18" t="str">
        <f>_xlfn.CONCAT(S519,U519)</f>
        <v>202401</v>
      </c>
      <c r="W519" s="18" t="str">
        <f>_xlfn.CONCAT(TEXT(A519,"MMM"),"-",MID(Q519,3,2))</f>
        <v>Apr-24</v>
      </c>
      <c r="X519" s="19">
        <f>IFERROR(IF(D519="Sell",(H519-P519),-(H519+P519)),0)</f>
        <v>-5373.73</v>
      </c>
      <c r="Y519" s="19">
        <f>X519/1000</f>
        <v>-5.3737299999999992</v>
      </c>
    </row>
    <row r="520" spans="1:25" x14ac:dyDescent="0.25">
      <c r="A520" s="1">
        <v>45392</v>
      </c>
      <c r="B520" t="s">
        <v>290</v>
      </c>
      <c r="C520" t="s">
        <v>17</v>
      </c>
      <c r="D520" t="s">
        <v>22</v>
      </c>
      <c r="E520">
        <v>105</v>
      </c>
      <c r="F520">
        <v>0</v>
      </c>
      <c r="G520">
        <v>28.55</v>
      </c>
      <c r="H520">
        <v>2997.75</v>
      </c>
      <c r="I520" t="s">
        <v>293</v>
      </c>
      <c r="J520">
        <v>0</v>
      </c>
      <c r="K520">
        <v>1.49</v>
      </c>
      <c r="L520">
        <v>0</v>
      </c>
      <c r="M520">
        <v>0</v>
      </c>
      <c r="N520">
        <v>140</v>
      </c>
      <c r="O520">
        <v>25.48</v>
      </c>
      <c r="P520">
        <v>166.97</v>
      </c>
      <c r="Q520" s="18">
        <f>YEAR(A520)</f>
        <v>2024</v>
      </c>
      <c r="R520" s="18">
        <f>MONTH(A520)</f>
        <v>4</v>
      </c>
      <c r="S520" s="18">
        <f>IF(R520&lt;4,Q520-1,Q520)</f>
        <v>2024</v>
      </c>
      <c r="T520" s="18">
        <f>IF(R520&lt;4,R520+9,R520-3)</f>
        <v>1</v>
      </c>
      <c r="U520" s="18" t="str">
        <f>IF(LEN(T520)=1,_xlfn.CONCAT(0,T520),T520)</f>
        <v>01</v>
      </c>
      <c r="V520" s="18" t="str">
        <f>_xlfn.CONCAT(S520,U520)</f>
        <v>202401</v>
      </c>
      <c r="W520" s="18" t="str">
        <f>_xlfn.CONCAT(TEXT(A520,"MMM"),"-",MID(Q520,3,2))</f>
        <v>Apr-24</v>
      </c>
      <c r="X520" s="19">
        <f>IFERROR(IF(D520="Sell",(H520-P520),-(H520+P520)),0)</f>
        <v>-3164.72</v>
      </c>
      <c r="Y520" s="19">
        <f>X520/1000</f>
        <v>-3.16472</v>
      </c>
    </row>
    <row r="521" spans="1:25" x14ac:dyDescent="0.25">
      <c r="A521" s="1">
        <v>45392</v>
      </c>
      <c r="B521" t="s">
        <v>290</v>
      </c>
      <c r="C521" t="s">
        <v>17</v>
      </c>
      <c r="D521" t="s">
        <v>22</v>
      </c>
      <c r="E521">
        <v>105</v>
      </c>
      <c r="F521">
        <v>0</v>
      </c>
      <c r="G521">
        <v>32.6</v>
      </c>
      <c r="H521">
        <v>3423</v>
      </c>
      <c r="I521" t="s">
        <v>294</v>
      </c>
      <c r="J521">
        <v>0</v>
      </c>
      <c r="K521">
        <v>1.69</v>
      </c>
      <c r="L521">
        <v>0</v>
      </c>
      <c r="M521">
        <v>0</v>
      </c>
      <c r="N521">
        <v>140</v>
      </c>
      <c r="O521">
        <v>25.5</v>
      </c>
      <c r="P521">
        <v>167.19</v>
      </c>
      <c r="Q521" s="18">
        <f>YEAR(A521)</f>
        <v>2024</v>
      </c>
      <c r="R521" s="18">
        <f>MONTH(A521)</f>
        <v>4</v>
      </c>
      <c r="S521" s="18">
        <f>IF(R521&lt;4,Q521-1,Q521)</f>
        <v>2024</v>
      </c>
      <c r="T521" s="18">
        <f>IF(R521&lt;4,R521+9,R521-3)</f>
        <v>1</v>
      </c>
      <c r="U521" s="18" t="str">
        <f>IF(LEN(T521)=1,_xlfn.CONCAT(0,T521),T521)</f>
        <v>01</v>
      </c>
      <c r="V521" s="18" t="str">
        <f>_xlfn.CONCAT(S521,U521)</f>
        <v>202401</v>
      </c>
      <c r="W521" s="18" t="str">
        <f>_xlfn.CONCAT(TEXT(A521,"MMM"),"-",MID(Q521,3,2))</f>
        <v>Apr-24</v>
      </c>
      <c r="X521" s="19">
        <f>IFERROR(IF(D521="Sell",(H521-P521),-(H521+P521)),0)</f>
        <v>-3590.19</v>
      </c>
      <c r="Y521" s="19">
        <f>X521/1000</f>
        <v>-3.5901900000000002</v>
      </c>
    </row>
    <row r="522" spans="1:25" x14ac:dyDescent="0.25">
      <c r="A522" s="1">
        <v>45392</v>
      </c>
      <c r="B522" t="s">
        <v>295</v>
      </c>
      <c r="C522" t="s">
        <v>17</v>
      </c>
      <c r="D522" t="s">
        <v>18</v>
      </c>
      <c r="E522">
        <v>120</v>
      </c>
      <c r="F522">
        <v>0</v>
      </c>
      <c r="G522">
        <v>205</v>
      </c>
      <c r="H522">
        <v>24600</v>
      </c>
      <c r="I522" t="s">
        <v>296</v>
      </c>
      <c r="J522">
        <v>15.01</v>
      </c>
      <c r="K522">
        <v>12.3</v>
      </c>
      <c r="L522">
        <v>0</v>
      </c>
      <c r="M522">
        <v>0.03</v>
      </c>
      <c r="N522">
        <v>160</v>
      </c>
      <c r="O522">
        <v>31.02</v>
      </c>
      <c r="P522">
        <v>218.36</v>
      </c>
      <c r="Q522" s="18">
        <f>YEAR(A522)</f>
        <v>2024</v>
      </c>
      <c r="R522" s="18">
        <f>MONTH(A522)</f>
        <v>4</v>
      </c>
      <c r="S522" s="18">
        <f>IF(R522&lt;4,Q522-1,Q522)</f>
        <v>2024</v>
      </c>
      <c r="T522" s="18">
        <f>IF(R522&lt;4,R522+9,R522-3)</f>
        <v>1</v>
      </c>
      <c r="U522" s="18" t="str">
        <f>IF(LEN(T522)=1,_xlfn.CONCAT(0,T522),T522)</f>
        <v>01</v>
      </c>
      <c r="V522" s="18" t="str">
        <f>_xlfn.CONCAT(S522,U522)</f>
        <v>202401</v>
      </c>
      <c r="W522" s="18" t="str">
        <f>_xlfn.CONCAT(TEXT(A522,"MMM"),"-",MID(Q522,3,2))</f>
        <v>Apr-24</v>
      </c>
      <c r="X522" s="19">
        <f>IFERROR(IF(D522="Sell",(H522-P522),-(H522+P522)),0)</f>
        <v>24381.64</v>
      </c>
      <c r="Y522" s="19">
        <f>X522/1000</f>
        <v>24.381640000000001</v>
      </c>
    </row>
    <row r="523" spans="1:25" x14ac:dyDescent="0.25">
      <c r="A523" s="1">
        <v>45392</v>
      </c>
      <c r="B523" t="s">
        <v>295</v>
      </c>
      <c r="C523" t="s">
        <v>17</v>
      </c>
      <c r="D523" t="s">
        <v>22</v>
      </c>
      <c r="E523">
        <v>105</v>
      </c>
      <c r="F523">
        <v>0</v>
      </c>
      <c r="G523">
        <v>109.1</v>
      </c>
      <c r="H523">
        <v>11455.5</v>
      </c>
      <c r="I523" t="s">
        <v>297</v>
      </c>
      <c r="J523">
        <v>0</v>
      </c>
      <c r="K523">
        <v>5.73</v>
      </c>
      <c r="L523">
        <v>0.66</v>
      </c>
      <c r="M523">
        <v>0.01</v>
      </c>
      <c r="N523">
        <v>140</v>
      </c>
      <c r="O523">
        <v>26.24</v>
      </c>
      <c r="P523">
        <v>172.64</v>
      </c>
      <c r="Q523" s="18">
        <f>YEAR(A523)</f>
        <v>2024</v>
      </c>
      <c r="R523" s="18">
        <f>MONTH(A523)</f>
        <v>4</v>
      </c>
      <c r="S523" s="18">
        <f>IF(R523&lt;4,Q523-1,Q523)</f>
        <v>2024</v>
      </c>
      <c r="T523" s="18">
        <f>IF(R523&lt;4,R523+9,R523-3)</f>
        <v>1</v>
      </c>
      <c r="U523" s="18" t="str">
        <f>IF(LEN(T523)=1,_xlfn.CONCAT(0,T523),T523)</f>
        <v>01</v>
      </c>
      <c r="V523" s="18" t="str">
        <f>_xlfn.CONCAT(S523,U523)</f>
        <v>202401</v>
      </c>
      <c r="W523" s="18" t="str">
        <f>_xlfn.CONCAT(TEXT(A523,"MMM"),"-",MID(Q523,3,2))</f>
        <v>Apr-24</v>
      </c>
      <c r="X523" s="19">
        <f>IFERROR(IF(D523="Sell",(H523-P523),-(H523+P523)),0)</f>
        <v>-11628.14</v>
      </c>
      <c r="Y523" s="19">
        <f>X523/1000</f>
        <v>-11.62814</v>
      </c>
    </row>
    <row r="524" spans="1:25" x14ac:dyDescent="0.25">
      <c r="A524" s="1">
        <v>45392</v>
      </c>
      <c r="B524" t="s">
        <v>295</v>
      </c>
      <c r="C524" t="s">
        <v>17</v>
      </c>
      <c r="D524" t="s">
        <v>22</v>
      </c>
      <c r="E524">
        <v>15</v>
      </c>
      <c r="F524">
        <v>0</v>
      </c>
      <c r="G524">
        <v>111.7</v>
      </c>
      <c r="H524">
        <v>1675.5</v>
      </c>
      <c r="I524" t="s">
        <v>298</v>
      </c>
      <c r="J524">
        <v>0</v>
      </c>
      <c r="K524">
        <v>0.84</v>
      </c>
      <c r="L524">
        <v>0</v>
      </c>
      <c r="M524">
        <v>0</v>
      </c>
      <c r="N524">
        <v>20</v>
      </c>
      <c r="O524">
        <v>3.76</v>
      </c>
      <c r="P524">
        <v>24.6</v>
      </c>
      <c r="Q524" s="18">
        <f>YEAR(A524)</f>
        <v>2024</v>
      </c>
      <c r="R524" s="18">
        <f>MONTH(A524)</f>
        <v>4</v>
      </c>
      <c r="S524" s="18">
        <f>IF(R524&lt;4,Q524-1,Q524)</f>
        <v>2024</v>
      </c>
      <c r="T524" s="18">
        <f>IF(R524&lt;4,R524+9,R524-3)</f>
        <v>1</v>
      </c>
      <c r="U524" s="18" t="str">
        <f>IF(LEN(T524)=1,_xlfn.CONCAT(0,T524),T524)</f>
        <v>01</v>
      </c>
      <c r="V524" s="18" t="str">
        <f>_xlfn.CONCAT(S524,U524)</f>
        <v>202401</v>
      </c>
      <c r="W524" s="18" t="str">
        <f>_xlfn.CONCAT(TEXT(A524,"MMM"),"-",MID(Q524,3,2))</f>
        <v>Apr-24</v>
      </c>
      <c r="X524" s="19">
        <f>IFERROR(IF(D524="Sell",(H524-P524),-(H524+P524)),0)</f>
        <v>-1700.1</v>
      </c>
      <c r="Y524" s="19">
        <f>X524/1000</f>
        <v>-1.7000999999999999</v>
      </c>
    </row>
    <row r="525" spans="1:25" x14ac:dyDescent="0.25">
      <c r="A525" s="1">
        <v>45394</v>
      </c>
      <c r="B525" t="s">
        <v>279</v>
      </c>
      <c r="C525" t="s">
        <v>17</v>
      </c>
      <c r="D525" t="s">
        <v>18</v>
      </c>
      <c r="E525">
        <v>150</v>
      </c>
      <c r="F525">
        <v>0</v>
      </c>
      <c r="G525">
        <v>178.87</v>
      </c>
      <c r="H525">
        <v>26830.5</v>
      </c>
      <c r="I525" t="s">
        <v>280</v>
      </c>
      <c r="J525">
        <v>16.77</v>
      </c>
      <c r="K525">
        <v>13.41</v>
      </c>
      <c r="L525">
        <v>0</v>
      </c>
      <c r="M525">
        <v>0.03</v>
      </c>
      <c r="N525">
        <v>200</v>
      </c>
      <c r="O525">
        <v>38.4</v>
      </c>
      <c r="P525">
        <v>268.61</v>
      </c>
      <c r="Q525" s="18">
        <f>YEAR(A525)</f>
        <v>2024</v>
      </c>
      <c r="R525" s="18">
        <f>MONTH(A525)</f>
        <v>4</v>
      </c>
      <c r="S525" s="18">
        <f>IF(R525&lt;4,Q525-1,Q525)</f>
        <v>2024</v>
      </c>
      <c r="T525" s="18">
        <f>IF(R525&lt;4,R525+9,R525-3)</f>
        <v>1</v>
      </c>
      <c r="U525" s="18" t="str">
        <f>IF(LEN(T525)=1,_xlfn.CONCAT(0,T525),T525)</f>
        <v>01</v>
      </c>
      <c r="V525" s="18" t="str">
        <f>_xlfn.CONCAT(S525,U525)</f>
        <v>202401</v>
      </c>
      <c r="W525" s="18" t="str">
        <f>_xlfn.CONCAT(TEXT(A525,"MMM"),"-",MID(Q525,3,2))</f>
        <v>Apr-24</v>
      </c>
      <c r="X525" s="19">
        <f>IFERROR(IF(D525="Sell",(H525-P525),-(H525+P525)),0)</f>
        <v>26561.89</v>
      </c>
      <c r="Y525" s="19">
        <f>X525/1000</f>
        <v>26.561889999999998</v>
      </c>
    </row>
    <row r="526" spans="1:25" x14ac:dyDescent="0.25">
      <c r="A526" s="1">
        <v>45394</v>
      </c>
      <c r="B526" t="s">
        <v>281</v>
      </c>
      <c r="C526" t="s">
        <v>17</v>
      </c>
      <c r="D526" t="s">
        <v>18</v>
      </c>
      <c r="E526">
        <v>75</v>
      </c>
      <c r="F526">
        <v>0</v>
      </c>
      <c r="G526">
        <v>31.15</v>
      </c>
      <c r="H526">
        <v>2336.25</v>
      </c>
      <c r="I526" t="s">
        <v>282</v>
      </c>
      <c r="J526">
        <v>1.46</v>
      </c>
      <c r="K526">
        <v>1.17</v>
      </c>
      <c r="L526">
        <v>0</v>
      </c>
      <c r="M526">
        <v>0</v>
      </c>
      <c r="N526">
        <v>20</v>
      </c>
      <c r="O526">
        <v>3.82</v>
      </c>
      <c r="P526">
        <v>26.45</v>
      </c>
      <c r="Q526" s="18">
        <f>YEAR(A526)</f>
        <v>2024</v>
      </c>
      <c r="R526" s="18">
        <f>MONTH(A526)</f>
        <v>4</v>
      </c>
      <c r="S526" s="18">
        <f>IF(R526&lt;4,Q526-1,Q526)</f>
        <v>2024</v>
      </c>
      <c r="T526" s="18">
        <f>IF(R526&lt;4,R526+9,R526-3)</f>
        <v>1</v>
      </c>
      <c r="U526" s="18" t="str">
        <f>IF(LEN(T526)=1,_xlfn.CONCAT(0,T526),T526)</f>
        <v>01</v>
      </c>
      <c r="V526" s="18" t="str">
        <f>_xlfn.CONCAT(S526,U526)</f>
        <v>202401</v>
      </c>
      <c r="W526" s="18" t="str">
        <f>_xlfn.CONCAT(TEXT(A526,"MMM"),"-",MID(Q526,3,2))</f>
        <v>Apr-24</v>
      </c>
      <c r="X526" s="19">
        <f>IFERROR(IF(D526="Sell",(H526-P526),-(H526+P526)),0)</f>
        <v>2309.8000000000002</v>
      </c>
      <c r="Y526" s="19">
        <f>X526/1000</f>
        <v>2.3098000000000001</v>
      </c>
    </row>
    <row r="527" spans="1:25" x14ac:dyDescent="0.25">
      <c r="A527" s="1">
        <v>45394</v>
      </c>
      <c r="B527" t="s">
        <v>279</v>
      </c>
      <c r="C527" t="s">
        <v>17</v>
      </c>
      <c r="D527" t="s">
        <v>22</v>
      </c>
      <c r="E527">
        <v>45</v>
      </c>
      <c r="F527">
        <v>0</v>
      </c>
      <c r="G527">
        <v>196.9</v>
      </c>
      <c r="H527">
        <v>8860.5</v>
      </c>
      <c r="I527" t="s">
        <v>283</v>
      </c>
      <c r="J527">
        <v>0</v>
      </c>
      <c r="K527">
        <v>4.43</v>
      </c>
      <c r="L527">
        <v>0</v>
      </c>
      <c r="M527">
        <v>0.01</v>
      </c>
      <c r="N527">
        <v>60</v>
      </c>
      <c r="O527">
        <v>11.6</v>
      </c>
      <c r="P527">
        <v>76.040000000000006</v>
      </c>
      <c r="Q527" s="18">
        <f>YEAR(A527)</f>
        <v>2024</v>
      </c>
      <c r="R527" s="18">
        <f>MONTH(A527)</f>
        <v>4</v>
      </c>
      <c r="S527" s="18">
        <f>IF(R527&lt;4,Q527-1,Q527)</f>
        <v>2024</v>
      </c>
      <c r="T527" s="18">
        <f>IF(R527&lt;4,R527+9,R527-3)</f>
        <v>1</v>
      </c>
      <c r="U527" s="18" t="str">
        <f>IF(LEN(T527)=1,_xlfn.CONCAT(0,T527),T527)</f>
        <v>01</v>
      </c>
      <c r="V527" s="18" t="str">
        <f>_xlfn.CONCAT(S527,U527)</f>
        <v>202401</v>
      </c>
      <c r="W527" s="18" t="str">
        <f>_xlfn.CONCAT(TEXT(A527,"MMM"),"-",MID(Q527,3,2))</f>
        <v>Apr-24</v>
      </c>
      <c r="X527" s="19">
        <f>IFERROR(IF(D527="Sell",(H527-P527),-(H527+P527)),0)</f>
        <v>-8936.5400000000009</v>
      </c>
      <c r="Y527" s="19">
        <f>X527/1000</f>
        <v>-8.9365400000000008</v>
      </c>
    </row>
    <row r="528" spans="1:25" x14ac:dyDescent="0.25">
      <c r="A528" s="1">
        <v>45394</v>
      </c>
      <c r="B528" t="s">
        <v>281</v>
      </c>
      <c r="C528" t="s">
        <v>17</v>
      </c>
      <c r="D528" t="s">
        <v>22</v>
      </c>
      <c r="E528">
        <v>75</v>
      </c>
      <c r="F528">
        <v>0</v>
      </c>
      <c r="G528">
        <v>41.65</v>
      </c>
      <c r="H528">
        <v>3123.75</v>
      </c>
      <c r="I528" t="s">
        <v>284</v>
      </c>
      <c r="J528">
        <v>0</v>
      </c>
      <c r="K528">
        <v>1.56</v>
      </c>
      <c r="L528">
        <v>0.09</v>
      </c>
      <c r="M528">
        <v>0</v>
      </c>
      <c r="N528">
        <v>20</v>
      </c>
      <c r="O528">
        <v>3.88</v>
      </c>
      <c r="P528">
        <v>25.53</v>
      </c>
      <c r="Q528" s="18">
        <f>YEAR(A528)</f>
        <v>2024</v>
      </c>
      <c r="R528" s="18">
        <f>MONTH(A528)</f>
        <v>4</v>
      </c>
      <c r="S528" s="18">
        <f>IF(R528&lt;4,Q528-1,Q528)</f>
        <v>2024</v>
      </c>
      <c r="T528" s="18">
        <f>IF(R528&lt;4,R528+9,R528-3)</f>
        <v>1</v>
      </c>
      <c r="U528" s="18" t="str">
        <f>IF(LEN(T528)=1,_xlfn.CONCAT(0,T528),T528)</f>
        <v>01</v>
      </c>
      <c r="V528" s="18" t="str">
        <f>_xlfn.CONCAT(S528,U528)</f>
        <v>202401</v>
      </c>
      <c r="W528" s="18" t="str">
        <f>_xlfn.CONCAT(TEXT(A528,"MMM"),"-",MID(Q528,3,2))</f>
        <v>Apr-24</v>
      </c>
      <c r="X528" s="19">
        <f>IFERROR(IF(D528="Sell",(H528-P528),-(H528+P528)),0)</f>
        <v>-3149.28</v>
      </c>
      <c r="Y528" s="19">
        <f>X528/1000</f>
        <v>-3.1492800000000001</v>
      </c>
    </row>
    <row r="529" spans="1:25" x14ac:dyDescent="0.25">
      <c r="A529" s="1">
        <v>45394</v>
      </c>
      <c r="B529" t="s">
        <v>285</v>
      </c>
      <c r="C529" t="s">
        <v>17</v>
      </c>
      <c r="D529" t="s">
        <v>18</v>
      </c>
      <c r="E529">
        <v>30</v>
      </c>
      <c r="F529">
        <v>0</v>
      </c>
      <c r="G529">
        <v>215.15</v>
      </c>
      <c r="H529">
        <v>6454.5</v>
      </c>
      <c r="I529" t="s">
        <v>286</v>
      </c>
      <c r="J529">
        <v>3.77</v>
      </c>
      <c r="K529">
        <v>3.23</v>
      </c>
      <c r="L529">
        <v>0</v>
      </c>
      <c r="M529">
        <v>0.01</v>
      </c>
      <c r="N529">
        <v>40</v>
      </c>
      <c r="O529">
        <v>7.78</v>
      </c>
      <c r="P529">
        <v>54.79</v>
      </c>
      <c r="Q529" s="18">
        <f>YEAR(A529)</f>
        <v>2024</v>
      </c>
      <c r="R529" s="18">
        <f>MONTH(A529)</f>
        <v>4</v>
      </c>
      <c r="S529" s="18">
        <f>IF(R529&lt;4,Q529-1,Q529)</f>
        <v>2024</v>
      </c>
      <c r="T529" s="18">
        <f>IF(R529&lt;4,R529+9,R529-3)</f>
        <v>1</v>
      </c>
      <c r="U529" s="18" t="str">
        <f>IF(LEN(T529)=1,_xlfn.CONCAT(0,T529),T529)</f>
        <v>01</v>
      </c>
      <c r="V529" s="18" t="str">
        <f>_xlfn.CONCAT(S529,U529)</f>
        <v>202401</v>
      </c>
      <c r="W529" s="18" t="str">
        <f>_xlfn.CONCAT(TEXT(A529,"MMM"),"-",MID(Q529,3,2))</f>
        <v>Apr-24</v>
      </c>
      <c r="X529" s="19">
        <f>IFERROR(IF(D529="Sell",(H529-P529),-(H529+P529)),0)</f>
        <v>6399.71</v>
      </c>
      <c r="Y529" s="19">
        <f>X529/1000</f>
        <v>6.3997099999999998</v>
      </c>
    </row>
    <row r="530" spans="1:25" x14ac:dyDescent="0.25">
      <c r="A530" s="1">
        <v>45394</v>
      </c>
      <c r="B530" t="s">
        <v>279</v>
      </c>
      <c r="C530" t="s">
        <v>17</v>
      </c>
      <c r="D530" t="s">
        <v>22</v>
      </c>
      <c r="E530">
        <v>105</v>
      </c>
      <c r="F530">
        <v>0</v>
      </c>
      <c r="G530">
        <v>227.5</v>
      </c>
      <c r="H530">
        <v>23887.5</v>
      </c>
      <c r="I530" t="s">
        <v>287</v>
      </c>
      <c r="J530">
        <v>0</v>
      </c>
      <c r="K530">
        <v>11.94</v>
      </c>
      <c r="L530">
        <v>0.75</v>
      </c>
      <c r="M530">
        <v>0.02</v>
      </c>
      <c r="N530">
        <v>140</v>
      </c>
      <c r="O530">
        <v>27.36</v>
      </c>
      <c r="P530">
        <v>180.07</v>
      </c>
      <c r="Q530" s="18">
        <f>YEAR(A530)</f>
        <v>2024</v>
      </c>
      <c r="R530" s="18">
        <f>MONTH(A530)</f>
        <v>4</v>
      </c>
      <c r="S530" s="18">
        <f>IF(R530&lt;4,Q530-1,Q530)</f>
        <v>2024</v>
      </c>
      <c r="T530" s="18">
        <f>IF(R530&lt;4,R530+9,R530-3)</f>
        <v>1</v>
      </c>
      <c r="U530" s="18" t="str">
        <f>IF(LEN(T530)=1,_xlfn.CONCAT(0,T530),T530)</f>
        <v>01</v>
      </c>
      <c r="V530" s="18" t="str">
        <f>_xlfn.CONCAT(S530,U530)</f>
        <v>202401</v>
      </c>
      <c r="W530" s="18" t="str">
        <f>_xlfn.CONCAT(TEXT(A530,"MMM"),"-",MID(Q530,3,2))</f>
        <v>Apr-24</v>
      </c>
      <c r="X530" s="19">
        <f>IFERROR(IF(D530="Sell",(H530-P530),-(H530+P530)),0)</f>
        <v>-24067.57</v>
      </c>
      <c r="Y530" s="19">
        <f>X530/1000</f>
        <v>-24.06757</v>
      </c>
    </row>
    <row r="531" spans="1:25" x14ac:dyDescent="0.25">
      <c r="A531" s="1">
        <v>45394</v>
      </c>
      <c r="B531" t="s">
        <v>285</v>
      </c>
      <c r="C531" t="s">
        <v>17</v>
      </c>
      <c r="D531" t="s">
        <v>22</v>
      </c>
      <c r="E531">
        <v>15</v>
      </c>
      <c r="F531">
        <v>0</v>
      </c>
      <c r="G531">
        <v>167</v>
      </c>
      <c r="H531">
        <v>2505</v>
      </c>
      <c r="I531" t="s">
        <v>288</v>
      </c>
      <c r="J531">
        <v>0</v>
      </c>
      <c r="K531">
        <v>1.25</v>
      </c>
      <c r="L531">
        <v>0</v>
      </c>
      <c r="M531">
        <v>0</v>
      </c>
      <c r="N531">
        <v>20</v>
      </c>
      <c r="O531">
        <v>3.82</v>
      </c>
      <c r="P531">
        <v>25.07</v>
      </c>
      <c r="Q531" s="18">
        <f>YEAR(A531)</f>
        <v>2024</v>
      </c>
      <c r="R531" s="18">
        <f>MONTH(A531)</f>
        <v>4</v>
      </c>
      <c r="S531" s="18">
        <f>IF(R531&lt;4,Q531-1,Q531)</f>
        <v>2024</v>
      </c>
      <c r="T531" s="18">
        <f>IF(R531&lt;4,R531+9,R531-3)</f>
        <v>1</v>
      </c>
      <c r="U531" s="18" t="str">
        <f>IF(LEN(T531)=1,_xlfn.CONCAT(0,T531),T531)</f>
        <v>01</v>
      </c>
      <c r="V531" s="18" t="str">
        <f>_xlfn.CONCAT(S531,U531)</f>
        <v>202401</v>
      </c>
      <c r="W531" s="18" t="str">
        <f>_xlfn.CONCAT(TEXT(A531,"MMM"),"-",MID(Q531,3,2))</f>
        <v>Apr-24</v>
      </c>
      <c r="X531" s="19">
        <f>IFERROR(IF(D531="Sell",(H531-P531),-(H531+P531)),0)</f>
        <v>-2530.0700000000002</v>
      </c>
      <c r="Y531" s="19">
        <f>X531/1000</f>
        <v>-2.5300700000000003</v>
      </c>
    </row>
    <row r="532" spans="1:25" x14ac:dyDescent="0.25">
      <c r="A532" s="1">
        <v>45394</v>
      </c>
      <c r="B532" t="s">
        <v>285</v>
      </c>
      <c r="C532" t="s">
        <v>17</v>
      </c>
      <c r="D532" t="s">
        <v>22</v>
      </c>
      <c r="E532">
        <v>15</v>
      </c>
      <c r="F532">
        <v>0</v>
      </c>
      <c r="G532">
        <v>182.6</v>
      </c>
      <c r="H532">
        <v>2739</v>
      </c>
      <c r="I532" t="s">
        <v>289</v>
      </c>
      <c r="J532">
        <v>0</v>
      </c>
      <c r="K532">
        <v>1.37</v>
      </c>
      <c r="L532">
        <v>0.16</v>
      </c>
      <c r="M532">
        <v>0</v>
      </c>
      <c r="N532">
        <v>20</v>
      </c>
      <c r="O532">
        <v>3.84</v>
      </c>
      <c r="P532">
        <v>25.37</v>
      </c>
      <c r="Q532" s="18">
        <f>YEAR(A532)</f>
        <v>2024</v>
      </c>
      <c r="R532" s="18">
        <f>MONTH(A532)</f>
        <v>4</v>
      </c>
      <c r="S532" s="18">
        <f>IF(R532&lt;4,Q532-1,Q532)</f>
        <v>2024</v>
      </c>
      <c r="T532" s="18">
        <f>IF(R532&lt;4,R532+9,R532-3)</f>
        <v>1</v>
      </c>
      <c r="U532" s="18" t="str">
        <f>IF(LEN(T532)=1,_xlfn.CONCAT(0,T532),T532)</f>
        <v>01</v>
      </c>
      <c r="V532" s="18" t="str">
        <f>_xlfn.CONCAT(S532,U532)</f>
        <v>202401</v>
      </c>
      <c r="W532" s="18" t="str">
        <f>_xlfn.CONCAT(TEXT(A532,"MMM"),"-",MID(Q532,3,2))</f>
        <v>Apr-24</v>
      </c>
      <c r="X532" s="19">
        <f>IFERROR(IF(D532="Sell",(H532-P532),-(H532+P532)),0)</f>
        <v>-2764.37</v>
      </c>
      <c r="Y532" s="19">
        <f>X532/1000</f>
        <v>-2.76437</v>
      </c>
    </row>
    <row r="533" spans="1:25" x14ac:dyDescent="0.25">
      <c r="A533" s="1">
        <v>45397</v>
      </c>
      <c r="B533" t="s">
        <v>262</v>
      </c>
      <c r="C533" t="s">
        <v>17</v>
      </c>
      <c r="D533" t="s">
        <v>18</v>
      </c>
      <c r="E533">
        <v>1200</v>
      </c>
      <c r="F533">
        <v>0</v>
      </c>
      <c r="G533">
        <v>0.3</v>
      </c>
      <c r="H533">
        <v>360</v>
      </c>
      <c r="I533" t="s">
        <v>263</v>
      </c>
      <c r="J533">
        <v>0.23</v>
      </c>
      <c r="K533">
        <v>0.18</v>
      </c>
      <c r="L533">
        <v>0</v>
      </c>
      <c r="M533">
        <v>0</v>
      </c>
      <c r="N533">
        <v>320</v>
      </c>
      <c r="O533">
        <v>57.64</v>
      </c>
      <c r="P533">
        <v>378.05</v>
      </c>
      <c r="Q533" s="18">
        <f>YEAR(A533)</f>
        <v>2024</v>
      </c>
      <c r="R533" s="18">
        <f>MONTH(A533)</f>
        <v>4</v>
      </c>
      <c r="S533" s="18">
        <f>IF(R533&lt;4,Q533-1,Q533)</f>
        <v>2024</v>
      </c>
      <c r="T533" s="18">
        <f>IF(R533&lt;4,R533+9,R533-3)</f>
        <v>1</v>
      </c>
      <c r="U533" s="18" t="str">
        <f>IF(LEN(T533)=1,_xlfn.CONCAT(0,T533),T533)</f>
        <v>01</v>
      </c>
      <c r="V533" s="18" t="str">
        <f>_xlfn.CONCAT(S533,U533)</f>
        <v>202401</v>
      </c>
      <c r="W533" s="18" t="str">
        <f>_xlfn.CONCAT(TEXT(A533,"MMM"),"-",MID(Q533,3,2))</f>
        <v>Apr-24</v>
      </c>
      <c r="X533" s="19">
        <f>IFERROR(IF(D533="Sell",(H533-P533),-(H533+P533)),0)</f>
        <v>-18.050000000000011</v>
      </c>
      <c r="Y533" s="19">
        <f>X533/1000</f>
        <v>-1.805000000000001E-2</v>
      </c>
    </row>
    <row r="534" spans="1:25" x14ac:dyDescent="0.25">
      <c r="A534" s="1">
        <v>45397</v>
      </c>
      <c r="B534" t="s">
        <v>264</v>
      </c>
      <c r="C534" t="s">
        <v>17</v>
      </c>
      <c r="D534" t="s">
        <v>18</v>
      </c>
      <c r="E534">
        <v>15</v>
      </c>
      <c r="F534">
        <v>0</v>
      </c>
      <c r="G534">
        <v>244.7</v>
      </c>
      <c r="H534">
        <v>3670.5</v>
      </c>
      <c r="I534" t="s">
        <v>265</v>
      </c>
      <c r="J534">
        <v>2.29</v>
      </c>
      <c r="K534">
        <v>1.84</v>
      </c>
      <c r="L534">
        <v>0</v>
      </c>
      <c r="M534">
        <v>0</v>
      </c>
      <c r="N534">
        <v>20</v>
      </c>
      <c r="O534">
        <v>3.94</v>
      </c>
      <c r="P534">
        <v>28.07</v>
      </c>
      <c r="Q534" s="18">
        <f>YEAR(A534)</f>
        <v>2024</v>
      </c>
      <c r="R534" s="18">
        <f>MONTH(A534)</f>
        <v>4</v>
      </c>
      <c r="S534" s="18">
        <f>IF(R534&lt;4,Q534-1,Q534)</f>
        <v>2024</v>
      </c>
      <c r="T534" s="18">
        <f>IF(R534&lt;4,R534+9,R534-3)</f>
        <v>1</v>
      </c>
      <c r="U534" s="18" t="str">
        <f>IF(LEN(T534)=1,_xlfn.CONCAT(0,T534),T534)</f>
        <v>01</v>
      </c>
      <c r="V534" s="18" t="str">
        <f>_xlfn.CONCAT(S534,U534)</f>
        <v>202401</v>
      </c>
      <c r="W534" s="18" t="str">
        <f>_xlfn.CONCAT(TEXT(A534,"MMM"),"-",MID(Q534,3,2))</f>
        <v>Apr-24</v>
      </c>
      <c r="X534" s="19">
        <f>IFERROR(IF(D534="Sell",(H534-P534),-(H534+P534)),0)</f>
        <v>3642.43</v>
      </c>
      <c r="Y534" s="19">
        <f>X534/1000</f>
        <v>3.6424300000000001</v>
      </c>
    </row>
    <row r="535" spans="1:25" x14ac:dyDescent="0.25">
      <c r="A535" s="1">
        <v>45397</v>
      </c>
      <c r="B535" t="s">
        <v>264</v>
      </c>
      <c r="C535" t="s">
        <v>17</v>
      </c>
      <c r="D535" t="s">
        <v>22</v>
      </c>
      <c r="E535">
        <v>15</v>
      </c>
      <c r="F535">
        <v>0</v>
      </c>
      <c r="G535">
        <v>269.5</v>
      </c>
      <c r="H535">
        <v>4042.5</v>
      </c>
      <c r="I535" t="s">
        <v>266</v>
      </c>
      <c r="J535">
        <v>0</v>
      </c>
      <c r="K535">
        <v>2.02</v>
      </c>
      <c r="L535">
        <v>0</v>
      </c>
      <c r="M535">
        <v>0</v>
      </c>
      <c r="N535">
        <v>20</v>
      </c>
      <c r="O535">
        <v>3.96</v>
      </c>
      <c r="P535">
        <v>25.98</v>
      </c>
      <c r="Q535" s="18">
        <f>YEAR(A535)</f>
        <v>2024</v>
      </c>
      <c r="R535" s="18">
        <f>MONTH(A535)</f>
        <v>4</v>
      </c>
      <c r="S535" s="18">
        <f>IF(R535&lt;4,Q535-1,Q535)</f>
        <v>2024</v>
      </c>
      <c r="T535" s="18">
        <f>IF(R535&lt;4,R535+9,R535-3)</f>
        <v>1</v>
      </c>
      <c r="U535" s="18" t="str">
        <f>IF(LEN(T535)=1,_xlfn.CONCAT(0,T535),T535)</f>
        <v>01</v>
      </c>
      <c r="V535" s="18" t="str">
        <f>_xlfn.CONCAT(S535,U535)</f>
        <v>202401</v>
      </c>
      <c r="W535" s="18" t="str">
        <f>_xlfn.CONCAT(TEXT(A535,"MMM"),"-",MID(Q535,3,2))</f>
        <v>Apr-24</v>
      </c>
      <c r="X535" s="19">
        <f>IFERROR(IF(D535="Sell",(H535-P535),-(H535+P535)),0)</f>
        <v>-4068.48</v>
      </c>
      <c r="Y535" s="19">
        <f>X535/1000</f>
        <v>-4.0684800000000001</v>
      </c>
    </row>
    <row r="536" spans="1:25" x14ac:dyDescent="0.25">
      <c r="A536" s="1">
        <v>45397</v>
      </c>
      <c r="B536" t="s">
        <v>264</v>
      </c>
      <c r="C536" t="s">
        <v>17</v>
      </c>
      <c r="D536" t="s">
        <v>18</v>
      </c>
      <c r="E536">
        <v>15</v>
      </c>
      <c r="F536">
        <v>0</v>
      </c>
      <c r="G536">
        <v>345.15</v>
      </c>
      <c r="H536">
        <v>5177.25</v>
      </c>
      <c r="I536" t="s">
        <v>267</v>
      </c>
      <c r="J536">
        <v>3.24</v>
      </c>
      <c r="K536">
        <v>2.59</v>
      </c>
      <c r="L536">
        <v>0</v>
      </c>
      <c r="M536">
        <v>0.01</v>
      </c>
      <c r="N536">
        <v>20</v>
      </c>
      <c r="O536">
        <v>4.0599999999999996</v>
      </c>
      <c r="P536">
        <v>29.9</v>
      </c>
      <c r="Q536" s="18">
        <f>YEAR(A536)</f>
        <v>2024</v>
      </c>
      <c r="R536" s="18">
        <f>MONTH(A536)</f>
        <v>4</v>
      </c>
      <c r="S536" s="18">
        <f>IF(R536&lt;4,Q536-1,Q536)</f>
        <v>2024</v>
      </c>
      <c r="T536" s="18">
        <f>IF(R536&lt;4,R536+9,R536-3)</f>
        <v>1</v>
      </c>
      <c r="U536" s="18" t="str">
        <f>IF(LEN(T536)=1,_xlfn.CONCAT(0,T536),T536)</f>
        <v>01</v>
      </c>
      <c r="V536" s="18" t="str">
        <f>_xlfn.CONCAT(S536,U536)</f>
        <v>202401</v>
      </c>
      <c r="W536" s="18" t="str">
        <f>_xlfn.CONCAT(TEXT(A536,"MMM"),"-",MID(Q536,3,2))</f>
        <v>Apr-24</v>
      </c>
      <c r="X536" s="19">
        <f>IFERROR(IF(D536="Sell",(H536-P536),-(H536+P536)),0)</f>
        <v>5147.3500000000004</v>
      </c>
      <c r="Y536" s="19">
        <f>X536/1000</f>
        <v>5.1473500000000003</v>
      </c>
    </row>
    <row r="537" spans="1:25" x14ac:dyDescent="0.25">
      <c r="A537" s="1">
        <v>45397</v>
      </c>
      <c r="B537" t="s">
        <v>262</v>
      </c>
      <c r="C537" t="s">
        <v>17</v>
      </c>
      <c r="D537" t="s">
        <v>22</v>
      </c>
      <c r="E537">
        <v>600</v>
      </c>
      <c r="F537">
        <v>0</v>
      </c>
      <c r="G537">
        <v>1.9</v>
      </c>
      <c r="H537">
        <v>1140</v>
      </c>
      <c r="I537" t="s">
        <v>268</v>
      </c>
      <c r="J537">
        <v>0</v>
      </c>
      <c r="K537">
        <v>0.56999999999999995</v>
      </c>
      <c r="L537">
        <v>0</v>
      </c>
      <c r="M537">
        <v>0</v>
      </c>
      <c r="N537">
        <v>160</v>
      </c>
      <c r="O537">
        <v>28.9</v>
      </c>
      <c r="P537">
        <v>189.47</v>
      </c>
      <c r="Q537" s="18">
        <f>YEAR(A537)</f>
        <v>2024</v>
      </c>
      <c r="R537" s="18">
        <f>MONTH(A537)</f>
        <v>4</v>
      </c>
      <c r="S537" s="18">
        <f>IF(R537&lt;4,Q537-1,Q537)</f>
        <v>2024</v>
      </c>
      <c r="T537" s="18">
        <f>IF(R537&lt;4,R537+9,R537-3)</f>
        <v>1</v>
      </c>
      <c r="U537" s="18" t="str">
        <f>IF(LEN(T537)=1,_xlfn.CONCAT(0,T537),T537)</f>
        <v>01</v>
      </c>
      <c r="V537" s="18" t="str">
        <f>_xlfn.CONCAT(S537,U537)</f>
        <v>202401</v>
      </c>
      <c r="W537" s="18" t="str">
        <f>_xlfn.CONCAT(TEXT(A537,"MMM"),"-",MID(Q537,3,2))</f>
        <v>Apr-24</v>
      </c>
      <c r="X537" s="19">
        <f>IFERROR(IF(D537="Sell",(H537-P537),-(H537+P537)),0)</f>
        <v>-1329.47</v>
      </c>
      <c r="Y537" s="19">
        <f>X537/1000</f>
        <v>-1.3294699999999999</v>
      </c>
    </row>
    <row r="538" spans="1:25" x14ac:dyDescent="0.25">
      <c r="A538" s="1">
        <v>45397</v>
      </c>
      <c r="B538" t="s">
        <v>264</v>
      </c>
      <c r="C538" t="s">
        <v>17</v>
      </c>
      <c r="D538" t="s">
        <v>22</v>
      </c>
      <c r="E538">
        <v>15</v>
      </c>
      <c r="F538">
        <v>0</v>
      </c>
      <c r="G538">
        <v>316.3</v>
      </c>
      <c r="H538">
        <v>4744.5</v>
      </c>
      <c r="I538" t="s">
        <v>269</v>
      </c>
      <c r="J538">
        <v>0</v>
      </c>
      <c r="K538">
        <v>2.37</v>
      </c>
      <c r="L538">
        <v>0</v>
      </c>
      <c r="M538">
        <v>0</v>
      </c>
      <c r="N538">
        <v>20</v>
      </c>
      <c r="O538">
        <v>4.0199999999999996</v>
      </c>
      <c r="P538">
        <v>26.39</v>
      </c>
      <c r="Q538" s="18">
        <f>YEAR(A538)</f>
        <v>2024</v>
      </c>
      <c r="R538" s="18">
        <f>MONTH(A538)</f>
        <v>4</v>
      </c>
      <c r="S538" s="18">
        <f>IF(R538&lt;4,Q538-1,Q538)</f>
        <v>2024</v>
      </c>
      <c r="T538" s="18">
        <f>IF(R538&lt;4,R538+9,R538-3)</f>
        <v>1</v>
      </c>
      <c r="U538" s="18" t="str">
        <f>IF(LEN(T538)=1,_xlfn.CONCAT(0,T538),T538)</f>
        <v>01</v>
      </c>
      <c r="V538" s="18" t="str">
        <f>_xlfn.CONCAT(S538,U538)</f>
        <v>202401</v>
      </c>
      <c r="W538" s="18" t="str">
        <f>_xlfn.CONCAT(TEXT(A538,"MMM"),"-",MID(Q538,3,2))</f>
        <v>Apr-24</v>
      </c>
      <c r="X538" s="19">
        <f>IFERROR(IF(D538="Sell",(H538-P538),-(H538+P538)),0)</f>
        <v>-4770.8900000000003</v>
      </c>
      <c r="Y538" s="19">
        <f>X538/1000</f>
        <v>-4.7708900000000005</v>
      </c>
    </row>
    <row r="539" spans="1:25" x14ac:dyDescent="0.25">
      <c r="A539" s="1">
        <v>45397</v>
      </c>
      <c r="B539" t="s">
        <v>262</v>
      </c>
      <c r="C539" t="s">
        <v>17</v>
      </c>
      <c r="D539" t="s">
        <v>18</v>
      </c>
      <c r="E539">
        <v>75</v>
      </c>
      <c r="F539">
        <v>0</v>
      </c>
      <c r="G539">
        <v>1.5</v>
      </c>
      <c r="H539">
        <v>112.5</v>
      </c>
      <c r="I539" t="s">
        <v>270</v>
      </c>
      <c r="J539">
        <v>0.02</v>
      </c>
      <c r="K539">
        <v>0.06</v>
      </c>
      <c r="L539">
        <v>0</v>
      </c>
      <c r="M539">
        <v>0</v>
      </c>
      <c r="N539">
        <v>20</v>
      </c>
      <c r="O539">
        <v>3.62</v>
      </c>
      <c r="P539">
        <v>23.7</v>
      </c>
      <c r="Q539" s="18">
        <f>YEAR(A539)</f>
        <v>2024</v>
      </c>
      <c r="R539" s="18">
        <f>MONTH(A539)</f>
        <v>4</v>
      </c>
      <c r="S539" s="18">
        <f>IF(R539&lt;4,Q539-1,Q539)</f>
        <v>2024</v>
      </c>
      <c r="T539" s="18">
        <f>IF(R539&lt;4,R539+9,R539-3)</f>
        <v>1</v>
      </c>
      <c r="U539" s="18" t="str">
        <f>IF(LEN(T539)=1,_xlfn.CONCAT(0,T539),T539)</f>
        <v>01</v>
      </c>
      <c r="V539" s="18" t="str">
        <f>_xlfn.CONCAT(S539,U539)</f>
        <v>202401</v>
      </c>
      <c r="W539" s="18" t="str">
        <f>_xlfn.CONCAT(TEXT(A539,"MMM"),"-",MID(Q539,3,2))</f>
        <v>Apr-24</v>
      </c>
      <c r="X539" s="19">
        <f>IFERROR(IF(D539="Sell",(H539-P539),-(H539+P539)),0)</f>
        <v>88.8</v>
      </c>
      <c r="Y539" s="19">
        <f>X539/1000</f>
        <v>8.8800000000000004E-2</v>
      </c>
    </row>
    <row r="540" spans="1:25" x14ac:dyDescent="0.25">
      <c r="A540" s="1">
        <v>45397</v>
      </c>
      <c r="B540" t="s">
        <v>262</v>
      </c>
      <c r="C540" t="s">
        <v>17</v>
      </c>
      <c r="D540" t="s">
        <v>18</v>
      </c>
      <c r="E540">
        <v>75</v>
      </c>
      <c r="F540">
        <v>0</v>
      </c>
      <c r="G540">
        <v>1.5</v>
      </c>
      <c r="H540">
        <v>112.5</v>
      </c>
      <c r="I540" t="s">
        <v>271</v>
      </c>
      <c r="J540">
        <v>7.0000000000000007E-2</v>
      </c>
      <c r="K540">
        <v>0.06</v>
      </c>
      <c r="L540">
        <v>0</v>
      </c>
      <c r="M540">
        <v>0</v>
      </c>
      <c r="N540">
        <v>20</v>
      </c>
      <c r="O540">
        <v>3.62</v>
      </c>
      <c r="P540">
        <v>23.75</v>
      </c>
      <c r="Q540" s="18">
        <f>YEAR(A540)</f>
        <v>2024</v>
      </c>
      <c r="R540" s="18">
        <f>MONTH(A540)</f>
        <v>4</v>
      </c>
      <c r="S540" s="18">
        <f>IF(R540&lt;4,Q540-1,Q540)</f>
        <v>2024</v>
      </c>
      <c r="T540" s="18">
        <f>IF(R540&lt;4,R540+9,R540-3)</f>
        <v>1</v>
      </c>
      <c r="U540" s="18" t="str">
        <f>IF(LEN(T540)=1,_xlfn.CONCAT(0,T540),T540)</f>
        <v>01</v>
      </c>
      <c r="V540" s="18" t="str">
        <f>_xlfn.CONCAT(S540,U540)</f>
        <v>202401</v>
      </c>
      <c r="W540" s="18" t="str">
        <f>_xlfn.CONCAT(TEXT(A540,"MMM"),"-",MID(Q540,3,2))</f>
        <v>Apr-24</v>
      </c>
      <c r="X540" s="19">
        <f>IFERROR(IF(D540="Sell",(H540-P540),-(H540+P540)),0)</f>
        <v>88.75</v>
      </c>
      <c r="Y540" s="19">
        <f>X540/1000</f>
        <v>8.8749999999999996E-2</v>
      </c>
    </row>
    <row r="541" spans="1:25" x14ac:dyDescent="0.25">
      <c r="A541" s="1">
        <v>45397</v>
      </c>
      <c r="B541" t="s">
        <v>262</v>
      </c>
      <c r="C541" t="s">
        <v>17</v>
      </c>
      <c r="D541" t="s">
        <v>18</v>
      </c>
      <c r="E541">
        <v>75</v>
      </c>
      <c r="F541">
        <v>0</v>
      </c>
      <c r="G541">
        <v>1.5</v>
      </c>
      <c r="H541">
        <v>112.5</v>
      </c>
      <c r="I541" t="s">
        <v>272</v>
      </c>
      <c r="J541">
        <v>7.0000000000000007E-2</v>
      </c>
      <c r="K541">
        <v>0.06</v>
      </c>
      <c r="L541">
        <v>0</v>
      </c>
      <c r="M541">
        <v>0</v>
      </c>
      <c r="N541">
        <v>20</v>
      </c>
      <c r="O541">
        <v>3.62</v>
      </c>
      <c r="P541">
        <v>23.75</v>
      </c>
      <c r="Q541" s="18">
        <f>YEAR(A541)</f>
        <v>2024</v>
      </c>
      <c r="R541" s="18">
        <f>MONTH(A541)</f>
        <v>4</v>
      </c>
      <c r="S541" s="18">
        <f>IF(R541&lt;4,Q541-1,Q541)</f>
        <v>2024</v>
      </c>
      <c r="T541" s="18">
        <f>IF(R541&lt;4,R541+9,R541-3)</f>
        <v>1</v>
      </c>
      <c r="U541" s="18" t="str">
        <f>IF(LEN(T541)=1,_xlfn.CONCAT(0,T541),T541)</f>
        <v>01</v>
      </c>
      <c r="V541" s="18" t="str">
        <f>_xlfn.CONCAT(S541,U541)</f>
        <v>202401</v>
      </c>
      <c r="W541" s="18" t="str">
        <f>_xlfn.CONCAT(TEXT(A541,"MMM"),"-",MID(Q541,3,2))</f>
        <v>Apr-24</v>
      </c>
      <c r="X541" s="19">
        <f>IFERROR(IF(D541="Sell",(H541-P541),-(H541+P541)),0)</f>
        <v>88.75</v>
      </c>
      <c r="Y541" s="19">
        <f>X541/1000</f>
        <v>8.8749999999999996E-2</v>
      </c>
    </row>
    <row r="542" spans="1:25" x14ac:dyDescent="0.25">
      <c r="A542" s="1">
        <v>45397</v>
      </c>
      <c r="B542" t="s">
        <v>262</v>
      </c>
      <c r="C542" t="s">
        <v>17</v>
      </c>
      <c r="D542" t="s">
        <v>18</v>
      </c>
      <c r="E542">
        <v>75</v>
      </c>
      <c r="F542">
        <v>0</v>
      </c>
      <c r="G542">
        <v>1.7</v>
      </c>
      <c r="H542">
        <v>127.5</v>
      </c>
      <c r="I542" t="s">
        <v>273</v>
      </c>
      <c r="J542">
        <v>0.08</v>
      </c>
      <c r="K542">
        <v>0.06</v>
      </c>
      <c r="L542">
        <v>0</v>
      </c>
      <c r="M542">
        <v>0</v>
      </c>
      <c r="N542">
        <v>20</v>
      </c>
      <c r="O542">
        <v>3.62</v>
      </c>
      <c r="P542">
        <v>23.76</v>
      </c>
      <c r="Q542" s="18">
        <f>YEAR(A542)</f>
        <v>2024</v>
      </c>
      <c r="R542" s="18">
        <f>MONTH(A542)</f>
        <v>4</v>
      </c>
      <c r="S542" s="18">
        <f>IF(R542&lt;4,Q542-1,Q542)</f>
        <v>2024</v>
      </c>
      <c r="T542" s="18">
        <f>IF(R542&lt;4,R542+9,R542-3)</f>
        <v>1</v>
      </c>
      <c r="U542" s="18" t="str">
        <f>IF(LEN(T542)=1,_xlfn.CONCAT(0,T542),T542)</f>
        <v>01</v>
      </c>
      <c r="V542" s="18" t="str">
        <f>_xlfn.CONCAT(S542,U542)</f>
        <v>202401</v>
      </c>
      <c r="W542" s="18" t="str">
        <f>_xlfn.CONCAT(TEXT(A542,"MMM"),"-",MID(Q542,3,2))</f>
        <v>Apr-24</v>
      </c>
      <c r="X542" s="19">
        <f>IFERROR(IF(D542="Sell",(H542-P542),-(H542+P542)),0)</f>
        <v>103.74</v>
      </c>
      <c r="Y542" s="19">
        <f>X542/1000</f>
        <v>0.10374</v>
      </c>
    </row>
    <row r="543" spans="1:25" x14ac:dyDescent="0.25">
      <c r="A543" s="1">
        <v>45397</v>
      </c>
      <c r="B543" t="s">
        <v>262</v>
      </c>
      <c r="C543" t="s">
        <v>17</v>
      </c>
      <c r="D543" t="s">
        <v>22</v>
      </c>
      <c r="E543">
        <v>600</v>
      </c>
      <c r="F543">
        <v>0</v>
      </c>
      <c r="G543">
        <v>2.2999999999999998</v>
      </c>
      <c r="H543">
        <v>1380</v>
      </c>
      <c r="I543" t="s">
        <v>274</v>
      </c>
      <c r="J543">
        <v>0</v>
      </c>
      <c r="K543">
        <v>0.69</v>
      </c>
      <c r="L543">
        <v>0</v>
      </c>
      <c r="M543">
        <v>0</v>
      </c>
      <c r="N543">
        <v>160</v>
      </c>
      <c r="O543">
        <v>28.92</v>
      </c>
      <c r="P543">
        <v>189.61</v>
      </c>
      <c r="Q543" s="18">
        <f>YEAR(A543)</f>
        <v>2024</v>
      </c>
      <c r="R543" s="18">
        <f>MONTH(A543)</f>
        <v>4</v>
      </c>
      <c r="S543" s="18">
        <f>IF(R543&lt;4,Q543-1,Q543)</f>
        <v>2024</v>
      </c>
      <c r="T543" s="18">
        <f>IF(R543&lt;4,R543+9,R543-3)</f>
        <v>1</v>
      </c>
      <c r="U543" s="18" t="str">
        <f>IF(LEN(T543)=1,_xlfn.CONCAT(0,T543),T543)</f>
        <v>01</v>
      </c>
      <c r="V543" s="18" t="str">
        <f>_xlfn.CONCAT(S543,U543)</f>
        <v>202401</v>
      </c>
      <c r="W543" s="18" t="str">
        <f>_xlfn.CONCAT(TEXT(A543,"MMM"),"-",MID(Q543,3,2))</f>
        <v>Apr-24</v>
      </c>
      <c r="X543" s="19">
        <f>IFERROR(IF(D543="Sell",(H543-P543),-(H543+P543)),0)</f>
        <v>-1569.6100000000001</v>
      </c>
      <c r="Y543" s="19">
        <f>X543/1000</f>
        <v>-1.5696100000000002</v>
      </c>
    </row>
    <row r="544" spans="1:25" x14ac:dyDescent="0.25">
      <c r="A544" s="1">
        <v>45397</v>
      </c>
      <c r="B544" t="s">
        <v>262</v>
      </c>
      <c r="C544" t="s">
        <v>17</v>
      </c>
      <c r="D544" t="s">
        <v>22</v>
      </c>
      <c r="E544">
        <v>75</v>
      </c>
      <c r="F544">
        <v>0</v>
      </c>
      <c r="G544">
        <v>3.95</v>
      </c>
      <c r="H544">
        <v>296.25</v>
      </c>
      <c r="I544" t="s">
        <v>275</v>
      </c>
      <c r="J544">
        <v>0</v>
      </c>
      <c r="K544">
        <v>0.15</v>
      </c>
      <c r="L544">
        <v>0</v>
      </c>
      <c r="M544">
        <v>0</v>
      </c>
      <c r="N544">
        <v>20</v>
      </c>
      <c r="O544">
        <v>3.62</v>
      </c>
      <c r="P544">
        <v>23.77</v>
      </c>
      <c r="Q544" s="18">
        <f>YEAR(A544)</f>
        <v>2024</v>
      </c>
      <c r="R544" s="18">
        <f>MONTH(A544)</f>
        <v>4</v>
      </c>
      <c r="S544" s="18">
        <f>IF(R544&lt;4,Q544-1,Q544)</f>
        <v>2024</v>
      </c>
      <c r="T544" s="18">
        <f>IF(R544&lt;4,R544+9,R544-3)</f>
        <v>1</v>
      </c>
      <c r="U544" s="18" t="str">
        <f>IF(LEN(T544)=1,_xlfn.CONCAT(0,T544),T544)</f>
        <v>01</v>
      </c>
      <c r="V544" s="18" t="str">
        <f>_xlfn.CONCAT(S544,U544)</f>
        <v>202401</v>
      </c>
      <c r="W544" s="18" t="str">
        <f>_xlfn.CONCAT(TEXT(A544,"MMM"),"-",MID(Q544,3,2))</f>
        <v>Apr-24</v>
      </c>
      <c r="X544" s="19">
        <f>IFERROR(IF(D544="Sell",(H544-P544),-(H544+P544)),0)</f>
        <v>-320.02</v>
      </c>
      <c r="Y544" s="19">
        <f>X544/1000</f>
        <v>-0.32001999999999997</v>
      </c>
    </row>
    <row r="545" spans="1:25" x14ac:dyDescent="0.25">
      <c r="A545" s="1">
        <v>45397</v>
      </c>
      <c r="B545" t="s">
        <v>262</v>
      </c>
      <c r="C545" t="s">
        <v>17</v>
      </c>
      <c r="D545" t="s">
        <v>22</v>
      </c>
      <c r="E545">
        <v>75</v>
      </c>
      <c r="F545">
        <v>0</v>
      </c>
      <c r="G545">
        <v>3.9</v>
      </c>
      <c r="H545">
        <v>292.5</v>
      </c>
      <c r="I545" t="s">
        <v>276</v>
      </c>
      <c r="J545">
        <v>0</v>
      </c>
      <c r="K545">
        <v>0.15</v>
      </c>
      <c r="L545">
        <v>0</v>
      </c>
      <c r="M545">
        <v>0</v>
      </c>
      <c r="N545">
        <v>20</v>
      </c>
      <c r="O545">
        <v>3.62</v>
      </c>
      <c r="P545">
        <v>23.77</v>
      </c>
      <c r="Q545" s="18">
        <f>YEAR(A545)</f>
        <v>2024</v>
      </c>
      <c r="R545" s="18">
        <f>MONTH(A545)</f>
        <v>4</v>
      </c>
      <c r="S545" s="18">
        <f>IF(R545&lt;4,Q545-1,Q545)</f>
        <v>2024</v>
      </c>
      <c r="T545" s="18">
        <f>IF(R545&lt;4,R545+9,R545-3)</f>
        <v>1</v>
      </c>
      <c r="U545" s="18" t="str">
        <f>IF(LEN(T545)=1,_xlfn.CONCAT(0,T545),T545)</f>
        <v>01</v>
      </c>
      <c r="V545" s="18" t="str">
        <f>_xlfn.CONCAT(S545,U545)</f>
        <v>202401</v>
      </c>
      <c r="W545" s="18" t="str">
        <f>_xlfn.CONCAT(TEXT(A545,"MMM"),"-",MID(Q545,3,2))</f>
        <v>Apr-24</v>
      </c>
      <c r="X545" s="19">
        <f>IFERROR(IF(D545="Sell",(H545-P545),-(H545+P545)),0)</f>
        <v>-316.27</v>
      </c>
      <c r="Y545" s="19">
        <f>X545/1000</f>
        <v>-0.31627</v>
      </c>
    </row>
    <row r="546" spans="1:25" x14ac:dyDescent="0.25">
      <c r="A546" s="1">
        <v>45397</v>
      </c>
      <c r="B546" t="s">
        <v>262</v>
      </c>
      <c r="C546" t="s">
        <v>17</v>
      </c>
      <c r="D546" t="s">
        <v>22</v>
      </c>
      <c r="E546">
        <v>75</v>
      </c>
      <c r="F546">
        <v>0</v>
      </c>
      <c r="G546">
        <v>3.85</v>
      </c>
      <c r="H546">
        <v>288.75</v>
      </c>
      <c r="I546" t="s">
        <v>277</v>
      </c>
      <c r="J546">
        <v>0</v>
      </c>
      <c r="K546">
        <v>0.14000000000000001</v>
      </c>
      <c r="L546">
        <v>0</v>
      </c>
      <c r="M546">
        <v>0</v>
      </c>
      <c r="N546">
        <v>20</v>
      </c>
      <c r="O546">
        <v>3.62</v>
      </c>
      <c r="P546">
        <v>23.76</v>
      </c>
      <c r="Q546" s="18">
        <f>YEAR(A546)</f>
        <v>2024</v>
      </c>
      <c r="R546" s="18">
        <f>MONTH(A546)</f>
        <v>4</v>
      </c>
      <c r="S546" s="18">
        <f>IF(R546&lt;4,Q546-1,Q546)</f>
        <v>2024</v>
      </c>
      <c r="T546" s="18">
        <f>IF(R546&lt;4,R546+9,R546-3)</f>
        <v>1</v>
      </c>
      <c r="U546" s="18" t="str">
        <f>IF(LEN(T546)=1,_xlfn.CONCAT(0,T546),T546)</f>
        <v>01</v>
      </c>
      <c r="V546" s="18" t="str">
        <f>_xlfn.CONCAT(S546,U546)</f>
        <v>202401</v>
      </c>
      <c r="W546" s="18" t="str">
        <f>_xlfn.CONCAT(TEXT(A546,"MMM"),"-",MID(Q546,3,2))</f>
        <v>Apr-24</v>
      </c>
      <c r="X546" s="19">
        <f>IFERROR(IF(D546="Sell",(H546-P546),-(H546+P546)),0)</f>
        <v>-312.51</v>
      </c>
      <c r="Y546" s="19">
        <f>X546/1000</f>
        <v>-0.31251000000000001</v>
      </c>
    </row>
    <row r="547" spans="1:25" x14ac:dyDescent="0.25">
      <c r="A547" s="1">
        <v>45397</v>
      </c>
      <c r="B547" t="s">
        <v>262</v>
      </c>
      <c r="C547" t="s">
        <v>17</v>
      </c>
      <c r="D547" t="s">
        <v>22</v>
      </c>
      <c r="E547">
        <v>75</v>
      </c>
      <c r="F547">
        <v>0</v>
      </c>
      <c r="G547">
        <v>4.1500000000000004</v>
      </c>
      <c r="H547">
        <v>311.25</v>
      </c>
      <c r="I547" t="s">
        <v>278</v>
      </c>
      <c r="J547">
        <v>0</v>
      </c>
      <c r="K547">
        <v>0.16</v>
      </c>
      <c r="L547">
        <v>0</v>
      </c>
      <c r="M547">
        <v>0</v>
      </c>
      <c r="N547">
        <v>20</v>
      </c>
      <c r="O547">
        <v>3.62</v>
      </c>
      <c r="P547">
        <v>23.78</v>
      </c>
      <c r="Q547" s="18">
        <f>YEAR(A547)</f>
        <v>2024</v>
      </c>
      <c r="R547" s="18">
        <f>MONTH(A547)</f>
        <v>4</v>
      </c>
      <c r="S547" s="18">
        <f>IF(R547&lt;4,Q547-1,Q547)</f>
        <v>2024</v>
      </c>
      <c r="T547" s="18">
        <f>IF(R547&lt;4,R547+9,R547-3)</f>
        <v>1</v>
      </c>
      <c r="U547" s="18" t="str">
        <f>IF(LEN(T547)=1,_xlfn.CONCAT(0,T547),T547)</f>
        <v>01</v>
      </c>
      <c r="V547" s="18" t="str">
        <f>_xlfn.CONCAT(S547,U547)</f>
        <v>202401</v>
      </c>
      <c r="W547" s="18" t="str">
        <f>_xlfn.CONCAT(TEXT(A547,"MMM"),"-",MID(Q547,3,2))</f>
        <v>Apr-24</v>
      </c>
      <c r="X547" s="19">
        <f>IFERROR(IF(D547="Sell",(H547-P547),-(H547+P547)),0)</f>
        <v>-335.03</v>
      </c>
      <c r="Y547" s="19">
        <f>X547/1000</f>
        <v>-0.33502999999999999</v>
      </c>
    </row>
    <row r="548" spans="1:25" x14ac:dyDescent="0.25">
      <c r="A548" s="1">
        <v>45398</v>
      </c>
      <c r="B548" t="s">
        <v>255</v>
      </c>
      <c r="C548" t="s">
        <v>17</v>
      </c>
      <c r="D548" t="s">
        <v>18</v>
      </c>
      <c r="E548">
        <v>15</v>
      </c>
      <c r="F548">
        <v>0</v>
      </c>
      <c r="G548">
        <v>35</v>
      </c>
      <c r="H548">
        <v>525</v>
      </c>
      <c r="I548" t="s">
        <v>256</v>
      </c>
      <c r="J548">
        <v>0.18</v>
      </c>
      <c r="K548">
        <v>0.26</v>
      </c>
      <c r="L548">
        <v>0</v>
      </c>
      <c r="M548">
        <v>0</v>
      </c>
      <c r="N548">
        <v>20</v>
      </c>
      <c r="O548">
        <v>3.64</v>
      </c>
      <c r="P548">
        <v>24.08</v>
      </c>
      <c r="Q548" s="18">
        <f>YEAR(A548)</f>
        <v>2024</v>
      </c>
      <c r="R548" s="18">
        <f>MONTH(A548)</f>
        <v>4</v>
      </c>
      <c r="S548" s="18">
        <f>IF(R548&lt;4,Q548-1,Q548)</f>
        <v>2024</v>
      </c>
      <c r="T548" s="18">
        <f>IF(R548&lt;4,R548+9,R548-3)</f>
        <v>1</v>
      </c>
      <c r="U548" s="18" t="str">
        <f>IF(LEN(T548)=1,_xlfn.CONCAT(0,T548),T548)</f>
        <v>01</v>
      </c>
      <c r="V548" s="18" t="str">
        <f>_xlfn.CONCAT(S548,U548)</f>
        <v>202401</v>
      </c>
      <c r="W548" s="18" t="str">
        <f>_xlfn.CONCAT(TEXT(A548,"MMM"),"-",MID(Q548,3,2))</f>
        <v>Apr-24</v>
      </c>
      <c r="X548" s="19">
        <f>IFERROR(IF(D548="Sell",(H548-P548),-(H548+P548)),0)</f>
        <v>500.92</v>
      </c>
      <c r="Y548" s="19">
        <f>X548/1000</f>
        <v>0.50092000000000003</v>
      </c>
    </row>
    <row r="549" spans="1:25" x14ac:dyDescent="0.25">
      <c r="A549" s="1">
        <v>45398</v>
      </c>
      <c r="B549" t="s">
        <v>257</v>
      </c>
      <c r="C549" t="s">
        <v>17</v>
      </c>
      <c r="D549" t="s">
        <v>18</v>
      </c>
      <c r="E549">
        <v>150</v>
      </c>
      <c r="F549">
        <v>0</v>
      </c>
      <c r="G549">
        <v>30.1</v>
      </c>
      <c r="H549">
        <v>4515</v>
      </c>
      <c r="I549" t="s">
        <v>258</v>
      </c>
      <c r="J549">
        <v>2.82</v>
      </c>
      <c r="K549">
        <v>2.2599999999999998</v>
      </c>
      <c r="L549">
        <v>0</v>
      </c>
      <c r="M549">
        <v>0</v>
      </c>
      <c r="N549">
        <v>60</v>
      </c>
      <c r="O549">
        <v>11.22</v>
      </c>
      <c r="P549">
        <v>76.3</v>
      </c>
      <c r="Q549" s="18">
        <f>YEAR(A549)</f>
        <v>2024</v>
      </c>
      <c r="R549" s="18">
        <f>MONTH(A549)</f>
        <v>4</v>
      </c>
      <c r="S549" s="18">
        <f>IF(R549&lt;4,Q549-1,Q549)</f>
        <v>2024</v>
      </c>
      <c r="T549" s="18">
        <f>IF(R549&lt;4,R549+9,R549-3)</f>
        <v>1</v>
      </c>
      <c r="U549" s="18" t="str">
        <f>IF(LEN(T549)=1,_xlfn.CONCAT(0,T549),T549)</f>
        <v>01</v>
      </c>
      <c r="V549" s="18" t="str">
        <f>_xlfn.CONCAT(S549,U549)</f>
        <v>202401</v>
      </c>
      <c r="W549" s="18" t="str">
        <f>_xlfn.CONCAT(TEXT(A549,"MMM"),"-",MID(Q549,3,2))</f>
        <v>Apr-24</v>
      </c>
      <c r="X549" s="19">
        <f>IFERROR(IF(D549="Sell",(H549-P549),-(H549+P549)),0)</f>
        <v>4438.7</v>
      </c>
      <c r="Y549" s="19">
        <f>X549/1000</f>
        <v>4.4386999999999999</v>
      </c>
    </row>
    <row r="550" spans="1:25" x14ac:dyDescent="0.25">
      <c r="A550" s="1">
        <v>45398</v>
      </c>
      <c r="B550" t="s">
        <v>255</v>
      </c>
      <c r="C550" t="s">
        <v>17</v>
      </c>
      <c r="D550" t="s">
        <v>22</v>
      </c>
      <c r="E550">
        <v>15</v>
      </c>
      <c r="F550">
        <v>0</v>
      </c>
      <c r="G550">
        <v>79.5</v>
      </c>
      <c r="H550">
        <v>1192.5</v>
      </c>
      <c r="I550" t="s">
        <v>259</v>
      </c>
      <c r="J550">
        <v>0</v>
      </c>
      <c r="K550">
        <v>0.6</v>
      </c>
      <c r="L550">
        <v>0</v>
      </c>
      <c r="M550">
        <v>0</v>
      </c>
      <c r="N550">
        <v>20</v>
      </c>
      <c r="O550">
        <v>3.7</v>
      </c>
      <c r="P550">
        <v>24.3</v>
      </c>
      <c r="Q550" s="18">
        <f>YEAR(A550)</f>
        <v>2024</v>
      </c>
      <c r="R550" s="18">
        <f>MONTH(A550)</f>
        <v>4</v>
      </c>
      <c r="S550" s="18">
        <f>IF(R550&lt;4,Q550-1,Q550)</f>
        <v>2024</v>
      </c>
      <c r="T550" s="18">
        <f>IF(R550&lt;4,R550+9,R550-3)</f>
        <v>1</v>
      </c>
      <c r="U550" s="18" t="str">
        <f>IF(LEN(T550)=1,_xlfn.CONCAT(0,T550),T550)</f>
        <v>01</v>
      </c>
      <c r="V550" s="18" t="str">
        <f>_xlfn.CONCAT(S550,U550)</f>
        <v>202401</v>
      </c>
      <c r="W550" s="18" t="str">
        <f>_xlfn.CONCAT(TEXT(A550,"MMM"),"-",MID(Q550,3,2))</f>
        <v>Apr-24</v>
      </c>
      <c r="X550" s="19">
        <f>IFERROR(IF(D550="Sell",(H550-P550),-(H550+P550)),0)</f>
        <v>-1216.8</v>
      </c>
      <c r="Y550" s="19">
        <f>X550/1000</f>
        <v>-1.2167999999999999</v>
      </c>
    </row>
    <row r="551" spans="1:25" x14ac:dyDescent="0.25">
      <c r="A551" s="1">
        <v>45398</v>
      </c>
      <c r="B551" t="s">
        <v>257</v>
      </c>
      <c r="C551" t="s">
        <v>17</v>
      </c>
      <c r="D551" t="s">
        <v>22</v>
      </c>
      <c r="E551">
        <v>50</v>
      </c>
      <c r="F551">
        <v>0</v>
      </c>
      <c r="G551">
        <v>52.05</v>
      </c>
      <c r="H551">
        <v>2602.5</v>
      </c>
      <c r="I551" t="s">
        <v>260</v>
      </c>
      <c r="J551">
        <v>0</v>
      </c>
      <c r="K551">
        <v>1.3</v>
      </c>
      <c r="L551">
        <v>0</v>
      </c>
      <c r="M551">
        <v>0</v>
      </c>
      <c r="N551">
        <v>20</v>
      </c>
      <c r="O551">
        <v>3.84</v>
      </c>
      <c r="P551">
        <v>25.14</v>
      </c>
      <c r="Q551" s="18">
        <f>YEAR(A551)</f>
        <v>2024</v>
      </c>
      <c r="R551" s="18">
        <f>MONTH(A551)</f>
        <v>4</v>
      </c>
      <c r="S551" s="18">
        <f>IF(R551&lt;4,Q551-1,Q551)</f>
        <v>2024</v>
      </c>
      <c r="T551" s="18">
        <f>IF(R551&lt;4,R551+9,R551-3)</f>
        <v>1</v>
      </c>
      <c r="U551" s="18" t="str">
        <f>IF(LEN(T551)=1,_xlfn.CONCAT(0,T551),T551)</f>
        <v>01</v>
      </c>
      <c r="V551" s="18" t="str">
        <f>_xlfn.CONCAT(S551,U551)</f>
        <v>202401</v>
      </c>
      <c r="W551" s="18" t="str">
        <f>_xlfn.CONCAT(TEXT(A551,"MMM"),"-",MID(Q551,3,2))</f>
        <v>Apr-24</v>
      </c>
      <c r="X551" s="19">
        <f>IFERROR(IF(D551="Sell",(H551-P551),-(H551+P551)),0)</f>
        <v>-2627.64</v>
      </c>
      <c r="Y551" s="19">
        <f>X551/1000</f>
        <v>-2.62764</v>
      </c>
    </row>
    <row r="552" spans="1:25" x14ac:dyDescent="0.25">
      <c r="A552" s="1">
        <v>45398</v>
      </c>
      <c r="B552" t="s">
        <v>257</v>
      </c>
      <c r="C552" t="s">
        <v>17</v>
      </c>
      <c r="D552" t="s">
        <v>22</v>
      </c>
      <c r="E552">
        <v>100</v>
      </c>
      <c r="F552">
        <v>0</v>
      </c>
      <c r="G552">
        <v>58.93</v>
      </c>
      <c r="H552">
        <v>5892.5</v>
      </c>
      <c r="I552" t="s">
        <v>261</v>
      </c>
      <c r="J552">
        <v>0</v>
      </c>
      <c r="K552">
        <v>2.94</v>
      </c>
      <c r="L552">
        <v>0</v>
      </c>
      <c r="M552">
        <v>0</v>
      </c>
      <c r="N552">
        <v>40</v>
      </c>
      <c r="O552">
        <v>7.72</v>
      </c>
      <c r="P552">
        <v>50.66</v>
      </c>
      <c r="Q552" s="18">
        <f>YEAR(A552)</f>
        <v>2024</v>
      </c>
      <c r="R552" s="18">
        <f>MONTH(A552)</f>
        <v>4</v>
      </c>
      <c r="S552" s="18">
        <f>IF(R552&lt;4,Q552-1,Q552)</f>
        <v>2024</v>
      </c>
      <c r="T552" s="18">
        <f>IF(R552&lt;4,R552+9,R552-3)</f>
        <v>1</v>
      </c>
      <c r="U552" s="18" t="str">
        <f>IF(LEN(T552)=1,_xlfn.CONCAT(0,T552),T552)</f>
        <v>01</v>
      </c>
      <c r="V552" s="18" t="str">
        <f>_xlfn.CONCAT(S552,U552)</f>
        <v>202401</v>
      </c>
      <c r="W552" s="18" t="str">
        <f>_xlfn.CONCAT(TEXT(A552,"MMM"),"-",MID(Q552,3,2))</f>
        <v>Apr-24</v>
      </c>
      <c r="X552" s="19">
        <f>IFERROR(IF(D552="Sell",(H552-P552),-(H552+P552)),0)</f>
        <v>-5943.16</v>
      </c>
      <c r="Y552" s="19">
        <f>X552/1000</f>
        <v>-5.9431599999999998</v>
      </c>
    </row>
    <row r="553" spans="1:25" x14ac:dyDescent="0.25">
      <c r="A553" s="1">
        <v>45400</v>
      </c>
      <c r="B553" t="s">
        <v>249</v>
      </c>
      <c r="C553" t="s">
        <v>17</v>
      </c>
      <c r="D553" t="s">
        <v>18</v>
      </c>
      <c r="E553">
        <v>105</v>
      </c>
      <c r="F553">
        <v>0</v>
      </c>
      <c r="G553">
        <v>199.25</v>
      </c>
      <c r="H553">
        <v>20921.25</v>
      </c>
      <c r="I553" t="s">
        <v>250</v>
      </c>
      <c r="J553">
        <v>12.67</v>
      </c>
      <c r="K553">
        <v>10.46</v>
      </c>
      <c r="L553">
        <v>0</v>
      </c>
      <c r="M553">
        <v>0.02</v>
      </c>
      <c r="N553">
        <v>140</v>
      </c>
      <c r="O553">
        <v>27.08</v>
      </c>
      <c r="P553">
        <v>190.23</v>
      </c>
      <c r="Q553" s="18">
        <f>YEAR(A553)</f>
        <v>2024</v>
      </c>
      <c r="R553" s="18">
        <f>MONTH(A553)</f>
        <v>4</v>
      </c>
      <c r="S553" s="18">
        <f>IF(R553&lt;4,Q553-1,Q553)</f>
        <v>2024</v>
      </c>
      <c r="T553" s="18">
        <f>IF(R553&lt;4,R553+9,R553-3)</f>
        <v>1</v>
      </c>
      <c r="U553" s="18" t="str">
        <f>IF(LEN(T553)=1,_xlfn.CONCAT(0,T553),T553)</f>
        <v>01</v>
      </c>
      <c r="V553" s="18" t="str">
        <f>_xlfn.CONCAT(S553,U553)</f>
        <v>202401</v>
      </c>
      <c r="W553" s="18" t="str">
        <f>_xlfn.CONCAT(TEXT(A553,"MMM"),"-",MID(Q553,3,2))</f>
        <v>Apr-24</v>
      </c>
      <c r="X553" s="19">
        <f>IFERROR(IF(D553="Sell",(H553-P553),-(H553+P553)),0)</f>
        <v>20731.02</v>
      </c>
      <c r="Y553" s="19">
        <f>X553/1000</f>
        <v>20.731020000000001</v>
      </c>
    </row>
    <row r="554" spans="1:25" x14ac:dyDescent="0.25">
      <c r="A554" s="1">
        <v>45400</v>
      </c>
      <c r="B554" t="s">
        <v>251</v>
      </c>
      <c r="C554" t="s">
        <v>17</v>
      </c>
      <c r="D554" t="s">
        <v>18</v>
      </c>
      <c r="E554">
        <v>50</v>
      </c>
      <c r="F554">
        <v>0</v>
      </c>
      <c r="G554">
        <v>74.7</v>
      </c>
      <c r="H554">
        <v>3735</v>
      </c>
      <c r="I554" t="s">
        <v>252</v>
      </c>
      <c r="J554">
        <v>2.33</v>
      </c>
      <c r="K554">
        <v>1.87</v>
      </c>
      <c r="L554">
        <v>0</v>
      </c>
      <c r="M554">
        <v>0</v>
      </c>
      <c r="N554">
        <v>20</v>
      </c>
      <c r="O554">
        <v>3.94</v>
      </c>
      <c r="P554">
        <v>28.14</v>
      </c>
      <c r="Q554" s="18">
        <f>YEAR(A554)</f>
        <v>2024</v>
      </c>
      <c r="R554" s="18">
        <f>MONTH(A554)</f>
        <v>4</v>
      </c>
      <c r="S554" s="18">
        <f>IF(R554&lt;4,Q554-1,Q554)</f>
        <v>2024</v>
      </c>
      <c r="T554" s="18">
        <f>IF(R554&lt;4,R554+9,R554-3)</f>
        <v>1</v>
      </c>
      <c r="U554" s="18" t="str">
        <f>IF(LEN(T554)=1,_xlfn.CONCAT(0,T554),T554)</f>
        <v>01</v>
      </c>
      <c r="V554" s="18" t="str">
        <f>_xlfn.CONCAT(S554,U554)</f>
        <v>202401</v>
      </c>
      <c r="W554" s="18" t="str">
        <f>_xlfn.CONCAT(TEXT(A554,"MMM"),"-",MID(Q554,3,2))</f>
        <v>Apr-24</v>
      </c>
      <c r="X554" s="19">
        <f>IFERROR(IF(D554="Sell",(H554-P554),-(H554+P554)),0)</f>
        <v>3706.86</v>
      </c>
      <c r="Y554" s="19">
        <f>X554/1000</f>
        <v>3.7068600000000003</v>
      </c>
    </row>
    <row r="555" spans="1:25" x14ac:dyDescent="0.25">
      <c r="A555" s="1">
        <v>45400</v>
      </c>
      <c r="B555" t="s">
        <v>251</v>
      </c>
      <c r="C555" t="s">
        <v>17</v>
      </c>
      <c r="D555" t="s">
        <v>22</v>
      </c>
      <c r="E555">
        <v>50</v>
      </c>
      <c r="F555">
        <v>0</v>
      </c>
      <c r="G555">
        <v>33</v>
      </c>
      <c r="H555">
        <v>1650</v>
      </c>
      <c r="I555" t="s">
        <v>253</v>
      </c>
      <c r="J555">
        <v>0</v>
      </c>
      <c r="K555">
        <v>0.83</v>
      </c>
      <c r="L555">
        <v>0.05</v>
      </c>
      <c r="M555">
        <v>0</v>
      </c>
      <c r="N555">
        <v>20</v>
      </c>
      <c r="O555">
        <v>3.74</v>
      </c>
      <c r="P555">
        <v>24.62</v>
      </c>
      <c r="Q555" s="18">
        <f>YEAR(A555)</f>
        <v>2024</v>
      </c>
      <c r="R555" s="18">
        <f>MONTH(A555)</f>
        <v>4</v>
      </c>
      <c r="S555" s="18">
        <f>IF(R555&lt;4,Q555-1,Q555)</f>
        <v>2024</v>
      </c>
      <c r="T555" s="18">
        <f>IF(R555&lt;4,R555+9,R555-3)</f>
        <v>1</v>
      </c>
      <c r="U555" s="18" t="str">
        <f>IF(LEN(T555)=1,_xlfn.CONCAT(0,T555),T555)</f>
        <v>01</v>
      </c>
      <c r="V555" s="18" t="str">
        <f>_xlfn.CONCAT(S555,U555)</f>
        <v>202401</v>
      </c>
      <c r="W555" s="18" t="str">
        <f>_xlfn.CONCAT(TEXT(A555,"MMM"),"-",MID(Q555,3,2))</f>
        <v>Apr-24</v>
      </c>
      <c r="X555" s="19">
        <f>IFERROR(IF(D555="Sell",(H555-P555),-(H555+P555)),0)</f>
        <v>-1674.62</v>
      </c>
      <c r="Y555" s="19">
        <f>X555/1000</f>
        <v>-1.67462</v>
      </c>
    </row>
    <row r="556" spans="1:25" x14ac:dyDescent="0.25">
      <c r="A556" s="1">
        <v>45400</v>
      </c>
      <c r="B556" t="s">
        <v>249</v>
      </c>
      <c r="C556" t="s">
        <v>17</v>
      </c>
      <c r="D556" t="s">
        <v>22</v>
      </c>
      <c r="E556">
        <v>105</v>
      </c>
      <c r="F556">
        <v>0</v>
      </c>
      <c r="G556">
        <v>219.35</v>
      </c>
      <c r="H556">
        <v>23031.75</v>
      </c>
      <c r="I556" t="s">
        <v>254</v>
      </c>
      <c r="J556">
        <v>0</v>
      </c>
      <c r="K556">
        <v>11.52</v>
      </c>
      <c r="L556">
        <v>0.95</v>
      </c>
      <c r="M556">
        <v>0.02</v>
      </c>
      <c r="N556">
        <v>140</v>
      </c>
      <c r="O556">
        <v>27.28</v>
      </c>
      <c r="P556">
        <v>179.77</v>
      </c>
      <c r="Q556" s="18">
        <f>YEAR(A556)</f>
        <v>2024</v>
      </c>
      <c r="R556" s="18">
        <f>MONTH(A556)</f>
        <v>4</v>
      </c>
      <c r="S556" s="18">
        <f>IF(R556&lt;4,Q556-1,Q556)</f>
        <v>2024</v>
      </c>
      <c r="T556" s="18">
        <f>IF(R556&lt;4,R556+9,R556-3)</f>
        <v>1</v>
      </c>
      <c r="U556" s="18" t="str">
        <f>IF(LEN(T556)=1,_xlfn.CONCAT(0,T556),T556)</f>
        <v>01</v>
      </c>
      <c r="V556" s="18" t="str">
        <f>_xlfn.CONCAT(S556,U556)</f>
        <v>202401</v>
      </c>
      <c r="W556" s="18" t="str">
        <f>_xlfn.CONCAT(TEXT(A556,"MMM"),"-",MID(Q556,3,2))</f>
        <v>Apr-24</v>
      </c>
      <c r="X556" s="19">
        <f>IFERROR(IF(D556="Sell",(H556-P556),-(H556+P556)),0)</f>
        <v>-23211.52</v>
      </c>
      <c r="Y556" s="19">
        <f>X556/1000</f>
        <v>-23.21152</v>
      </c>
    </row>
    <row r="557" spans="1:25" x14ac:dyDescent="0.25">
      <c r="A557" s="1">
        <v>45401</v>
      </c>
      <c r="B557" t="s">
        <v>243</v>
      </c>
      <c r="C557" t="s">
        <v>17</v>
      </c>
      <c r="D557" t="s">
        <v>22</v>
      </c>
      <c r="E557">
        <v>15</v>
      </c>
      <c r="F557">
        <v>0</v>
      </c>
      <c r="G557">
        <v>292.2</v>
      </c>
      <c r="H557">
        <v>4383</v>
      </c>
      <c r="I557" t="s">
        <v>248</v>
      </c>
      <c r="J557">
        <v>0</v>
      </c>
      <c r="K557">
        <v>2.19</v>
      </c>
      <c r="L557">
        <v>0</v>
      </c>
      <c r="M557">
        <v>0</v>
      </c>
      <c r="N557">
        <v>20</v>
      </c>
      <c r="O557">
        <v>4</v>
      </c>
      <c r="P557">
        <v>26.19</v>
      </c>
      <c r="Q557" s="18">
        <f>YEAR(A557)</f>
        <v>2024</v>
      </c>
      <c r="R557" s="18">
        <f>MONTH(A557)</f>
        <v>4</v>
      </c>
      <c r="S557" s="18">
        <f>IF(R557&lt;4,Q557-1,Q557)</f>
        <v>2024</v>
      </c>
      <c r="T557" s="18">
        <f>IF(R557&lt;4,R557+9,R557-3)</f>
        <v>1</v>
      </c>
      <c r="U557" s="18" t="str">
        <f>IF(LEN(T557)=1,_xlfn.CONCAT(0,T557),T557)</f>
        <v>01</v>
      </c>
      <c r="V557" s="18" t="str">
        <f>_xlfn.CONCAT(S557,U557)</f>
        <v>202401</v>
      </c>
      <c r="W557" s="18" t="str">
        <f>_xlfn.CONCAT(TEXT(A557,"MMM"),"-",MID(Q557,3,2))</f>
        <v>Apr-24</v>
      </c>
      <c r="X557" s="19">
        <f>IFERROR(IF(D557="Sell",(H557-P557),-(H557+P557)),0)</f>
        <v>-4409.1899999999996</v>
      </c>
      <c r="Y557" s="19">
        <f>X557/1000</f>
        <v>-4.4091899999999997</v>
      </c>
    </row>
    <row r="558" spans="1:25" x14ac:dyDescent="0.25">
      <c r="A558" s="1">
        <v>45405</v>
      </c>
      <c r="B558" t="s">
        <v>243</v>
      </c>
      <c r="C558" t="s">
        <v>17</v>
      </c>
      <c r="D558" t="s">
        <v>22</v>
      </c>
      <c r="E558">
        <v>900</v>
      </c>
      <c r="F558">
        <v>0</v>
      </c>
      <c r="G558">
        <v>11.75</v>
      </c>
      <c r="H558">
        <v>10575</v>
      </c>
      <c r="I558" t="s">
        <v>246</v>
      </c>
      <c r="J558">
        <v>0</v>
      </c>
      <c r="K558">
        <v>5.31</v>
      </c>
      <c r="L558">
        <v>1</v>
      </c>
      <c r="M558">
        <v>0.01</v>
      </c>
      <c r="N558">
        <v>1200</v>
      </c>
      <c r="O558">
        <v>217.02</v>
      </c>
      <c r="P558">
        <v>1423.34</v>
      </c>
      <c r="Q558" s="18">
        <f>YEAR(A558)</f>
        <v>2024</v>
      </c>
      <c r="R558" s="18">
        <f>MONTH(A558)</f>
        <v>4</v>
      </c>
      <c r="S558" s="18">
        <f>IF(R558&lt;4,Q558-1,Q558)</f>
        <v>2024</v>
      </c>
      <c r="T558" s="18">
        <f>IF(R558&lt;4,R558+9,R558-3)</f>
        <v>1</v>
      </c>
      <c r="U558" s="18" t="str">
        <f>IF(LEN(T558)=1,_xlfn.CONCAT(0,T558),T558)</f>
        <v>01</v>
      </c>
      <c r="V558" s="18" t="str">
        <f>_xlfn.CONCAT(S558,U558)</f>
        <v>202401</v>
      </c>
      <c r="W558" s="18" t="str">
        <f>_xlfn.CONCAT(TEXT(A558,"MMM"),"-",MID(Q558,3,2))</f>
        <v>Apr-24</v>
      </c>
      <c r="X558" s="19">
        <f>IFERROR(IF(D558="Sell",(H558-P558),-(H558+P558)),0)</f>
        <v>-11998.34</v>
      </c>
      <c r="Y558" s="19">
        <f>X558/1000</f>
        <v>-11.998340000000001</v>
      </c>
    </row>
    <row r="559" spans="1:25" x14ac:dyDescent="0.25">
      <c r="A559" s="1">
        <v>45405</v>
      </c>
      <c r="B559" t="s">
        <v>243</v>
      </c>
      <c r="C559" t="s">
        <v>17</v>
      </c>
      <c r="D559" t="s">
        <v>22</v>
      </c>
      <c r="E559">
        <v>600</v>
      </c>
      <c r="F559">
        <v>0</v>
      </c>
      <c r="G559">
        <v>20.2</v>
      </c>
      <c r="H559">
        <v>12120</v>
      </c>
      <c r="I559" t="s">
        <v>247</v>
      </c>
      <c r="J559">
        <v>0</v>
      </c>
      <c r="K559">
        <v>6.06</v>
      </c>
      <c r="L559">
        <v>0</v>
      </c>
      <c r="M559">
        <v>0</v>
      </c>
      <c r="N559">
        <v>800</v>
      </c>
      <c r="O559">
        <v>145.08000000000001</v>
      </c>
      <c r="P559">
        <v>951.14</v>
      </c>
      <c r="Q559" s="18">
        <f>YEAR(A559)</f>
        <v>2024</v>
      </c>
      <c r="R559" s="18">
        <f>MONTH(A559)</f>
        <v>4</v>
      </c>
      <c r="S559" s="18">
        <f>IF(R559&lt;4,Q559-1,Q559)</f>
        <v>2024</v>
      </c>
      <c r="T559" s="18">
        <f>IF(R559&lt;4,R559+9,R559-3)</f>
        <v>1</v>
      </c>
      <c r="U559" s="18" t="str">
        <f>IF(LEN(T559)=1,_xlfn.CONCAT(0,T559),T559)</f>
        <v>01</v>
      </c>
      <c r="V559" s="18" t="str">
        <f>_xlfn.CONCAT(S559,U559)</f>
        <v>202401</v>
      </c>
      <c r="W559" s="18" t="str">
        <f>_xlfn.CONCAT(TEXT(A559,"MMM"),"-",MID(Q559,3,2))</f>
        <v>Apr-24</v>
      </c>
      <c r="X559" s="19">
        <f>IFERROR(IF(D559="Sell",(H559-P559),-(H559+P559)),0)</f>
        <v>-13071.14</v>
      </c>
      <c r="Y559" s="19">
        <f>X559/1000</f>
        <v>-13.07114</v>
      </c>
    </row>
    <row r="560" spans="1:25" x14ac:dyDescent="0.25">
      <c r="A560" s="1">
        <v>45406</v>
      </c>
      <c r="B560" t="s">
        <v>240</v>
      </c>
      <c r="C560" t="s">
        <v>17</v>
      </c>
      <c r="D560" t="s">
        <v>18</v>
      </c>
      <c r="E560">
        <v>900</v>
      </c>
      <c r="F560">
        <v>0</v>
      </c>
      <c r="G560">
        <v>4.05</v>
      </c>
      <c r="H560">
        <v>3645</v>
      </c>
      <c r="I560" t="s">
        <v>241</v>
      </c>
      <c r="J560">
        <v>1.91</v>
      </c>
      <c r="K560">
        <v>1.82</v>
      </c>
      <c r="L560">
        <v>0</v>
      </c>
      <c r="M560">
        <v>0</v>
      </c>
      <c r="N560">
        <v>1200</v>
      </c>
      <c r="O560">
        <v>216.32</v>
      </c>
      <c r="P560">
        <v>1420.05</v>
      </c>
      <c r="Q560" s="18">
        <f>YEAR(A560)</f>
        <v>2024</v>
      </c>
      <c r="R560" s="18">
        <f>MONTH(A560)</f>
        <v>4</v>
      </c>
      <c r="S560" s="18">
        <f>IF(R560&lt;4,Q560-1,Q560)</f>
        <v>2024</v>
      </c>
      <c r="T560" s="18">
        <f>IF(R560&lt;4,R560+9,R560-3)</f>
        <v>1</v>
      </c>
      <c r="U560" s="18" t="str">
        <f>IF(LEN(T560)=1,_xlfn.CONCAT(0,T560),T560)</f>
        <v>01</v>
      </c>
      <c r="V560" s="18" t="str">
        <f>_xlfn.CONCAT(S560,U560)</f>
        <v>202401</v>
      </c>
      <c r="W560" s="18" t="str">
        <f>_xlfn.CONCAT(TEXT(A560,"MMM"),"-",MID(Q560,3,2))</f>
        <v>Apr-24</v>
      </c>
      <c r="X560" s="19">
        <f>IFERROR(IF(D560="Sell",(H560-P560),-(H560+P560)),0)</f>
        <v>2224.9499999999998</v>
      </c>
      <c r="Y560" s="19">
        <f>X560/1000</f>
        <v>2.2249499999999998</v>
      </c>
    </row>
    <row r="561" spans="1:25" x14ac:dyDescent="0.25">
      <c r="A561" s="1">
        <v>45406</v>
      </c>
      <c r="B561" t="s">
        <v>240</v>
      </c>
      <c r="C561" t="s">
        <v>17</v>
      </c>
      <c r="D561" t="s">
        <v>22</v>
      </c>
      <c r="E561">
        <v>900</v>
      </c>
      <c r="F561">
        <v>0</v>
      </c>
      <c r="G561">
        <v>11.5</v>
      </c>
      <c r="H561">
        <v>10350</v>
      </c>
      <c r="I561" t="s">
        <v>242</v>
      </c>
      <c r="J561">
        <v>0</v>
      </c>
      <c r="K561">
        <v>5.22</v>
      </c>
      <c r="L561">
        <v>0</v>
      </c>
      <c r="M561">
        <v>0</v>
      </c>
      <c r="N561">
        <v>1200</v>
      </c>
      <c r="O561">
        <v>216.92</v>
      </c>
      <c r="P561">
        <v>1422.14</v>
      </c>
      <c r="Q561" s="18">
        <f>YEAR(A561)</f>
        <v>2024</v>
      </c>
      <c r="R561" s="18">
        <f>MONTH(A561)</f>
        <v>4</v>
      </c>
      <c r="S561" s="18">
        <f>IF(R561&lt;4,Q561-1,Q561)</f>
        <v>2024</v>
      </c>
      <c r="T561" s="18">
        <f>IF(R561&lt;4,R561+9,R561-3)</f>
        <v>1</v>
      </c>
      <c r="U561" s="18" t="str">
        <f>IF(LEN(T561)=1,_xlfn.CONCAT(0,T561),T561)</f>
        <v>01</v>
      </c>
      <c r="V561" s="18" t="str">
        <f>_xlfn.CONCAT(S561,U561)</f>
        <v>202401</v>
      </c>
      <c r="W561" s="18" t="str">
        <f>_xlfn.CONCAT(TEXT(A561,"MMM"),"-",MID(Q561,3,2))</f>
        <v>Apr-24</v>
      </c>
      <c r="X561" s="19">
        <f>IFERROR(IF(D561="Sell",(H561-P561),-(H561+P561)),0)</f>
        <v>-11772.14</v>
      </c>
      <c r="Y561" s="19">
        <f>X561/1000</f>
        <v>-11.77214</v>
      </c>
    </row>
    <row r="562" spans="1:25" x14ac:dyDescent="0.25">
      <c r="A562" s="1">
        <v>45406</v>
      </c>
      <c r="B562" t="s">
        <v>243</v>
      </c>
      <c r="C562" t="s">
        <v>17</v>
      </c>
      <c r="D562" t="s">
        <v>18</v>
      </c>
      <c r="E562">
        <v>615</v>
      </c>
      <c r="F562">
        <v>0</v>
      </c>
      <c r="G562">
        <v>2.2000000000000002</v>
      </c>
      <c r="H562">
        <v>1353</v>
      </c>
      <c r="I562" t="s">
        <v>244</v>
      </c>
      <c r="J562">
        <v>0.84</v>
      </c>
      <c r="K562">
        <v>0.67</v>
      </c>
      <c r="L562">
        <v>0</v>
      </c>
      <c r="M562">
        <v>0</v>
      </c>
      <c r="N562">
        <v>820</v>
      </c>
      <c r="O562">
        <v>147.72</v>
      </c>
      <c r="P562">
        <v>969.23</v>
      </c>
      <c r="Q562" s="18">
        <f>YEAR(A562)</f>
        <v>2024</v>
      </c>
      <c r="R562" s="18">
        <f>MONTH(A562)</f>
        <v>4</v>
      </c>
      <c r="S562" s="18">
        <f>IF(R562&lt;4,Q562-1,Q562)</f>
        <v>2024</v>
      </c>
      <c r="T562" s="18">
        <f>IF(R562&lt;4,R562+9,R562-3)</f>
        <v>1</v>
      </c>
      <c r="U562" s="18" t="str">
        <f>IF(LEN(T562)=1,_xlfn.CONCAT(0,T562),T562)</f>
        <v>01</v>
      </c>
      <c r="V562" s="18" t="str">
        <f>_xlfn.CONCAT(S562,U562)</f>
        <v>202401</v>
      </c>
      <c r="W562" s="18" t="str">
        <f>_xlfn.CONCAT(TEXT(A562,"MMM"),"-",MID(Q562,3,2))</f>
        <v>Apr-24</v>
      </c>
      <c r="X562" s="19">
        <f>IFERROR(IF(D562="Sell",(H562-P562),-(H562+P562)),0)</f>
        <v>383.77</v>
      </c>
      <c r="Y562" s="19">
        <f>X562/1000</f>
        <v>0.38377</v>
      </c>
    </row>
    <row r="563" spans="1:25" x14ac:dyDescent="0.25">
      <c r="A563" s="1">
        <v>45406</v>
      </c>
      <c r="B563" t="s">
        <v>243</v>
      </c>
      <c r="C563" t="s">
        <v>17</v>
      </c>
      <c r="D563" t="s">
        <v>18</v>
      </c>
      <c r="E563">
        <v>900</v>
      </c>
      <c r="F563">
        <v>0</v>
      </c>
      <c r="G563">
        <v>2.2000000000000002</v>
      </c>
      <c r="H563">
        <v>1980</v>
      </c>
      <c r="I563" t="s">
        <v>245</v>
      </c>
      <c r="J563">
        <v>1.24</v>
      </c>
      <c r="K563">
        <v>0.98</v>
      </c>
      <c r="L563">
        <v>0</v>
      </c>
      <c r="M563">
        <v>0</v>
      </c>
      <c r="N563">
        <v>1200</v>
      </c>
      <c r="O563">
        <v>216.16</v>
      </c>
      <c r="P563">
        <v>1418.38</v>
      </c>
      <c r="Q563" s="18">
        <f>YEAR(A563)</f>
        <v>2024</v>
      </c>
      <c r="R563" s="18">
        <f>MONTH(A563)</f>
        <v>4</v>
      </c>
      <c r="S563" s="18">
        <f>IF(R563&lt;4,Q563-1,Q563)</f>
        <v>2024</v>
      </c>
      <c r="T563" s="18">
        <f>IF(R563&lt;4,R563+9,R563-3)</f>
        <v>1</v>
      </c>
      <c r="U563" s="18" t="str">
        <f>IF(LEN(T563)=1,_xlfn.CONCAT(0,T563),T563)</f>
        <v>01</v>
      </c>
      <c r="V563" s="18" t="str">
        <f>_xlfn.CONCAT(S563,U563)</f>
        <v>202401</v>
      </c>
      <c r="W563" s="18" t="str">
        <f>_xlfn.CONCAT(TEXT(A563,"MMM"),"-",MID(Q563,3,2))</f>
        <v>Apr-24</v>
      </c>
      <c r="X563" s="19">
        <f>IFERROR(IF(D563="Sell",(H563-P563),-(H563+P563)),0)</f>
        <v>561.61999999999989</v>
      </c>
      <c r="Y563" s="19">
        <f>X563/1000</f>
        <v>0.5616199999999999</v>
      </c>
    </row>
    <row r="564" spans="1:25" x14ac:dyDescent="0.25">
      <c r="A564" s="1">
        <v>45408</v>
      </c>
      <c r="B564" t="s">
        <v>232</v>
      </c>
      <c r="C564" t="s">
        <v>17</v>
      </c>
      <c r="D564" t="s">
        <v>18</v>
      </c>
      <c r="E564">
        <v>200</v>
      </c>
      <c r="F564">
        <v>0</v>
      </c>
      <c r="G564">
        <v>101.25</v>
      </c>
      <c r="H564">
        <v>20250</v>
      </c>
      <c r="I564" t="s">
        <v>233</v>
      </c>
      <c r="J564">
        <v>12.66</v>
      </c>
      <c r="K564">
        <v>10.130000000000001</v>
      </c>
      <c r="L564">
        <v>0</v>
      </c>
      <c r="M564">
        <v>0.02</v>
      </c>
      <c r="N564">
        <v>160</v>
      </c>
      <c r="O564">
        <v>30.62</v>
      </c>
      <c r="P564">
        <v>213.43</v>
      </c>
      <c r="Q564" s="18">
        <f>YEAR(A564)</f>
        <v>2024</v>
      </c>
      <c r="R564" s="18">
        <f>MONTH(A564)</f>
        <v>4</v>
      </c>
      <c r="S564" s="18">
        <f>IF(R564&lt;4,Q564-1,Q564)</f>
        <v>2024</v>
      </c>
      <c r="T564" s="18">
        <f>IF(R564&lt;4,R564+9,R564-3)</f>
        <v>1</v>
      </c>
      <c r="U564" s="18" t="str">
        <f>IF(LEN(T564)=1,_xlfn.CONCAT(0,T564),T564)</f>
        <v>01</v>
      </c>
      <c r="V564" s="18" t="str">
        <f>_xlfn.CONCAT(S564,U564)</f>
        <v>202401</v>
      </c>
      <c r="W564" s="18" t="str">
        <f>_xlfn.CONCAT(TEXT(A564,"MMM"),"-",MID(Q564,3,2))</f>
        <v>Apr-24</v>
      </c>
      <c r="X564" s="19">
        <f>IFERROR(IF(D564="Sell",(H564-P564),-(H564+P564)),0)</f>
        <v>20036.57</v>
      </c>
      <c r="Y564" s="19">
        <f>X564/1000</f>
        <v>20.036570000000001</v>
      </c>
    </row>
    <row r="565" spans="1:25" x14ac:dyDescent="0.25">
      <c r="A565" s="1">
        <v>45408</v>
      </c>
      <c r="B565" t="s">
        <v>232</v>
      </c>
      <c r="C565" t="s">
        <v>17</v>
      </c>
      <c r="D565" t="s">
        <v>22</v>
      </c>
      <c r="E565">
        <v>100</v>
      </c>
      <c r="F565">
        <v>0</v>
      </c>
      <c r="G565">
        <v>131.25</v>
      </c>
      <c r="H565">
        <v>13125</v>
      </c>
      <c r="I565" t="s">
        <v>234</v>
      </c>
      <c r="J565">
        <v>0</v>
      </c>
      <c r="K565">
        <v>6.56</v>
      </c>
      <c r="L565">
        <v>1.21</v>
      </c>
      <c r="M565">
        <v>0.01</v>
      </c>
      <c r="N565">
        <v>80</v>
      </c>
      <c r="O565">
        <v>15.58</v>
      </c>
      <c r="P565">
        <v>103.36</v>
      </c>
      <c r="Q565" s="18">
        <f>YEAR(A565)</f>
        <v>2024</v>
      </c>
      <c r="R565" s="18">
        <f>MONTH(A565)</f>
        <v>4</v>
      </c>
      <c r="S565" s="18">
        <f>IF(R565&lt;4,Q565-1,Q565)</f>
        <v>2024</v>
      </c>
      <c r="T565" s="18">
        <f>IF(R565&lt;4,R565+9,R565-3)</f>
        <v>1</v>
      </c>
      <c r="U565" s="18" t="str">
        <f>IF(LEN(T565)=1,_xlfn.CONCAT(0,T565),T565)</f>
        <v>01</v>
      </c>
      <c r="V565" s="18" t="str">
        <f>_xlfn.CONCAT(S565,U565)</f>
        <v>202401</v>
      </c>
      <c r="W565" s="18" t="str">
        <f>_xlfn.CONCAT(TEXT(A565,"MMM"),"-",MID(Q565,3,2))</f>
        <v>Apr-24</v>
      </c>
      <c r="X565" s="19">
        <f>IFERROR(IF(D565="Sell",(H565-P565),-(H565+P565)),0)</f>
        <v>-13228.36</v>
      </c>
      <c r="Y565" s="19">
        <f>X565/1000</f>
        <v>-13.22836</v>
      </c>
    </row>
    <row r="566" spans="1:25" x14ac:dyDescent="0.25">
      <c r="A566" s="1">
        <v>45408</v>
      </c>
      <c r="B566" t="s">
        <v>232</v>
      </c>
      <c r="C566" t="s">
        <v>17</v>
      </c>
      <c r="D566" t="s">
        <v>22</v>
      </c>
      <c r="E566">
        <v>50</v>
      </c>
      <c r="F566">
        <v>0</v>
      </c>
      <c r="G566">
        <v>131.25</v>
      </c>
      <c r="H566">
        <v>6562.5</v>
      </c>
      <c r="I566" t="s">
        <v>235</v>
      </c>
      <c r="J566">
        <v>0</v>
      </c>
      <c r="K566">
        <v>3.28</v>
      </c>
      <c r="L566">
        <v>0</v>
      </c>
      <c r="M566">
        <v>0.01</v>
      </c>
      <c r="N566">
        <v>40</v>
      </c>
      <c r="O566">
        <v>7.8</v>
      </c>
      <c r="P566">
        <v>51.09</v>
      </c>
      <c r="Q566" s="18">
        <f>YEAR(A566)</f>
        <v>2024</v>
      </c>
      <c r="R566" s="18">
        <f>MONTH(A566)</f>
        <v>4</v>
      </c>
      <c r="S566" s="18">
        <f>IF(R566&lt;4,Q566-1,Q566)</f>
        <v>2024</v>
      </c>
      <c r="T566" s="18">
        <f>IF(R566&lt;4,R566+9,R566-3)</f>
        <v>1</v>
      </c>
      <c r="U566" s="18" t="str">
        <f>IF(LEN(T566)=1,_xlfn.CONCAT(0,T566),T566)</f>
        <v>01</v>
      </c>
      <c r="V566" s="18" t="str">
        <f>_xlfn.CONCAT(S566,U566)</f>
        <v>202401</v>
      </c>
      <c r="W566" s="18" t="str">
        <f>_xlfn.CONCAT(TEXT(A566,"MMM"),"-",MID(Q566,3,2))</f>
        <v>Apr-24</v>
      </c>
      <c r="X566" s="19">
        <f>IFERROR(IF(D566="Sell",(H566-P566),-(H566+P566)),0)</f>
        <v>-6613.59</v>
      </c>
      <c r="Y566" s="19">
        <f>X566/1000</f>
        <v>-6.6135900000000003</v>
      </c>
    </row>
    <row r="567" spans="1:25" x14ac:dyDescent="0.25">
      <c r="A567" s="1">
        <v>45408</v>
      </c>
      <c r="B567" t="s">
        <v>232</v>
      </c>
      <c r="C567" t="s">
        <v>17</v>
      </c>
      <c r="D567" t="s">
        <v>22</v>
      </c>
      <c r="E567">
        <v>50</v>
      </c>
      <c r="F567">
        <v>0</v>
      </c>
      <c r="G567">
        <v>146.1</v>
      </c>
      <c r="H567">
        <v>7305</v>
      </c>
      <c r="I567" t="s">
        <v>236</v>
      </c>
      <c r="J567">
        <v>0</v>
      </c>
      <c r="K567">
        <v>3.65</v>
      </c>
      <c r="L567">
        <v>0</v>
      </c>
      <c r="M567">
        <v>0.01</v>
      </c>
      <c r="N567">
        <v>40</v>
      </c>
      <c r="O567">
        <v>7.86</v>
      </c>
      <c r="P567">
        <v>51.52</v>
      </c>
      <c r="Q567" s="18">
        <f>YEAR(A567)</f>
        <v>2024</v>
      </c>
      <c r="R567" s="18">
        <f>MONTH(A567)</f>
        <v>4</v>
      </c>
      <c r="S567" s="18">
        <f>IF(R567&lt;4,Q567-1,Q567)</f>
        <v>2024</v>
      </c>
      <c r="T567" s="18">
        <f>IF(R567&lt;4,R567+9,R567-3)</f>
        <v>1</v>
      </c>
      <c r="U567" s="18" t="str">
        <f>IF(LEN(T567)=1,_xlfn.CONCAT(0,T567),T567)</f>
        <v>01</v>
      </c>
      <c r="V567" s="18" t="str">
        <f>_xlfn.CONCAT(S567,U567)</f>
        <v>202401</v>
      </c>
      <c r="W567" s="18" t="str">
        <f>_xlfn.CONCAT(TEXT(A567,"MMM"),"-",MID(Q567,3,2))</f>
        <v>Apr-24</v>
      </c>
      <c r="X567" s="19">
        <f>IFERROR(IF(D567="Sell",(H567-P567),-(H567+P567)),0)</f>
        <v>-7356.52</v>
      </c>
      <c r="Y567" s="19">
        <f>X567/1000</f>
        <v>-7.3565200000000006</v>
      </c>
    </row>
    <row r="568" spans="1:25" x14ac:dyDescent="0.25">
      <c r="A568" s="1">
        <v>45408</v>
      </c>
      <c r="B568" t="s">
        <v>237</v>
      </c>
      <c r="C568" t="s">
        <v>17</v>
      </c>
      <c r="D568" t="s">
        <v>18</v>
      </c>
      <c r="E568">
        <v>105</v>
      </c>
      <c r="F568">
        <v>0</v>
      </c>
      <c r="G568">
        <v>265.75</v>
      </c>
      <c r="H568">
        <v>27903.75</v>
      </c>
      <c r="I568" t="s">
        <v>238</v>
      </c>
      <c r="J568">
        <v>17.34</v>
      </c>
      <c r="K568">
        <v>13.94</v>
      </c>
      <c r="L568">
        <v>0</v>
      </c>
      <c r="M568">
        <v>0.01</v>
      </c>
      <c r="N568">
        <v>140</v>
      </c>
      <c r="O568">
        <v>27.72</v>
      </c>
      <c r="P568">
        <v>199.01</v>
      </c>
      <c r="Q568" s="18">
        <f>YEAR(A568)</f>
        <v>2024</v>
      </c>
      <c r="R568" s="18">
        <f>MONTH(A568)</f>
        <v>4</v>
      </c>
      <c r="S568" s="18">
        <f>IF(R568&lt;4,Q568-1,Q568)</f>
        <v>2024</v>
      </c>
      <c r="T568" s="18">
        <f>IF(R568&lt;4,R568+9,R568-3)</f>
        <v>1</v>
      </c>
      <c r="U568" s="18" t="str">
        <f>IF(LEN(T568)=1,_xlfn.CONCAT(0,T568),T568)</f>
        <v>01</v>
      </c>
      <c r="V568" s="18" t="str">
        <f>_xlfn.CONCAT(S568,U568)</f>
        <v>202401</v>
      </c>
      <c r="W568" s="18" t="str">
        <f>_xlfn.CONCAT(TEXT(A568,"MMM"),"-",MID(Q568,3,2))</f>
        <v>Apr-24</v>
      </c>
      <c r="X568" s="19">
        <f>IFERROR(IF(D568="Sell",(H568-P568),-(H568+P568)),0)</f>
        <v>27704.74</v>
      </c>
      <c r="Y568" s="19">
        <f>X568/1000</f>
        <v>27.704740000000001</v>
      </c>
    </row>
    <row r="569" spans="1:25" x14ac:dyDescent="0.25">
      <c r="A569" s="1">
        <v>45408</v>
      </c>
      <c r="B569" t="s">
        <v>237</v>
      </c>
      <c r="C569" t="s">
        <v>17</v>
      </c>
      <c r="D569" t="s">
        <v>22</v>
      </c>
      <c r="E569">
        <v>105</v>
      </c>
      <c r="F569">
        <v>0</v>
      </c>
      <c r="G569">
        <v>251.25</v>
      </c>
      <c r="H569">
        <v>26381.25</v>
      </c>
      <c r="I569" t="s">
        <v>239</v>
      </c>
      <c r="J569">
        <v>0</v>
      </c>
      <c r="K569">
        <v>13.19</v>
      </c>
      <c r="L569">
        <v>0.79</v>
      </c>
      <c r="M569">
        <v>0.03</v>
      </c>
      <c r="N569">
        <v>140</v>
      </c>
      <c r="O569">
        <v>27.58</v>
      </c>
      <c r="P569">
        <v>181.59</v>
      </c>
      <c r="Q569" s="18">
        <f>YEAR(A569)</f>
        <v>2024</v>
      </c>
      <c r="R569" s="18">
        <f>MONTH(A569)</f>
        <v>4</v>
      </c>
      <c r="S569" s="18">
        <f>IF(R569&lt;4,Q569-1,Q569)</f>
        <v>2024</v>
      </c>
      <c r="T569" s="18">
        <f>IF(R569&lt;4,R569+9,R569-3)</f>
        <v>1</v>
      </c>
      <c r="U569" s="18" t="str">
        <f>IF(LEN(T569)=1,_xlfn.CONCAT(0,T569),T569)</f>
        <v>01</v>
      </c>
      <c r="V569" s="18" t="str">
        <f>_xlfn.CONCAT(S569,U569)</f>
        <v>202401</v>
      </c>
      <c r="W569" s="18" t="str">
        <f>_xlfn.CONCAT(TEXT(A569,"MMM"),"-",MID(Q569,3,2))</f>
        <v>Apr-24</v>
      </c>
      <c r="X569" s="19">
        <f>IFERROR(IF(D569="Sell",(H569-P569),-(H569+P569)),0)</f>
        <v>-26562.84</v>
      </c>
      <c r="Y569" s="19">
        <f>X569/1000</f>
        <v>-26.562840000000001</v>
      </c>
    </row>
    <row r="570" spans="1:25" x14ac:dyDescent="0.25">
      <c r="A570" s="1">
        <v>45412</v>
      </c>
      <c r="B570" t="s">
        <v>229</v>
      </c>
      <c r="C570" t="s">
        <v>17</v>
      </c>
      <c r="D570" t="s">
        <v>18</v>
      </c>
      <c r="E570">
        <v>400</v>
      </c>
      <c r="F570">
        <v>0</v>
      </c>
      <c r="G570">
        <v>45.75</v>
      </c>
      <c r="H570">
        <v>18300</v>
      </c>
      <c r="I570" t="s">
        <v>230</v>
      </c>
      <c r="J570">
        <v>11</v>
      </c>
      <c r="K570">
        <v>9.17</v>
      </c>
      <c r="L570">
        <v>0</v>
      </c>
      <c r="M570">
        <v>0.01</v>
      </c>
      <c r="N570">
        <v>200</v>
      </c>
      <c r="O570">
        <v>37.64</v>
      </c>
      <c r="P570">
        <v>257.82</v>
      </c>
      <c r="Q570" s="18">
        <f>YEAR(A570)</f>
        <v>2024</v>
      </c>
      <c r="R570" s="18">
        <f>MONTH(A570)</f>
        <v>4</v>
      </c>
      <c r="S570" s="18">
        <f>IF(R570&lt;4,Q570-1,Q570)</f>
        <v>2024</v>
      </c>
      <c r="T570" s="18">
        <f>IF(R570&lt;4,R570+9,R570-3)</f>
        <v>1</v>
      </c>
      <c r="U570" s="18" t="str">
        <f>IF(LEN(T570)=1,_xlfn.CONCAT(0,T570),T570)</f>
        <v>01</v>
      </c>
      <c r="V570" s="18" t="str">
        <f>_xlfn.CONCAT(S570,U570)</f>
        <v>202401</v>
      </c>
      <c r="W570" s="18" t="str">
        <f>_xlfn.CONCAT(TEXT(A570,"MMM"),"-",MID(Q570,3,2))</f>
        <v>Apr-24</v>
      </c>
      <c r="X570" s="19">
        <f>IFERROR(IF(D570="Sell",(H570-P570),-(H570+P570)),0)</f>
        <v>18042.18</v>
      </c>
      <c r="Y570" s="19">
        <f>X570/1000</f>
        <v>18.042180000000002</v>
      </c>
    </row>
    <row r="571" spans="1:25" x14ac:dyDescent="0.25">
      <c r="A571" s="1">
        <v>45412</v>
      </c>
      <c r="B571" t="s">
        <v>229</v>
      </c>
      <c r="C571" t="s">
        <v>17</v>
      </c>
      <c r="D571" t="s">
        <v>22</v>
      </c>
      <c r="E571">
        <v>400</v>
      </c>
      <c r="F571">
        <v>0</v>
      </c>
      <c r="G571">
        <v>31.95</v>
      </c>
      <c r="H571">
        <v>12780</v>
      </c>
      <c r="I571" t="s">
        <v>231</v>
      </c>
      <c r="J571">
        <v>0</v>
      </c>
      <c r="K571">
        <v>6.39</v>
      </c>
      <c r="L571">
        <v>0</v>
      </c>
      <c r="M571">
        <v>0.01</v>
      </c>
      <c r="N571">
        <v>200</v>
      </c>
      <c r="O571">
        <v>37.159999999999997</v>
      </c>
      <c r="P571">
        <v>243.56</v>
      </c>
      <c r="Q571" s="18">
        <f>YEAR(A571)</f>
        <v>2024</v>
      </c>
      <c r="R571" s="18">
        <f>MONTH(A571)</f>
        <v>4</v>
      </c>
      <c r="S571" s="18">
        <f>IF(R571&lt;4,Q571-1,Q571)</f>
        <v>2024</v>
      </c>
      <c r="T571" s="18">
        <f>IF(R571&lt;4,R571+9,R571-3)</f>
        <v>1</v>
      </c>
      <c r="U571" s="18" t="str">
        <f>IF(LEN(T571)=1,_xlfn.CONCAT(0,T571),T571)</f>
        <v>01</v>
      </c>
      <c r="V571" s="18" t="str">
        <f>_xlfn.CONCAT(S571,U571)</f>
        <v>202401</v>
      </c>
      <c r="W571" s="18" t="str">
        <f>_xlfn.CONCAT(TEXT(A571,"MMM"),"-",MID(Q571,3,2))</f>
        <v>Apr-24</v>
      </c>
      <c r="X571" s="19">
        <f>IFERROR(IF(D571="Sell",(H571-P571),-(H571+P571)),0)</f>
        <v>-13023.56</v>
      </c>
      <c r="Y571" s="19">
        <f>X571/1000</f>
        <v>-13.02356</v>
      </c>
    </row>
    <row r="572" spans="1:25" x14ac:dyDescent="0.25">
      <c r="A572" s="1">
        <v>45414</v>
      </c>
      <c r="B572" t="s">
        <v>225</v>
      </c>
      <c r="C572" t="s">
        <v>17</v>
      </c>
      <c r="D572" t="s">
        <v>18</v>
      </c>
      <c r="E572">
        <v>500</v>
      </c>
      <c r="F572">
        <v>0</v>
      </c>
      <c r="G572">
        <v>17.25</v>
      </c>
      <c r="H572">
        <v>8625</v>
      </c>
      <c r="I572" t="s">
        <v>226</v>
      </c>
      <c r="J572">
        <v>5</v>
      </c>
      <c r="K572">
        <v>4.3099999999999996</v>
      </c>
      <c r="L572">
        <v>0</v>
      </c>
      <c r="M572">
        <v>0.01</v>
      </c>
      <c r="N572">
        <v>400</v>
      </c>
      <c r="O572">
        <v>72.78</v>
      </c>
      <c r="P572">
        <v>482.1</v>
      </c>
      <c r="Q572" s="18">
        <f>YEAR(A572)</f>
        <v>2024</v>
      </c>
      <c r="R572" s="18">
        <f>MONTH(A572)</f>
        <v>5</v>
      </c>
      <c r="S572" s="18">
        <f>IF(R572&lt;4,Q572-1,Q572)</f>
        <v>2024</v>
      </c>
      <c r="T572" s="18">
        <f>IF(R572&lt;4,R572+9,R572-3)</f>
        <v>2</v>
      </c>
      <c r="U572" s="18" t="str">
        <f>IF(LEN(T572)=1,_xlfn.CONCAT(0,T572),T572)</f>
        <v>02</v>
      </c>
      <c r="V572" s="18" t="str">
        <f>_xlfn.CONCAT(S572,U572)</f>
        <v>202402</v>
      </c>
      <c r="W572" s="18" t="str">
        <f>_xlfn.CONCAT(TEXT(A572,"MMM"),"-",MID(Q572,3,2))</f>
        <v>May-24</v>
      </c>
      <c r="X572" s="19">
        <f>IFERROR(IF(D572="Sell",(H572-P572),-(H572+P572)),0)</f>
        <v>8142.9</v>
      </c>
      <c r="Y572" s="19">
        <f>X572/1000</f>
        <v>8.1428999999999991</v>
      </c>
    </row>
    <row r="573" spans="1:25" x14ac:dyDescent="0.25">
      <c r="A573" s="1">
        <v>45414</v>
      </c>
      <c r="B573" t="s">
        <v>225</v>
      </c>
      <c r="C573" t="s">
        <v>17</v>
      </c>
      <c r="D573" t="s">
        <v>22</v>
      </c>
      <c r="E573">
        <v>250</v>
      </c>
      <c r="F573">
        <v>0</v>
      </c>
      <c r="G573">
        <v>17.149999999999999</v>
      </c>
      <c r="H573">
        <v>4287.5</v>
      </c>
      <c r="I573" t="s">
        <v>227</v>
      </c>
      <c r="J573">
        <v>0</v>
      </c>
      <c r="K573">
        <v>2.15</v>
      </c>
      <c r="L573">
        <v>0</v>
      </c>
      <c r="M573">
        <v>0</v>
      </c>
      <c r="N573">
        <v>200</v>
      </c>
      <c r="O573">
        <v>36.380000000000003</v>
      </c>
      <c r="P573">
        <v>238.53</v>
      </c>
      <c r="Q573" s="18">
        <f>YEAR(A573)</f>
        <v>2024</v>
      </c>
      <c r="R573" s="18">
        <f>MONTH(A573)</f>
        <v>5</v>
      </c>
      <c r="S573" s="18">
        <f>IF(R573&lt;4,Q573-1,Q573)</f>
        <v>2024</v>
      </c>
      <c r="T573" s="18">
        <f>IF(R573&lt;4,R573+9,R573-3)</f>
        <v>2</v>
      </c>
      <c r="U573" s="18" t="str">
        <f>IF(LEN(T573)=1,_xlfn.CONCAT(0,T573),T573)</f>
        <v>02</v>
      </c>
      <c r="V573" s="18" t="str">
        <f>_xlfn.CONCAT(S573,U573)</f>
        <v>202402</v>
      </c>
      <c r="W573" s="18" t="str">
        <f>_xlfn.CONCAT(TEXT(A573,"MMM"),"-",MID(Q573,3,2))</f>
        <v>May-24</v>
      </c>
      <c r="X573" s="19">
        <f>IFERROR(IF(D573="Sell",(H573-P573),-(H573+P573)),0)</f>
        <v>-4526.03</v>
      </c>
      <c r="Y573" s="19">
        <f>X573/1000</f>
        <v>-4.5260299999999996</v>
      </c>
    </row>
    <row r="574" spans="1:25" x14ac:dyDescent="0.25">
      <c r="A574" s="1">
        <v>45414</v>
      </c>
      <c r="B574" t="s">
        <v>225</v>
      </c>
      <c r="C574" t="s">
        <v>17</v>
      </c>
      <c r="D574" t="s">
        <v>22</v>
      </c>
      <c r="E574">
        <v>250</v>
      </c>
      <c r="F574">
        <v>0</v>
      </c>
      <c r="G574">
        <v>20.3</v>
      </c>
      <c r="H574">
        <v>5075</v>
      </c>
      <c r="I574" t="s">
        <v>228</v>
      </c>
      <c r="J574">
        <v>0</v>
      </c>
      <c r="K574">
        <v>2.54</v>
      </c>
      <c r="L574">
        <v>0</v>
      </c>
      <c r="M574">
        <v>0</v>
      </c>
      <c r="N574">
        <v>200</v>
      </c>
      <c r="O574">
        <v>36.46</v>
      </c>
      <c r="P574">
        <v>239</v>
      </c>
      <c r="Q574" s="18">
        <f>YEAR(A574)</f>
        <v>2024</v>
      </c>
      <c r="R574" s="18">
        <f>MONTH(A574)</f>
        <v>5</v>
      </c>
      <c r="S574" s="18">
        <f>IF(R574&lt;4,Q574-1,Q574)</f>
        <v>2024</v>
      </c>
      <c r="T574" s="18">
        <f>IF(R574&lt;4,R574+9,R574-3)</f>
        <v>2</v>
      </c>
      <c r="U574" s="18" t="str">
        <f>IF(LEN(T574)=1,_xlfn.CONCAT(0,T574),T574)</f>
        <v>02</v>
      </c>
      <c r="V574" s="18" t="str">
        <f>_xlfn.CONCAT(S574,U574)</f>
        <v>202402</v>
      </c>
      <c r="W574" s="18" t="str">
        <f>_xlfn.CONCAT(TEXT(A574,"MMM"),"-",MID(Q574,3,2))</f>
        <v>May-24</v>
      </c>
      <c r="X574" s="19">
        <f>IFERROR(IF(D574="Sell",(H574-P574),-(H574+P574)),0)</f>
        <v>-5314</v>
      </c>
      <c r="Y574" s="19">
        <f>X574/1000</f>
        <v>-5.3140000000000001</v>
      </c>
    </row>
    <row r="575" spans="1:25" x14ac:dyDescent="0.25">
      <c r="A575" s="1">
        <v>45418</v>
      </c>
      <c r="B575" t="s">
        <v>218</v>
      </c>
      <c r="C575" t="s">
        <v>17</v>
      </c>
      <c r="D575" t="s">
        <v>18</v>
      </c>
      <c r="E575">
        <v>135</v>
      </c>
      <c r="F575">
        <v>0</v>
      </c>
      <c r="G575">
        <v>84.9</v>
      </c>
      <c r="H575">
        <v>11461.5</v>
      </c>
      <c r="I575" t="s">
        <v>219</v>
      </c>
      <c r="J575">
        <v>6.68</v>
      </c>
      <c r="K575">
        <v>5.73</v>
      </c>
      <c r="L575">
        <v>0</v>
      </c>
      <c r="M575">
        <v>0.01</v>
      </c>
      <c r="N575">
        <v>180</v>
      </c>
      <c r="O575">
        <v>33.44</v>
      </c>
      <c r="P575">
        <v>225.86</v>
      </c>
      <c r="Q575" s="18">
        <f>YEAR(A575)</f>
        <v>2024</v>
      </c>
      <c r="R575" s="18">
        <f>MONTH(A575)</f>
        <v>5</v>
      </c>
      <c r="S575" s="18">
        <f>IF(R575&lt;4,Q575-1,Q575)</f>
        <v>2024</v>
      </c>
      <c r="T575" s="18">
        <f>IF(R575&lt;4,R575+9,R575-3)</f>
        <v>2</v>
      </c>
      <c r="U575" s="18" t="str">
        <f>IF(LEN(T575)=1,_xlfn.CONCAT(0,T575),T575)</f>
        <v>02</v>
      </c>
      <c r="V575" s="18" t="str">
        <f>_xlfn.CONCAT(S575,U575)</f>
        <v>202402</v>
      </c>
      <c r="W575" s="18" t="str">
        <f>_xlfn.CONCAT(TEXT(A575,"MMM"),"-",MID(Q575,3,2))</f>
        <v>May-24</v>
      </c>
      <c r="X575" s="19">
        <f>IFERROR(IF(D575="Sell",(H575-P575),-(H575+P575)),0)</f>
        <v>11235.64</v>
      </c>
      <c r="Y575" s="19">
        <f>X575/1000</f>
        <v>11.23564</v>
      </c>
    </row>
    <row r="576" spans="1:25" x14ac:dyDescent="0.25">
      <c r="A576" s="1">
        <v>45418</v>
      </c>
      <c r="B576" t="s">
        <v>218</v>
      </c>
      <c r="C576" t="s">
        <v>17</v>
      </c>
      <c r="D576" t="s">
        <v>22</v>
      </c>
      <c r="E576">
        <v>135</v>
      </c>
      <c r="F576">
        <v>0</v>
      </c>
      <c r="G576">
        <v>121.25</v>
      </c>
      <c r="H576">
        <v>16368.75</v>
      </c>
      <c r="I576" t="s">
        <v>220</v>
      </c>
      <c r="J576">
        <v>0</v>
      </c>
      <c r="K576">
        <v>8.18</v>
      </c>
      <c r="L576">
        <v>0.49</v>
      </c>
      <c r="M576">
        <v>0.02</v>
      </c>
      <c r="N576">
        <v>180</v>
      </c>
      <c r="O576">
        <v>33.880000000000003</v>
      </c>
      <c r="P576">
        <v>222.57</v>
      </c>
      <c r="Q576" s="18">
        <f>YEAR(A576)</f>
        <v>2024</v>
      </c>
      <c r="R576" s="18">
        <f>MONTH(A576)</f>
        <v>5</v>
      </c>
      <c r="S576" s="18">
        <f>IF(R576&lt;4,Q576-1,Q576)</f>
        <v>2024</v>
      </c>
      <c r="T576" s="18">
        <f>IF(R576&lt;4,R576+9,R576-3)</f>
        <v>2</v>
      </c>
      <c r="U576" s="18" t="str">
        <f>IF(LEN(T576)=1,_xlfn.CONCAT(0,T576),T576)</f>
        <v>02</v>
      </c>
      <c r="V576" s="18" t="str">
        <f>_xlfn.CONCAT(S576,U576)</f>
        <v>202402</v>
      </c>
      <c r="W576" s="18" t="str">
        <f>_xlfn.CONCAT(TEXT(A576,"MMM"),"-",MID(Q576,3,2))</f>
        <v>May-24</v>
      </c>
      <c r="X576" s="19">
        <f>IFERROR(IF(D576="Sell",(H576-P576),-(H576+P576)),0)</f>
        <v>-16591.32</v>
      </c>
      <c r="Y576" s="19">
        <f>X576/1000</f>
        <v>-16.59132</v>
      </c>
    </row>
    <row r="577" spans="1:25" x14ac:dyDescent="0.25">
      <c r="A577" s="1">
        <v>45418</v>
      </c>
      <c r="B577" t="s">
        <v>221</v>
      </c>
      <c r="C577" t="s">
        <v>17</v>
      </c>
      <c r="D577" t="s">
        <v>18</v>
      </c>
      <c r="E577">
        <v>60</v>
      </c>
      <c r="F577">
        <v>0</v>
      </c>
      <c r="G577">
        <v>195.25</v>
      </c>
      <c r="H577">
        <v>11715</v>
      </c>
      <c r="I577" t="s">
        <v>222</v>
      </c>
      <c r="J577">
        <v>7.32</v>
      </c>
      <c r="K577">
        <v>5.86</v>
      </c>
      <c r="L577">
        <v>0</v>
      </c>
      <c r="M577">
        <v>0.01</v>
      </c>
      <c r="N577">
        <v>80</v>
      </c>
      <c r="O577">
        <v>15.46</v>
      </c>
      <c r="P577">
        <v>108.65</v>
      </c>
      <c r="Q577" s="18">
        <f>YEAR(A577)</f>
        <v>2024</v>
      </c>
      <c r="R577" s="18">
        <f>MONTH(A577)</f>
        <v>5</v>
      </c>
      <c r="S577" s="18">
        <f>IF(R577&lt;4,Q577-1,Q577)</f>
        <v>2024</v>
      </c>
      <c r="T577" s="18">
        <f>IF(R577&lt;4,R577+9,R577-3)</f>
        <v>2</v>
      </c>
      <c r="U577" s="18" t="str">
        <f>IF(LEN(T577)=1,_xlfn.CONCAT(0,T577),T577)</f>
        <v>02</v>
      </c>
      <c r="V577" s="18" t="str">
        <f>_xlfn.CONCAT(S577,U577)</f>
        <v>202402</v>
      </c>
      <c r="W577" s="18" t="str">
        <f>_xlfn.CONCAT(TEXT(A577,"MMM"),"-",MID(Q577,3,2))</f>
        <v>May-24</v>
      </c>
      <c r="X577" s="19">
        <f>IFERROR(IF(D577="Sell",(H577-P577),-(H577+P577)),0)</f>
        <v>11606.35</v>
      </c>
      <c r="Y577" s="19">
        <f>X577/1000</f>
        <v>11.606350000000001</v>
      </c>
    </row>
    <row r="578" spans="1:25" x14ac:dyDescent="0.25">
      <c r="A578" s="1">
        <v>45418</v>
      </c>
      <c r="B578" t="s">
        <v>221</v>
      </c>
      <c r="C578" t="s">
        <v>17</v>
      </c>
      <c r="D578" t="s">
        <v>22</v>
      </c>
      <c r="E578">
        <v>30</v>
      </c>
      <c r="F578">
        <v>0</v>
      </c>
      <c r="G578">
        <v>229.5</v>
      </c>
      <c r="H578">
        <v>6885</v>
      </c>
      <c r="I578" t="s">
        <v>223</v>
      </c>
      <c r="J578">
        <v>0</v>
      </c>
      <c r="K578">
        <v>3.44</v>
      </c>
      <c r="L578">
        <v>0.51</v>
      </c>
      <c r="M578">
        <v>0.01</v>
      </c>
      <c r="N578">
        <v>40</v>
      </c>
      <c r="O578">
        <v>7.82</v>
      </c>
      <c r="P578">
        <v>51.78</v>
      </c>
      <c r="Q578" s="18">
        <f>YEAR(A578)</f>
        <v>2024</v>
      </c>
      <c r="R578" s="18">
        <f>MONTH(A578)</f>
        <v>5</v>
      </c>
      <c r="S578" s="18">
        <f>IF(R578&lt;4,Q578-1,Q578)</f>
        <v>2024</v>
      </c>
      <c r="T578" s="18">
        <f>IF(R578&lt;4,R578+9,R578-3)</f>
        <v>2</v>
      </c>
      <c r="U578" s="18" t="str">
        <f>IF(LEN(T578)=1,_xlfn.CONCAT(0,T578),T578)</f>
        <v>02</v>
      </c>
      <c r="V578" s="18" t="str">
        <f>_xlfn.CONCAT(S578,U578)</f>
        <v>202402</v>
      </c>
      <c r="W578" s="18" t="str">
        <f>_xlfn.CONCAT(TEXT(A578,"MMM"),"-",MID(Q578,3,2))</f>
        <v>May-24</v>
      </c>
      <c r="X578" s="19">
        <f>IFERROR(IF(D578="Sell",(H578-P578),-(H578+P578)),0)</f>
        <v>-6936.78</v>
      </c>
      <c r="Y578" s="19">
        <f>X578/1000</f>
        <v>-6.9367799999999997</v>
      </c>
    </row>
    <row r="579" spans="1:25" x14ac:dyDescent="0.25">
      <c r="A579" s="1">
        <v>45418</v>
      </c>
      <c r="B579" t="s">
        <v>221</v>
      </c>
      <c r="C579" t="s">
        <v>17</v>
      </c>
      <c r="D579" t="s">
        <v>22</v>
      </c>
      <c r="E579">
        <v>30</v>
      </c>
      <c r="F579">
        <v>0</v>
      </c>
      <c r="G579">
        <v>313.2</v>
      </c>
      <c r="H579">
        <v>9396</v>
      </c>
      <c r="I579" t="s">
        <v>224</v>
      </c>
      <c r="J579">
        <v>0</v>
      </c>
      <c r="K579">
        <v>4.7</v>
      </c>
      <c r="L579">
        <v>0</v>
      </c>
      <c r="M579">
        <v>0</v>
      </c>
      <c r="N579">
        <v>40</v>
      </c>
      <c r="O579">
        <v>8.0399999999999991</v>
      </c>
      <c r="P579">
        <v>52.74</v>
      </c>
      <c r="Q579" s="18">
        <f>YEAR(A579)</f>
        <v>2024</v>
      </c>
      <c r="R579" s="18">
        <f>MONTH(A579)</f>
        <v>5</v>
      </c>
      <c r="S579" s="18">
        <f>IF(R579&lt;4,Q579-1,Q579)</f>
        <v>2024</v>
      </c>
      <c r="T579" s="18">
        <f>IF(R579&lt;4,R579+9,R579-3)</f>
        <v>2</v>
      </c>
      <c r="U579" s="18" t="str">
        <f>IF(LEN(T579)=1,_xlfn.CONCAT(0,T579),T579)</f>
        <v>02</v>
      </c>
      <c r="V579" s="18" t="str">
        <f>_xlfn.CONCAT(S579,U579)</f>
        <v>202402</v>
      </c>
      <c r="W579" s="18" t="str">
        <f>_xlfn.CONCAT(TEXT(A579,"MMM"),"-",MID(Q579,3,2))</f>
        <v>May-24</v>
      </c>
      <c r="X579" s="19">
        <f>IFERROR(IF(D579="Sell",(H579-P579),-(H579+P579)),0)</f>
        <v>-9448.74</v>
      </c>
      <c r="Y579" s="19">
        <f>X579/1000</f>
        <v>-9.448739999999999</v>
      </c>
    </row>
    <row r="580" spans="1:25" x14ac:dyDescent="0.25">
      <c r="A580" s="1">
        <v>45419</v>
      </c>
      <c r="B580" t="s">
        <v>213</v>
      </c>
      <c r="C580" t="s">
        <v>17</v>
      </c>
      <c r="D580" t="s">
        <v>18</v>
      </c>
      <c r="E580">
        <v>900</v>
      </c>
      <c r="F580">
        <v>0</v>
      </c>
      <c r="G580">
        <v>55.25</v>
      </c>
      <c r="H580">
        <v>49725</v>
      </c>
      <c r="I580" t="s">
        <v>214</v>
      </c>
      <c r="J580">
        <v>31.55</v>
      </c>
      <c r="K580">
        <v>24.86</v>
      </c>
      <c r="L580">
        <v>0</v>
      </c>
      <c r="M580">
        <v>0.04</v>
      </c>
      <c r="N580">
        <v>1200</v>
      </c>
      <c r="O580">
        <v>220.48</v>
      </c>
      <c r="P580">
        <v>1476.93</v>
      </c>
      <c r="Q580" s="18">
        <f>YEAR(A580)</f>
        <v>2024</v>
      </c>
      <c r="R580" s="18">
        <f>MONTH(A580)</f>
        <v>5</v>
      </c>
      <c r="S580" s="18">
        <f>IF(R580&lt;4,Q580-1,Q580)</f>
        <v>2024</v>
      </c>
      <c r="T580" s="18">
        <f>IF(R580&lt;4,R580+9,R580-3)</f>
        <v>2</v>
      </c>
      <c r="U580" s="18" t="str">
        <f>IF(LEN(T580)=1,_xlfn.CONCAT(0,T580),T580)</f>
        <v>02</v>
      </c>
      <c r="V580" s="18" t="str">
        <f>_xlfn.CONCAT(S580,U580)</f>
        <v>202402</v>
      </c>
      <c r="W580" s="18" t="str">
        <f>_xlfn.CONCAT(TEXT(A580,"MMM"),"-",MID(Q580,3,2))</f>
        <v>May-24</v>
      </c>
      <c r="X580" s="19">
        <f>IFERROR(IF(D580="Sell",(H580-P580),-(H580+P580)),0)</f>
        <v>48248.07</v>
      </c>
      <c r="Y580" s="19">
        <f>X580/1000</f>
        <v>48.248069999999998</v>
      </c>
    </row>
    <row r="581" spans="1:25" x14ac:dyDescent="0.25">
      <c r="A581" s="1">
        <v>45419</v>
      </c>
      <c r="B581" t="s">
        <v>213</v>
      </c>
      <c r="C581" t="s">
        <v>17</v>
      </c>
      <c r="D581" t="s">
        <v>22</v>
      </c>
      <c r="E581">
        <v>900</v>
      </c>
      <c r="F581">
        <v>0</v>
      </c>
      <c r="G581">
        <v>65.95</v>
      </c>
      <c r="H581">
        <v>59355</v>
      </c>
      <c r="I581" t="s">
        <v>215</v>
      </c>
      <c r="J581">
        <v>0</v>
      </c>
      <c r="K581">
        <v>29.68</v>
      </c>
      <c r="L581">
        <v>0</v>
      </c>
      <c r="M581">
        <v>0.06</v>
      </c>
      <c r="N581">
        <v>1200</v>
      </c>
      <c r="O581">
        <v>221.36</v>
      </c>
      <c r="P581">
        <v>1451.1</v>
      </c>
      <c r="Q581" s="18">
        <f>YEAR(A581)</f>
        <v>2024</v>
      </c>
      <c r="R581" s="18">
        <f>MONTH(A581)</f>
        <v>5</v>
      </c>
      <c r="S581" s="18">
        <f>IF(R581&lt;4,Q581-1,Q581)</f>
        <v>2024</v>
      </c>
      <c r="T581" s="18">
        <f>IF(R581&lt;4,R581+9,R581-3)</f>
        <v>2</v>
      </c>
      <c r="U581" s="18" t="str">
        <f>IF(LEN(T581)=1,_xlfn.CONCAT(0,T581),T581)</f>
        <v>02</v>
      </c>
      <c r="V581" s="18" t="str">
        <f>_xlfn.CONCAT(S581,U581)</f>
        <v>202402</v>
      </c>
      <c r="W581" s="18" t="str">
        <f>_xlfn.CONCAT(TEXT(A581,"MMM"),"-",MID(Q581,3,2))</f>
        <v>May-24</v>
      </c>
      <c r="X581" s="19">
        <f>IFERROR(IF(D581="Sell",(H581-P581),-(H581+P581)),0)</f>
        <v>-60806.1</v>
      </c>
      <c r="Y581" s="19">
        <f>X581/1000</f>
        <v>-60.806100000000001</v>
      </c>
    </row>
    <row r="582" spans="1:25" x14ac:dyDescent="0.25">
      <c r="A582" s="1">
        <v>45419</v>
      </c>
      <c r="B582" t="s">
        <v>213</v>
      </c>
      <c r="C582" t="s">
        <v>17</v>
      </c>
      <c r="D582" t="s">
        <v>18</v>
      </c>
      <c r="E582">
        <v>900</v>
      </c>
      <c r="F582">
        <v>0</v>
      </c>
      <c r="G582">
        <v>61.25</v>
      </c>
      <c r="H582">
        <v>55125</v>
      </c>
      <c r="I582" t="s">
        <v>216</v>
      </c>
      <c r="J582">
        <v>34.450000000000003</v>
      </c>
      <c r="K582">
        <v>27.58</v>
      </c>
      <c r="L582">
        <v>0</v>
      </c>
      <c r="M582">
        <v>0.05</v>
      </c>
      <c r="N582">
        <v>1200</v>
      </c>
      <c r="O582">
        <v>220.98</v>
      </c>
      <c r="P582">
        <v>1483.06</v>
      </c>
      <c r="Q582" s="18">
        <f>YEAR(A582)</f>
        <v>2024</v>
      </c>
      <c r="R582" s="18">
        <f>MONTH(A582)</f>
        <v>5</v>
      </c>
      <c r="S582" s="18">
        <f>IF(R582&lt;4,Q582-1,Q582)</f>
        <v>2024</v>
      </c>
      <c r="T582" s="18">
        <f>IF(R582&lt;4,R582+9,R582-3)</f>
        <v>2</v>
      </c>
      <c r="U582" s="18" t="str">
        <f>IF(LEN(T582)=1,_xlfn.CONCAT(0,T582),T582)</f>
        <v>02</v>
      </c>
      <c r="V582" s="18" t="str">
        <f>_xlfn.CONCAT(S582,U582)</f>
        <v>202402</v>
      </c>
      <c r="W582" s="18" t="str">
        <f>_xlfn.CONCAT(TEXT(A582,"MMM"),"-",MID(Q582,3,2))</f>
        <v>May-24</v>
      </c>
      <c r="X582" s="19">
        <f>IFERROR(IF(D582="Sell",(H582-P582),-(H582+P582)),0)</f>
        <v>53641.94</v>
      </c>
      <c r="Y582" s="19">
        <f>X582/1000</f>
        <v>53.641940000000005</v>
      </c>
    </row>
    <row r="583" spans="1:25" x14ac:dyDescent="0.25">
      <c r="A583" s="1">
        <v>45419</v>
      </c>
      <c r="B583" t="s">
        <v>213</v>
      </c>
      <c r="C583" t="s">
        <v>17</v>
      </c>
      <c r="D583" t="s">
        <v>22</v>
      </c>
      <c r="E583">
        <v>900</v>
      </c>
      <c r="F583">
        <v>0</v>
      </c>
      <c r="G583">
        <v>91.25</v>
      </c>
      <c r="H583">
        <v>82125</v>
      </c>
      <c r="I583" t="s">
        <v>217</v>
      </c>
      <c r="J583">
        <v>0</v>
      </c>
      <c r="K583">
        <v>41.07</v>
      </c>
      <c r="L583">
        <v>4</v>
      </c>
      <c r="M583">
        <v>0.08</v>
      </c>
      <c r="N583">
        <v>1200</v>
      </c>
      <c r="O583">
        <v>223.42</v>
      </c>
      <c r="P583">
        <v>1468.57</v>
      </c>
      <c r="Q583" s="18">
        <f>YEAR(A583)</f>
        <v>2024</v>
      </c>
      <c r="R583" s="18">
        <f>MONTH(A583)</f>
        <v>5</v>
      </c>
      <c r="S583" s="18">
        <f>IF(R583&lt;4,Q583-1,Q583)</f>
        <v>2024</v>
      </c>
      <c r="T583" s="18">
        <f>IF(R583&lt;4,R583+9,R583-3)</f>
        <v>2</v>
      </c>
      <c r="U583" s="18" t="str">
        <f>IF(LEN(T583)=1,_xlfn.CONCAT(0,T583),T583)</f>
        <v>02</v>
      </c>
      <c r="V583" s="18" t="str">
        <f>_xlfn.CONCAT(S583,U583)</f>
        <v>202402</v>
      </c>
      <c r="W583" s="18" t="str">
        <f>_xlfn.CONCAT(TEXT(A583,"MMM"),"-",MID(Q583,3,2))</f>
        <v>May-24</v>
      </c>
      <c r="X583" s="19">
        <f>IFERROR(IF(D583="Sell",(H583-P583),-(H583+P583)),0)</f>
        <v>-83593.570000000007</v>
      </c>
      <c r="Y583" s="19">
        <f>X583/1000</f>
        <v>-83.593570000000014</v>
      </c>
    </row>
    <row r="584" spans="1:25" x14ac:dyDescent="0.25">
      <c r="A584" s="1">
        <v>45420</v>
      </c>
      <c r="B584" t="s">
        <v>210</v>
      </c>
      <c r="C584" t="s">
        <v>17</v>
      </c>
      <c r="D584" t="s">
        <v>18</v>
      </c>
      <c r="E584">
        <v>210</v>
      </c>
      <c r="F584">
        <v>0</v>
      </c>
      <c r="G584">
        <v>157.25</v>
      </c>
      <c r="H584">
        <v>33022.5</v>
      </c>
      <c r="I584" t="s">
        <v>211</v>
      </c>
      <c r="J584">
        <v>21</v>
      </c>
      <c r="K584">
        <v>16.52</v>
      </c>
      <c r="L584">
        <v>0</v>
      </c>
      <c r="M584">
        <v>0.03</v>
      </c>
      <c r="N584">
        <v>280</v>
      </c>
      <c r="O584">
        <v>53.38</v>
      </c>
      <c r="P584">
        <v>370.93</v>
      </c>
      <c r="Q584" s="18">
        <f>YEAR(A584)</f>
        <v>2024</v>
      </c>
      <c r="R584" s="18">
        <f>MONTH(A584)</f>
        <v>5</v>
      </c>
      <c r="S584" s="18">
        <f>IF(R584&lt;4,Q584-1,Q584)</f>
        <v>2024</v>
      </c>
      <c r="T584" s="18">
        <f>IF(R584&lt;4,R584+9,R584-3)</f>
        <v>2</v>
      </c>
      <c r="U584" s="18" t="str">
        <f>IF(LEN(T584)=1,_xlfn.CONCAT(0,T584),T584)</f>
        <v>02</v>
      </c>
      <c r="V584" s="18" t="str">
        <f>_xlfn.CONCAT(S584,U584)</f>
        <v>202402</v>
      </c>
      <c r="W584" s="18" t="str">
        <f>_xlfn.CONCAT(TEXT(A584,"MMM"),"-",MID(Q584,3,2))</f>
        <v>May-24</v>
      </c>
      <c r="X584" s="19">
        <f>IFERROR(IF(D584="Sell",(H584-P584),-(H584+P584)),0)</f>
        <v>32651.57</v>
      </c>
      <c r="Y584" s="19">
        <f>X584/1000</f>
        <v>32.65157</v>
      </c>
    </row>
    <row r="585" spans="1:25" x14ac:dyDescent="0.25">
      <c r="A585" s="1">
        <v>45420</v>
      </c>
      <c r="B585" t="s">
        <v>210</v>
      </c>
      <c r="C585" t="s">
        <v>17</v>
      </c>
      <c r="D585" t="s">
        <v>22</v>
      </c>
      <c r="E585">
        <v>210</v>
      </c>
      <c r="F585">
        <v>0</v>
      </c>
      <c r="G585">
        <v>127.37</v>
      </c>
      <c r="H585">
        <v>26748</v>
      </c>
      <c r="I585" t="s">
        <v>212</v>
      </c>
      <c r="J585">
        <v>0</v>
      </c>
      <c r="K585">
        <v>13.38</v>
      </c>
      <c r="L585">
        <v>1</v>
      </c>
      <c r="M585">
        <v>0.02</v>
      </c>
      <c r="N585">
        <v>280</v>
      </c>
      <c r="O585">
        <v>52.82</v>
      </c>
      <c r="P585">
        <v>347.22</v>
      </c>
      <c r="Q585" s="18">
        <f>YEAR(A585)</f>
        <v>2024</v>
      </c>
      <c r="R585" s="18">
        <f>MONTH(A585)</f>
        <v>5</v>
      </c>
      <c r="S585" s="18">
        <f>IF(R585&lt;4,Q585-1,Q585)</f>
        <v>2024</v>
      </c>
      <c r="T585" s="18">
        <f>IF(R585&lt;4,R585+9,R585-3)</f>
        <v>2</v>
      </c>
      <c r="U585" s="18" t="str">
        <f>IF(LEN(T585)=1,_xlfn.CONCAT(0,T585),T585)</f>
        <v>02</v>
      </c>
      <c r="V585" s="18" t="str">
        <f>_xlfn.CONCAT(S585,U585)</f>
        <v>202402</v>
      </c>
      <c r="W585" s="18" t="str">
        <f>_xlfn.CONCAT(TEXT(A585,"MMM"),"-",MID(Q585,3,2))</f>
        <v>May-24</v>
      </c>
      <c r="X585" s="19">
        <f>IFERROR(IF(D585="Sell",(H585-P585),-(H585+P585)),0)</f>
        <v>-27095.22</v>
      </c>
      <c r="Y585" s="19">
        <f>X585/1000</f>
        <v>-27.095220000000001</v>
      </c>
    </row>
    <row r="586" spans="1:25" x14ac:dyDescent="0.25">
      <c r="A586" s="1">
        <v>45421</v>
      </c>
      <c r="B586" t="s">
        <v>205</v>
      </c>
      <c r="C586" t="s">
        <v>17</v>
      </c>
      <c r="D586" t="s">
        <v>18</v>
      </c>
      <c r="E586">
        <v>105</v>
      </c>
      <c r="F586">
        <v>0</v>
      </c>
      <c r="G586">
        <v>266.79000000000002</v>
      </c>
      <c r="H586">
        <v>28013.25</v>
      </c>
      <c r="I586" t="s">
        <v>206</v>
      </c>
      <c r="J586">
        <v>17.25</v>
      </c>
      <c r="K586">
        <v>14</v>
      </c>
      <c r="L586">
        <v>0</v>
      </c>
      <c r="M586">
        <v>0.02</v>
      </c>
      <c r="N586">
        <v>140</v>
      </c>
      <c r="O586">
        <v>27.72</v>
      </c>
      <c r="P586">
        <v>198.99</v>
      </c>
      <c r="Q586" s="18">
        <f>YEAR(A586)</f>
        <v>2024</v>
      </c>
      <c r="R586" s="18">
        <f>MONTH(A586)</f>
        <v>5</v>
      </c>
      <c r="S586" s="18">
        <f>IF(R586&lt;4,Q586-1,Q586)</f>
        <v>2024</v>
      </c>
      <c r="T586" s="18">
        <f>IF(R586&lt;4,R586+9,R586-3)</f>
        <v>2</v>
      </c>
      <c r="U586" s="18" t="str">
        <f>IF(LEN(T586)=1,_xlfn.CONCAT(0,T586),T586)</f>
        <v>02</v>
      </c>
      <c r="V586" s="18" t="str">
        <f>_xlfn.CONCAT(S586,U586)</f>
        <v>202402</v>
      </c>
      <c r="W586" s="18" t="str">
        <f>_xlfn.CONCAT(TEXT(A586,"MMM"),"-",MID(Q586,3,2))</f>
        <v>May-24</v>
      </c>
      <c r="X586" s="19">
        <f>IFERROR(IF(D586="Sell",(H586-P586),-(H586+P586)),0)</f>
        <v>27814.26</v>
      </c>
      <c r="Y586" s="19">
        <f>X586/1000</f>
        <v>27.814259999999997</v>
      </c>
    </row>
    <row r="587" spans="1:25" x14ac:dyDescent="0.25">
      <c r="A587" s="1">
        <v>45421</v>
      </c>
      <c r="B587" t="s">
        <v>205</v>
      </c>
      <c r="C587" t="s">
        <v>17</v>
      </c>
      <c r="D587" t="s">
        <v>22</v>
      </c>
      <c r="E587">
        <v>105</v>
      </c>
      <c r="F587">
        <v>0</v>
      </c>
      <c r="G587">
        <v>328.26</v>
      </c>
      <c r="H587">
        <v>34467.75</v>
      </c>
      <c r="I587" t="s">
        <v>207</v>
      </c>
      <c r="J587">
        <v>0</v>
      </c>
      <c r="K587">
        <v>17.23</v>
      </c>
      <c r="L587">
        <v>2</v>
      </c>
      <c r="M587">
        <v>0.03</v>
      </c>
      <c r="N587">
        <v>140</v>
      </c>
      <c r="O587">
        <v>28.3</v>
      </c>
      <c r="P587">
        <v>187.56</v>
      </c>
      <c r="Q587" s="18">
        <f>YEAR(A587)</f>
        <v>2024</v>
      </c>
      <c r="R587" s="18">
        <f>MONTH(A587)</f>
        <v>5</v>
      </c>
      <c r="S587" s="18">
        <f>IF(R587&lt;4,Q587-1,Q587)</f>
        <v>2024</v>
      </c>
      <c r="T587" s="18">
        <f>IF(R587&lt;4,R587+9,R587-3)</f>
        <v>2</v>
      </c>
      <c r="U587" s="18" t="str">
        <f>IF(LEN(T587)=1,_xlfn.CONCAT(0,T587),T587)</f>
        <v>02</v>
      </c>
      <c r="V587" s="18" t="str">
        <f>_xlfn.CONCAT(S587,U587)</f>
        <v>202402</v>
      </c>
      <c r="W587" s="18" t="str">
        <f>_xlfn.CONCAT(TEXT(A587,"MMM"),"-",MID(Q587,3,2))</f>
        <v>May-24</v>
      </c>
      <c r="X587" s="19">
        <f>IFERROR(IF(D587="Sell",(H587-P587),-(H587+P587)),0)</f>
        <v>-34655.31</v>
      </c>
      <c r="Y587" s="19">
        <f>X587/1000</f>
        <v>-34.65531</v>
      </c>
    </row>
    <row r="588" spans="1:25" x14ac:dyDescent="0.25">
      <c r="A588" s="1">
        <v>45421</v>
      </c>
      <c r="B588" t="s">
        <v>205</v>
      </c>
      <c r="C588" t="s">
        <v>17</v>
      </c>
      <c r="D588" t="s">
        <v>18</v>
      </c>
      <c r="E588">
        <v>105</v>
      </c>
      <c r="F588">
        <v>0</v>
      </c>
      <c r="G588">
        <v>331.25</v>
      </c>
      <c r="H588">
        <v>34781.25</v>
      </c>
      <c r="I588" t="s">
        <v>208</v>
      </c>
      <c r="J588">
        <v>21.74</v>
      </c>
      <c r="K588">
        <v>17.39</v>
      </c>
      <c r="L588">
        <v>0</v>
      </c>
      <c r="M588">
        <v>0.03</v>
      </c>
      <c r="N588">
        <v>140</v>
      </c>
      <c r="O588">
        <v>28.32</v>
      </c>
      <c r="P588">
        <v>207.48</v>
      </c>
      <c r="Q588" s="18">
        <f>YEAR(A588)</f>
        <v>2024</v>
      </c>
      <c r="R588" s="18">
        <f>MONTH(A588)</f>
        <v>5</v>
      </c>
      <c r="S588" s="18">
        <f>IF(R588&lt;4,Q588-1,Q588)</f>
        <v>2024</v>
      </c>
      <c r="T588" s="18">
        <f>IF(R588&lt;4,R588+9,R588-3)</f>
        <v>2</v>
      </c>
      <c r="U588" s="18" t="str">
        <f>IF(LEN(T588)=1,_xlfn.CONCAT(0,T588),T588)</f>
        <v>02</v>
      </c>
      <c r="V588" s="18" t="str">
        <f>_xlfn.CONCAT(S588,U588)</f>
        <v>202402</v>
      </c>
      <c r="W588" s="18" t="str">
        <f>_xlfn.CONCAT(TEXT(A588,"MMM"),"-",MID(Q588,3,2))</f>
        <v>May-24</v>
      </c>
      <c r="X588" s="19">
        <f>IFERROR(IF(D588="Sell",(H588-P588),-(H588+P588)),0)</f>
        <v>34573.769999999997</v>
      </c>
      <c r="Y588" s="19">
        <f>X588/1000</f>
        <v>34.573769999999996</v>
      </c>
    </row>
    <row r="589" spans="1:25" x14ac:dyDescent="0.25">
      <c r="A589" s="1">
        <v>45421</v>
      </c>
      <c r="B589" t="s">
        <v>205</v>
      </c>
      <c r="C589" t="s">
        <v>17</v>
      </c>
      <c r="D589" t="s">
        <v>22</v>
      </c>
      <c r="E589">
        <v>105</v>
      </c>
      <c r="F589">
        <v>0</v>
      </c>
      <c r="G589">
        <v>361</v>
      </c>
      <c r="H589">
        <v>37905</v>
      </c>
      <c r="I589" t="s">
        <v>209</v>
      </c>
      <c r="J589">
        <v>0</v>
      </c>
      <c r="K589">
        <v>18.95</v>
      </c>
      <c r="L589">
        <v>0</v>
      </c>
      <c r="M589">
        <v>0.05</v>
      </c>
      <c r="N589">
        <v>140</v>
      </c>
      <c r="O589">
        <v>28.6</v>
      </c>
      <c r="P589">
        <v>187.6</v>
      </c>
      <c r="Q589" s="18">
        <f>YEAR(A589)</f>
        <v>2024</v>
      </c>
      <c r="R589" s="18">
        <f>MONTH(A589)</f>
        <v>5</v>
      </c>
      <c r="S589" s="18">
        <f>IF(R589&lt;4,Q589-1,Q589)</f>
        <v>2024</v>
      </c>
      <c r="T589" s="18">
        <f>IF(R589&lt;4,R589+9,R589-3)</f>
        <v>2</v>
      </c>
      <c r="U589" s="18" t="str">
        <f>IF(LEN(T589)=1,_xlfn.CONCAT(0,T589),T589)</f>
        <v>02</v>
      </c>
      <c r="V589" s="18" t="str">
        <f>_xlfn.CONCAT(S589,U589)</f>
        <v>202402</v>
      </c>
      <c r="W589" s="18" t="str">
        <f>_xlfn.CONCAT(TEXT(A589,"MMM"),"-",MID(Q589,3,2))</f>
        <v>May-24</v>
      </c>
      <c r="X589" s="19">
        <f>IFERROR(IF(D589="Sell",(H589-P589),-(H589+P589)),0)</f>
        <v>-38092.6</v>
      </c>
      <c r="Y589" s="19">
        <f>X589/1000</f>
        <v>-38.092599999999997</v>
      </c>
    </row>
    <row r="590" spans="1:25" x14ac:dyDescent="0.25">
      <c r="A590" s="1">
        <v>45427</v>
      </c>
      <c r="B590" t="s">
        <v>202</v>
      </c>
      <c r="C590" t="s">
        <v>17</v>
      </c>
      <c r="D590" t="s">
        <v>18</v>
      </c>
      <c r="E590">
        <v>900</v>
      </c>
      <c r="F590">
        <v>0</v>
      </c>
      <c r="G590">
        <v>6.55</v>
      </c>
      <c r="H590">
        <v>5895</v>
      </c>
      <c r="I590" t="s">
        <v>203</v>
      </c>
      <c r="J590">
        <v>3.99</v>
      </c>
      <c r="K590">
        <v>2.95</v>
      </c>
      <c r="L590">
        <v>0</v>
      </c>
      <c r="M590">
        <v>0</v>
      </c>
      <c r="N590">
        <v>1200</v>
      </c>
      <c r="O590">
        <v>216.52</v>
      </c>
      <c r="P590">
        <v>1423.46</v>
      </c>
      <c r="Q590" s="18">
        <f>YEAR(A590)</f>
        <v>2024</v>
      </c>
      <c r="R590" s="18">
        <f>MONTH(A590)</f>
        <v>5</v>
      </c>
      <c r="S590" s="18">
        <f>IF(R590&lt;4,Q590-1,Q590)</f>
        <v>2024</v>
      </c>
      <c r="T590" s="18">
        <f>IF(R590&lt;4,R590+9,R590-3)</f>
        <v>2</v>
      </c>
      <c r="U590" s="18" t="str">
        <f>IF(LEN(T590)=1,_xlfn.CONCAT(0,T590),T590)</f>
        <v>02</v>
      </c>
      <c r="V590" s="18" t="str">
        <f>_xlfn.CONCAT(S590,U590)</f>
        <v>202402</v>
      </c>
      <c r="W590" s="18" t="str">
        <f>_xlfn.CONCAT(TEXT(A590,"MMM"),"-",MID(Q590,3,2))</f>
        <v>May-24</v>
      </c>
      <c r="X590" s="19">
        <f>IFERROR(IF(D590="Sell",(H590-P590),-(H590+P590)),0)</f>
        <v>4471.54</v>
      </c>
      <c r="Y590" s="19">
        <f>X590/1000</f>
        <v>4.4715400000000001</v>
      </c>
    </row>
    <row r="591" spans="1:25" x14ac:dyDescent="0.25">
      <c r="A591" s="1">
        <v>45427</v>
      </c>
      <c r="B591" t="s">
        <v>202</v>
      </c>
      <c r="C591" t="s">
        <v>17</v>
      </c>
      <c r="D591" t="s">
        <v>22</v>
      </c>
      <c r="E591">
        <v>900</v>
      </c>
      <c r="F591">
        <v>0</v>
      </c>
      <c r="G591">
        <v>12.15</v>
      </c>
      <c r="H591">
        <v>10935</v>
      </c>
      <c r="I591" t="s">
        <v>204</v>
      </c>
      <c r="J591">
        <v>0</v>
      </c>
      <c r="K591">
        <v>5.47</v>
      </c>
      <c r="L591">
        <v>0</v>
      </c>
      <c r="M591">
        <v>0.01</v>
      </c>
      <c r="N591">
        <v>1200</v>
      </c>
      <c r="O591">
        <v>216.98</v>
      </c>
      <c r="P591">
        <v>1422.46</v>
      </c>
      <c r="Q591" s="18">
        <f>YEAR(A591)</f>
        <v>2024</v>
      </c>
      <c r="R591" s="18">
        <f>MONTH(A591)</f>
        <v>5</v>
      </c>
      <c r="S591" s="18">
        <f>IF(R591&lt;4,Q591-1,Q591)</f>
        <v>2024</v>
      </c>
      <c r="T591" s="18">
        <f>IF(R591&lt;4,R591+9,R591-3)</f>
        <v>2</v>
      </c>
      <c r="U591" s="18" t="str">
        <f>IF(LEN(T591)=1,_xlfn.CONCAT(0,T591),T591)</f>
        <v>02</v>
      </c>
      <c r="V591" s="18" t="str">
        <f>_xlfn.CONCAT(S591,U591)</f>
        <v>202402</v>
      </c>
      <c r="W591" s="18" t="str">
        <f>_xlfn.CONCAT(TEXT(A591,"MMM"),"-",MID(Q591,3,2))</f>
        <v>May-24</v>
      </c>
      <c r="X591" s="19">
        <f>IFERROR(IF(D591="Sell",(H591-P591),-(H591+P591)),0)</f>
        <v>-12357.46</v>
      </c>
      <c r="Y591" s="19">
        <f>X591/1000</f>
        <v>-12.35746</v>
      </c>
    </row>
    <row r="592" spans="1:25" x14ac:dyDescent="0.25">
      <c r="A592" s="1">
        <v>45440</v>
      </c>
      <c r="B592" t="s">
        <v>199</v>
      </c>
      <c r="C592" t="s">
        <v>17</v>
      </c>
      <c r="D592" t="s">
        <v>18</v>
      </c>
      <c r="E592">
        <v>60</v>
      </c>
      <c r="F592">
        <v>0</v>
      </c>
      <c r="G592">
        <v>314.25</v>
      </c>
      <c r="H592">
        <v>18855</v>
      </c>
      <c r="I592" t="s">
        <v>200</v>
      </c>
      <c r="J592">
        <v>12</v>
      </c>
      <c r="K592">
        <v>9.43</v>
      </c>
      <c r="L592">
        <v>0</v>
      </c>
      <c r="M592">
        <v>0.02</v>
      </c>
      <c r="N592">
        <v>80</v>
      </c>
      <c r="O592">
        <v>16.100000000000001</v>
      </c>
      <c r="P592">
        <v>117.55</v>
      </c>
      <c r="Q592" s="18">
        <f>YEAR(A592)</f>
        <v>2024</v>
      </c>
      <c r="R592" s="18">
        <f>MONTH(A592)</f>
        <v>5</v>
      </c>
      <c r="S592" s="18">
        <f>IF(R592&lt;4,Q592-1,Q592)</f>
        <v>2024</v>
      </c>
      <c r="T592" s="18">
        <f>IF(R592&lt;4,R592+9,R592-3)</f>
        <v>2</v>
      </c>
      <c r="U592" s="18" t="str">
        <f>IF(LEN(T592)=1,_xlfn.CONCAT(0,T592),T592)</f>
        <v>02</v>
      </c>
      <c r="V592" s="18" t="str">
        <f>_xlfn.CONCAT(S592,U592)</f>
        <v>202402</v>
      </c>
      <c r="W592" s="18" t="str">
        <f>_xlfn.CONCAT(TEXT(A592,"MMM"),"-",MID(Q592,3,2))</f>
        <v>May-24</v>
      </c>
      <c r="X592" s="19">
        <f>IFERROR(IF(D592="Sell",(H592-P592),-(H592+P592)),0)</f>
        <v>18737.45</v>
      </c>
      <c r="Y592" s="19">
        <f>X592/1000</f>
        <v>18.737449999999999</v>
      </c>
    </row>
    <row r="593" spans="1:25" x14ac:dyDescent="0.25">
      <c r="A593" s="1">
        <v>45440</v>
      </c>
      <c r="B593" t="s">
        <v>199</v>
      </c>
      <c r="C593" t="s">
        <v>17</v>
      </c>
      <c r="D593" t="s">
        <v>22</v>
      </c>
      <c r="E593">
        <v>60</v>
      </c>
      <c r="F593">
        <v>0</v>
      </c>
      <c r="G593">
        <v>289.60000000000002</v>
      </c>
      <c r="H593">
        <v>17376</v>
      </c>
      <c r="I593" t="s">
        <v>201</v>
      </c>
      <c r="J593">
        <v>0</v>
      </c>
      <c r="K593">
        <v>8.69</v>
      </c>
      <c r="L593">
        <v>1</v>
      </c>
      <c r="M593">
        <v>0.02</v>
      </c>
      <c r="N593">
        <v>80</v>
      </c>
      <c r="O593">
        <v>15.96</v>
      </c>
      <c r="P593">
        <v>105.67</v>
      </c>
      <c r="Q593" s="18">
        <f>YEAR(A593)</f>
        <v>2024</v>
      </c>
      <c r="R593" s="18">
        <f>MONTH(A593)</f>
        <v>5</v>
      </c>
      <c r="S593" s="18">
        <f>IF(R593&lt;4,Q593-1,Q593)</f>
        <v>2024</v>
      </c>
      <c r="T593" s="18">
        <f>IF(R593&lt;4,R593+9,R593-3)</f>
        <v>2</v>
      </c>
      <c r="U593" s="18" t="str">
        <f>IF(LEN(T593)=1,_xlfn.CONCAT(0,T593),T593)</f>
        <v>02</v>
      </c>
      <c r="V593" s="18" t="str">
        <f>_xlfn.CONCAT(S593,U593)</f>
        <v>202402</v>
      </c>
      <c r="W593" s="18" t="str">
        <f>_xlfn.CONCAT(TEXT(A593,"MMM"),"-",MID(Q593,3,2))</f>
        <v>May-24</v>
      </c>
      <c r="X593" s="19">
        <f>IFERROR(IF(D593="Sell",(H593-P593),-(H593+P593)),0)</f>
        <v>-17481.669999999998</v>
      </c>
      <c r="Y593" s="19">
        <f>X593/1000</f>
        <v>-17.481669999999998</v>
      </c>
    </row>
    <row r="594" spans="1:25" x14ac:dyDescent="0.25">
      <c r="A594" s="1">
        <v>45441</v>
      </c>
      <c r="B594" t="s">
        <v>196</v>
      </c>
      <c r="C594" t="s">
        <v>17</v>
      </c>
      <c r="D594" t="s">
        <v>18</v>
      </c>
      <c r="E594">
        <v>510</v>
      </c>
      <c r="F594">
        <v>0</v>
      </c>
      <c r="G594">
        <v>33.25</v>
      </c>
      <c r="H594">
        <v>16957.5</v>
      </c>
      <c r="I594" t="s">
        <v>197</v>
      </c>
      <c r="J594">
        <v>11.01</v>
      </c>
      <c r="K594">
        <v>8.49</v>
      </c>
      <c r="L594">
        <v>0</v>
      </c>
      <c r="M594">
        <v>0.01</v>
      </c>
      <c r="N594">
        <v>680</v>
      </c>
      <c r="O594">
        <v>123.94</v>
      </c>
      <c r="P594">
        <v>823.45</v>
      </c>
      <c r="Q594" s="18">
        <f>YEAR(A594)</f>
        <v>2024</v>
      </c>
      <c r="R594" s="18">
        <f>MONTH(A594)</f>
        <v>5</v>
      </c>
      <c r="S594" s="18">
        <f>IF(R594&lt;4,Q594-1,Q594)</f>
        <v>2024</v>
      </c>
      <c r="T594" s="18">
        <f>IF(R594&lt;4,R594+9,R594-3)</f>
        <v>2</v>
      </c>
      <c r="U594" s="18" t="str">
        <f>IF(LEN(T594)=1,_xlfn.CONCAT(0,T594),T594)</f>
        <v>02</v>
      </c>
      <c r="V594" s="18" t="str">
        <f>_xlfn.CONCAT(S594,U594)</f>
        <v>202402</v>
      </c>
      <c r="W594" s="18" t="str">
        <f>_xlfn.CONCAT(TEXT(A594,"MMM"),"-",MID(Q594,3,2))</f>
        <v>May-24</v>
      </c>
      <c r="X594" s="19">
        <f>IFERROR(IF(D594="Sell",(H594-P594),-(H594+P594)),0)</f>
        <v>16134.05</v>
      </c>
      <c r="Y594" s="19">
        <f>X594/1000</f>
        <v>16.134049999999998</v>
      </c>
    </row>
    <row r="595" spans="1:25" x14ac:dyDescent="0.25">
      <c r="A595" s="1">
        <v>45441</v>
      </c>
      <c r="B595" t="s">
        <v>196</v>
      </c>
      <c r="C595" t="s">
        <v>17</v>
      </c>
      <c r="D595" t="s">
        <v>22</v>
      </c>
      <c r="E595">
        <v>510</v>
      </c>
      <c r="F595">
        <v>0</v>
      </c>
      <c r="G595">
        <v>29</v>
      </c>
      <c r="H595">
        <v>14790</v>
      </c>
      <c r="I595" t="s">
        <v>198</v>
      </c>
      <c r="J595">
        <v>0</v>
      </c>
      <c r="K595">
        <v>7.4</v>
      </c>
      <c r="L595">
        <v>0</v>
      </c>
      <c r="M595">
        <v>0.01</v>
      </c>
      <c r="N595">
        <v>680</v>
      </c>
      <c r="O595">
        <v>123.74</v>
      </c>
      <c r="P595">
        <v>811.15</v>
      </c>
      <c r="Q595" s="18">
        <f>YEAR(A595)</f>
        <v>2024</v>
      </c>
      <c r="R595" s="18">
        <f>MONTH(A595)</f>
        <v>5</v>
      </c>
      <c r="S595" s="18">
        <f>IF(R595&lt;4,Q595-1,Q595)</f>
        <v>2024</v>
      </c>
      <c r="T595" s="18">
        <f>IF(R595&lt;4,R595+9,R595-3)</f>
        <v>2</v>
      </c>
      <c r="U595" s="18" t="str">
        <f>IF(LEN(T595)=1,_xlfn.CONCAT(0,T595),T595)</f>
        <v>02</v>
      </c>
      <c r="V595" s="18" t="str">
        <f>_xlfn.CONCAT(S595,U595)</f>
        <v>202402</v>
      </c>
      <c r="W595" s="18" t="str">
        <f>_xlfn.CONCAT(TEXT(A595,"MMM"),"-",MID(Q595,3,2))</f>
        <v>May-24</v>
      </c>
      <c r="X595" s="19">
        <f>IFERROR(IF(D595="Sell",(H595-P595),-(H595+P595)),0)</f>
        <v>-15601.15</v>
      </c>
      <c r="Y595" s="19">
        <f>X595/1000</f>
        <v>-15.601150000000001</v>
      </c>
    </row>
    <row r="596" spans="1:25" x14ac:dyDescent="0.25">
      <c r="A596" s="1">
        <v>45442</v>
      </c>
      <c r="B596" t="s">
        <v>191</v>
      </c>
      <c r="C596" t="s">
        <v>17</v>
      </c>
      <c r="D596" t="s">
        <v>18</v>
      </c>
      <c r="E596">
        <v>25</v>
      </c>
      <c r="F596">
        <v>0</v>
      </c>
      <c r="G596">
        <v>20.2</v>
      </c>
      <c r="H596">
        <v>505</v>
      </c>
      <c r="I596" t="s">
        <v>192</v>
      </c>
      <c r="J596">
        <v>0.32</v>
      </c>
      <c r="K596">
        <v>0.25</v>
      </c>
      <c r="L596">
        <v>0</v>
      </c>
      <c r="M596">
        <v>0</v>
      </c>
      <c r="N596">
        <v>20</v>
      </c>
      <c r="O596">
        <v>3.64</v>
      </c>
      <c r="P596">
        <v>24.21</v>
      </c>
      <c r="Q596" s="18">
        <f>YEAR(A596)</f>
        <v>2024</v>
      </c>
      <c r="R596" s="18">
        <f>MONTH(A596)</f>
        <v>5</v>
      </c>
      <c r="S596" s="18">
        <f>IF(R596&lt;4,Q596-1,Q596)</f>
        <v>2024</v>
      </c>
      <c r="T596" s="18">
        <f>IF(R596&lt;4,R596+9,R596-3)</f>
        <v>2</v>
      </c>
      <c r="U596" s="18" t="str">
        <f>IF(LEN(T596)=1,_xlfn.CONCAT(0,T596),T596)</f>
        <v>02</v>
      </c>
      <c r="V596" s="18" t="str">
        <f>_xlfn.CONCAT(S596,U596)</f>
        <v>202402</v>
      </c>
      <c r="W596" s="18" t="str">
        <f>_xlfn.CONCAT(TEXT(A596,"MMM"),"-",MID(Q596,3,2))</f>
        <v>May-24</v>
      </c>
      <c r="X596" s="19">
        <f>IFERROR(IF(D596="Sell",(H596-P596),-(H596+P596)),0)</f>
        <v>480.79</v>
      </c>
      <c r="Y596" s="19">
        <f>X596/1000</f>
        <v>0.48079</v>
      </c>
    </row>
    <row r="597" spans="1:25" x14ac:dyDescent="0.25">
      <c r="A597" s="1">
        <v>45442</v>
      </c>
      <c r="B597" t="s">
        <v>191</v>
      </c>
      <c r="C597" t="s">
        <v>17</v>
      </c>
      <c r="D597" t="s">
        <v>18</v>
      </c>
      <c r="E597">
        <v>25</v>
      </c>
      <c r="F597">
        <v>0</v>
      </c>
      <c r="G597">
        <v>24.3</v>
      </c>
      <c r="H597">
        <v>607.5</v>
      </c>
      <c r="I597" t="s">
        <v>193</v>
      </c>
      <c r="J597">
        <v>0.68</v>
      </c>
      <c r="K597">
        <v>0.3</v>
      </c>
      <c r="L597">
        <v>0</v>
      </c>
      <c r="M597">
        <v>0</v>
      </c>
      <c r="N597">
        <v>20</v>
      </c>
      <c r="O597">
        <v>3.66</v>
      </c>
      <c r="P597">
        <v>24.64</v>
      </c>
      <c r="Q597" s="18">
        <f>YEAR(A597)</f>
        <v>2024</v>
      </c>
      <c r="R597" s="18">
        <f>MONTH(A597)</f>
        <v>5</v>
      </c>
      <c r="S597" s="18">
        <f>IF(R597&lt;4,Q597-1,Q597)</f>
        <v>2024</v>
      </c>
      <c r="T597" s="18">
        <f>IF(R597&lt;4,R597+9,R597-3)</f>
        <v>2</v>
      </c>
      <c r="U597" s="18" t="str">
        <f>IF(LEN(T597)=1,_xlfn.CONCAT(0,T597),T597)</f>
        <v>02</v>
      </c>
      <c r="V597" s="18" t="str">
        <f>_xlfn.CONCAT(S597,U597)</f>
        <v>202402</v>
      </c>
      <c r="W597" s="18" t="str">
        <f>_xlfn.CONCAT(TEXT(A597,"MMM"),"-",MID(Q597,3,2))</f>
        <v>May-24</v>
      </c>
      <c r="X597" s="19">
        <f>IFERROR(IF(D597="Sell",(H597-P597),-(H597+P597)),0)</f>
        <v>582.86</v>
      </c>
      <c r="Y597" s="19">
        <f>X597/1000</f>
        <v>0.58286000000000004</v>
      </c>
    </row>
    <row r="598" spans="1:25" x14ac:dyDescent="0.25">
      <c r="A598" s="1">
        <v>45442</v>
      </c>
      <c r="B598" t="s">
        <v>191</v>
      </c>
      <c r="C598" t="s">
        <v>17</v>
      </c>
      <c r="D598" t="s">
        <v>22</v>
      </c>
      <c r="E598">
        <v>25</v>
      </c>
      <c r="F598">
        <v>0</v>
      </c>
      <c r="G598">
        <v>31.2</v>
      </c>
      <c r="H598">
        <v>780</v>
      </c>
      <c r="I598" t="s">
        <v>194</v>
      </c>
      <c r="J598">
        <v>0</v>
      </c>
      <c r="K598">
        <v>0.39</v>
      </c>
      <c r="L598">
        <v>0</v>
      </c>
      <c r="M598">
        <v>0</v>
      </c>
      <c r="N598">
        <v>20</v>
      </c>
      <c r="O598">
        <v>3.68</v>
      </c>
      <c r="P598">
        <v>24.07</v>
      </c>
      <c r="Q598" s="18">
        <f>YEAR(A598)</f>
        <v>2024</v>
      </c>
      <c r="R598" s="18">
        <f>MONTH(A598)</f>
        <v>5</v>
      </c>
      <c r="S598" s="18">
        <f>IF(R598&lt;4,Q598-1,Q598)</f>
        <v>2024</v>
      </c>
      <c r="T598" s="18">
        <f>IF(R598&lt;4,R598+9,R598-3)</f>
        <v>2</v>
      </c>
      <c r="U598" s="18" t="str">
        <f>IF(LEN(T598)=1,_xlfn.CONCAT(0,T598),T598)</f>
        <v>02</v>
      </c>
      <c r="V598" s="18" t="str">
        <f>_xlfn.CONCAT(S598,U598)</f>
        <v>202402</v>
      </c>
      <c r="W598" s="18" t="str">
        <f>_xlfn.CONCAT(TEXT(A598,"MMM"),"-",MID(Q598,3,2))</f>
        <v>May-24</v>
      </c>
      <c r="X598" s="19">
        <f>IFERROR(IF(D598="Sell",(H598-P598),-(H598+P598)),0)</f>
        <v>-804.07</v>
      </c>
      <c r="Y598" s="19">
        <f>X598/1000</f>
        <v>-0.80407000000000006</v>
      </c>
    </row>
    <row r="599" spans="1:25" x14ac:dyDescent="0.25">
      <c r="A599" s="1">
        <v>45442</v>
      </c>
      <c r="B599" t="s">
        <v>191</v>
      </c>
      <c r="C599" t="s">
        <v>17</v>
      </c>
      <c r="D599" t="s">
        <v>22</v>
      </c>
      <c r="E599">
        <v>25</v>
      </c>
      <c r="F599">
        <v>0</v>
      </c>
      <c r="G599">
        <v>58.2</v>
      </c>
      <c r="H599">
        <v>1455</v>
      </c>
      <c r="I599" t="s">
        <v>195</v>
      </c>
      <c r="J599">
        <v>0</v>
      </c>
      <c r="K599">
        <v>0.73</v>
      </c>
      <c r="L599">
        <v>0</v>
      </c>
      <c r="M599">
        <v>0</v>
      </c>
      <c r="N599">
        <v>20</v>
      </c>
      <c r="O599">
        <v>3.74</v>
      </c>
      <c r="P599">
        <v>24.47</v>
      </c>
      <c r="Q599" s="18">
        <f>YEAR(A599)</f>
        <v>2024</v>
      </c>
      <c r="R599" s="18">
        <f>MONTH(A599)</f>
        <v>5</v>
      </c>
      <c r="S599" s="18">
        <f>IF(R599&lt;4,Q599-1,Q599)</f>
        <v>2024</v>
      </c>
      <c r="T599" s="18">
        <f>IF(R599&lt;4,R599+9,R599-3)</f>
        <v>2</v>
      </c>
      <c r="U599" s="18" t="str">
        <f>IF(LEN(T599)=1,_xlfn.CONCAT(0,T599),T599)</f>
        <v>02</v>
      </c>
      <c r="V599" s="18" t="str">
        <f>_xlfn.CONCAT(S599,U599)</f>
        <v>202402</v>
      </c>
      <c r="W599" s="18" t="str">
        <f>_xlfn.CONCAT(TEXT(A599,"MMM"),"-",MID(Q599,3,2))</f>
        <v>May-24</v>
      </c>
      <c r="X599" s="19">
        <f>IFERROR(IF(D599="Sell",(H599-P599),-(H599+P599)),0)</f>
        <v>-1479.47</v>
      </c>
      <c r="Y599" s="19">
        <f>X599/1000</f>
        <v>-1.4794700000000001</v>
      </c>
    </row>
    <row r="600" spans="1:25" x14ac:dyDescent="0.25">
      <c r="A600" s="1">
        <v>45447</v>
      </c>
      <c r="B600" t="s">
        <v>187</v>
      </c>
      <c r="C600" t="s">
        <v>17</v>
      </c>
      <c r="D600" t="s">
        <v>18</v>
      </c>
      <c r="E600">
        <v>75</v>
      </c>
      <c r="F600">
        <v>0</v>
      </c>
      <c r="G600">
        <v>710.25</v>
      </c>
      <c r="H600">
        <v>53268.75</v>
      </c>
      <c r="I600" t="s">
        <v>188</v>
      </c>
      <c r="J600">
        <v>33</v>
      </c>
      <c r="K600">
        <v>26.63</v>
      </c>
      <c r="L600">
        <v>0</v>
      </c>
      <c r="M600">
        <v>0.05</v>
      </c>
      <c r="N600">
        <v>100</v>
      </c>
      <c r="O600">
        <v>22.8</v>
      </c>
      <c r="P600">
        <v>182.48</v>
      </c>
      <c r="Q600" s="18">
        <f>YEAR(A600)</f>
        <v>2024</v>
      </c>
      <c r="R600" s="18">
        <f>MONTH(A600)</f>
        <v>6</v>
      </c>
      <c r="S600" s="18">
        <f>IF(R600&lt;4,Q600-1,Q600)</f>
        <v>2024</v>
      </c>
      <c r="T600" s="18">
        <f>IF(R600&lt;4,R600+9,R600-3)</f>
        <v>3</v>
      </c>
      <c r="U600" s="18" t="str">
        <f>IF(LEN(T600)=1,_xlfn.CONCAT(0,T600),T600)</f>
        <v>03</v>
      </c>
      <c r="V600" s="18" t="str">
        <f>_xlfn.CONCAT(S600,U600)</f>
        <v>202403</v>
      </c>
      <c r="W600" s="18" t="str">
        <f>_xlfn.CONCAT(TEXT(A600,"MMM"),"-",MID(Q600,3,2))</f>
        <v>Jun-24</v>
      </c>
      <c r="X600" s="19">
        <f>IFERROR(IF(D600="Sell",(H600-P600),-(H600+P600)),0)</f>
        <v>53086.27</v>
      </c>
      <c r="Y600" s="19">
        <f>X600/1000</f>
        <v>53.086269999999999</v>
      </c>
    </row>
    <row r="601" spans="1:25" x14ac:dyDescent="0.25">
      <c r="A601" s="1">
        <v>45447</v>
      </c>
      <c r="B601" t="s">
        <v>187</v>
      </c>
      <c r="C601" t="s">
        <v>17</v>
      </c>
      <c r="D601" t="s">
        <v>22</v>
      </c>
      <c r="E601">
        <v>60</v>
      </c>
      <c r="F601">
        <v>0</v>
      </c>
      <c r="G601">
        <v>520.5</v>
      </c>
      <c r="H601">
        <v>31230</v>
      </c>
      <c r="I601" t="s">
        <v>189</v>
      </c>
      <c r="J601">
        <v>0</v>
      </c>
      <c r="K601">
        <v>15.62</v>
      </c>
      <c r="L601">
        <v>1</v>
      </c>
      <c r="M601">
        <v>0.04</v>
      </c>
      <c r="N601">
        <v>80</v>
      </c>
      <c r="O601">
        <v>17.2</v>
      </c>
      <c r="P601">
        <v>113.86</v>
      </c>
      <c r="Q601" s="18">
        <f>YEAR(A601)</f>
        <v>2024</v>
      </c>
      <c r="R601" s="18">
        <f>MONTH(A601)</f>
        <v>6</v>
      </c>
      <c r="S601" s="18">
        <f>IF(R601&lt;4,Q601-1,Q601)</f>
        <v>2024</v>
      </c>
      <c r="T601" s="18">
        <f>IF(R601&lt;4,R601+9,R601-3)</f>
        <v>3</v>
      </c>
      <c r="U601" s="18" t="str">
        <f>IF(LEN(T601)=1,_xlfn.CONCAT(0,T601),T601)</f>
        <v>03</v>
      </c>
      <c r="V601" s="18" t="str">
        <f>_xlfn.CONCAT(S601,U601)</f>
        <v>202403</v>
      </c>
      <c r="W601" s="18" t="str">
        <f>_xlfn.CONCAT(TEXT(A601,"MMM"),"-",MID(Q601,3,2))</f>
        <v>Jun-24</v>
      </c>
      <c r="X601" s="19">
        <f>IFERROR(IF(D601="Sell",(H601-P601),-(H601+P601)),0)</f>
        <v>-31343.86</v>
      </c>
      <c r="Y601" s="19">
        <f>X601/1000</f>
        <v>-31.343859999999999</v>
      </c>
    </row>
    <row r="602" spans="1:25" x14ac:dyDescent="0.25">
      <c r="A602" s="1">
        <v>45447</v>
      </c>
      <c r="B602" t="s">
        <v>187</v>
      </c>
      <c r="C602" t="s">
        <v>17</v>
      </c>
      <c r="D602" t="s">
        <v>22</v>
      </c>
      <c r="E602">
        <v>15</v>
      </c>
      <c r="F602">
        <v>0</v>
      </c>
      <c r="G602">
        <v>482.65</v>
      </c>
      <c r="H602">
        <v>7239.75</v>
      </c>
      <c r="I602" t="s">
        <v>190</v>
      </c>
      <c r="J602">
        <v>0</v>
      </c>
      <c r="K602">
        <v>3.62</v>
      </c>
      <c r="L602">
        <v>0</v>
      </c>
      <c r="M602">
        <v>0.01</v>
      </c>
      <c r="N602">
        <v>20</v>
      </c>
      <c r="O602">
        <v>4.26</v>
      </c>
      <c r="P602">
        <v>27.89</v>
      </c>
      <c r="Q602" s="18">
        <f>YEAR(A602)</f>
        <v>2024</v>
      </c>
      <c r="R602" s="18">
        <f>MONTH(A602)</f>
        <v>6</v>
      </c>
      <c r="S602" s="18">
        <f>IF(R602&lt;4,Q602-1,Q602)</f>
        <v>2024</v>
      </c>
      <c r="T602" s="18">
        <f>IF(R602&lt;4,R602+9,R602-3)</f>
        <v>3</v>
      </c>
      <c r="U602" s="18" t="str">
        <f>IF(LEN(T602)=1,_xlfn.CONCAT(0,T602),T602)</f>
        <v>03</v>
      </c>
      <c r="V602" s="18" t="str">
        <f>_xlfn.CONCAT(S602,U602)</f>
        <v>202403</v>
      </c>
      <c r="W602" s="18" t="str">
        <f>_xlfn.CONCAT(TEXT(A602,"MMM"),"-",MID(Q602,3,2))</f>
        <v>Jun-24</v>
      </c>
      <c r="X602" s="19">
        <f>IFERROR(IF(D602="Sell",(H602-P602),-(H602+P602)),0)</f>
        <v>-7267.64</v>
      </c>
      <c r="Y602" s="19">
        <f>X602/1000</f>
        <v>-7.2676400000000001</v>
      </c>
    </row>
    <row r="603" spans="1:25" x14ac:dyDescent="0.25">
      <c r="A603" s="1">
        <v>45448</v>
      </c>
      <c r="B603" t="s">
        <v>184</v>
      </c>
      <c r="C603" t="s">
        <v>17</v>
      </c>
      <c r="D603" t="s">
        <v>18</v>
      </c>
      <c r="E603">
        <v>75</v>
      </c>
      <c r="F603">
        <v>0</v>
      </c>
      <c r="G603">
        <v>360.25</v>
      </c>
      <c r="H603">
        <v>27018.75</v>
      </c>
      <c r="I603" t="s">
        <v>185</v>
      </c>
      <c r="J603">
        <v>17</v>
      </c>
      <c r="K603">
        <v>13.51</v>
      </c>
      <c r="L603">
        <v>0</v>
      </c>
      <c r="M603">
        <v>0.03</v>
      </c>
      <c r="N603">
        <v>100</v>
      </c>
      <c r="O603">
        <v>20.440000000000001</v>
      </c>
      <c r="P603">
        <v>150.97999999999999</v>
      </c>
      <c r="Q603" s="18">
        <f>YEAR(A603)</f>
        <v>2024</v>
      </c>
      <c r="R603" s="18">
        <f>MONTH(A603)</f>
        <v>6</v>
      </c>
      <c r="S603" s="18">
        <f>IF(R603&lt;4,Q603-1,Q603)</f>
        <v>2024</v>
      </c>
      <c r="T603" s="18">
        <f>IF(R603&lt;4,R603+9,R603-3)</f>
        <v>3</v>
      </c>
      <c r="U603" s="18" t="str">
        <f>IF(LEN(T603)=1,_xlfn.CONCAT(0,T603),T603)</f>
        <v>03</v>
      </c>
      <c r="V603" s="18" t="str">
        <f>_xlfn.CONCAT(S603,U603)</f>
        <v>202403</v>
      </c>
      <c r="W603" s="18" t="str">
        <f>_xlfn.CONCAT(TEXT(A603,"MMM"),"-",MID(Q603,3,2))</f>
        <v>Jun-24</v>
      </c>
      <c r="X603" s="19">
        <f>IFERROR(IF(D603="Sell",(H603-P603),-(H603+P603)),0)</f>
        <v>26867.77</v>
      </c>
      <c r="Y603" s="19">
        <f>X603/1000</f>
        <v>26.86777</v>
      </c>
    </row>
    <row r="604" spans="1:25" x14ac:dyDescent="0.25">
      <c r="A604" s="1">
        <v>45448</v>
      </c>
      <c r="B604" t="s">
        <v>184</v>
      </c>
      <c r="C604" t="s">
        <v>17</v>
      </c>
      <c r="D604" t="s">
        <v>22</v>
      </c>
      <c r="E604">
        <v>75</v>
      </c>
      <c r="F604">
        <v>0</v>
      </c>
      <c r="G604">
        <v>311.64999999999998</v>
      </c>
      <c r="H604">
        <v>23373.75</v>
      </c>
      <c r="I604" t="s">
        <v>186</v>
      </c>
      <c r="J604">
        <v>0</v>
      </c>
      <c r="K604">
        <v>11.69</v>
      </c>
      <c r="L604">
        <v>1</v>
      </c>
      <c r="M604">
        <v>0.02</v>
      </c>
      <c r="N604">
        <v>100</v>
      </c>
      <c r="O604">
        <v>20.100000000000001</v>
      </c>
      <c r="P604">
        <v>132.81</v>
      </c>
      <c r="Q604" s="18">
        <f>YEAR(A604)</f>
        <v>2024</v>
      </c>
      <c r="R604" s="18">
        <f>MONTH(A604)</f>
        <v>6</v>
      </c>
      <c r="S604" s="18">
        <f>IF(R604&lt;4,Q604-1,Q604)</f>
        <v>2024</v>
      </c>
      <c r="T604" s="18">
        <f>IF(R604&lt;4,R604+9,R604-3)</f>
        <v>3</v>
      </c>
      <c r="U604" s="18" t="str">
        <f>IF(LEN(T604)=1,_xlfn.CONCAT(0,T604),T604)</f>
        <v>03</v>
      </c>
      <c r="V604" s="18" t="str">
        <f>_xlfn.CONCAT(S604,U604)</f>
        <v>202403</v>
      </c>
      <c r="W604" s="18" t="str">
        <f>_xlfn.CONCAT(TEXT(A604,"MMM"),"-",MID(Q604,3,2))</f>
        <v>Jun-24</v>
      </c>
      <c r="X604" s="19">
        <f>IFERROR(IF(D604="Sell",(H604-P604),-(H604+P604)),0)</f>
        <v>-23506.560000000001</v>
      </c>
      <c r="Y604" s="19">
        <f>X604/1000</f>
        <v>-23.50656</v>
      </c>
    </row>
    <row r="605" spans="1:25" x14ac:dyDescent="0.25">
      <c r="A605" s="1">
        <v>45449</v>
      </c>
      <c r="B605" t="s">
        <v>173</v>
      </c>
      <c r="C605" t="s">
        <v>17</v>
      </c>
      <c r="D605" t="s">
        <v>18</v>
      </c>
      <c r="E605">
        <v>900</v>
      </c>
      <c r="F605">
        <v>0</v>
      </c>
      <c r="G605">
        <v>19.25</v>
      </c>
      <c r="H605">
        <v>17325</v>
      </c>
      <c r="I605" t="s">
        <v>174</v>
      </c>
      <c r="J605">
        <v>10.82</v>
      </c>
      <c r="K605">
        <v>8.66</v>
      </c>
      <c r="L605">
        <v>0</v>
      </c>
      <c r="M605">
        <v>0.01</v>
      </c>
      <c r="N605">
        <v>720</v>
      </c>
      <c r="O605">
        <v>131.16</v>
      </c>
      <c r="P605">
        <v>870.65</v>
      </c>
      <c r="Q605" s="18">
        <f>YEAR(A605)</f>
        <v>2024</v>
      </c>
      <c r="R605" s="18">
        <f>MONTH(A605)</f>
        <v>6</v>
      </c>
      <c r="S605" s="18">
        <f>IF(R605&lt;4,Q605-1,Q605)</f>
        <v>2024</v>
      </c>
      <c r="T605" s="18">
        <f>IF(R605&lt;4,R605+9,R605-3)</f>
        <v>3</v>
      </c>
      <c r="U605" s="18" t="str">
        <f>IF(LEN(T605)=1,_xlfn.CONCAT(0,T605),T605)</f>
        <v>03</v>
      </c>
      <c r="V605" s="18" t="str">
        <f>_xlfn.CONCAT(S605,U605)</f>
        <v>202403</v>
      </c>
      <c r="W605" s="18" t="str">
        <f>_xlfn.CONCAT(TEXT(A605,"MMM"),"-",MID(Q605,3,2))</f>
        <v>Jun-24</v>
      </c>
      <c r="X605" s="19">
        <f>IFERROR(IF(D605="Sell",(H605-P605),-(H605+P605)),0)</f>
        <v>16454.349999999999</v>
      </c>
      <c r="Y605" s="19">
        <f>X605/1000</f>
        <v>16.454349999999998</v>
      </c>
    </row>
    <row r="606" spans="1:25" x14ac:dyDescent="0.25">
      <c r="A606" s="1">
        <v>45449</v>
      </c>
      <c r="B606" t="s">
        <v>173</v>
      </c>
      <c r="C606" t="s">
        <v>17</v>
      </c>
      <c r="D606" t="s">
        <v>22</v>
      </c>
      <c r="E606">
        <v>450</v>
      </c>
      <c r="F606">
        <v>0</v>
      </c>
      <c r="G606">
        <v>41.05</v>
      </c>
      <c r="H606">
        <v>18472.5</v>
      </c>
      <c r="I606" t="s">
        <v>175</v>
      </c>
      <c r="J606">
        <v>0</v>
      </c>
      <c r="K606">
        <v>9.24</v>
      </c>
      <c r="L606">
        <v>1.29</v>
      </c>
      <c r="M606">
        <v>0.02</v>
      </c>
      <c r="N606">
        <v>360</v>
      </c>
      <c r="O606">
        <v>66.459999999999994</v>
      </c>
      <c r="P606">
        <v>437.01</v>
      </c>
      <c r="Q606" s="18">
        <f>YEAR(A606)</f>
        <v>2024</v>
      </c>
      <c r="R606" s="18">
        <f>MONTH(A606)</f>
        <v>6</v>
      </c>
      <c r="S606" s="18">
        <f>IF(R606&lt;4,Q606-1,Q606)</f>
        <v>2024</v>
      </c>
      <c r="T606" s="18">
        <f>IF(R606&lt;4,R606+9,R606-3)</f>
        <v>3</v>
      </c>
      <c r="U606" s="18" t="str">
        <f>IF(LEN(T606)=1,_xlfn.CONCAT(0,T606),T606)</f>
        <v>03</v>
      </c>
      <c r="V606" s="18" t="str">
        <f>_xlfn.CONCAT(S606,U606)</f>
        <v>202403</v>
      </c>
      <c r="W606" s="18" t="str">
        <f>_xlfn.CONCAT(TEXT(A606,"MMM"),"-",MID(Q606,3,2))</f>
        <v>Jun-24</v>
      </c>
      <c r="X606" s="19">
        <f>IFERROR(IF(D606="Sell",(H606-P606),-(H606+P606)),0)</f>
        <v>-18909.509999999998</v>
      </c>
      <c r="Y606" s="19">
        <f>X606/1000</f>
        <v>-18.909509999999997</v>
      </c>
    </row>
    <row r="607" spans="1:25" x14ac:dyDescent="0.25">
      <c r="A607" s="1">
        <v>45449</v>
      </c>
      <c r="B607" t="s">
        <v>173</v>
      </c>
      <c r="C607" t="s">
        <v>17</v>
      </c>
      <c r="D607" t="s">
        <v>22</v>
      </c>
      <c r="E607">
        <v>225</v>
      </c>
      <c r="F607">
        <v>0</v>
      </c>
      <c r="G607">
        <v>58.25</v>
      </c>
      <c r="H607">
        <v>13106.25</v>
      </c>
      <c r="I607" t="s">
        <v>176</v>
      </c>
      <c r="J607">
        <v>0</v>
      </c>
      <c r="K607">
        <v>6.56</v>
      </c>
      <c r="L607">
        <v>0</v>
      </c>
      <c r="M607">
        <v>0.01</v>
      </c>
      <c r="N607">
        <v>180</v>
      </c>
      <c r="O607">
        <v>33.58</v>
      </c>
      <c r="P607">
        <v>220.15</v>
      </c>
      <c r="Q607" s="18">
        <f>YEAR(A607)</f>
        <v>2024</v>
      </c>
      <c r="R607" s="18">
        <f>MONTH(A607)</f>
        <v>6</v>
      </c>
      <c r="S607" s="18">
        <f>IF(R607&lt;4,Q607-1,Q607)</f>
        <v>2024</v>
      </c>
      <c r="T607" s="18">
        <f>IF(R607&lt;4,R607+9,R607-3)</f>
        <v>3</v>
      </c>
      <c r="U607" s="18" t="str">
        <f>IF(LEN(T607)=1,_xlfn.CONCAT(0,T607),T607)</f>
        <v>03</v>
      </c>
      <c r="V607" s="18" t="str">
        <f>_xlfn.CONCAT(S607,U607)</f>
        <v>202403</v>
      </c>
      <c r="W607" s="18" t="str">
        <f>_xlfn.CONCAT(TEXT(A607,"MMM"),"-",MID(Q607,3,2))</f>
        <v>Jun-24</v>
      </c>
      <c r="X607" s="19">
        <f>IFERROR(IF(D607="Sell",(H607-P607),-(H607+P607)),0)</f>
        <v>-13326.4</v>
      </c>
      <c r="Y607" s="19">
        <f>X607/1000</f>
        <v>-13.3264</v>
      </c>
    </row>
    <row r="608" spans="1:25" x14ac:dyDescent="0.25">
      <c r="A608" s="1">
        <v>45449</v>
      </c>
      <c r="B608" t="s">
        <v>173</v>
      </c>
      <c r="C608" t="s">
        <v>17</v>
      </c>
      <c r="D608" t="s">
        <v>22</v>
      </c>
      <c r="E608">
        <v>225</v>
      </c>
      <c r="F608">
        <v>0</v>
      </c>
      <c r="G608">
        <v>63.25</v>
      </c>
      <c r="H608">
        <v>14231.25</v>
      </c>
      <c r="I608" t="s">
        <v>177</v>
      </c>
      <c r="J608">
        <v>0</v>
      </c>
      <c r="K608">
        <v>7.12</v>
      </c>
      <c r="L608">
        <v>0</v>
      </c>
      <c r="M608">
        <v>0.01</v>
      </c>
      <c r="N608">
        <v>180</v>
      </c>
      <c r="O608">
        <v>33.68</v>
      </c>
      <c r="P608">
        <v>220.81</v>
      </c>
      <c r="Q608" s="18">
        <f>YEAR(A608)</f>
        <v>2024</v>
      </c>
      <c r="R608" s="18">
        <f>MONTH(A608)</f>
        <v>6</v>
      </c>
      <c r="S608" s="18">
        <f>IF(R608&lt;4,Q608-1,Q608)</f>
        <v>2024</v>
      </c>
      <c r="T608" s="18">
        <f>IF(R608&lt;4,R608+9,R608-3)</f>
        <v>3</v>
      </c>
      <c r="U608" s="18" t="str">
        <f>IF(LEN(T608)=1,_xlfn.CONCAT(0,T608),T608)</f>
        <v>03</v>
      </c>
      <c r="V608" s="18" t="str">
        <f>_xlfn.CONCAT(S608,U608)</f>
        <v>202403</v>
      </c>
      <c r="W608" s="18" t="str">
        <f>_xlfn.CONCAT(TEXT(A608,"MMM"),"-",MID(Q608,3,2))</f>
        <v>Jun-24</v>
      </c>
      <c r="X608" s="19">
        <f>IFERROR(IF(D608="Sell",(H608-P608),-(H608+P608)),0)</f>
        <v>-14452.06</v>
      </c>
      <c r="Y608" s="19">
        <f>X608/1000</f>
        <v>-14.452059999999999</v>
      </c>
    </row>
    <row r="609" spans="1:25" x14ac:dyDescent="0.25">
      <c r="A609" s="1">
        <v>45449</v>
      </c>
      <c r="B609" t="s">
        <v>178</v>
      </c>
      <c r="C609" t="s">
        <v>17</v>
      </c>
      <c r="D609" t="s">
        <v>18</v>
      </c>
      <c r="E609">
        <v>15</v>
      </c>
      <c r="F609">
        <v>0</v>
      </c>
      <c r="G609">
        <v>580</v>
      </c>
      <c r="H609">
        <v>8700</v>
      </c>
      <c r="I609" t="s">
        <v>179</v>
      </c>
      <c r="J609">
        <v>5.44</v>
      </c>
      <c r="K609">
        <v>4.3499999999999996</v>
      </c>
      <c r="L609">
        <v>0</v>
      </c>
      <c r="M609">
        <v>0.01</v>
      </c>
      <c r="N609">
        <v>20</v>
      </c>
      <c r="O609">
        <v>4.38</v>
      </c>
      <c r="P609">
        <v>34.18</v>
      </c>
      <c r="Q609" s="18">
        <f>YEAR(A609)</f>
        <v>2024</v>
      </c>
      <c r="R609" s="18">
        <f>MONTH(A609)</f>
        <v>6</v>
      </c>
      <c r="S609" s="18">
        <f>IF(R609&lt;4,Q609-1,Q609)</f>
        <v>2024</v>
      </c>
      <c r="T609" s="18">
        <f>IF(R609&lt;4,R609+9,R609-3)</f>
        <v>3</v>
      </c>
      <c r="U609" s="18" t="str">
        <f>IF(LEN(T609)=1,_xlfn.CONCAT(0,T609),T609)</f>
        <v>03</v>
      </c>
      <c r="V609" s="18" t="str">
        <f>_xlfn.CONCAT(S609,U609)</f>
        <v>202403</v>
      </c>
      <c r="W609" s="18" t="str">
        <f>_xlfn.CONCAT(TEXT(A609,"MMM"),"-",MID(Q609,3,2))</f>
        <v>Jun-24</v>
      </c>
      <c r="X609" s="19">
        <f>IFERROR(IF(D609="Sell",(H609-P609),-(H609+P609)),0)</f>
        <v>8665.82</v>
      </c>
      <c r="Y609" s="19">
        <f>X609/1000</f>
        <v>8.6658200000000001</v>
      </c>
    </row>
    <row r="610" spans="1:25" x14ac:dyDescent="0.25">
      <c r="A610" s="1">
        <v>45449</v>
      </c>
      <c r="B610" t="s">
        <v>178</v>
      </c>
      <c r="C610" t="s">
        <v>17</v>
      </c>
      <c r="D610" t="s">
        <v>22</v>
      </c>
      <c r="E610">
        <v>15</v>
      </c>
      <c r="F610">
        <v>0</v>
      </c>
      <c r="G610">
        <v>539.85</v>
      </c>
      <c r="H610">
        <v>8097.75</v>
      </c>
      <c r="I610" t="s">
        <v>180</v>
      </c>
      <c r="J610">
        <v>0</v>
      </c>
      <c r="K610">
        <v>4.05</v>
      </c>
      <c r="L610">
        <v>0.24</v>
      </c>
      <c r="M610">
        <v>0.01</v>
      </c>
      <c r="N610">
        <v>20</v>
      </c>
      <c r="O610">
        <v>4.34</v>
      </c>
      <c r="P610">
        <v>28.64</v>
      </c>
      <c r="Q610" s="18">
        <f>YEAR(A610)</f>
        <v>2024</v>
      </c>
      <c r="R610" s="18">
        <f>MONTH(A610)</f>
        <v>6</v>
      </c>
      <c r="S610" s="18">
        <f>IF(R610&lt;4,Q610-1,Q610)</f>
        <v>2024</v>
      </c>
      <c r="T610" s="18">
        <f>IF(R610&lt;4,R610+9,R610-3)</f>
        <v>3</v>
      </c>
      <c r="U610" s="18" t="str">
        <f>IF(LEN(T610)=1,_xlfn.CONCAT(0,T610),T610)</f>
        <v>03</v>
      </c>
      <c r="V610" s="18" t="str">
        <f>_xlfn.CONCAT(S610,U610)</f>
        <v>202403</v>
      </c>
      <c r="W610" s="18" t="str">
        <f>_xlfn.CONCAT(TEXT(A610,"MMM"),"-",MID(Q610,3,2))</f>
        <v>Jun-24</v>
      </c>
      <c r="X610" s="19">
        <f>IFERROR(IF(D610="Sell",(H610-P610),-(H610+P610)),0)</f>
        <v>-8126.39</v>
      </c>
      <c r="Y610" s="19">
        <f>X610/1000</f>
        <v>-8.1263900000000007</v>
      </c>
    </row>
    <row r="611" spans="1:25" x14ac:dyDescent="0.25">
      <c r="A611" s="1">
        <v>45449</v>
      </c>
      <c r="B611" t="s">
        <v>181</v>
      </c>
      <c r="C611" t="s">
        <v>17</v>
      </c>
      <c r="D611" t="s">
        <v>18</v>
      </c>
      <c r="E611">
        <v>125</v>
      </c>
      <c r="F611">
        <v>0</v>
      </c>
      <c r="G611">
        <v>155.25</v>
      </c>
      <c r="H611">
        <v>19406.25</v>
      </c>
      <c r="I611" t="s">
        <v>182</v>
      </c>
      <c r="J611">
        <v>11.73</v>
      </c>
      <c r="K611">
        <v>9.6999999999999993</v>
      </c>
      <c r="L611">
        <v>0</v>
      </c>
      <c r="M611">
        <v>0.02</v>
      </c>
      <c r="N611">
        <v>100</v>
      </c>
      <c r="O611">
        <v>19.739999999999998</v>
      </c>
      <c r="P611">
        <v>141.19</v>
      </c>
      <c r="Q611" s="18">
        <f>YEAR(A611)</f>
        <v>2024</v>
      </c>
      <c r="R611" s="18">
        <f>MONTH(A611)</f>
        <v>6</v>
      </c>
      <c r="S611" s="18">
        <f>IF(R611&lt;4,Q611-1,Q611)</f>
        <v>2024</v>
      </c>
      <c r="T611" s="18">
        <f>IF(R611&lt;4,R611+9,R611-3)</f>
        <v>3</v>
      </c>
      <c r="U611" s="18" t="str">
        <f>IF(LEN(T611)=1,_xlfn.CONCAT(0,T611),T611)</f>
        <v>03</v>
      </c>
      <c r="V611" s="18" t="str">
        <f>_xlfn.CONCAT(S611,U611)</f>
        <v>202403</v>
      </c>
      <c r="W611" s="18" t="str">
        <f>_xlfn.CONCAT(TEXT(A611,"MMM"),"-",MID(Q611,3,2))</f>
        <v>Jun-24</v>
      </c>
      <c r="X611" s="19">
        <f>IFERROR(IF(D611="Sell",(H611-P611),-(H611+P611)),0)</f>
        <v>19265.060000000001</v>
      </c>
      <c r="Y611" s="19">
        <f>X611/1000</f>
        <v>19.265060000000002</v>
      </c>
    </row>
    <row r="612" spans="1:25" x14ac:dyDescent="0.25">
      <c r="A612" s="1">
        <v>45449</v>
      </c>
      <c r="B612" t="s">
        <v>181</v>
      </c>
      <c r="C612" t="s">
        <v>17</v>
      </c>
      <c r="D612" t="s">
        <v>22</v>
      </c>
      <c r="E612">
        <v>125</v>
      </c>
      <c r="F612">
        <v>0</v>
      </c>
      <c r="G612">
        <v>125.17</v>
      </c>
      <c r="H612">
        <v>15646.25</v>
      </c>
      <c r="I612" t="s">
        <v>183</v>
      </c>
      <c r="J612">
        <v>0</v>
      </c>
      <c r="K612">
        <v>7.82</v>
      </c>
      <c r="L612">
        <v>0.47</v>
      </c>
      <c r="M612">
        <v>0.02</v>
      </c>
      <c r="N612">
        <v>100</v>
      </c>
      <c r="O612">
        <v>19.399999999999999</v>
      </c>
      <c r="P612">
        <v>127.71</v>
      </c>
      <c r="Q612" s="18">
        <f>YEAR(A612)</f>
        <v>2024</v>
      </c>
      <c r="R612" s="18">
        <f>MONTH(A612)</f>
        <v>6</v>
      </c>
      <c r="S612" s="18">
        <f>IF(R612&lt;4,Q612-1,Q612)</f>
        <v>2024</v>
      </c>
      <c r="T612" s="18">
        <f>IF(R612&lt;4,R612+9,R612-3)</f>
        <v>3</v>
      </c>
      <c r="U612" s="18" t="str">
        <f>IF(LEN(T612)=1,_xlfn.CONCAT(0,T612),T612)</f>
        <v>03</v>
      </c>
      <c r="V612" s="18" t="str">
        <f>_xlfn.CONCAT(S612,U612)</f>
        <v>202403</v>
      </c>
      <c r="W612" s="18" t="str">
        <f>_xlfn.CONCAT(TEXT(A612,"MMM"),"-",MID(Q612,3,2))</f>
        <v>Jun-24</v>
      </c>
      <c r="X612" s="19">
        <f>IFERROR(IF(D612="Sell",(H612-P612),-(H612+P612)),0)</f>
        <v>-15773.96</v>
      </c>
      <c r="Y612" s="19">
        <f>X612/1000</f>
        <v>-15.773959999999999</v>
      </c>
    </row>
    <row r="613" spans="1:25" x14ac:dyDescent="0.25">
      <c r="A613" s="1">
        <v>45455</v>
      </c>
      <c r="B613" t="s">
        <v>170</v>
      </c>
      <c r="C613" t="s">
        <v>17</v>
      </c>
      <c r="D613" t="s">
        <v>18</v>
      </c>
      <c r="E613">
        <v>100</v>
      </c>
      <c r="F613">
        <v>0</v>
      </c>
      <c r="G613">
        <v>119.25</v>
      </c>
      <c r="H613">
        <v>11925</v>
      </c>
      <c r="I613" t="s">
        <v>171</v>
      </c>
      <c r="J613">
        <v>7</v>
      </c>
      <c r="K613">
        <v>5.96</v>
      </c>
      <c r="L613">
        <v>0</v>
      </c>
      <c r="M613">
        <v>0.01</v>
      </c>
      <c r="N613">
        <v>80</v>
      </c>
      <c r="O613">
        <v>15.46</v>
      </c>
      <c r="P613">
        <v>108.43</v>
      </c>
      <c r="Q613" s="18">
        <f>YEAR(A613)</f>
        <v>2024</v>
      </c>
      <c r="R613" s="18">
        <f>MONTH(A613)</f>
        <v>6</v>
      </c>
      <c r="S613" s="18">
        <f>IF(R613&lt;4,Q613-1,Q613)</f>
        <v>2024</v>
      </c>
      <c r="T613" s="18">
        <f>IF(R613&lt;4,R613+9,R613-3)</f>
        <v>3</v>
      </c>
      <c r="U613" s="18" t="str">
        <f>IF(LEN(T613)=1,_xlfn.CONCAT(0,T613),T613)</f>
        <v>03</v>
      </c>
      <c r="V613" s="18" t="str">
        <f>_xlfn.CONCAT(S613,U613)</f>
        <v>202403</v>
      </c>
      <c r="W613" s="18" t="str">
        <f>_xlfn.CONCAT(TEXT(A613,"MMM"),"-",MID(Q613,3,2))</f>
        <v>Jun-24</v>
      </c>
      <c r="X613" s="19">
        <f>IFERROR(IF(D613="Sell",(H613-P613),-(H613+P613)),0)</f>
        <v>11816.57</v>
      </c>
      <c r="Y613" s="19">
        <f>X613/1000</f>
        <v>11.81657</v>
      </c>
    </row>
    <row r="614" spans="1:25" x14ac:dyDescent="0.25">
      <c r="A614" s="1">
        <v>45455</v>
      </c>
      <c r="B614" t="s">
        <v>170</v>
      </c>
      <c r="C614" t="s">
        <v>17</v>
      </c>
      <c r="D614" t="s">
        <v>22</v>
      </c>
      <c r="E614">
        <v>100</v>
      </c>
      <c r="F614">
        <v>0</v>
      </c>
      <c r="G614">
        <v>138.6</v>
      </c>
      <c r="H614">
        <v>13860</v>
      </c>
      <c r="I614" t="s">
        <v>172</v>
      </c>
      <c r="J614">
        <v>0</v>
      </c>
      <c r="K614">
        <v>6.93</v>
      </c>
      <c r="L614">
        <v>0</v>
      </c>
      <c r="M614">
        <v>0.01</v>
      </c>
      <c r="N614">
        <v>80</v>
      </c>
      <c r="O614">
        <v>15.64</v>
      </c>
      <c r="P614">
        <v>102.58</v>
      </c>
      <c r="Q614" s="18">
        <f>YEAR(A614)</f>
        <v>2024</v>
      </c>
      <c r="R614" s="18">
        <f>MONTH(A614)</f>
        <v>6</v>
      </c>
      <c r="S614" s="18">
        <f>IF(R614&lt;4,Q614-1,Q614)</f>
        <v>2024</v>
      </c>
      <c r="T614" s="18">
        <f>IF(R614&lt;4,R614+9,R614-3)</f>
        <v>3</v>
      </c>
      <c r="U614" s="18" t="str">
        <f>IF(LEN(T614)=1,_xlfn.CONCAT(0,T614),T614)</f>
        <v>03</v>
      </c>
      <c r="V614" s="18" t="str">
        <f>_xlfn.CONCAT(S614,U614)</f>
        <v>202403</v>
      </c>
      <c r="W614" s="18" t="str">
        <f>_xlfn.CONCAT(TEXT(A614,"MMM"),"-",MID(Q614,3,2))</f>
        <v>Jun-24</v>
      </c>
      <c r="X614" s="19">
        <f>IFERROR(IF(D614="Sell",(H614-P614),-(H614+P614)),0)</f>
        <v>-13962.58</v>
      </c>
      <c r="Y614" s="19">
        <f>X614/1000</f>
        <v>-13.962579999999999</v>
      </c>
    </row>
    <row r="615" spans="1:25" x14ac:dyDescent="0.25">
      <c r="A615" s="1">
        <v>45456</v>
      </c>
      <c r="B615" t="s">
        <v>164</v>
      </c>
      <c r="C615" t="s">
        <v>17</v>
      </c>
      <c r="D615" t="s">
        <v>18</v>
      </c>
      <c r="E615">
        <v>45</v>
      </c>
      <c r="F615">
        <v>0</v>
      </c>
      <c r="G615">
        <v>290.25</v>
      </c>
      <c r="H615">
        <v>13061.25</v>
      </c>
      <c r="I615" t="s">
        <v>165</v>
      </c>
      <c r="J615">
        <v>7.78</v>
      </c>
      <c r="K615">
        <v>6.53</v>
      </c>
      <c r="L615">
        <v>0</v>
      </c>
      <c r="M615">
        <v>0.01</v>
      </c>
      <c r="N615">
        <v>60</v>
      </c>
      <c r="O615">
        <v>11.98</v>
      </c>
      <c r="P615">
        <v>86.3</v>
      </c>
      <c r="Q615" s="18">
        <f>YEAR(A615)</f>
        <v>2024</v>
      </c>
      <c r="R615" s="18">
        <f>MONTH(A615)</f>
        <v>6</v>
      </c>
      <c r="S615" s="18">
        <f>IF(R615&lt;4,Q615-1,Q615)</f>
        <v>2024</v>
      </c>
      <c r="T615" s="18">
        <f>IF(R615&lt;4,R615+9,R615-3)</f>
        <v>3</v>
      </c>
      <c r="U615" s="18" t="str">
        <f>IF(LEN(T615)=1,_xlfn.CONCAT(0,T615),T615)</f>
        <v>03</v>
      </c>
      <c r="V615" s="18" t="str">
        <f>_xlfn.CONCAT(S615,U615)</f>
        <v>202403</v>
      </c>
      <c r="W615" s="18" t="str">
        <f>_xlfn.CONCAT(TEXT(A615,"MMM"),"-",MID(Q615,3,2))</f>
        <v>Jun-24</v>
      </c>
      <c r="X615" s="19">
        <f>IFERROR(IF(D615="Sell",(H615-P615),-(H615+P615)),0)</f>
        <v>12974.95</v>
      </c>
      <c r="Y615" s="19">
        <f>X615/1000</f>
        <v>12.974950000000002</v>
      </c>
    </row>
    <row r="616" spans="1:25" x14ac:dyDescent="0.25">
      <c r="A616" s="1">
        <v>45456</v>
      </c>
      <c r="B616" t="s">
        <v>164</v>
      </c>
      <c r="C616" t="s">
        <v>17</v>
      </c>
      <c r="D616" t="s">
        <v>22</v>
      </c>
      <c r="E616">
        <v>45</v>
      </c>
      <c r="F616">
        <v>0</v>
      </c>
      <c r="G616">
        <v>360.4</v>
      </c>
      <c r="H616">
        <v>16218</v>
      </c>
      <c r="I616" t="s">
        <v>166</v>
      </c>
      <c r="J616">
        <v>0</v>
      </c>
      <c r="K616">
        <v>8.11</v>
      </c>
      <c r="L616">
        <v>0.7</v>
      </c>
      <c r="M616">
        <v>0.02</v>
      </c>
      <c r="N616">
        <v>60</v>
      </c>
      <c r="O616">
        <v>12.26</v>
      </c>
      <c r="P616">
        <v>81.09</v>
      </c>
      <c r="Q616" s="18">
        <f>YEAR(A616)</f>
        <v>2024</v>
      </c>
      <c r="R616" s="18">
        <f>MONTH(A616)</f>
        <v>6</v>
      </c>
      <c r="S616" s="18">
        <f>IF(R616&lt;4,Q616-1,Q616)</f>
        <v>2024</v>
      </c>
      <c r="T616" s="18">
        <f>IF(R616&lt;4,R616+9,R616-3)</f>
        <v>3</v>
      </c>
      <c r="U616" s="18" t="str">
        <f>IF(LEN(T616)=1,_xlfn.CONCAT(0,T616),T616)</f>
        <v>03</v>
      </c>
      <c r="V616" s="18" t="str">
        <f>_xlfn.CONCAT(S616,U616)</f>
        <v>202403</v>
      </c>
      <c r="W616" s="18" t="str">
        <f>_xlfn.CONCAT(TEXT(A616,"MMM"),"-",MID(Q616,3,2))</f>
        <v>Jun-24</v>
      </c>
      <c r="X616" s="19">
        <f>IFERROR(IF(D616="Sell",(H616-P616),-(H616+P616)),0)</f>
        <v>-16299.09</v>
      </c>
      <c r="Y616" s="19">
        <f>X616/1000</f>
        <v>-16.29909</v>
      </c>
    </row>
    <row r="617" spans="1:25" x14ac:dyDescent="0.25">
      <c r="A617" s="1">
        <v>45456</v>
      </c>
      <c r="B617" t="s">
        <v>167</v>
      </c>
      <c r="C617" t="s">
        <v>17</v>
      </c>
      <c r="D617" t="s">
        <v>18</v>
      </c>
      <c r="E617">
        <v>100</v>
      </c>
      <c r="F617">
        <v>0</v>
      </c>
      <c r="G617">
        <v>131.55000000000001</v>
      </c>
      <c r="H617">
        <v>13155</v>
      </c>
      <c r="I617" t="s">
        <v>168</v>
      </c>
      <c r="J617">
        <v>8.2200000000000006</v>
      </c>
      <c r="K617">
        <v>6.58</v>
      </c>
      <c r="L617">
        <v>0</v>
      </c>
      <c r="M617">
        <v>0.01</v>
      </c>
      <c r="N617">
        <v>80</v>
      </c>
      <c r="O617">
        <v>15.58</v>
      </c>
      <c r="P617">
        <v>110.39</v>
      </c>
      <c r="Q617" s="18">
        <f>YEAR(A617)</f>
        <v>2024</v>
      </c>
      <c r="R617" s="18">
        <f>MONTH(A617)</f>
        <v>6</v>
      </c>
      <c r="S617" s="18">
        <f>IF(R617&lt;4,Q617-1,Q617)</f>
        <v>2024</v>
      </c>
      <c r="T617" s="18">
        <f>IF(R617&lt;4,R617+9,R617-3)</f>
        <v>3</v>
      </c>
      <c r="U617" s="18" t="str">
        <f>IF(LEN(T617)=1,_xlfn.CONCAT(0,T617),T617)</f>
        <v>03</v>
      </c>
      <c r="V617" s="18" t="str">
        <f>_xlfn.CONCAT(S617,U617)</f>
        <v>202403</v>
      </c>
      <c r="W617" s="18" t="str">
        <f>_xlfn.CONCAT(TEXT(A617,"MMM"),"-",MID(Q617,3,2))</f>
        <v>Jun-24</v>
      </c>
      <c r="X617" s="19">
        <f>IFERROR(IF(D617="Sell",(H617-P617),-(H617+P617)),0)</f>
        <v>13044.61</v>
      </c>
      <c r="Y617" s="19">
        <f>X617/1000</f>
        <v>13.04461</v>
      </c>
    </row>
    <row r="618" spans="1:25" x14ac:dyDescent="0.25">
      <c r="A618" s="1">
        <v>45456</v>
      </c>
      <c r="B618" t="s">
        <v>167</v>
      </c>
      <c r="C618" t="s">
        <v>17</v>
      </c>
      <c r="D618" t="s">
        <v>22</v>
      </c>
      <c r="E618">
        <v>100</v>
      </c>
      <c r="F618">
        <v>0</v>
      </c>
      <c r="G618">
        <v>100.19</v>
      </c>
      <c r="H618">
        <v>10018.75</v>
      </c>
      <c r="I618" t="s">
        <v>169</v>
      </c>
      <c r="J618">
        <v>0</v>
      </c>
      <c r="K618">
        <v>5.01</v>
      </c>
      <c r="L618">
        <v>0.3</v>
      </c>
      <c r="M618">
        <v>0.01</v>
      </c>
      <c r="N618">
        <v>80</v>
      </c>
      <c r="O618">
        <v>15.3</v>
      </c>
      <c r="P618">
        <v>100.62</v>
      </c>
      <c r="Q618" s="18">
        <f>YEAR(A618)</f>
        <v>2024</v>
      </c>
      <c r="R618" s="18">
        <f>MONTH(A618)</f>
        <v>6</v>
      </c>
      <c r="S618" s="18">
        <f>IF(R618&lt;4,Q618-1,Q618)</f>
        <v>2024</v>
      </c>
      <c r="T618" s="18">
        <f>IF(R618&lt;4,R618+9,R618-3)</f>
        <v>3</v>
      </c>
      <c r="U618" s="18" t="str">
        <f>IF(LEN(T618)=1,_xlfn.CONCAT(0,T618),T618)</f>
        <v>03</v>
      </c>
      <c r="V618" s="18" t="str">
        <f>_xlfn.CONCAT(S618,U618)</f>
        <v>202403</v>
      </c>
      <c r="W618" s="18" t="str">
        <f>_xlfn.CONCAT(TEXT(A618,"MMM"),"-",MID(Q618,3,2))</f>
        <v>Jun-24</v>
      </c>
      <c r="X618" s="19">
        <f>IFERROR(IF(D618="Sell",(H618-P618),-(H618+P618)),0)</f>
        <v>-10119.370000000001</v>
      </c>
      <c r="Y618" s="19">
        <f>X618/1000</f>
        <v>-10.11937</v>
      </c>
    </row>
    <row r="619" spans="1:25" x14ac:dyDescent="0.25">
      <c r="A619" s="1">
        <v>45467</v>
      </c>
      <c r="B619" t="s">
        <v>160</v>
      </c>
      <c r="C619" t="s">
        <v>17</v>
      </c>
      <c r="D619" t="s">
        <v>18</v>
      </c>
      <c r="E619">
        <v>150</v>
      </c>
      <c r="F619">
        <v>0</v>
      </c>
      <c r="G619">
        <v>9</v>
      </c>
      <c r="H619">
        <v>1350</v>
      </c>
      <c r="I619" t="s">
        <v>161</v>
      </c>
      <c r="J619">
        <v>1</v>
      </c>
      <c r="K619">
        <v>0.68</v>
      </c>
      <c r="L619">
        <v>0</v>
      </c>
      <c r="M619">
        <v>0</v>
      </c>
      <c r="N619">
        <v>40</v>
      </c>
      <c r="O619">
        <v>7.32</v>
      </c>
      <c r="P619">
        <v>49</v>
      </c>
      <c r="Q619" s="18">
        <f>YEAR(A619)</f>
        <v>2024</v>
      </c>
      <c r="R619" s="18">
        <f>MONTH(A619)</f>
        <v>6</v>
      </c>
      <c r="S619" s="18">
        <f>IF(R619&lt;4,Q619-1,Q619)</f>
        <v>2024</v>
      </c>
      <c r="T619" s="18">
        <f>IF(R619&lt;4,R619+9,R619-3)</f>
        <v>3</v>
      </c>
      <c r="U619" s="18" t="str">
        <f>IF(LEN(T619)=1,_xlfn.CONCAT(0,T619),T619)</f>
        <v>03</v>
      </c>
      <c r="V619" s="18" t="str">
        <f>_xlfn.CONCAT(S619,U619)</f>
        <v>202403</v>
      </c>
      <c r="W619" s="18" t="str">
        <f>_xlfn.CONCAT(TEXT(A619,"MMM"),"-",MID(Q619,3,2))</f>
        <v>Jun-24</v>
      </c>
      <c r="X619" s="19">
        <f>IFERROR(IF(D619="Sell",(H619-P619),-(H619+P619)),0)</f>
        <v>1301</v>
      </c>
      <c r="Y619" s="19">
        <f>X619/1000</f>
        <v>1.3009999999999999</v>
      </c>
    </row>
    <row r="620" spans="1:25" x14ac:dyDescent="0.25">
      <c r="A620" s="1">
        <v>45467</v>
      </c>
      <c r="B620" t="s">
        <v>160</v>
      </c>
      <c r="C620" t="s">
        <v>17</v>
      </c>
      <c r="D620" t="s">
        <v>22</v>
      </c>
      <c r="E620">
        <v>75</v>
      </c>
      <c r="F620">
        <v>0</v>
      </c>
      <c r="G620">
        <v>31.25</v>
      </c>
      <c r="H620">
        <v>2343.75</v>
      </c>
      <c r="I620" t="s">
        <v>162</v>
      </c>
      <c r="J620">
        <v>0</v>
      </c>
      <c r="K620">
        <v>1.17</v>
      </c>
      <c r="L620">
        <v>0</v>
      </c>
      <c r="M620">
        <v>0</v>
      </c>
      <c r="N620">
        <v>20</v>
      </c>
      <c r="O620">
        <v>3.82</v>
      </c>
      <c r="P620">
        <v>24.99</v>
      </c>
      <c r="Q620" s="18">
        <f>YEAR(A620)</f>
        <v>2024</v>
      </c>
      <c r="R620" s="18">
        <f>MONTH(A620)</f>
        <v>6</v>
      </c>
      <c r="S620" s="18">
        <f>IF(R620&lt;4,Q620-1,Q620)</f>
        <v>2024</v>
      </c>
      <c r="T620" s="18">
        <f>IF(R620&lt;4,R620+9,R620-3)</f>
        <v>3</v>
      </c>
      <c r="U620" s="18" t="str">
        <f>IF(LEN(T620)=1,_xlfn.CONCAT(0,T620),T620)</f>
        <v>03</v>
      </c>
      <c r="V620" s="18" t="str">
        <f>_xlfn.CONCAT(S620,U620)</f>
        <v>202403</v>
      </c>
      <c r="W620" s="18" t="str">
        <f>_xlfn.CONCAT(TEXT(A620,"MMM"),"-",MID(Q620,3,2))</f>
        <v>Jun-24</v>
      </c>
      <c r="X620" s="19">
        <f>IFERROR(IF(D620="Sell",(H620-P620),-(H620+P620)),0)</f>
        <v>-2368.7399999999998</v>
      </c>
      <c r="Y620" s="19">
        <f>X620/1000</f>
        <v>-2.3687399999999998</v>
      </c>
    </row>
    <row r="621" spans="1:25" x14ac:dyDescent="0.25">
      <c r="A621" s="1">
        <v>45467</v>
      </c>
      <c r="B621" t="s">
        <v>160</v>
      </c>
      <c r="C621" t="s">
        <v>17</v>
      </c>
      <c r="D621" t="s">
        <v>22</v>
      </c>
      <c r="E621">
        <v>75</v>
      </c>
      <c r="F621">
        <v>0</v>
      </c>
      <c r="G621">
        <v>70.3</v>
      </c>
      <c r="H621">
        <v>5272.5</v>
      </c>
      <c r="I621" t="s">
        <v>163</v>
      </c>
      <c r="J621">
        <v>0</v>
      </c>
      <c r="K621">
        <v>2.64</v>
      </c>
      <c r="L621">
        <v>0</v>
      </c>
      <c r="M621">
        <v>0.01</v>
      </c>
      <c r="N621">
        <v>20</v>
      </c>
      <c r="O621">
        <v>4.08</v>
      </c>
      <c r="P621">
        <v>26.73</v>
      </c>
      <c r="Q621" s="18">
        <f>YEAR(A621)</f>
        <v>2024</v>
      </c>
      <c r="R621" s="18">
        <f>MONTH(A621)</f>
        <v>6</v>
      </c>
      <c r="S621" s="18">
        <f>IF(R621&lt;4,Q621-1,Q621)</f>
        <v>2024</v>
      </c>
      <c r="T621" s="18">
        <f>IF(R621&lt;4,R621+9,R621-3)</f>
        <v>3</v>
      </c>
      <c r="U621" s="18" t="str">
        <f>IF(LEN(T621)=1,_xlfn.CONCAT(0,T621),T621)</f>
        <v>03</v>
      </c>
      <c r="V621" s="18" t="str">
        <f>_xlfn.CONCAT(S621,U621)</f>
        <v>202403</v>
      </c>
      <c r="W621" s="18" t="str">
        <f>_xlfn.CONCAT(TEXT(A621,"MMM"),"-",MID(Q621,3,2))</f>
        <v>Jun-24</v>
      </c>
      <c r="X621" s="19">
        <f>IFERROR(IF(D621="Sell",(H621-P621),-(H621+P621)),0)</f>
        <v>-5299.23</v>
      </c>
      <c r="Y621" s="19">
        <f>X621/1000</f>
        <v>-5.2992299999999997</v>
      </c>
    </row>
    <row r="622" spans="1:25" x14ac:dyDescent="0.25">
      <c r="A622" s="1">
        <v>45475</v>
      </c>
      <c r="B622" t="s">
        <v>154</v>
      </c>
      <c r="C622" t="s">
        <v>17</v>
      </c>
      <c r="D622" t="s">
        <v>18</v>
      </c>
      <c r="E622">
        <v>105</v>
      </c>
      <c r="F622">
        <v>0</v>
      </c>
      <c r="G622">
        <v>192.2</v>
      </c>
      <c r="H622">
        <v>20181</v>
      </c>
      <c r="I622" t="s">
        <v>155</v>
      </c>
      <c r="J622">
        <v>12.62</v>
      </c>
      <c r="K622">
        <v>10.09</v>
      </c>
      <c r="L622">
        <v>0</v>
      </c>
      <c r="M622">
        <v>0.02</v>
      </c>
      <c r="N622">
        <v>140</v>
      </c>
      <c r="O622">
        <v>27.02</v>
      </c>
      <c r="P622">
        <v>189.75</v>
      </c>
      <c r="Q622" s="18">
        <f>YEAR(A622)</f>
        <v>2024</v>
      </c>
      <c r="R622" s="18">
        <f>MONTH(A622)</f>
        <v>7</v>
      </c>
      <c r="S622" s="18">
        <f>IF(R622&lt;4,Q622-1,Q622)</f>
        <v>2024</v>
      </c>
      <c r="T622" s="18">
        <f>IF(R622&lt;4,R622+9,R622-3)</f>
        <v>4</v>
      </c>
      <c r="U622" s="18" t="str">
        <f>IF(LEN(T622)=1,_xlfn.CONCAT(0,T622),T622)</f>
        <v>04</v>
      </c>
      <c r="V622" s="18" t="str">
        <f>_xlfn.CONCAT(S622,U622)</f>
        <v>202404</v>
      </c>
      <c r="W622" s="18" t="str">
        <f>_xlfn.CONCAT(TEXT(A622,"MMM"),"-",MID(Q622,3,2))</f>
        <v>Jul-24</v>
      </c>
      <c r="X622" s="19">
        <f>IFERROR(IF(D622="Sell",(H622-P622),-(H622+P622)),0)</f>
        <v>19991.25</v>
      </c>
      <c r="Y622" s="19">
        <f>X622/1000</f>
        <v>19.991250000000001</v>
      </c>
    </row>
    <row r="623" spans="1:25" x14ac:dyDescent="0.25">
      <c r="A623" s="1">
        <v>45475</v>
      </c>
      <c r="B623" t="s">
        <v>154</v>
      </c>
      <c r="C623" t="s">
        <v>17</v>
      </c>
      <c r="D623" t="s">
        <v>22</v>
      </c>
      <c r="E623">
        <v>105</v>
      </c>
      <c r="F623">
        <v>0</v>
      </c>
      <c r="G623">
        <v>252</v>
      </c>
      <c r="H623">
        <v>26460</v>
      </c>
      <c r="I623" t="s">
        <v>156</v>
      </c>
      <c r="J623">
        <v>0</v>
      </c>
      <c r="K623">
        <v>13.23</v>
      </c>
      <c r="L623">
        <v>0.4</v>
      </c>
      <c r="M623">
        <v>0.03</v>
      </c>
      <c r="N623">
        <v>140</v>
      </c>
      <c r="O623">
        <v>27.58</v>
      </c>
      <c r="P623">
        <v>181.24</v>
      </c>
      <c r="Q623" s="18">
        <f>YEAR(A623)</f>
        <v>2024</v>
      </c>
      <c r="R623" s="18">
        <f>MONTH(A623)</f>
        <v>7</v>
      </c>
      <c r="S623" s="18">
        <f>IF(R623&lt;4,Q623-1,Q623)</f>
        <v>2024</v>
      </c>
      <c r="T623" s="18">
        <f>IF(R623&lt;4,R623+9,R623-3)</f>
        <v>4</v>
      </c>
      <c r="U623" s="18" t="str">
        <f>IF(LEN(T623)=1,_xlfn.CONCAT(0,T623),T623)</f>
        <v>04</v>
      </c>
      <c r="V623" s="18" t="str">
        <f>_xlfn.CONCAT(S623,U623)</f>
        <v>202404</v>
      </c>
      <c r="W623" s="18" t="str">
        <f>_xlfn.CONCAT(TEXT(A623,"MMM"),"-",MID(Q623,3,2))</f>
        <v>Jul-24</v>
      </c>
      <c r="X623" s="19">
        <f>IFERROR(IF(D623="Sell",(H623-P623),-(H623+P623)),0)</f>
        <v>-26641.24</v>
      </c>
      <c r="Y623" s="19">
        <f>X623/1000</f>
        <v>-26.641240000000003</v>
      </c>
    </row>
    <row r="624" spans="1:25" x14ac:dyDescent="0.25">
      <c r="A624" s="1">
        <v>45475</v>
      </c>
      <c r="B624" t="s">
        <v>157</v>
      </c>
      <c r="C624" t="s">
        <v>17</v>
      </c>
      <c r="D624" t="s">
        <v>18</v>
      </c>
      <c r="E624">
        <v>105</v>
      </c>
      <c r="F624">
        <v>0</v>
      </c>
      <c r="G624">
        <v>150</v>
      </c>
      <c r="H624">
        <v>15750</v>
      </c>
      <c r="I624" t="s">
        <v>158</v>
      </c>
      <c r="J624">
        <v>9.39</v>
      </c>
      <c r="K624">
        <v>7.88</v>
      </c>
      <c r="L624">
        <v>0</v>
      </c>
      <c r="M624">
        <v>0.02</v>
      </c>
      <c r="N624">
        <v>140</v>
      </c>
      <c r="O624">
        <v>26.62</v>
      </c>
      <c r="P624">
        <v>183.91</v>
      </c>
      <c r="Q624" s="18">
        <f>YEAR(A624)</f>
        <v>2024</v>
      </c>
      <c r="R624" s="18">
        <f>MONTH(A624)</f>
        <v>7</v>
      </c>
      <c r="S624" s="18">
        <f>IF(R624&lt;4,Q624-1,Q624)</f>
        <v>2024</v>
      </c>
      <c r="T624" s="18">
        <f>IF(R624&lt;4,R624+9,R624-3)</f>
        <v>4</v>
      </c>
      <c r="U624" s="18" t="str">
        <f>IF(LEN(T624)=1,_xlfn.CONCAT(0,T624),T624)</f>
        <v>04</v>
      </c>
      <c r="V624" s="18" t="str">
        <f>_xlfn.CONCAT(S624,U624)</f>
        <v>202404</v>
      </c>
      <c r="W624" s="18" t="str">
        <f>_xlfn.CONCAT(TEXT(A624,"MMM"),"-",MID(Q624,3,2))</f>
        <v>Jul-24</v>
      </c>
      <c r="X624" s="19">
        <f>IFERROR(IF(D624="Sell",(H624-P624),-(H624+P624)),0)</f>
        <v>15566.09</v>
      </c>
      <c r="Y624" s="19">
        <f>X624/1000</f>
        <v>15.566090000000001</v>
      </c>
    </row>
    <row r="625" spans="1:25" x14ac:dyDescent="0.25">
      <c r="A625" s="1">
        <v>45475</v>
      </c>
      <c r="B625" t="s">
        <v>157</v>
      </c>
      <c r="C625" t="s">
        <v>17</v>
      </c>
      <c r="D625" t="s">
        <v>22</v>
      </c>
      <c r="E625">
        <v>105</v>
      </c>
      <c r="F625">
        <v>0</v>
      </c>
      <c r="G625">
        <v>191</v>
      </c>
      <c r="H625">
        <v>20055</v>
      </c>
      <c r="I625" t="s">
        <v>159</v>
      </c>
      <c r="J625">
        <v>0</v>
      </c>
      <c r="K625">
        <v>10.029999999999999</v>
      </c>
      <c r="L625">
        <v>0.6</v>
      </c>
      <c r="M625">
        <v>0.02</v>
      </c>
      <c r="N625">
        <v>140</v>
      </c>
      <c r="O625">
        <v>27</v>
      </c>
      <c r="P625">
        <v>177.65</v>
      </c>
      <c r="Q625" s="18">
        <f>YEAR(A625)</f>
        <v>2024</v>
      </c>
      <c r="R625" s="18">
        <f>MONTH(A625)</f>
        <v>7</v>
      </c>
      <c r="S625" s="18">
        <f>IF(R625&lt;4,Q625-1,Q625)</f>
        <v>2024</v>
      </c>
      <c r="T625" s="18">
        <f>IF(R625&lt;4,R625+9,R625-3)</f>
        <v>4</v>
      </c>
      <c r="U625" s="18" t="str">
        <f>IF(LEN(T625)=1,_xlfn.CONCAT(0,T625),T625)</f>
        <v>04</v>
      </c>
      <c r="V625" s="18" t="str">
        <f>_xlfn.CONCAT(S625,U625)</f>
        <v>202404</v>
      </c>
      <c r="W625" s="18" t="str">
        <f>_xlfn.CONCAT(TEXT(A625,"MMM"),"-",MID(Q625,3,2))</f>
        <v>Jul-24</v>
      </c>
      <c r="X625" s="19">
        <f>IFERROR(IF(D625="Sell",(H625-P625),-(H625+P625)),0)</f>
        <v>-20232.650000000001</v>
      </c>
      <c r="Y625" s="19">
        <f>X625/1000</f>
        <v>-20.232650000000003</v>
      </c>
    </row>
    <row r="626" spans="1:25" x14ac:dyDescent="0.25">
      <c r="A626" s="1">
        <v>45476</v>
      </c>
      <c r="B626" t="s">
        <v>151</v>
      </c>
      <c r="C626" t="s">
        <v>17</v>
      </c>
      <c r="D626" t="s">
        <v>18</v>
      </c>
      <c r="E626">
        <v>900</v>
      </c>
      <c r="F626">
        <v>0</v>
      </c>
      <c r="G626">
        <v>27.25</v>
      </c>
      <c r="H626">
        <v>24525</v>
      </c>
      <c r="I626" t="s">
        <v>152</v>
      </c>
      <c r="J626">
        <v>15.03</v>
      </c>
      <c r="K626">
        <v>12.24</v>
      </c>
      <c r="L626">
        <v>0</v>
      </c>
      <c r="M626">
        <v>0</v>
      </c>
      <c r="N626">
        <v>1200</v>
      </c>
      <c r="O626">
        <v>218.26</v>
      </c>
      <c r="P626">
        <v>1445.53</v>
      </c>
      <c r="Q626" s="18">
        <f>YEAR(A626)</f>
        <v>2024</v>
      </c>
      <c r="R626" s="18">
        <f>MONTH(A626)</f>
        <v>7</v>
      </c>
      <c r="S626" s="18">
        <f>IF(R626&lt;4,Q626-1,Q626)</f>
        <v>2024</v>
      </c>
      <c r="T626" s="18">
        <f>IF(R626&lt;4,R626+9,R626-3)</f>
        <v>4</v>
      </c>
      <c r="U626" s="18" t="str">
        <f>IF(LEN(T626)=1,_xlfn.CONCAT(0,T626),T626)</f>
        <v>04</v>
      </c>
      <c r="V626" s="18" t="str">
        <f>_xlfn.CONCAT(S626,U626)</f>
        <v>202404</v>
      </c>
      <c r="W626" s="18" t="str">
        <f>_xlfn.CONCAT(TEXT(A626,"MMM"),"-",MID(Q626,3,2))</f>
        <v>Jul-24</v>
      </c>
      <c r="X626" s="19">
        <f>IFERROR(IF(D626="Sell",(H626-P626),-(H626+P626)),0)</f>
        <v>23079.47</v>
      </c>
      <c r="Y626" s="19">
        <f>X626/1000</f>
        <v>23.079470000000001</v>
      </c>
    </row>
    <row r="627" spans="1:25" x14ac:dyDescent="0.25">
      <c r="A627" s="1">
        <v>45476</v>
      </c>
      <c r="B627" t="s">
        <v>151</v>
      </c>
      <c r="C627" t="s">
        <v>17</v>
      </c>
      <c r="D627" t="s">
        <v>22</v>
      </c>
      <c r="E627">
        <v>900</v>
      </c>
      <c r="F627">
        <v>0</v>
      </c>
      <c r="G627">
        <v>22</v>
      </c>
      <c r="H627">
        <v>19800</v>
      </c>
      <c r="I627" t="s">
        <v>153</v>
      </c>
      <c r="J627">
        <v>0</v>
      </c>
      <c r="K627">
        <v>9.91</v>
      </c>
      <c r="L627">
        <v>1</v>
      </c>
      <c r="M627">
        <v>0.02</v>
      </c>
      <c r="N627">
        <v>1200</v>
      </c>
      <c r="O627">
        <v>217.8</v>
      </c>
      <c r="P627">
        <v>1428.73</v>
      </c>
      <c r="Q627" s="18">
        <f>YEAR(A627)</f>
        <v>2024</v>
      </c>
      <c r="R627" s="18">
        <f>MONTH(A627)</f>
        <v>7</v>
      </c>
      <c r="S627" s="18">
        <f>IF(R627&lt;4,Q627-1,Q627)</f>
        <v>2024</v>
      </c>
      <c r="T627" s="18">
        <f>IF(R627&lt;4,R627+9,R627-3)</f>
        <v>4</v>
      </c>
      <c r="U627" s="18" t="str">
        <f>IF(LEN(T627)=1,_xlfn.CONCAT(0,T627),T627)</f>
        <v>04</v>
      </c>
      <c r="V627" s="18" t="str">
        <f>_xlfn.CONCAT(S627,U627)</f>
        <v>202404</v>
      </c>
      <c r="W627" s="18" t="str">
        <f>_xlfn.CONCAT(TEXT(A627,"MMM"),"-",MID(Q627,3,2))</f>
        <v>Jul-24</v>
      </c>
      <c r="X627" s="19">
        <f>IFERROR(IF(D627="Sell",(H627-P627),-(H627+P627)),0)</f>
        <v>-21228.73</v>
      </c>
      <c r="Y627" s="19">
        <f>X627/1000</f>
        <v>-21.228729999999999</v>
      </c>
    </row>
    <row r="628" spans="1:25" x14ac:dyDescent="0.25">
      <c r="A628" s="1">
        <v>45477</v>
      </c>
      <c r="B628" t="s">
        <v>147</v>
      </c>
      <c r="C628" t="s">
        <v>17</v>
      </c>
      <c r="D628" t="s">
        <v>18</v>
      </c>
      <c r="E628">
        <v>120</v>
      </c>
      <c r="F628">
        <v>0</v>
      </c>
      <c r="G628">
        <v>547.29999999999995</v>
      </c>
      <c r="H628">
        <v>65676</v>
      </c>
      <c r="I628" t="s">
        <v>148</v>
      </c>
      <c r="J628">
        <v>41</v>
      </c>
      <c r="K628">
        <v>32.83</v>
      </c>
      <c r="L628">
        <v>0</v>
      </c>
      <c r="M628">
        <v>7.0000000000000007E-2</v>
      </c>
      <c r="N628">
        <v>160</v>
      </c>
      <c r="O628">
        <v>34.72</v>
      </c>
      <c r="P628">
        <v>268.62</v>
      </c>
      <c r="Q628" s="18">
        <f>YEAR(A628)</f>
        <v>2024</v>
      </c>
      <c r="R628" s="18">
        <f>MONTH(A628)</f>
        <v>7</v>
      </c>
      <c r="S628" s="18">
        <f>IF(R628&lt;4,Q628-1,Q628)</f>
        <v>2024</v>
      </c>
      <c r="T628" s="18">
        <f>IF(R628&lt;4,R628+9,R628-3)</f>
        <v>4</v>
      </c>
      <c r="U628" s="18" t="str">
        <f>IF(LEN(T628)=1,_xlfn.CONCAT(0,T628),T628)</f>
        <v>04</v>
      </c>
      <c r="V628" s="18" t="str">
        <f>_xlfn.CONCAT(S628,U628)</f>
        <v>202404</v>
      </c>
      <c r="W628" s="18" t="str">
        <f>_xlfn.CONCAT(TEXT(A628,"MMM"),"-",MID(Q628,3,2))</f>
        <v>Jul-24</v>
      </c>
      <c r="X628" s="19">
        <f>IFERROR(IF(D628="Sell",(H628-P628),-(H628+P628)),0)</f>
        <v>65407.38</v>
      </c>
      <c r="Y628" s="19">
        <f>X628/1000</f>
        <v>65.407380000000003</v>
      </c>
    </row>
    <row r="629" spans="1:25" x14ac:dyDescent="0.25">
      <c r="A629" s="1">
        <v>45477</v>
      </c>
      <c r="B629" t="s">
        <v>147</v>
      </c>
      <c r="C629" t="s">
        <v>17</v>
      </c>
      <c r="D629" t="s">
        <v>22</v>
      </c>
      <c r="E629">
        <v>60</v>
      </c>
      <c r="F629">
        <v>0</v>
      </c>
      <c r="G629">
        <v>384</v>
      </c>
      <c r="H629">
        <v>23040</v>
      </c>
      <c r="I629" t="s">
        <v>149</v>
      </c>
      <c r="J629">
        <v>0</v>
      </c>
      <c r="K629">
        <v>11.52</v>
      </c>
      <c r="L629">
        <v>0</v>
      </c>
      <c r="M629">
        <v>0.02</v>
      </c>
      <c r="N629">
        <v>80</v>
      </c>
      <c r="O629">
        <v>16.48</v>
      </c>
      <c r="P629">
        <v>108.02</v>
      </c>
      <c r="Q629" s="18">
        <f>YEAR(A629)</f>
        <v>2024</v>
      </c>
      <c r="R629" s="18">
        <f>MONTH(A629)</f>
        <v>7</v>
      </c>
      <c r="S629" s="18">
        <f>IF(R629&lt;4,Q629-1,Q629)</f>
        <v>2024</v>
      </c>
      <c r="T629" s="18">
        <f>IF(R629&lt;4,R629+9,R629-3)</f>
        <v>4</v>
      </c>
      <c r="U629" s="18" t="str">
        <f>IF(LEN(T629)=1,_xlfn.CONCAT(0,T629),T629)</f>
        <v>04</v>
      </c>
      <c r="V629" s="18" t="str">
        <f>_xlfn.CONCAT(S629,U629)</f>
        <v>202404</v>
      </c>
      <c r="W629" s="18" t="str">
        <f>_xlfn.CONCAT(TEXT(A629,"MMM"),"-",MID(Q629,3,2))</f>
        <v>Jul-24</v>
      </c>
      <c r="X629" s="19">
        <f>IFERROR(IF(D629="Sell",(H629-P629),-(H629+P629)),0)</f>
        <v>-23148.02</v>
      </c>
      <c r="Y629" s="19">
        <f>X629/1000</f>
        <v>-23.148019999999999</v>
      </c>
    </row>
    <row r="630" spans="1:25" x14ac:dyDescent="0.25">
      <c r="A630" s="1">
        <v>45477</v>
      </c>
      <c r="B630" t="s">
        <v>147</v>
      </c>
      <c r="C630" t="s">
        <v>17</v>
      </c>
      <c r="D630" t="s">
        <v>22</v>
      </c>
      <c r="E630">
        <v>60</v>
      </c>
      <c r="F630">
        <v>0</v>
      </c>
      <c r="G630">
        <v>473.2</v>
      </c>
      <c r="H630">
        <v>28392</v>
      </c>
      <c r="I630" t="s">
        <v>150</v>
      </c>
      <c r="J630">
        <v>0</v>
      </c>
      <c r="K630">
        <v>14.2</v>
      </c>
      <c r="L630">
        <v>2</v>
      </c>
      <c r="M630">
        <v>0.03</v>
      </c>
      <c r="N630">
        <v>80</v>
      </c>
      <c r="O630">
        <v>16.96</v>
      </c>
      <c r="P630">
        <v>113.19</v>
      </c>
      <c r="Q630" s="18">
        <f>YEAR(A630)</f>
        <v>2024</v>
      </c>
      <c r="R630" s="18">
        <f>MONTH(A630)</f>
        <v>7</v>
      </c>
      <c r="S630" s="18">
        <f>IF(R630&lt;4,Q630-1,Q630)</f>
        <v>2024</v>
      </c>
      <c r="T630" s="18">
        <f>IF(R630&lt;4,R630+9,R630-3)</f>
        <v>4</v>
      </c>
      <c r="U630" s="18" t="str">
        <f>IF(LEN(T630)=1,_xlfn.CONCAT(0,T630),T630)</f>
        <v>04</v>
      </c>
      <c r="V630" s="18" t="str">
        <f>_xlfn.CONCAT(S630,U630)</f>
        <v>202404</v>
      </c>
      <c r="W630" s="18" t="str">
        <f>_xlfn.CONCAT(TEXT(A630,"MMM"),"-",MID(Q630,3,2))</f>
        <v>Jul-24</v>
      </c>
      <c r="X630" s="19">
        <f>IFERROR(IF(D630="Sell",(H630-P630),-(H630+P630)),0)</f>
        <v>-28505.19</v>
      </c>
      <c r="Y630" s="19">
        <f>X630/1000</f>
        <v>-28.505189999999999</v>
      </c>
    </row>
    <row r="631" spans="1:25" x14ac:dyDescent="0.25">
      <c r="A631" s="1">
        <v>45478</v>
      </c>
      <c r="B631" t="s">
        <v>144</v>
      </c>
      <c r="C631" t="s">
        <v>17</v>
      </c>
      <c r="D631" t="s">
        <v>18</v>
      </c>
      <c r="E631">
        <v>75</v>
      </c>
      <c r="F631">
        <v>0</v>
      </c>
      <c r="G631">
        <v>394.25</v>
      </c>
      <c r="H631">
        <v>29568.75</v>
      </c>
      <c r="I631" t="s">
        <v>145</v>
      </c>
      <c r="J631">
        <v>18</v>
      </c>
      <c r="K631">
        <v>14.78</v>
      </c>
      <c r="L631">
        <v>0</v>
      </c>
      <c r="M631">
        <v>0.03</v>
      </c>
      <c r="N631">
        <v>100</v>
      </c>
      <c r="O631">
        <v>20.66</v>
      </c>
      <c r="P631">
        <v>153.47</v>
      </c>
      <c r="Q631" s="18">
        <f>YEAR(A631)</f>
        <v>2024</v>
      </c>
      <c r="R631" s="18">
        <f>MONTH(A631)</f>
        <v>7</v>
      </c>
      <c r="S631" s="18">
        <f>IF(R631&lt;4,Q631-1,Q631)</f>
        <v>2024</v>
      </c>
      <c r="T631" s="18">
        <f>IF(R631&lt;4,R631+9,R631-3)</f>
        <v>4</v>
      </c>
      <c r="U631" s="18" t="str">
        <f>IF(LEN(T631)=1,_xlfn.CONCAT(0,T631),T631)</f>
        <v>04</v>
      </c>
      <c r="V631" s="18" t="str">
        <f>_xlfn.CONCAT(S631,U631)</f>
        <v>202404</v>
      </c>
      <c r="W631" s="18" t="str">
        <f>_xlfn.CONCAT(TEXT(A631,"MMM"),"-",MID(Q631,3,2))</f>
        <v>Jul-24</v>
      </c>
      <c r="X631" s="19">
        <f>IFERROR(IF(D631="Sell",(H631-P631),-(H631+P631)),0)</f>
        <v>29415.279999999999</v>
      </c>
      <c r="Y631" s="19">
        <f>X631/1000</f>
        <v>29.415279999999999</v>
      </c>
    </row>
    <row r="632" spans="1:25" x14ac:dyDescent="0.25">
      <c r="A632" s="1">
        <v>45478</v>
      </c>
      <c r="B632" t="s">
        <v>144</v>
      </c>
      <c r="C632" t="s">
        <v>17</v>
      </c>
      <c r="D632" t="s">
        <v>22</v>
      </c>
      <c r="E632">
        <v>75</v>
      </c>
      <c r="F632">
        <v>0</v>
      </c>
      <c r="G632">
        <v>424.75</v>
      </c>
      <c r="H632">
        <v>31856.25</v>
      </c>
      <c r="I632" t="s">
        <v>146</v>
      </c>
      <c r="J632">
        <v>0</v>
      </c>
      <c r="K632">
        <v>15.93</v>
      </c>
      <c r="L632">
        <v>1</v>
      </c>
      <c r="M632">
        <v>0.04</v>
      </c>
      <c r="N632">
        <v>100</v>
      </c>
      <c r="O632">
        <v>20.88</v>
      </c>
      <c r="P632">
        <v>137.85</v>
      </c>
      <c r="Q632" s="18">
        <f>YEAR(A632)</f>
        <v>2024</v>
      </c>
      <c r="R632" s="18">
        <f>MONTH(A632)</f>
        <v>7</v>
      </c>
      <c r="S632" s="18">
        <f>IF(R632&lt;4,Q632-1,Q632)</f>
        <v>2024</v>
      </c>
      <c r="T632" s="18">
        <f>IF(R632&lt;4,R632+9,R632-3)</f>
        <v>4</v>
      </c>
      <c r="U632" s="18" t="str">
        <f>IF(LEN(T632)=1,_xlfn.CONCAT(0,T632),T632)</f>
        <v>04</v>
      </c>
      <c r="V632" s="18" t="str">
        <f>_xlfn.CONCAT(S632,U632)</f>
        <v>202404</v>
      </c>
      <c r="W632" s="18" t="str">
        <f>_xlfn.CONCAT(TEXT(A632,"MMM"),"-",MID(Q632,3,2))</f>
        <v>Jul-24</v>
      </c>
      <c r="X632" s="19">
        <f>IFERROR(IF(D632="Sell",(H632-P632),-(H632+P632)),0)</f>
        <v>-31994.1</v>
      </c>
      <c r="Y632" s="19">
        <f>X632/1000</f>
        <v>-31.9941</v>
      </c>
    </row>
    <row r="633" spans="1:25" x14ac:dyDescent="0.25">
      <c r="A633" s="1">
        <v>45481</v>
      </c>
      <c r="B633" t="s">
        <v>141</v>
      </c>
      <c r="C633" t="s">
        <v>17</v>
      </c>
      <c r="D633" t="s">
        <v>18</v>
      </c>
      <c r="E633">
        <v>45</v>
      </c>
      <c r="F633">
        <v>0</v>
      </c>
      <c r="G633">
        <v>279.25</v>
      </c>
      <c r="H633">
        <v>12566.25</v>
      </c>
      <c r="I633" t="s">
        <v>142</v>
      </c>
      <c r="J633">
        <v>8</v>
      </c>
      <c r="K633">
        <v>6.28</v>
      </c>
      <c r="L633">
        <v>0</v>
      </c>
      <c r="M633">
        <v>0.01</v>
      </c>
      <c r="N633">
        <v>60</v>
      </c>
      <c r="O633">
        <v>11.94</v>
      </c>
      <c r="P633">
        <v>86.23</v>
      </c>
      <c r="Q633" s="18">
        <f>YEAR(A633)</f>
        <v>2024</v>
      </c>
      <c r="R633" s="18">
        <f>MONTH(A633)</f>
        <v>7</v>
      </c>
      <c r="S633" s="18">
        <f>IF(R633&lt;4,Q633-1,Q633)</f>
        <v>2024</v>
      </c>
      <c r="T633" s="18">
        <f>IF(R633&lt;4,R633+9,R633-3)</f>
        <v>4</v>
      </c>
      <c r="U633" s="18" t="str">
        <f>IF(LEN(T633)=1,_xlfn.CONCAT(0,T633),T633)</f>
        <v>04</v>
      </c>
      <c r="V633" s="18" t="str">
        <f>_xlfn.CONCAT(S633,U633)</f>
        <v>202404</v>
      </c>
      <c r="W633" s="18" t="str">
        <f>_xlfn.CONCAT(TEXT(A633,"MMM"),"-",MID(Q633,3,2))</f>
        <v>Jul-24</v>
      </c>
      <c r="X633" s="19">
        <f>IFERROR(IF(D633="Sell",(H633-P633),-(H633+P633)),0)</f>
        <v>12480.02</v>
      </c>
      <c r="Y633" s="19">
        <f>X633/1000</f>
        <v>12.48002</v>
      </c>
    </row>
    <row r="634" spans="1:25" x14ac:dyDescent="0.25">
      <c r="A634" s="1">
        <v>45481</v>
      </c>
      <c r="B634" t="s">
        <v>141</v>
      </c>
      <c r="C634" t="s">
        <v>17</v>
      </c>
      <c r="D634" t="s">
        <v>22</v>
      </c>
      <c r="E634">
        <v>45</v>
      </c>
      <c r="F634">
        <v>0</v>
      </c>
      <c r="G634">
        <v>222</v>
      </c>
      <c r="H634">
        <v>9990</v>
      </c>
      <c r="I634" t="s">
        <v>143</v>
      </c>
      <c r="J634">
        <v>0</v>
      </c>
      <c r="K634">
        <v>5</v>
      </c>
      <c r="L634">
        <v>0</v>
      </c>
      <c r="M634">
        <v>0.01</v>
      </c>
      <c r="N634">
        <v>60</v>
      </c>
      <c r="O634">
        <v>11.7</v>
      </c>
      <c r="P634">
        <v>76.709999999999994</v>
      </c>
      <c r="Q634" s="18">
        <f>YEAR(A634)</f>
        <v>2024</v>
      </c>
      <c r="R634" s="18">
        <f>MONTH(A634)</f>
        <v>7</v>
      </c>
      <c r="S634" s="18">
        <f>IF(R634&lt;4,Q634-1,Q634)</f>
        <v>2024</v>
      </c>
      <c r="T634" s="18">
        <f>IF(R634&lt;4,R634+9,R634-3)</f>
        <v>4</v>
      </c>
      <c r="U634" s="18" t="str">
        <f>IF(LEN(T634)=1,_xlfn.CONCAT(0,T634),T634)</f>
        <v>04</v>
      </c>
      <c r="V634" s="18" t="str">
        <f>_xlfn.CONCAT(S634,U634)</f>
        <v>202404</v>
      </c>
      <c r="W634" s="18" t="str">
        <f>_xlfn.CONCAT(TEXT(A634,"MMM"),"-",MID(Q634,3,2))</f>
        <v>Jul-24</v>
      </c>
      <c r="X634" s="19">
        <f>IFERROR(IF(D634="Sell",(H634-P634),-(H634+P634)),0)</f>
        <v>-10066.709999999999</v>
      </c>
      <c r="Y634" s="19">
        <f>X634/1000</f>
        <v>-10.066709999999999</v>
      </c>
    </row>
    <row r="635" spans="1:25" x14ac:dyDescent="0.25">
      <c r="A635" s="1">
        <v>45482</v>
      </c>
      <c r="B635" t="s">
        <v>135</v>
      </c>
      <c r="C635" t="s">
        <v>17</v>
      </c>
      <c r="D635" t="s">
        <v>18</v>
      </c>
      <c r="E635">
        <v>30</v>
      </c>
      <c r="F635">
        <v>0</v>
      </c>
      <c r="G635">
        <v>218.25</v>
      </c>
      <c r="H635">
        <v>6547.5</v>
      </c>
      <c r="I635" t="s">
        <v>136</v>
      </c>
      <c r="J635">
        <v>3.74</v>
      </c>
      <c r="K635">
        <v>3.27</v>
      </c>
      <c r="L635">
        <v>0</v>
      </c>
      <c r="M635">
        <v>0.01</v>
      </c>
      <c r="N635">
        <v>40</v>
      </c>
      <c r="O635">
        <v>7.8</v>
      </c>
      <c r="P635">
        <v>54.82</v>
      </c>
      <c r="Q635" s="18">
        <f>YEAR(A635)</f>
        <v>2024</v>
      </c>
      <c r="R635" s="18">
        <f>MONTH(A635)</f>
        <v>7</v>
      </c>
      <c r="S635" s="18">
        <f>IF(R635&lt;4,Q635-1,Q635)</f>
        <v>2024</v>
      </c>
      <c r="T635" s="18">
        <f>IF(R635&lt;4,R635+9,R635-3)</f>
        <v>4</v>
      </c>
      <c r="U635" s="18" t="str">
        <f>IF(LEN(T635)=1,_xlfn.CONCAT(0,T635),T635)</f>
        <v>04</v>
      </c>
      <c r="V635" s="18" t="str">
        <f>_xlfn.CONCAT(S635,U635)</f>
        <v>202404</v>
      </c>
      <c r="W635" s="18" t="str">
        <f>_xlfn.CONCAT(TEXT(A635,"MMM"),"-",MID(Q635,3,2))</f>
        <v>Jul-24</v>
      </c>
      <c r="X635" s="19">
        <f>IFERROR(IF(D635="Sell",(H635-P635),-(H635+P635)),0)</f>
        <v>6492.68</v>
      </c>
      <c r="Y635" s="19">
        <f>X635/1000</f>
        <v>6.49268</v>
      </c>
    </row>
    <row r="636" spans="1:25" x14ac:dyDescent="0.25">
      <c r="A636" s="1">
        <v>45482</v>
      </c>
      <c r="B636" t="s">
        <v>137</v>
      </c>
      <c r="C636" t="s">
        <v>17</v>
      </c>
      <c r="D636" t="s">
        <v>18</v>
      </c>
      <c r="E636">
        <v>125</v>
      </c>
      <c r="F636">
        <v>0</v>
      </c>
      <c r="G636">
        <v>156.9</v>
      </c>
      <c r="H636">
        <v>19612.5</v>
      </c>
      <c r="I636" t="s">
        <v>138</v>
      </c>
      <c r="J636">
        <v>12.26</v>
      </c>
      <c r="K636">
        <v>9.81</v>
      </c>
      <c r="L636">
        <v>0</v>
      </c>
      <c r="M636">
        <v>0.02</v>
      </c>
      <c r="N636">
        <v>100</v>
      </c>
      <c r="O636">
        <v>19.78</v>
      </c>
      <c r="P636">
        <v>141.87</v>
      </c>
      <c r="Q636" s="18">
        <f>YEAR(A636)</f>
        <v>2024</v>
      </c>
      <c r="R636" s="18">
        <f>MONTH(A636)</f>
        <v>7</v>
      </c>
      <c r="S636" s="18">
        <f>IF(R636&lt;4,Q636-1,Q636)</f>
        <v>2024</v>
      </c>
      <c r="T636" s="18">
        <f>IF(R636&lt;4,R636+9,R636-3)</f>
        <v>4</v>
      </c>
      <c r="U636" s="18" t="str">
        <f>IF(LEN(T636)=1,_xlfn.CONCAT(0,T636),T636)</f>
        <v>04</v>
      </c>
      <c r="V636" s="18" t="str">
        <f>_xlfn.CONCAT(S636,U636)</f>
        <v>202404</v>
      </c>
      <c r="W636" s="18" t="str">
        <f>_xlfn.CONCAT(TEXT(A636,"MMM"),"-",MID(Q636,3,2))</f>
        <v>Jul-24</v>
      </c>
      <c r="X636" s="19">
        <f>IFERROR(IF(D636="Sell",(H636-P636),-(H636+P636)),0)</f>
        <v>19470.63</v>
      </c>
      <c r="Y636" s="19">
        <f>X636/1000</f>
        <v>19.47063</v>
      </c>
    </row>
    <row r="637" spans="1:25" x14ac:dyDescent="0.25">
      <c r="A637" s="1">
        <v>45482</v>
      </c>
      <c r="B637" t="s">
        <v>135</v>
      </c>
      <c r="C637" t="s">
        <v>17</v>
      </c>
      <c r="D637" t="s">
        <v>22</v>
      </c>
      <c r="E637">
        <v>30</v>
      </c>
      <c r="F637">
        <v>0</v>
      </c>
      <c r="G637">
        <v>198.1</v>
      </c>
      <c r="H637">
        <v>5943</v>
      </c>
      <c r="I637" t="s">
        <v>139</v>
      </c>
      <c r="J637">
        <v>0</v>
      </c>
      <c r="K637">
        <v>2.97</v>
      </c>
      <c r="L637">
        <v>0.18</v>
      </c>
      <c r="M637">
        <v>0.01</v>
      </c>
      <c r="N637">
        <v>40</v>
      </c>
      <c r="O637">
        <v>7.74</v>
      </c>
      <c r="P637">
        <v>50.9</v>
      </c>
      <c r="Q637" s="18">
        <f>YEAR(A637)</f>
        <v>2024</v>
      </c>
      <c r="R637" s="18">
        <f>MONTH(A637)</f>
        <v>7</v>
      </c>
      <c r="S637" s="18">
        <f>IF(R637&lt;4,Q637-1,Q637)</f>
        <v>2024</v>
      </c>
      <c r="T637" s="18">
        <f>IF(R637&lt;4,R637+9,R637-3)</f>
        <v>4</v>
      </c>
      <c r="U637" s="18" t="str">
        <f>IF(LEN(T637)=1,_xlfn.CONCAT(0,T637),T637)</f>
        <v>04</v>
      </c>
      <c r="V637" s="18" t="str">
        <f>_xlfn.CONCAT(S637,U637)</f>
        <v>202404</v>
      </c>
      <c r="W637" s="18" t="str">
        <f>_xlfn.CONCAT(TEXT(A637,"MMM"),"-",MID(Q637,3,2))</f>
        <v>Jul-24</v>
      </c>
      <c r="X637" s="19">
        <f>IFERROR(IF(D637="Sell",(H637-P637),-(H637+P637)),0)</f>
        <v>-5993.9</v>
      </c>
      <c r="Y637" s="19">
        <f>X637/1000</f>
        <v>-5.9939</v>
      </c>
    </row>
    <row r="638" spans="1:25" x14ac:dyDescent="0.25">
      <c r="A638" s="1">
        <v>45482</v>
      </c>
      <c r="B638" t="s">
        <v>137</v>
      </c>
      <c r="C638" t="s">
        <v>17</v>
      </c>
      <c r="D638" t="s">
        <v>22</v>
      </c>
      <c r="E638">
        <v>125</v>
      </c>
      <c r="F638">
        <v>0</v>
      </c>
      <c r="G638">
        <v>152.25</v>
      </c>
      <c r="H638">
        <v>19031.25</v>
      </c>
      <c r="I638" t="s">
        <v>140</v>
      </c>
      <c r="J638">
        <v>0</v>
      </c>
      <c r="K638">
        <v>9.52</v>
      </c>
      <c r="L638">
        <v>0.82</v>
      </c>
      <c r="M638">
        <v>0.02</v>
      </c>
      <c r="N638">
        <v>100</v>
      </c>
      <c r="O638">
        <v>19.7</v>
      </c>
      <c r="P638">
        <v>130.06</v>
      </c>
      <c r="Q638" s="18">
        <f>YEAR(A638)</f>
        <v>2024</v>
      </c>
      <c r="R638" s="18">
        <f>MONTH(A638)</f>
        <v>7</v>
      </c>
      <c r="S638" s="18">
        <f>IF(R638&lt;4,Q638-1,Q638)</f>
        <v>2024</v>
      </c>
      <c r="T638" s="18">
        <f>IF(R638&lt;4,R638+9,R638-3)</f>
        <v>4</v>
      </c>
      <c r="U638" s="18" t="str">
        <f>IF(LEN(T638)=1,_xlfn.CONCAT(0,T638),T638)</f>
        <v>04</v>
      </c>
      <c r="V638" s="18" t="str">
        <f>_xlfn.CONCAT(S638,U638)</f>
        <v>202404</v>
      </c>
      <c r="W638" s="18" t="str">
        <f>_xlfn.CONCAT(TEXT(A638,"MMM"),"-",MID(Q638,3,2))</f>
        <v>Jul-24</v>
      </c>
      <c r="X638" s="19">
        <f>IFERROR(IF(D638="Sell",(H638-P638),-(H638+P638)),0)</f>
        <v>-19161.310000000001</v>
      </c>
      <c r="Y638" s="19">
        <f>X638/1000</f>
        <v>-19.16131</v>
      </c>
    </row>
    <row r="639" spans="1:25" x14ac:dyDescent="0.25">
      <c r="A639" s="1">
        <v>45483</v>
      </c>
      <c r="B639" t="s">
        <v>131</v>
      </c>
      <c r="C639" t="s">
        <v>17</v>
      </c>
      <c r="D639" t="s">
        <v>18</v>
      </c>
      <c r="E639">
        <v>210</v>
      </c>
      <c r="F639">
        <v>0</v>
      </c>
      <c r="G639">
        <v>109</v>
      </c>
      <c r="H639">
        <v>22890</v>
      </c>
      <c r="I639" t="s">
        <v>132</v>
      </c>
      <c r="J639">
        <v>14</v>
      </c>
      <c r="K639">
        <v>11.45</v>
      </c>
      <c r="L639">
        <v>0</v>
      </c>
      <c r="M639">
        <v>0.03</v>
      </c>
      <c r="N639">
        <v>280</v>
      </c>
      <c r="O639">
        <v>52.48</v>
      </c>
      <c r="P639">
        <v>357.96</v>
      </c>
      <c r="Q639" s="18">
        <f>YEAR(A639)</f>
        <v>2024</v>
      </c>
      <c r="R639" s="18">
        <f>MONTH(A639)</f>
        <v>7</v>
      </c>
      <c r="S639" s="18">
        <f>IF(R639&lt;4,Q639-1,Q639)</f>
        <v>2024</v>
      </c>
      <c r="T639" s="18">
        <f>IF(R639&lt;4,R639+9,R639-3)</f>
        <v>4</v>
      </c>
      <c r="U639" s="18" t="str">
        <f>IF(LEN(T639)=1,_xlfn.CONCAT(0,T639),T639)</f>
        <v>04</v>
      </c>
      <c r="V639" s="18" t="str">
        <f>_xlfn.CONCAT(S639,U639)</f>
        <v>202404</v>
      </c>
      <c r="W639" s="18" t="str">
        <f>_xlfn.CONCAT(TEXT(A639,"MMM"),"-",MID(Q639,3,2))</f>
        <v>Jul-24</v>
      </c>
      <c r="X639" s="19">
        <f>IFERROR(IF(D639="Sell",(H639-P639),-(H639+P639)),0)</f>
        <v>22532.04</v>
      </c>
      <c r="Y639" s="19">
        <f>X639/1000</f>
        <v>22.532040000000002</v>
      </c>
    </row>
    <row r="640" spans="1:25" x14ac:dyDescent="0.25">
      <c r="A640" s="1">
        <v>45483</v>
      </c>
      <c r="B640" t="s">
        <v>131</v>
      </c>
      <c r="C640" t="s">
        <v>17</v>
      </c>
      <c r="D640" t="s">
        <v>22</v>
      </c>
      <c r="E640">
        <v>105</v>
      </c>
      <c r="F640">
        <v>0</v>
      </c>
      <c r="G640">
        <v>70.25</v>
      </c>
      <c r="H640">
        <v>7376.25</v>
      </c>
      <c r="I640" t="s">
        <v>133</v>
      </c>
      <c r="J640">
        <v>0</v>
      </c>
      <c r="K640">
        <v>3.69</v>
      </c>
      <c r="L640">
        <v>1</v>
      </c>
      <c r="M640">
        <v>0.01</v>
      </c>
      <c r="N640">
        <v>140</v>
      </c>
      <c r="O640">
        <v>25.86</v>
      </c>
      <c r="P640">
        <v>170.56</v>
      </c>
      <c r="Q640" s="18">
        <f>YEAR(A640)</f>
        <v>2024</v>
      </c>
      <c r="R640" s="18">
        <f>MONTH(A640)</f>
        <v>7</v>
      </c>
      <c r="S640" s="18">
        <f>IF(R640&lt;4,Q640-1,Q640)</f>
        <v>2024</v>
      </c>
      <c r="T640" s="18">
        <f>IF(R640&lt;4,R640+9,R640-3)</f>
        <v>4</v>
      </c>
      <c r="U640" s="18" t="str">
        <f>IF(LEN(T640)=1,_xlfn.CONCAT(0,T640),T640)</f>
        <v>04</v>
      </c>
      <c r="V640" s="18" t="str">
        <f>_xlfn.CONCAT(S640,U640)</f>
        <v>202404</v>
      </c>
      <c r="W640" s="18" t="str">
        <f>_xlfn.CONCAT(TEXT(A640,"MMM"),"-",MID(Q640,3,2))</f>
        <v>Jul-24</v>
      </c>
      <c r="X640" s="19">
        <f>IFERROR(IF(D640="Sell",(H640-P640),-(H640+P640)),0)</f>
        <v>-7546.81</v>
      </c>
      <c r="Y640" s="19">
        <f>X640/1000</f>
        <v>-7.5468100000000007</v>
      </c>
    </row>
    <row r="641" spans="1:25" x14ac:dyDescent="0.25">
      <c r="A641" s="1">
        <v>45483</v>
      </c>
      <c r="B641" t="s">
        <v>131</v>
      </c>
      <c r="C641" t="s">
        <v>17</v>
      </c>
      <c r="D641" t="s">
        <v>22</v>
      </c>
      <c r="E641">
        <v>105</v>
      </c>
      <c r="F641">
        <v>0</v>
      </c>
      <c r="G641">
        <v>90</v>
      </c>
      <c r="H641">
        <v>9450</v>
      </c>
      <c r="I641" t="s">
        <v>134</v>
      </c>
      <c r="J641">
        <v>0</v>
      </c>
      <c r="K641">
        <v>4.7300000000000004</v>
      </c>
      <c r="L641">
        <v>0</v>
      </c>
      <c r="M641">
        <v>0.01</v>
      </c>
      <c r="N641">
        <v>140</v>
      </c>
      <c r="O641">
        <v>26.06</v>
      </c>
      <c r="P641">
        <v>170.8</v>
      </c>
      <c r="Q641" s="18">
        <f>YEAR(A641)</f>
        <v>2024</v>
      </c>
      <c r="R641" s="18">
        <f>MONTH(A641)</f>
        <v>7</v>
      </c>
      <c r="S641" s="18">
        <f>IF(R641&lt;4,Q641-1,Q641)</f>
        <v>2024</v>
      </c>
      <c r="T641" s="18">
        <f>IF(R641&lt;4,R641+9,R641-3)</f>
        <v>4</v>
      </c>
      <c r="U641" s="18" t="str">
        <f>IF(LEN(T641)=1,_xlfn.CONCAT(0,T641),T641)</f>
        <v>04</v>
      </c>
      <c r="V641" s="18" t="str">
        <f>_xlfn.CONCAT(S641,U641)</f>
        <v>202404</v>
      </c>
      <c r="W641" s="18" t="str">
        <f>_xlfn.CONCAT(TEXT(A641,"MMM"),"-",MID(Q641,3,2))</f>
        <v>Jul-24</v>
      </c>
      <c r="X641" s="19">
        <f>IFERROR(IF(D641="Sell",(H641-P641),-(H641+P641)),0)</f>
        <v>-9620.7999999999993</v>
      </c>
      <c r="Y641" s="19">
        <f>X641/1000</f>
        <v>-9.6207999999999991</v>
      </c>
    </row>
    <row r="642" spans="1:25" x14ac:dyDescent="0.25">
      <c r="A642" s="1">
        <v>45484</v>
      </c>
      <c r="B642" t="s">
        <v>128</v>
      </c>
      <c r="C642" t="s">
        <v>17</v>
      </c>
      <c r="D642" t="s">
        <v>18</v>
      </c>
      <c r="E642">
        <v>60</v>
      </c>
      <c r="F642">
        <v>0</v>
      </c>
      <c r="G642">
        <v>445.25</v>
      </c>
      <c r="H642">
        <v>26715</v>
      </c>
      <c r="I642" t="s">
        <v>129</v>
      </c>
      <c r="J642">
        <v>17</v>
      </c>
      <c r="K642">
        <v>13.36</v>
      </c>
      <c r="L642">
        <v>0</v>
      </c>
      <c r="M642">
        <v>0.03</v>
      </c>
      <c r="N642">
        <v>80</v>
      </c>
      <c r="O642">
        <v>16.82</v>
      </c>
      <c r="P642">
        <v>127.21</v>
      </c>
      <c r="Q642" s="18">
        <f>YEAR(A642)</f>
        <v>2024</v>
      </c>
      <c r="R642" s="18">
        <f>MONTH(A642)</f>
        <v>7</v>
      </c>
      <c r="S642" s="18">
        <f>IF(R642&lt;4,Q642-1,Q642)</f>
        <v>2024</v>
      </c>
      <c r="T642" s="18">
        <f>IF(R642&lt;4,R642+9,R642-3)</f>
        <v>4</v>
      </c>
      <c r="U642" s="18" t="str">
        <f>IF(LEN(T642)=1,_xlfn.CONCAT(0,T642),T642)</f>
        <v>04</v>
      </c>
      <c r="V642" s="18" t="str">
        <f>_xlfn.CONCAT(S642,U642)</f>
        <v>202404</v>
      </c>
      <c r="W642" s="18" t="str">
        <f>_xlfn.CONCAT(TEXT(A642,"MMM"),"-",MID(Q642,3,2))</f>
        <v>Jul-24</v>
      </c>
      <c r="X642" s="19">
        <f>IFERROR(IF(D642="Sell",(H642-P642),-(H642+P642)),0)</f>
        <v>26587.79</v>
      </c>
      <c r="Y642" s="19">
        <f>X642/1000</f>
        <v>26.587790000000002</v>
      </c>
    </row>
    <row r="643" spans="1:25" x14ac:dyDescent="0.25">
      <c r="A643" s="1">
        <v>45484</v>
      </c>
      <c r="B643" t="s">
        <v>128</v>
      </c>
      <c r="C643" t="s">
        <v>17</v>
      </c>
      <c r="D643" t="s">
        <v>22</v>
      </c>
      <c r="E643">
        <v>60</v>
      </c>
      <c r="F643">
        <v>0</v>
      </c>
      <c r="G643">
        <v>305.25</v>
      </c>
      <c r="H643">
        <v>18315</v>
      </c>
      <c r="I643" t="s">
        <v>130</v>
      </c>
      <c r="J643">
        <v>0</v>
      </c>
      <c r="K643">
        <v>9.16</v>
      </c>
      <c r="L643">
        <v>1</v>
      </c>
      <c r="M643">
        <v>0.01</v>
      </c>
      <c r="N643">
        <v>80</v>
      </c>
      <c r="O643">
        <v>16.059999999999999</v>
      </c>
      <c r="P643">
        <v>106.23</v>
      </c>
      <c r="Q643" s="18">
        <f>YEAR(A643)</f>
        <v>2024</v>
      </c>
      <c r="R643" s="18">
        <f>MONTH(A643)</f>
        <v>7</v>
      </c>
      <c r="S643" s="18">
        <f>IF(R643&lt;4,Q643-1,Q643)</f>
        <v>2024</v>
      </c>
      <c r="T643" s="18">
        <f>IF(R643&lt;4,R643+9,R643-3)</f>
        <v>4</v>
      </c>
      <c r="U643" s="18" t="str">
        <f>IF(LEN(T643)=1,_xlfn.CONCAT(0,T643),T643)</f>
        <v>04</v>
      </c>
      <c r="V643" s="18" t="str">
        <f>_xlfn.CONCAT(S643,U643)</f>
        <v>202404</v>
      </c>
      <c r="W643" s="18" t="str">
        <f>_xlfn.CONCAT(TEXT(A643,"MMM"),"-",MID(Q643,3,2))</f>
        <v>Jul-24</v>
      </c>
      <c r="X643" s="19">
        <f>IFERROR(IF(D643="Sell",(H643-P643),-(H643+P643)),0)</f>
        <v>-18421.23</v>
      </c>
      <c r="Y643" s="19">
        <f>X643/1000</f>
        <v>-18.421230000000001</v>
      </c>
    </row>
    <row r="644" spans="1:25" x14ac:dyDescent="0.25">
      <c r="A644" s="1">
        <v>45485</v>
      </c>
      <c r="B644" t="s">
        <v>118</v>
      </c>
      <c r="C644" t="s">
        <v>17</v>
      </c>
      <c r="D644" t="s">
        <v>18</v>
      </c>
      <c r="E644">
        <v>75</v>
      </c>
      <c r="F644">
        <v>0</v>
      </c>
      <c r="G644">
        <v>346.25</v>
      </c>
      <c r="H644">
        <v>25968.75</v>
      </c>
      <c r="I644" t="s">
        <v>126</v>
      </c>
      <c r="J644">
        <v>16</v>
      </c>
      <c r="K644">
        <v>12.98</v>
      </c>
      <c r="L644">
        <v>0</v>
      </c>
      <c r="M644">
        <v>0.03</v>
      </c>
      <c r="N644">
        <v>100</v>
      </c>
      <c r="O644">
        <v>20.34</v>
      </c>
      <c r="P644">
        <v>149.35</v>
      </c>
      <c r="Q644" s="18">
        <f>YEAR(A644)</f>
        <v>2024</v>
      </c>
      <c r="R644" s="18">
        <f>MONTH(A644)</f>
        <v>7</v>
      </c>
      <c r="S644" s="18">
        <f>IF(R644&lt;4,Q644-1,Q644)</f>
        <v>2024</v>
      </c>
      <c r="T644" s="18">
        <f>IF(R644&lt;4,R644+9,R644-3)</f>
        <v>4</v>
      </c>
      <c r="U644" s="18" t="str">
        <f>IF(LEN(T644)=1,_xlfn.CONCAT(0,T644),T644)</f>
        <v>04</v>
      </c>
      <c r="V644" s="18" t="str">
        <f>_xlfn.CONCAT(S644,U644)</f>
        <v>202404</v>
      </c>
      <c r="W644" s="18" t="str">
        <f>_xlfn.CONCAT(TEXT(A644,"MMM"),"-",MID(Q644,3,2))</f>
        <v>Jul-24</v>
      </c>
      <c r="X644" s="19">
        <f>IFERROR(IF(D644="Sell",(H644-P644),-(H644+P644)),0)</f>
        <v>25819.4</v>
      </c>
      <c r="Y644" s="19">
        <f>X644/1000</f>
        <v>25.819400000000002</v>
      </c>
    </row>
    <row r="645" spans="1:25" x14ac:dyDescent="0.25">
      <c r="A645" s="1">
        <v>45485</v>
      </c>
      <c r="B645" t="s">
        <v>118</v>
      </c>
      <c r="C645" t="s">
        <v>17</v>
      </c>
      <c r="D645" t="s">
        <v>22</v>
      </c>
      <c r="E645">
        <v>75</v>
      </c>
      <c r="F645">
        <v>0</v>
      </c>
      <c r="G645">
        <v>326.05</v>
      </c>
      <c r="H645">
        <v>24453.75</v>
      </c>
      <c r="I645" t="s">
        <v>127</v>
      </c>
      <c r="J645">
        <v>0</v>
      </c>
      <c r="K645">
        <v>12.23</v>
      </c>
      <c r="L645">
        <v>1</v>
      </c>
      <c r="M645">
        <v>0.02</v>
      </c>
      <c r="N645">
        <v>100</v>
      </c>
      <c r="O645">
        <v>20.2</v>
      </c>
      <c r="P645">
        <v>133.44999999999999</v>
      </c>
      <c r="Q645" s="18">
        <f>YEAR(A645)</f>
        <v>2024</v>
      </c>
      <c r="R645" s="18">
        <f>MONTH(A645)</f>
        <v>7</v>
      </c>
      <c r="S645" s="18">
        <f>IF(R645&lt;4,Q645-1,Q645)</f>
        <v>2024</v>
      </c>
      <c r="T645" s="18">
        <f>IF(R645&lt;4,R645+9,R645-3)</f>
        <v>4</v>
      </c>
      <c r="U645" s="18" t="str">
        <f>IF(LEN(T645)=1,_xlfn.CONCAT(0,T645),T645)</f>
        <v>04</v>
      </c>
      <c r="V645" s="18" t="str">
        <f>_xlfn.CONCAT(S645,U645)</f>
        <v>202404</v>
      </c>
      <c r="W645" s="18" t="str">
        <f>_xlfn.CONCAT(TEXT(A645,"MMM"),"-",MID(Q645,3,2))</f>
        <v>Jul-24</v>
      </c>
      <c r="X645" s="19">
        <f>IFERROR(IF(D645="Sell",(H645-P645),-(H645+P645)),0)</f>
        <v>-24587.200000000001</v>
      </c>
      <c r="Y645" s="19">
        <f>X645/1000</f>
        <v>-24.587199999999999</v>
      </c>
    </row>
    <row r="646" spans="1:25" x14ac:dyDescent="0.25">
      <c r="A646" s="1">
        <v>45488</v>
      </c>
      <c r="B646" t="s">
        <v>121</v>
      </c>
      <c r="C646" t="s">
        <v>17</v>
      </c>
      <c r="D646" t="s">
        <v>18</v>
      </c>
      <c r="E646">
        <v>75</v>
      </c>
      <c r="F646">
        <v>0</v>
      </c>
      <c r="G646">
        <v>175.25</v>
      </c>
      <c r="H646">
        <v>13143.75</v>
      </c>
      <c r="I646" t="s">
        <v>122</v>
      </c>
      <c r="J646">
        <v>8</v>
      </c>
      <c r="K646">
        <v>6.57</v>
      </c>
      <c r="L646">
        <v>0</v>
      </c>
      <c r="M646">
        <v>0.01</v>
      </c>
      <c r="N646">
        <v>100</v>
      </c>
      <c r="O646">
        <v>19.18</v>
      </c>
      <c r="P646">
        <v>133.76</v>
      </c>
      <c r="Q646" s="18">
        <f>YEAR(A646)</f>
        <v>2024</v>
      </c>
      <c r="R646" s="18">
        <f>MONTH(A646)</f>
        <v>7</v>
      </c>
      <c r="S646" s="18">
        <f>IF(R646&lt;4,Q646-1,Q646)</f>
        <v>2024</v>
      </c>
      <c r="T646" s="18">
        <f>IF(R646&lt;4,R646+9,R646-3)</f>
        <v>4</v>
      </c>
      <c r="U646" s="18" t="str">
        <f>IF(LEN(T646)=1,_xlfn.CONCAT(0,T646),T646)</f>
        <v>04</v>
      </c>
      <c r="V646" s="18" t="str">
        <f>_xlfn.CONCAT(S646,U646)</f>
        <v>202404</v>
      </c>
      <c r="W646" s="18" t="str">
        <f>_xlfn.CONCAT(TEXT(A646,"MMM"),"-",MID(Q646,3,2))</f>
        <v>Jul-24</v>
      </c>
      <c r="X646" s="19">
        <f>IFERROR(IF(D646="Sell",(H646-P646),-(H646+P646)),0)</f>
        <v>13009.99</v>
      </c>
      <c r="Y646" s="19">
        <f>X646/1000</f>
        <v>13.00999</v>
      </c>
    </row>
    <row r="647" spans="1:25" x14ac:dyDescent="0.25">
      <c r="A647" s="1">
        <v>45488</v>
      </c>
      <c r="B647" t="s">
        <v>121</v>
      </c>
      <c r="C647" t="s">
        <v>17</v>
      </c>
      <c r="D647" t="s">
        <v>22</v>
      </c>
      <c r="E647">
        <v>15</v>
      </c>
      <c r="F647">
        <v>0</v>
      </c>
      <c r="G647">
        <v>140.25</v>
      </c>
      <c r="H647">
        <v>2103.75</v>
      </c>
      <c r="I647" t="s">
        <v>123</v>
      </c>
      <c r="J647">
        <v>0</v>
      </c>
      <c r="K647">
        <v>1.05</v>
      </c>
      <c r="L647">
        <v>0</v>
      </c>
      <c r="M647">
        <v>0</v>
      </c>
      <c r="N647">
        <v>20</v>
      </c>
      <c r="O647">
        <v>3.78</v>
      </c>
      <c r="P647">
        <v>24.83</v>
      </c>
      <c r="Q647" s="18">
        <f>YEAR(A647)</f>
        <v>2024</v>
      </c>
      <c r="R647" s="18">
        <f>MONTH(A647)</f>
        <v>7</v>
      </c>
      <c r="S647" s="18">
        <f>IF(R647&lt;4,Q647-1,Q647)</f>
        <v>2024</v>
      </c>
      <c r="T647" s="18">
        <f>IF(R647&lt;4,R647+9,R647-3)</f>
        <v>4</v>
      </c>
      <c r="U647" s="18" t="str">
        <f>IF(LEN(T647)=1,_xlfn.CONCAT(0,T647),T647)</f>
        <v>04</v>
      </c>
      <c r="V647" s="18" t="str">
        <f>_xlfn.CONCAT(S647,U647)</f>
        <v>202404</v>
      </c>
      <c r="W647" s="18" t="str">
        <f>_xlfn.CONCAT(TEXT(A647,"MMM"),"-",MID(Q647,3,2))</f>
        <v>Jul-24</v>
      </c>
      <c r="X647" s="19">
        <f>IFERROR(IF(D647="Sell",(H647-P647),-(H647+P647)),0)</f>
        <v>-2128.58</v>
      </c>
      <c r="Y647" s="19">
        <f>X647/1000</f>
        <v>-2.1285799999999999</v>
      </c>
    </row>
    <row r="648" spans="1:25" x14ac:dyDescent="0.25">
      <c r="A648" s="1">
        <v>45488</v>
      </c>
      <c r="B648" t="s">
        <v>121</v>
      </c>
      <c r="C648" t="s">
        <v>17</v>
      </c>
      <c r="D648" t="s">
        <v>22</v>
      </c>
      <c r="E648">
        <v>15</v>
      </c>
      <c r="F648">
        <v>0</v>
      </c>
      <c r="G648">
        <v>180</v>
      </c>
      <c r="H648">
        <v>2700</v>
      </c>
      <c r="I648" t="s">
        <v>124</v>
      </c>
      <c r="J648">
        <v>0</v>
      </c>
      <c r="K648">
        <v>1.35</v>
      </c>
      <c r="L648">
        <v>0</v>
      </c>
      <c r="M648">
        <v>0</v>
      </c>
      <c r="N648">
        <v>20</v>
      </c>
      <c r="O648">
        <v>3.84</v>
      </c>
      <c r="P648">
        <v>25.19</v>
      </c>
      <c r="Q648" s="18">
        <f>YEAR(A648)</f>
        <v>2024</v>
      </c>
      <c r="R648" s="18">
        <f>MONTH(A648)</f>
        <v>7</v>
      </c>
      <c r="S648" s="18">
        <f>IF(R648&lt;4,Q648-1,Q648)</f>
        <v>2024</v>
      </c>
      <c r="T648" s="18">
        <f>IF(R648&lt;4,R648+9,R648-3)</f>
        <v>4</v>
      </c>
      <c r="U648" s="18" t="str">
        <f>IF(LEN(T648)=1,_xlfn.CONCAT(0,T648),T648)</f>
        <v>04</v>
      </c>
      <c r="V648" s="18" t="str">
        <f>_xlfn.CONCAT(S648,U648)</f>
        <v>202404</v>
      </c>
      <c r="W648" s="18" t="str">
        <f>_xlfn.CONCAT(TEXT(A648,"MMM"),"-",MID(Q648,3,2))</f>
        <v>Jul-24</v>
      </c>
      <c r="X648" s="19">
        <f>IFERROR(IF(D648="Sell",(H648-P648),-(H648+P648)),0)</f>
        <v>-2725.19</v>
      </c>
      <c r="Y648" s="19">
        <f>X648/1000</f>
        <v>-2.72519</v>
      </c>
    </row>
    <row r="649" spans="1:25" x14ac:dyDescent="0.25">
      <c r="A649" s="1">
        <v>45488</v>
      </c>
      <c r="B649" t="s">
        <v>121</v>
      </c>
      <c r="C649" t="s">
        <v>17</v>
      </c>
      <c r="D649" t="s">
        <v>22</v>
      </c>
      <c r="E649">
        <v>45</v>
      </c>
      <c r="F649">
        <v>0</v>
      </c>
      <c r="G649">
        <v>216.5</v>
      </c>
      <c r="H649">
        <v>9742.5</v>
      </c>
      <c r="I649" t="s">
        <v>125</v>
      </c>
      <c r="J649">
        <v>0</v>
      </c>
      <c r="K649">
        <v>4.87</v>
      </c>
      <c r="L649">
        <v>0</v>
      </c>
      <c r="M649">
        <v>0.01</v>
      </c>
      <c r="N649">
        <v>60</v>
      </c>
      <c r="O649">
        <v>11.68</v>
      </c>
      <c r="P649">
        <v>76.56</v>
      </c>
      <c r="Q649" s="18">
        <f>YEAR(A649)</f>
        <v>2024</v>
      </c>
      <c r="R649" s="18">
        <f>MONTH(A649)</f>
        <v>7</v>
      </c>
      <c r="S649" s="18">
        <f>IF(R649&lt;4,Q649-1,Q649)</f>
        <v>2024</v>
      </c>
      <c r="T649" s="18">
        <f>IF(R649&lt;4,R649+9,R649-3)</f>
        <v>4</v>
      </c>
      <c r="U649" s="18" t="str">
        <f>IF(LEN(T649)=1,_xlfn.CONCAT(0,T649),T649)</f>
        <v>04</v>
      </c>
      <c r="V649" s="18" t="str">
        <f>_xlfn.CONCAT(S649,U649)</f>
        <v>202404</v>
      </c>
      <c r="W649" s="18" t="str">
        <f>_xlfn.CONCAT(TEXT(A649,"MMM"),"-",MID(Q649,3,2))</f>
        <v>Jul-24</v>
      </c>
      <c r="X649" s="19">
        <f>IFERROR(IF(D649="Sell",(H649-P649),-(H649+P649)),0)</f>
        <v>-9819.06</v>
      </c>
      <c r="Y649" s="19">
        <f>X649/1000</f>
        <v>-9.8190600000000003</v>
      </c>
    </row>
    <row r="650" spans="1:25" x14ac:dyDescent="0.25">
      <c r="A650" s="1">
        <v>45489</v>
      </c>
      <c r="B650" t="s">
        <v>114</v>
      </c>
      <c r="C650" t="s">
        <v>17</v>
      </c>
      <c r="D650" t="s">
        <v>18</v>
      </c>
      <c r="E650">
        <v>150</v>
      </c>
      <c r="F650">
        <v>0</v>
      </c>
      <c r="G650">
        <v>99.25</v>
      </c>
      <c r="H650">
        <v>14887.5</v>
      </c>
      <c r="I650" t="s">
        <v>115</v>
      </c>
      <c r="J650">
        <v>8.81</v>
      </c>
      <c r="K650">
        <v>7.44</v>
      </c>
      <c r="L650">
        <v>0</v>
      </c>
      <c r="M650">
        <v>0.01</v>
      </c>
      <c r="N650">
        <v>200</v>
      </c>
      <c r="O650">
        <v>37.340000000000003</v>
      </c>
      <c r="P650">
        <v>253.6</v>
      </c>
      <c r="Q650" s="18">
        <f>YEAR(A650)</f>
        <v>2024</v>
      </c>
      <c r="R650" s="18">
        <f>MONTH(A650)</f>
        <v>7</v>
      </c>
      <c r="S650" s="18">
        <f>IF(R650&lt;4,Q650-1,Q650)</f>
        <v>2024</v>
      </c>
      <c r="T650" s="18">
        <f>IF(R650&lt;4,R650+9,R650-3)</f>
        <v>4</v>
      </c>
      <c r="U650" s="18" t="str">
        <f>IF(LEN(T650)=1,_xlfn.CONCAT(0,T650),T650)</f>
        <v>04</v>
      </c>
      <c r="V650" s="18" t="str">
        <f>_xlfn.CONCAT(S650,U650)</f>
        <v>202404</v>
      </c>
      <c r="W650" s="18" t="str">
        <f>_xlfn.CONCAT(TEXT(A650,"MMM"),"-",MID(Q650,3,2))</f>
        <v>Jul-24</v>
      </c>
      <c r="X650" s="19">
        <f>IFERROR(IF(D650="Sell",(H650-P650),-(H650+P650)),0)</f>
        <v>14633.9</v>
      </c>
      <c r="Y650" s="19">
        <f>X650/1000</f>
        <v>14.633899999999999</v>
      </c>
    </row>
    <row r="651" spans="1:25" x14ac:dyDescent="0.25">
      <c r="A651" s="1">
        <v>45489</v>
      </c>
      <c r="B651" t="s">
        <v>114</v>
      </c>
      <c r="C651" t="s">
        <v>17</v>
      </c>
      <c r="D651" t="s">
        <v>22</v>
      </c>
      <c r="E651">
        <v>75</v>
      </c>
      <c r="F651">
        <v>0</v>
      </c>
      <c r="G651">
        <v>142.25</v>
      </c>
      <c r="H651">
        <v>10668.75</v>
      </c>
      <c r="I651" t="s">
        <v>116</v>
      </c>
      <c r="J651">
        <v>0</v>
      </c>
      <c r="K651">
        <v>5.33</v>
      </c>
      <c r="L651">
        <v>0</v>
      </c>
      <c r="M651">
        <v>0.01</v>
      </c>
      <c r="N651">
        <v>100</v>
      </c>
      <c r="O651">
        <v>18.96</v>
      </c>
      <c r="P651">
        <v>124.3</v>
      </c>
      <c r="Q651" s="18">
        <f>YEAR(A651)</f>
        <v>2024</v>
      </c>
      <c r="R651" s="18">
        <f>MONTH(A651)</f>
        <v>7</v>
      </c>
      <c r="S651" s="18">
        <f>IF(R651&lt;4,Q651-1,Q651)</f>
        <v>2024</v>
      </c>
      <c r="T651" s="18">
        <f>IF(R651&lt;4,R651+9,R651-3)</f>
        <v>4</v>
      </c>
      <c r="U651" s="18" t="str">
        <f>IF(LEN(T651)=1,_xlfn.CONCAT(0,T651),T651)</f>
        <v>04</v>
      </c>
      <c r="V651" s="18" t="str">
        <f>_xlfn.CONCAT(S651,U651)</f>
        <v>202404</v>
      </c>
      <c r="W651" s="18" t="str">
        <f>_xlfn.CONCAT(TEXT(A651,"MMM"),"-",MID(Q651,3,2))</f>
        <v>Jul-24</v>
      </c>
      <c r="X651" s="19">
        <f>IFERROR(IF(D651="Sell",(H651-P651),-(H651+P651)),0)</f>
        <v>-10793.05</v>
      </c>
      <c r="Y651" s="19">
        <f>X651/1000</f>
        <v>-10.793049999999999</v>
      </c>
    </row>
    <row r="652" spans="1:25" x14ac:dyDescent="0.25">
      <c r="A652" s="1">
        <v>45489</v>
      </c>
      <c r="B652" t="s">
        <v>114</v>
      </c>
      <c r="C652" t="s">
        <v>17</v>
      </c>
      <c r="D652" t="s">
        <v>22</v>
      </c>
      <c r="E652">
        <v>75</v>
      </c>
      <c r="F652">
        <v>0</v>
      </c>
      <c r="G652">
        <v>190</v>
      </c>
      <c r="H652">
        <v>14250</v>
      </c>
      <c r="I652" t="s">
        <v>117</v>
      </c>
      <c r="J652">
        <v>0</v>
      </c>
      <c r="K652">
        <v>7.13</v>
      </c>
      <c r="L652">
        <v>0.37</v>
      </c>
      <c r="M652">
        <v>0.01</v>
      </c>
      <c r="N652">
        <v>100</v>
      </c>
      <c r="O652">
        <v>19.28</v>
      </c>
      <c r="P652">
        <v>126.79</v>
      </c>
      <c r="Q652" s="18">
        <f>YEAR(A652)</f>
        <v>2024</v>
      </c>
      <c r="R652" s="18">
        <f>MONTH(A652)</f>
        <v>7</v>
      </c>
      <c r="S652" s="18">
        <f>IF(R652&lt;4,Q652-1,Q652)</f>
        <v>2024</v>
      </c>
      <c r="T652" s="18">
        <f>IF(R652&lt;4,R652+9,R652-3)</f>
        <v>4</v>
      </c>
      <c r="U652" s="18" t="str">
        <f>IF(LEN(T652)=1,_xlfn.CONCAT(0,T652),T652)</f>
        <v>04</v>
      </c>
      <c r="V652" s="18" t="str">
        <f>_xlfn.CONCAT(S652,U652)</f>
        <v>202404</v>
      </c>
      <c r="W652" s="18" t="str">
        <f>_xlfn.CONCAT(TEXT(A652,"MMM"),"-",MID(Q652,3,2))</f>
        <v>Jul-24</v>
      </c>
      <c r="X652" s="19">
        <f>IFERROR(IF(D652="Sell",(H652-P652),-(H652+P652)),0)</f>
        <v>-14376.79</v>
      </c>
      <c r="Y652" s="19">
        <f>X652/1000</f>
        <v>-14.376790000000002</v>
      </c>
    </row>
    <row r="653" spans="1:25" x14ac:dyDescent="0.25">
      <c r="A653" s="1">
        <v>45489</v>
      </c>
      <c r="B653" t="s">
        <v>118</v>
      </c>
      <c r="C653" t="s">
        <v>17</v>
      </c>
      <c r="D653" t="s">
        <v>18</v>
      </c>
      <c r="E653">
        <v>90</v>
      </c>
      <c r="F653">
        <v>0</v>
      </c>
      <c r="G653">
        <v>252.25</v>
      </c>
      <c r="H653">
        <v>22702.5</v>
      </c>
      <c r="I653" t="s">
        <v>119</v>
      </c>
      <c r="J653">
        <v>14.18</v>
      </c>
      <c r="K653">
        <v>11.35</v>
      </c>
      <c r="L653">
        <v>0</v>
      </c>
      <c r="M653">
        <v>0.02</v>
      </c>
      <c r="N653">
        <v>120</v>
      </c>
      <c r="O653">
        <v>23.64</v>
      </c>
      <c r="P653">
        <v>169.19</v>
      </c>
      <c r="Q653" s="18">
        <f>YEAR(A653)</f>
        <v>2024</v>
      </c>
      <c r="R653" s="18">
        <f>MONTH(A653)</f>
        <v>7</v>
      </c>
      <c r="S653" s="18">
        <f>IF(R653&lt;4,Q653-1,Q653)</f>
        <v>2024</v>
      </c>
      <c r="T653" s="18">
        <f>IF(R653&lt;4,R653+9,R653-3)</f>
        <v>4</v>
      </c>
      <c r="U653" s="18" t="str">
        <f>IF(LEN(T653)=1,_xlfn.CONCAT(0,T653),T653)</f>
        <v>04</v>
      </c>
      <c r="V653" s="18" t="str">
        <f>_xlfn.CONCAT(S653,U653)</f>
        <v>202404</v>
      </c>
      <c r="W653" s="18" t="str">
        <f>_xlfn.CONCAT(TEXT(A653,"MMM"),"-",MID(Q653,3,2))</f>
        <v>Jul-24</v>
      </c>
      <c r="X653" s="19">
        <f>IFERROR(IF(D653="Sell",(H653-P653),-(H653+P653)),0)</f>
        <v>22533.31</v>
      </c>
      <c r="Y653" s="19">
        <f>X653/1000</f>
        <v>22.53331</v>
      </c>
    </row>
    <row r="654" spans="1:25" x14ac:dyDescent="0.25">
      <c r="A654" s="1">
        <v>45489</v>
      </c>
      <c r="B654" t="s">
        <v>118</v>
      </c>
      <c r="C654" t="s">
        <v>17</v>
      </c>
      <c r="D654" t="s">
        <v>22</v>
      </c>
      <c r="E654">
        <v>90</v>
      </c>
      <c r="F654">
        <v>0</v>
      </c>
      <c r="G654">
        <v>232.05</v>
      </c>
      <c r="H654">
        <v>20884.5</v>
      </c>
      <c r="I654" t="s">
        <v>120</v>
      </c>
      <c r="J654">
        <v>0</v>
      </c>
      <c r="K654">
        <v>10.44</v>
      </c>
      <c r="L654">
        <v>0.63</v>
      </c>
      <c r="M654">
        <v>0.02</v>
      </c>
      <c r="N654">
        <v>120</v>
      </c>
      <c r="O654">
        <v>23.48</v>
      </c>
      <c r="P654">
        <v>154.57</v>
      </c>
      <c r="Q654" s="18">
        <f>YEAR(A654)</f>
        <v>2024</v>
      </c>
      <c r="R654" s="18">
        <f>MONTH(A654)</f>
        <v>7</v>
      </c>
      <c r="S654" s="18">
        <f>IF(R654&lt;4,Q654-1,Q654)</f>
        <v>2024</v>
      </c>
      <c r="T654" s="18">
        <f>IF(R654&lt;4,R654+9,R654-3)</f>
        <v>4</v>
      </c>
      <c r="U654" s="18" t="str">
        <f>IF(LEN(T654)=1,_xlfn.CONCAT(0,T654),T654)</f>
        <v>04</v>
      </c>
      <c r="V654" s="18" t="str">
        <f>_xlfn.CONCAT(S654,U654)</f>
        <v>202404</v>
      </c>
      <c r="W654" s="18" t="str">
        <f>_xlfn.CONCAT(TEXT(A654,"MMM"),"-",MID(Q654,3,2))</f>
        <v>Jul-24</v>
      </c>
      <c r="X654" s="19">
        <f>IFERROR(IF(D654="Sell",(H654-P654),-(H654+P654)),0)</f>
        <v>-21039.07</v>
      </c>
      <c r="Y654" s="19">
        <f>X654/1000</f>
        <v>-21.039069999999999</v>
      </c>
    </row>
    <row r="655" spans="1:25" x14ac:dyDescent="0.25">
      <c r="A655" s="1">
        <v>45491</v>
      </c>
      <c r="B655" t="s">
        <v>111</v>
      </c>
      <c r="C655" t="s">
        <v>17</v>
      </c>
      <c r="D655" t="s">
        <v>18</v>
      </c>
      <c r="E655">
        <v>900</v>
      </c>
      <c r="F655">
        <v>0</v>
      </c>
      <c r="G655">
        <v>31</v>
      </c>
      <c r="H655">
        <v>27900</v>
      </c>
      <c r="I655" t="s">
        <v>112</v>
      </c>
      <c r="J655">
        <v>17</v>
      </c>
      <c r="K655">
        <v>13.95</v>
      </c>
      <c r="L655">
        <v>0</v>
      </c>
      <c r="M655">
        <v>0.03</v>
      </c>
      <c r="N655">
        <v>720</v>
      </c>
      <c r="O655">
        <v>132.12</v>
      </c>
      <c r="P655">
        <v>883.1</v>
      </c>
      <c r="Q655" s="18">
        <f>YEAR(A655)</f>
        <v>2024</v>
      </c>
      <c r="R655" s="18">
        <f>MONTH(A655)</f>
        <v>7</v>
      </c>
      <c r="S655" s="18">
        <f>IF(R655&lt;4,Q655-1,Q655)</f>
        <v>2024</v>
      </c>
      <c r="T655" s="18">
        <f>IF(R655&lt;4,R655+9,R655-3)</f>
        <v>4</v>
      </c>
      <c r="U655" s="18" t="str">
        <f>IF(LEN(T655)=1,_xlfn.CONCAT(0,T655),T655)</f>
        <v>04</v>
      </c>
      <c r="V655" s="18" t="str">
        <f>_xlfn.CONCAT(S655,U655)</f>
        <v>202404</v>
      </c>
      <c r="W655" s="18" t="str">
        <f>_xlfn.CONCAT(TEXT(A655,"MMM"),"-",MID(Q655,3,2))</f>
        <v>Jul-24</v>
      </c>
      <c r="X655" s="19">
        <f>IFERROR(IF(D655="Sell",(H655-P655),-(H655+P655)),0)</f>
        <v>27016.9</v>
      </c>
      <c r="Y655" s="19">
        <f>X655/1000</f>
        <v>27.0169</v>
      </c>
    </row>
    <row r="656" spans="1:25" x14ac:dyDescent="0.25">
      <c r="A656" s="1">
        <v>45491</v>
      </c>
      <c r="B656" t="s">
        <v>111</v>
      </c>
      <c r="C656" t="s">
        <v>17</v>
      </c>
      <c r="D656" t="s">
        <v>22</v>
      </c>
      <c r="E656">
        <v>900</v>
      </c>
      <c r="F656">
        <v>0</v>
      </c>
      <c r="G656">
        <v>11</v>
      </c>
      <c r="H656">
        <v>9900</v>
      </c>
      <c r="I656" t="s">
        <v>113</v>
      </c>
      <c r="J656">
        <v>0</v>
      </c>
      <c r="K656">
        <v>4.96</v>
      </c>
      <c r="L656">
        <v>0</v>
      </c>
      <c r="M656">
        <v>0.01</v>
      </c>
      <c r="N656">
        <v>720</v>
      </c>
      <c r="O656">
        <v>130.5</v>
      </c>
      <c r="P656">
        <v>855.47</v>
      </c>
      <c r="Q656" s="18">
        <f>YEAR(A656)</f>
        <v>2024</v>
      </c>
      <c r="R656" s="18">
        <f>MONTH(A656)</f>
        <v>7</v>
      </c>
      <c r="S656" s="18">
        <f>IF(R656&lt;4,Q656-1,Q656)</f>
        <v>2024</v>
      </c>
      <c r="T656" s="18">
        <f>IF(R656&lt;4,R656+9,R656-3)</f>
        <v>4</v>
      </c>
      <c r="U656" s="18" t="str">
        <f>IF(LEN(T656)=1,_xlfn.CONCAT(0,T656),T656)</f>
        <v>04</v>
      </c>
      <c r="V656" s="18" t="str">
        <f>_xlfn.CONCAT(S656,U656)</f>
        <v>202404</v>
      </c>
      <c r="W656" s="18" t="str">
        <f>_xlfn.CONCAT(TEXT(A656,"MMM"),"-",MID(Q656,3,2))</f>
        <v>Jul-24</v>
      </c>
      <c r="X656" s="19">
        <f>IFERROR(IF(D656="Sell",(H656-P656),-(H656+P656)),0)</f>
        <v>-10755.47</v>
      </c>
      <c r="Y656" s="19">
        <f>X656/1000</f>
        <v>-10.755469999999999</v>
      </c>
    </row>
    <row r="657" spans="1:25" x14ac:dyDescent="0.25">
      <c r="A657" s="1">
        <v>45492</v>
      </c>
      <c r="B657" t="s">
        <v>105</v>
      </c>
      <c r="C657" t="s">
        <v>17</v>
      </c>
      <c r="D657" t="s">
        <v>18</v>
      </c>
      <c r="E657">
        <v>75</v>
      </c>
      <c r="F657">
        <v>0</v>
      </c>
      <c r="G657">
        <v>246</v>
      </c>
      <c r="H657">
        <v>18450</v>
      </c>
      <c r="I657" t="s">
        <v>106</v>
      </c>
      <c r="J657">
        <v>11.53</v>
      </c>
      <c r="K657">
        <v>9.23</v>
      </c>
      <c r="L657">
        <v>0</v>
      </c>
      <c r="M657">
        <v>0.02</v>
      </c>
      <c r="N657">
        <v>60</v>
      </c>
      <c r="O657">
        <v>12.46</v>
      </c>
      <c r="P657">
        <v>93.24</v>
      </c>
      <c r="Q657" s="18">
        <f>YEAR(A657)</f>
        <v>2024</v>
      </c>
      <c r="R657" s="18">
        <f>MONTH(A657)</f>
        <v>7</v>
      </c>
      <c r="S657" s="18">
        <f>IF(R657&lt;4,Q657-1,Q657)</f>
        <v>2024</v>
      </c>
      <c r="T657" s="18">
        <f>IF(R657&lt;4,R657+9,R657-3)</f>
        <v>4</v>
      </c>
      <c r="U657" s="18" t="str">
        <f>IF(LEN(T657)=1,_xlfn.CONCAT(0,T657),T657)</f>
        <v>04</v>
      </c>
      <c r="V657" s="18" t="str">
        <f>_xlfn.CONCAT(S657,U657)</f>
        <v>202404</v>
      </c>
      <c r="W657" s="18" t="str">
        <f>_xlfn.CONCAT(TEXT(A657,"MMM"),"-",MID(Q657,3,2))</f>
        <v>Jul-24</v>
      </c>
      <c r="X657" s="19">
        <f>IFERROR(IF(D657="Sell",(H657-P657),-(H657+P657)),0)</f>
        <v>18356.759999999998</v>
      </c>
      <c r="Y657" s="19">
        <f>X657/1000</f>
        <v>18.356759999999998</v>
      </c>
    </row>
    <row r="658" spans="1:25" x14ac:dyDescent="0.25">
      <c r="A658" s="1">
        <v>45492</v>
      </c>
      <c r="B658" t="s">
        <v>107</v>
      </c>
      <c r="C658" t="s">
        <v>17</v>
      </c>
      <c r="D658" t="s">
        <v>18</v>
      </c>
      <c r="E658">
        <v>15</v>
      </c>
      <c r="F658">
        <v>0</v>
      </c>
      <c r="G658">
        <v>389.25</v>
      </c>
      <c r="H658">
        <v>5838.75</v>
      </c>
      <c r="I658" t="s">
        <v>108</v>
      </c>
      <c r="J658">
        <v>3.47</v>
      </c>
      <c r="K658">
        <v>2.92</v>
      </c>
      <c r="L658">
        <v>0</v>
      </c>
      <c r="M658">
        <v>0.01</v>
      </c>
      <c r="N658">
        <v>20</v>
      </c>
      <c r="O658">
        <v>4.12</v>
      </c>
      <c r="P658">
        <v>30.52</v>
      </c>
      <c r="Q658" s="18">
        <f>YEAR(A658)</f>
        <v>2024</v>
      </c>
      <c r="R658" s="18">
        <f>MONTH(A658)</f>
        <v>7</v>
      </c>
      <c r="S658" s="18">
        <f>IF(R658&lt;4,Q658-1,Q658)</f>
        <v>2024</v>
      </c>
      <c r="T658" s="18">
        <f>IF(R658&lt;4,R658+9,R658-3)</f>
        <v>4</v>
      </c>
      <c r="U658" s="18" t="str">
        <f>IF(LEN(T658)=1,_xlfn.CONCAT(0,T658),T658)</f>
        <v>04</v>
      </c>
      <c r="V658" s="18" t="str">
        <f>_xlfn.CONCAT(S658,U658)</f>
        <v>202404</v>
      </c>
      <c r="W658" s="18" t="str">
        <f>_xlfn.CONCAT(TEXT(A658,"MMM"),"-",MID(Q658,3,2))</f>
        <v>Jul-24</v>
      </c>
      <c r="X658" s="19">
        <f>IFERROR(IF(D658="Sell",(H658-P658),-(H658+P658)),0)</f>
        <v>5808.23</v>
      </c>
      <c r="Y658" s="19">
        <f>X658/1000</f>
        <v>5.80823</v>
      </c>
    </row>
    <row r="659" spans="1:25" x14ac:dyDescent="0.25">
      <c r="A659" s="1">
        <v>45492</v>
      </c>
      <c r="B659" t="s">
        <v>105</v>
      </c>
      <c r="C659" t="s">
        <v>17</v>
      </c>
      <c r="D659" t="s">
        <v>22</v>
      </c>
      <c r="E659">
        <v>75</v>
      </c>
      <c r="F659">
        <v>0</v>
      </c>
      <c r="G659">
        <v>220</v>
      </c>
      <c r="H659">
        <v>16500</v>
      </c>
      <c r="I659" t="s">
        <v>109</v>
      </c>
      <c r="J659">
        <v>0</v>
      </c>
      <c r="K659">
        <v>8.25</v>
      </c>
      <c r="L659">
        <v>0.82</v>
      </c>
      <c r="M659">
        <v>0.02</v>
      </c>
      <c r="N659">
        <v>60</v>
      </c>
      <c r="O659">
        <v>12.28</v>
      </c>
      <c r="P659">
        <v>81.37</v>
      </c>
      <c r="Q659" s="18">
        <f>YEAR(A659)</f>
        <v>2024</v>
      </c>
      <c r="R659" s="18">
        <f>MONTH(A659)</f>
        <v>7</v>
      </c>
      <c r="S659" s="18">
        <f>IF(R659&lt;4,Q659-1,Q659)</f>
        <v>2024</v>
      </c>
      <c r="T659" s="18">
        <f>IF(R659&lt;4,R659+9,R659-3)</f>
        <v>4</v>
      </c>
      <c r="U659" s="18" t="str">
        <f>IF(LEN(T659)=1,_xlfn.CONCAT(0,T659),T659)</f>
        <v>04</v>
      </c>
      <c r="V659" s="18" t="str">
        <f>_xlfn.CONCAT(S659,U659)</f>
        <v>202404</v>
      </c>
      <c r="W659" s="18" t="str">
        <f>_xlfn.CONCAT(TEXT(A659,"MMM"),"-",MID(Q659,3,2))</f>
        <v>Jul-24</v>
      </c>
      <c r="X659" s="19">
        <f>IFERROR(IF(D659="Sell",(H659-P659),-(H659+P659)),0)</f>
        <v>-16581.37</v>
      </c>
      <c r="Y659" s="19">
        <f>X659/1000</f>
        <v>-16.58137</v>
      </c>
    </row>
    <row r="660" spans="1:25" x14ac:dyDescent="0.25">
      <c r="A660" s="1">
        <v>45492</v>
      </c>
      <c r="B660" t="s">
        <v>107</v>
      </c>
      <c r="C660" t="s">
        <v>17</v>
      </c>
      <c r="D660" t="s">
        <v>22</v>
      </c>
      <c r="E660">
        <v>15</v>
      </c>
      <c r="F660">
        <v>0</v>
      </c>
      <c r="G660">
        <v>411</v>
      </c>
      <c r="H660">
        <v>6165</v>
      </c>
      <c r="I660" t="s">
        <v>110</v>
      </c>
      <c r="J660">
        <v>0</v>
      </c>
      <c r="K660">
        <v>3.08</v>
      </c>
      <c r="L660">
        <v>0.18</v>
      </c>
      <c r="M660">
        <v>0.01</v>
      </c>
      <c r="N660">
        <v>20</v>
      </c>
      <c r="O660">
        <v>4.16</v>
      </c>
      <c r="P660">
        <v>27.43</v>
      </c>
      <c r="Q660" s="18">
        <f>YEAR(A660)</f>
        <v>2024</v>
      </c>
      <c r="R660" s="18">
        <f>MONTH(A660)</f>
        <v>7</v>
      </c>
      <c r="S660" s="18">
        <f>IF(R660&lt;4,Q660-1,Q660)</f>
        <v>2024</v>
      </c>
      <c r="T660" s="18">
        <f>IF(R660&lt;4,R660+9,R660-3)</f>
        <v>4</v>
      </c>
      <c r="U660" s="18" t="str">
        <f>IF(LEN(T660)=1,_xlfn.CONCAT(0,T660),T660)</f>
        <v>04</v>
      </c>
      <c r="V660" s="18" t="str">
        <f>_xlfn.CONCAT(S660,U660)</f>
        <v>202404</v>
      </c>
      <c r="W660" s="18" t="str">
        <f>_xlfn.CONCAT(TEXT(A660,"MMM"),"-",MID(Q660,3,2))</f>
        <v>Jul-24</v>
      </c>
      <c r="X660" s="19">
        <f>IFERROR(IF(D660="Sell",(H660-P660),-(H660+P660)),0)</f>
        <v>-6192.43</v>
      </c>
      <c r="Y660" s="19">
        <f>X660/1000</f>
        <v>-6.1924299999999999</v>
      </c>
    </row>
    <row r="661" spans="1:25" x14ac:dyDescent="0.25">
      <c r="A661" s="1">
        <v>45495</v>
      </c>
      <c r="B661" t="s">
        <v>101</v>
      </c>
      <c r="C661" t="s">
        <v>17</v>
      </c>
      <c r="D661" t="s">
        <v>18</v>
      </c>
      <c r="E661">
        <v>1800</v>
      </c>
      <c r="F661">
        <v>0</v>
      </c>
      <c r="G661">
        <v>2.6</v>
      </c>
      <c r="H661">
        <v>4680</v>
      </c>
      <c r="I661" t="s">
        <v>102</v>
      </c>
      <c r="J661">
        <v>3</v>
      </c>
      <c r="K661">
        <v>2.35</v>
      </c>
      <c r="L661">
        <v>0</v>
      </c>
      <c r="M661">
        <v>0</v>
      </c>
      <c r="N661">
        <v>480</v>
      </c>
      <c r="O661">
        <v>86.86</v>
      </c>
      <c r="P661">
        <v>572.21</v>
      </c>
      <c r="Q661" s="18">
        <f>YEAR(A661)</f>
        <v>2024</v>
      </c>
      <c r="R661" s="18">
        <f>MONTH(A661)</f>
        <v>7</v>
      </c>
      <c r="S661" s="18">
        <f>IF(R661&lt;4,Q661-1,Q661)</f>
        <v>2024</v>
      </c>
      <c r="T661" s="18">
        <f>IF(R661&lt;4,R661+9,R661-3)</f>
        <v>4</v>
      </c>
      <c r="U661" s="18" t="str">
        <f>IF(LEN(T661)=1,_xlfn.CONCAT(0,T661),T661)</f>
        <v>04</v>
      </c>
      <c r="V661" s="18" t="str">
        <f>_xlfn.CONCAT(S661,U661)</f>
        <v>202404</v>
      </c>
      <c r="W661" s="18" t="str">
        <f>_xlfn.CONCAT(TEXT(A661,"MMM"),"-",MID(Q661,3,2))</f>
        <v>Jul-24</v>
      </c>
      <c r="X661" s="19">
        <f>IFERROR(IF(D661="Sell",(H661-P661),-(H661+P661)),0)</f>
        <v>4107.79</v>
      </c>
      <c r="Y661" s="19">
        <f>X661/1000</f>
        <v>4.1077899999999996</v>
      </c>
    </row>
    <row r="662" spans="1:25" x14ac:dyDescent="0.25">
      <c r="A662" s="1">
        <v>45495</v>
      </c>
      <c r="B662" t="s">
        <v>101</v>
      </c>
      <c r="C662" t="s">
        <v>17</v>
      </c>
      <c r="D662" t="s">
        <v>22</v>
      </c>
      <c r="E662">
        <v>900</v>
      </c>
      <c r="F662">
        <v>0</v>
      </c>
      <c r="G662">
        <v>3</v>
      </c>
      <c r="H662">
        <v>2700</v>
      </c>
      <c r="I662" t="s">
        <v>103</v>
      </c>
      <c r="J662">
        <v>0</v>
      </c>
      <c r="K662">
        <v>1.35</v>
      </c>
      <c r="L662">
        <v>0</v>
      </c>
      <c r="M662">
        <v>0</v>
      </c>
      <c r="N662">
        <v>240</v>
      </c>
      <c r="O662">
        <v>43.44</v>
      </c>
      <c r="P662">
        <v>284.79000000000002</v>
      </c>
      <c r="Q662" s="18">
        <f>YEAR(A662)</f>
        <v>2024</v>
      </c>
      <c r="R662" s="18">
        <f>MONTH(A662)</f>
        <v>7</v>
      </c>
      <c r="S662" s="18">
        <f>IF(R662&lt;4,Q662-1,Q662)</f>
        <v>2024</v>
      </c>
      <c r="T662" s="18">
        <f>IF(R662&lt;4,R662+9,R662-3)</f>
        <v>4</v>
      </c>
      <c r="U662" s="18" t="str">
        <f>IF(LEN(T662)=1,_xlfn.CONCAT(0,T662),T662)</f>
        <v>04</v>
      </c>
      <c r="V662" s="18" t="str">
        <f>_xlfn.CONCAT(S662,U662)</f>
        <v>202404</v>
      </c>
      <c r="W662" s="18" t="str">
        <f>_xlfn.CONCAT(TEXT(A662,"MMM"),"-",MID(Q662,3,2))</f>
        <v>Jul-24</v>
      </c>
      <c r="X662" s="19">
        <f>IFERROR(IF(D662="Sell",(H662-P662),-(H662+P662)),0)</f>
        <v>-2984.79</v>
      </c>
      <c r="Y662" s="19">
        <f>X662/1000</f>
        <v>-2.9847899999999998</v>
      </c>
    </row>
    <row r="663" spans="1:25" x14ac:dyDescent="0.25">
      <c r="A663" s="1">
        <v>45495</v>
      </c>
      <c r="B663" t="s">
        <v>101</v>
      </c>
      <c r="C663" t="s">
        <v>17</v>
      </c>
      <c r="D663" t="s">
        <v>22</v>
      </c>
      <c r="E663">
        <v>900</v>
      </c>
      <c r="F663">
        <v>0</v>
      </c>
      <c r="G663">
        <v>6.7</v>
      </c>
      <c r="H663">
        <v>6030</v>
      </c>
      <c r="I663" t="s">
        <v>104</v>
      </c>
      <c r="J663">
        <v>0</v>
      </c>
      <c r="K663">
        <v>3.01</v>
      </c>
      <c r="L663">
        <v>0</v>
      </c>
      <c r="M663">
        <v>0</v>
      </c>
      <c r="N663">
        <v>240</v>
      </c>
      <c r="O663">
        <v>43.74</v>
      </c>
      <c r="P663">
        <v>286.75</v>
      </c>
      <c r="Q663" s="18">
        <f>YEAR(A663)</f>
        <v>2024</v>
      </c>
      <c r="R663" s="18">
        <f>MONTH(A663)</f>
        <v>7</v>
      </c>
      <c r="S663" s="18">
        <f>IF(R663&lt;4,Q663-1,Q663)</f>
        <v>2024</v>
      </c>
      <c r="T663" s="18">
        <f>IF(R663&lt;4,R663+9,R663-3)</f>
        <v>4</v>
      </c>
      <c r="U663" s="18" t="str">
        <f>IF(LEN(T663)=1,_xlfn.CONCAT(0,T663),T663)</f>
        <v>04</v>
      </c>
      <c r="V663" s="18" t="str">
        <f>_xlfn.CONCAT(S663,U663)</f>
        <v>202404</v>
      </c>
      <c r="W663" s="18" t="str">
        <f>_xlfn.CONCAT(TEXT(A663,"MMM"),"-",MID(Q663,3,2))</f>
        <v>Jul-24</v>
      </c>
      <c r="X663" s="19">
        <f>IFERROR(IF(D663="Sell",(H663-P663),-(H663+P663)),0)</f>
        <v>-6316.75</v>
      </c>
      <c r="Y663" s="19">
        <f>X663/1000</f>
        <v>-6.3167499999999999</v>
      </c>
    </row>
    <row r="664" spans="1:25" x14ac:dyDescent="0.25">
      <c r="A664" s="1">
        <v>45496</v>
      </c>
      <c r="B664" t="s">
        <v>90</v>
      </c>
      <c r="C664" t="s">
        <v>17</v>
      </c>
      <c r="D664" t="s">
        <v>22</v>
      </c>
      <c r="E664">
        <v>150</v>
      </c>
      <c r="F664">
        <v>0</v>
      </c>
      <c r="G664">
        <v>98.4</v>
      </c>
      <c r="H664">
        <v>14759.25</v>
      </c>
      <c r="I664" t="s">
        <v>96</v>
      </c>
      <c r="J664">
        <v>0</v>
      </c>
      <c r="K664">
        <v>7.38</v>
      </c>
      <c r="L664">
        <v>1.38</v>
      </c>
      <c r="M664">
        <v>0.01</v>
      </c>
      <c r="N664">
        <v>200</v>
      </c>
      <c r="O664">
        <v>37.340000000000003</v>
      </c>
      <c r="P664">
        <v>246.11</v>
      </c>
      <c r="Q664" s="18">
        <f>YEAR(A664)</f>
        <v>2024</v>
      </c>
      <c r="R664" s="18">
        <f>MONTH(A664)</f>
        <v>7</v>
      </c>
      <c r="S664" s="18">
        <f>IF(R664&lt;4,Q664-1,Q664)</f>
        <v>2024</v>
      </c>
      <c r="T664" s="18">
        <f>IF(R664&lt;4,R664+9,R664-3)</f>
        <v>4</v>
      </c>
      <c r="U664" s="18" t="str">
        <f>IF(LEN(T664)=1,_xlfn.CONCAT(0,T664),T664)</f>
        <v>04</v>
      </c>
      <c r="V664" s="18" t="str">
        <f>_xlfn.CONCAT(S664,U664)</f>
        <v>202404</v>
      </c>
      <c r="W664" s="18" t="str">
        <f>_xlfn.CONCAT(TEXT(A664,"MMM"),"-",MID(Q664,3,2))</f>
        <v>Jul-24</v>
      </c>
      <c r="X664" s="19">
        <f>IFERROR(IF(D664="Sell",(H664-P664),-(H664+P664)),0)</f>
        <v>-15005.36</v>
      </c>
      <c r="Y664" s="19">
        <f>X664/1000</f>
        <v>-15.005360000000001</v>
      </c>
    </row>
    <row r="665" spans="1:25" x14ac:dyDescent="0.25">
      <c r="A665" s="1">
        <v>45496</v>
      </c>
      <c r="B665" t="s">
        <v>90</v>
      </c>
      <c r="C665" t="s">
        <v>17</v>
      </c>
      <c r="D665" t="s">
        <v>22</v>
      </c>
      <c r="E665">
        <v>45</v>
      </c>
      <c r="F665">
        <v>0</v>
      </c>
      <c r="G665">
        <v>435.65</v>
      </c>
      <c r="H665">
        <v>19604.25</v>
      </c>
      <c r="I665" t="s">
        <v>97</v>
      </c>
      <c r="J665">
        <v>0</v>
      </c>
      <c r="K665">
        <v>9.8000000000000007</v>
      </c>
      <c r="L665">
        <v>0</v>
      </c>
      <c r="M665">
        <v>0.02</v>
      </c>
      <c r="N665">
        <v>60</v>
      </c>
      <c r="O665">
        <v>12.56</v>
      </c>
      <c r="P665">
        <v>82.38</v>
      </c>
      <c r="Q665" s="18">
        <f>YEAR(A665)</f>
        <v>2024</v>
      </c>
      <c r="R665" s="18">
        <f>MONTH(A665)</f>
        <v>7</v>
      </c>
      <c r="S665" s="18">
        <f>IF(R665&lt;4,Q665-1,Q665)</f>
        <v>2024</v>
      </c>
      <c r="T665" s="18">
        <f>IF(R665&lt;4,R665+9,R665-3)</f>
        <v>4</v>
      </c>
      <c r="U665" s="18" t="str">
        <f>IF(LEN(T665)=1,_xlfn.CONCAT(0,T665),T665)</f>
        <v>04</v>
      </c>
      <c r="V665" s="18" t="str">
        <f>_xlfn.CONCAT(S665,U665)</f>
        <v>202404</v>
      </c>
      <c r="W665" s="18" t="str">
        <f>_xlfn.CONCAT(TEXT(A665,"MMM"),"-",MID(Q665,3,2))</f>
        <v>Jul-24</v>
      </c>
      <c r="X665" s="19">
        <f>IFERROR(IF(D665="Sell",(H665-P665),-(H665+P665)),0)</f>
        <v>-19686.63</v>
      </c>
      <c r="Y665" s="19">
        <f>X665/1000</f>
        <v>-19.686630000000001</v>
      </c>
    </row>
    <row r="666" spans="1:25" x14ac:dyDescent="0.25">
      <c r="A666" s="1">
        <v>45496</v>
      </c>
      <c r="B666" t="s">
        <v>98</v>
      </c>
      <c r="C666" t="s">
        <v>17</v>
      </c>
      <c r="D666" t="s">
        <v>18</v>
      </c>
      <c r="E666">
        <v>75</v>
      </c>
      <c r="F666">
        <v>0</v>
      </c>
      <c r="G666">
        <v>195</v>
      </c>
      <c r="H666">
        <v>14625</v>
      </c>
      <c r="I666" t="s">
        <v>99</v>
      </c>
      <c r="J666">
        <v>9</v>
      </c>
      <c r="K666">
        <v>7.31</v>
      </c>
      <c r="L666">
        <v>0</v>
      </c>
      <c r="M666">
        <v>0.01</v>
      </c>
      <c r="N666">
        <v>100</v>
      </c>
      <c r="O666">
        <v>19.32</v>
      </c>
      <c r="P666">
        <v>135.63999999999999</v>
      </c>
      <c r="Q666" s="18">
        <f>YEAR(A666)</f>
        <v>2024</v>
      </c>
      <c r="R666" s="18">
        <f>MONTH(A666)</f>
        <v>7</v>
      </c>
      <c r="S666" s="18">
        <f>IF(R666&lt;4,Q666-1,Q666)</f>
        <v>2024</v>
      </c>
      <c r="T666" s="18">
        <f>IF(R666&lt;4,R666+9,R666-3)</f>
        <v>4</v>
      </c>
      <c r="U666" s="18" t="str">
        <f>IF(LEN(T666)=1,_xlfn.CONCAT(0,T666),T666)</f>
        <v>04</v>
      </c>
      <c r="V666" s="18" t="str">
        <f>_xlfn.CONCAT(S666,U666)</f>
        <v>202404</v>
      </c>
      <c r="W666" s="18" t="str">
        <f>_xlfn.CONCAT(TEXT(A666,"MMM"),"-",MID(Q666,3,2))</f>
        <v>Jul-24</v>
      </c>
      <c r="X666" s="19">
        <f>IFERROR(IF(D666="Sell",(H666-P666),-(H666+P666)),0)</f>
        <v>14489.36</v>
      </c>
      <c r="Y666" s="19">
        <f>X666/1000</f>
        <v>14.489360000000001</v>
      </c>
    </row>
    <row r="667" spans="1:25" x14ac:dyDescent="0.25">
      <c r="A667" s="1">
        <v>45496</v>
      </c>
      <c r="B667" t="s">
        <v>98</v>
      </c>
      <c r="C667" t="s">
        <v>17</v>
      </c>
      <c r="D667" t="s">
        <v>22</v>
      </c>
      <c r="E667">
        <v>75</v>
      </c>
      <c r="F667">
        <v>0</v>
      </c>
      <c r="G667">
        <v>275.98</v>
      </c>
      <c r="H667">
        <v>20698.5</v>
      </c>
      <c r="I667" t="s">
        <v>100</v>
      </c>
      <c r="J667">
        <v>0</v>
      </c>
      <c r="K667">
        <v>10.35</v>
      </c>
      <c r="L667">
        <v>0.62</v>
      </c>
      <c r="M667">
        <v>0.01</v>
      </c>
      <c r="N667">
        <v>100</v>
      </c>
      <c r="O667">
        <v>19.88</v>
      </c>
      <c r="P667">
        <v>130.86000000000001</v>
      </c>
      <c r="Q667" s="18">
        <f>YEAR(A667)</f>
        <v>2024</v>
      </c>
      <c r="R667" s="18">
        <f>MONTH(A667)</f>
        <v>7</v>
      </c>
      <c r="S667" s="18">
        <f>IF(R667&lt;4,Q667-1,Q667)</f>
        <v>2024</v>
      </c>
      <c r="T667" s="18">
        <f>IF(R667&lt;4,R667+9,R667-3)</f>
        <v>4</v>
      </c>
      <c r="U667" s="18" t="str">
        <f>IF(LEN(T667)=1,_xlfn.CONCAT(0,T667),T667)</f>
        <v>04</v>
      </c>
      <c r="V667" s="18" t="str">
        <f>_xlfn.CONCAT(S667,U667)</f>
        <v>202404</v>
      </c>
      <c r="W667" s="18" t="str">
        <f>_xlfn.CONCAT(TEXT(A667,"MMM"),"-",MID(Q667,3,2))</f>
        <v>Jul-24</v>
      </c>
      <c r="X667" s="19">
        <f>IFERROR(IF(D667="Sell",(H667-P667),-(H667+P667)),0)</f>
        <v>-20829.36</v>
      </c>
      <c r="Y667" s="19">
        <f>X667/1000</f>
        <v>-20.829360000000001</v>
      </c>
    </row>
    <row r="668" spans="1:25" x14ac:dyDescent="0.25">
      <c r="A668" s="1">
        <v>45497</v>
      </c>
      <c r="B668" t="s">
        <v>90</v>
      </c>
      <c r="C668" t="s">
        <v>17</v>
      </c>
      <c r="D668" t="s">
        <v>18</v>
      </c>
      <c r="E668">
        <v>195</v>
      </c>
      <c r="F668">
        <v>0</v>
      </c>
      <c r="G668">
        <v>8.75</v>
      </c>
      <c r="H668">
        <v>1706.25</v>
      </c>
      <c r="I668" t="s">
        <v>91</v>
      </c>
      <c r="J668">
        <v>1.07</v>
      </c>
      <c r="K668">
        <v>0.85</v>
      </c>
      <c r="L668">
        <v>0</v>
      </c>
      <c r="M668">
        <v>0</v>
      </c>
      <c r="N668">
        <v>260</v>
      </c>
      <c r="O668">
        <v>46.96</v>
      </c>
      <c r="P668">
        <v>308.88</v>
      </c>
      <c r="Q668" s="18">
        <f>YEAR(A668)</f>
        <v>2024</v>
      </c>
      <c r="R668" s="18">
        <f>MONTH(A668)</f>
        <v>7</v>
      </c>
      <c r="S668" s="18">
        <f>IF(R668&lt;4,Q668-1,Q668)</f>
        <v>2024</v>
      </c>
      <c r="T668" s="18">
        <f>IF(R668&lt;4,R668+9,R668-3)</f>
        <v>4</v>
      </c>
      <c r="U668" s="18" t="str">
        <f>IF(LEN(T668)=1,_xlfn.CONCAT(0,T668),T668)</f>
        <v>04</v>
      </c>
      <c r="V668" s="18" t="str">
        <f>_xlfn.CONCAT(S668,U668)</f>
        <v>202404</v>
      </c>
      <c r="W668" s="18" t="str">
        <f>_xlfn.CONCAT(TEXT(A668,"MMM"),"-",MID(Q668,3,2))</f>
        <v>Jul-24</v>
      </c>
      <c r="X668" s="19">
        <f>IFERROR(IF(D668="Sell",(H668-P668),-(H668+P668)),0)</f>
        <v>1397.37</v>
      </c>
      <c r="Y668" s="19">
        <f>X668/1000</f>
        <v>1.39737</v>
      </c>
    </row>
    <row r="669" spans="1:25" x14ac:dyDescent="0.25">
      <c r="A669" s="1">
        <v>45497</v>
      </c>
      <c r="B669" t="s">
        <v>90</v>
      </c>
      <c r="C669" t="s">
        <v>17</v>
      </c>
      <c r="D669" t="s">
        <v>18</v>
      </c>
      <c r="E669">
        <v>900</v>
      </c>
      <c r="F669">
        <v>0</v>
      </c>
      <c r="G669">
        <v>8.6999999999999993</v>
      </c>
      <c r="H669">
        <v>7830</v>
      </c>
      <c r="I669" t="s">
        <v>92</v>
      </c>
      <c r="J669">
        <v>4.8899999999999997</v>
      </c>
      <c r="K669">
        <v>3.92</v>
      </c>
      <c r="L669">
        <v>0</v>
      </c>
      <c r="M669">
        <v>0</v>
      </c>
      <c r="N669">
        <v>1200</v>
      </c>
      <c r="O669">
        <v>216.7</v>
      </c>
      <c r="P669">
        <v>1425.51</v>
      </c>
      <c r="Q669" s="18">
        <f>YEAR(A669)</f>
        <v>2024</v>
      </c>
      <c r="R669" s="18">
        <f>MONTH(A669)</f>
        <v>7</v>
      </c>
      <c r="S669" s="18">
        <f>IF(R669&lt;4,Q669-1,Q669)</f>
        <v>2024</v>
      </c>
      <c r="T669" s="18">
        <f>IF(R669&lt;4,R669+9,R669-3)</f>
        <v>4</v>
      </c>
      <c r="U669" s="18" t="str">
        <f>IF(LEN(T669)=1,_xlfn.CONCAT(0,T669),T669)</f>
        <v>04</v>
      </c>
      <c r="V669" s="18" t="str">
        <f>_xlfn.CONCAT(S669,U669)</f>
        <v>202404</v>
      </c>
      <c r="W669" s="18" t="str">
        <f>_xlfn.CONCAT(TEXT(A669,"MMM"),"-",MID(Q669,3,2))</f>
        <v>Jul-24</v>
      </c>
      <c r="X669" s="19">
        <f>IFERROR(IF(D669="Sell",(H669-P669),-(H669+P669)),0)</f>
        <v>6404.49</v>
      </c>
      <c r="Y669" s="19">
        <f>X669/1000</f>
        <v>6.40449</v>
      </c>
    </row>
    <row r="670" spans="1:25" x14ac:dyDescent="0.25">
      <c r="A670" s="1">
        <v>45497</v>
      </c>
      <c r="B670" t="s">
        <v>90</v>
      </c>
      <c r="C670" t="s">
        <v>17</v>
      </c>
      <c r="D670" t="s">
        <v>18</v>
      </c>
      <c r="E670">
        <v>900</v>
      </c>
      <c r="F670">
        <v>0</v>
      </c>
      <c r="G670">
        <v>8.75</v>
      </c>
      <c r="H670">
        <v>7875</v>
      </c>
      <c r="I670" t="s">
        <v>93</v>
      </c>
      <c r="J670">
        <v>5.03</v>
      </c>
      <c r="K670">
        <v>3.94</v>
      </c>
      <c r="L670">
        <v>0</v>
      </c>
      <c r="M670">
        <v>0</v>
      </c>
      <c r="N670">
        <v>1200</v>
      </c>
      <c r="O670">
        <v>216.72</v>
      </c>
      <c r="P670">
        <v>1425.69</v>
      </c>
      <c r="Q670" s="18">
        <f>YEAR(A670)</f>
        <v>2024</v>
      </c>
      <c r="R670" s="18">
        <f>MONTH(A670)</f>
        <v>7</v>
      </c>
      <c r="S670" s="18">
        <f>IF(R670&lt;4,Q670-1,Q670)</f>
        <v>2024</v>
      </c>
      <c r="T670" s="18">
        <f>IF(R670&lt;4,R670+9,R670-3)</f>
        <v>4</v>
      </c>
      <c r="U670" s="18" t="str">
        <f>IF(LEN(T670)=1,_xlfn.CONCAT(0,T670),T670)</f>
        <v>04</v>
      </c>
      <c r="V670" s="18" t="str">
        <f>_xlfn.CONCAT(S670,U670)</f>
        <v>202404</v>
      </c>
      <c r="W670" s="18" t="str">
        <f>_xlfn.CONCAT(TEXT(A670,"MMM"),"-",MID(Q670,3,2))</f>
        <v>Jul-24</v>
      </c>
      <c r="X670" s="19">
        <f>IFERROR(IF(D670="Sell",(H670-P670),-(H670+P670)),0)</f>
        <v>6449.3099999999995</v>
      </c>
      <c r="Y670" s="19">
        <f>X670/1000</f>
        <v>6.4493099999999997</v>
      </c>
    </row>
    <row r="671" spans="1:25" x14ac:dyDescent="0.25">
      <c r="A671" s="1">
        <v>45497</v>
      </c>
      <c r="B671" t="s">
        <v>90</v>
      </c>
      <c r="C671" t="s">
        <v>17</v>
      </c>
      <c r="D671" t="s">
        <v>22</v>
      </c>
      <c r="E671">
        <v>900</v>
      </c>
      <c r="F671">
        <v>0</v>
      </c>
      <c r="G671">
        <v>16.25</v>
      </c>
      <c r="H671">
        <v>14625</v>
      </c>
      <c r="I671" t="s">
        <v>94</v>
      </c>
      <c r="J671">
        <v>0</v>
      </c>
      <c r="K671">
        <v>7.32</v>
      </c>
      <c r="L671">
        <v>0</v>
      </c>
      <c r="M671">
        <v>0.02</v>
      </c>
      <c r="N671">
        <v>1200</v>
      </c>
      <c r="O671">
        <v>217.3</v>
      </c>
      <c r="P671">
        <v>1424.64</v>
      </c>
      <c r="Q671" s="18">
        <f>YEAR(A671)</f>
        <v>2024</v>
      </c>
      <c r="R671" s="18">
        <f>MONTH(A671)</f>
        <v>7</v>
      </c>
      <c r="S671" s="18">
        <f>IF(R671&lt;4,Q671-1,Q671)</f>
        <v>2024</v>
      </c>
      <c r="T671" s="18">
        <f>IF(R671&lt;4,R671+9,R671-3)</f>
        <v>4</v>
      </c>
      <c r="U671" s="18" t="str">
        <f>IF(LEN(T671)=1,_xlfn.CONCAT(0,T671),T671)</f>
        <v>04</v>
      </c>
      <c r="V671" s="18" t="str">
        <f>_xlfn.CONCAT(S671,U671)</f>
        <v>202404</v>
      </c>
      <c r="W671" s="18" t="str">
        <f>_xlfn.CONCAT(TEXT(A671,"MMM"),"-",MID(Q671,3,2))</f>
        <v>Jul-24</v>
      </c>
      <c r="X671" s="19">
        <f>IFERROR(IF(D671="Sell",(H671-P671),-(H671+P671)),0)</f>
        <v>-16049.64</v>
      </c>
      <c r="Y671" s="19">
        <f>X671/1000</f>
        <v>-16.04964</v>
      </c>
    </row>
    <row r="672" spans="1:25" x14ac:dyDescent="0.25">
      <c r="A672" s="1">
        <v>45497</v>
      </c>
      <c r="B672" t="s">
        <v>90</v>
      </c>
      <c r="C672" t="s">
        <v>17</v>
      </c>
      <c r="D672" t="s">
        <v>22</v>
      </c>
      <c r="E672">
        <v>900</v>
      </c>
      <c r="F672">
        <v>0</v>
      </c>
      <c r="G672">
        <v>21.25</v>
      </c>
      <c r="H672">
        <v>19125</v>
      </c>
      <c r="I672" t="s">
        <v>95</v>
      </c>
      <c r="J672">
        <v>0</v>
      </c>
      <c r="K672">
        <v>9.57</v>
      </c>
      <c r="L672">
        <v>1</v>
      </c>
      <c r="M672">
        <v>0.02</v>
      </c>
      <c r="N672">
        <v>1200</v>
      </c>
      <c r="O672">
        <v>217.74</v>
      </c>
      <c r="P672">
        <v>1428.33</v>
      </c>
      <c r="Q672" s="18">
        <f>YEAR(A672)</f>
        <v>2024</v>
      </c>
      <c r="R672" s="18">
        <f>MONTH(A672)</f>
        <v>7</v>
      </c>
      <c r="S672" s="18">
        <f>IF(R672&lt;4,Q672-1,Q672)</f>
        <v>2024</v>
      </c>
      <c r="T672" s="18">
        <f>IF(R672&lt;4,R672+9,R672-3)</f>
        <v>4</v>
      </c>
      <c r="U672" s="18" t="str">
        <f>IF(LEN(T672)=1,_xlfn.CONCAT(0,T672),T672)</f>
        <v>04</v>
      </c>
      <c r="V672" s="18" t="str">
        <f>_xlfn.CONCAT(S672,U672)</f>
        <v>202404</v>
      </c>
      <c r="W672" s="18" t="str">
        <f>_xlfn.CONCAT(TEXT(A672,"MMM"),"-",MID(Q672,3,2))</f>
        <v>Jul-24</v>
      </c>
      <c r="X672" s="19">
        <f>IFERROR(IF(D672="Sell",(H672-P672),-(H672+P672)),0)</f>
        <v>-20553.330000000002</v>
      </c>
      <c r="Y672" s="19">
        <f>X672/1000</f>
        <v>-20.553330000000003</v>
      </c>
    </row>
    <row r="673" spans="1:25" x14ac:dyDescent="0.25">
      <c r="A673" s="1">
        <v>45511</v>
      </c>
      <c r="B673" t="s">
        <v>85</v>
      </c>
      <c r="C673" t="s">
        <v>17</v>
      </c>
      <c r="D673" t="s">
        <v>18</v>
      </c>
      <c r="E673">
        <v>210</v>
      </c>
      <c r="F673">
        <v>0</v>
      </c>
      <c r="G673">
        <v>15.25</v>
      </c>
      <c r="H673">
        <v>3202.5</v>
      </c>
      <c r="I673" t="s">
        <v>86</v>
      </c>
      <c r="J673">
        <v>2</v>
      </c>
      <c r="K673">
        <v>1.6</v>
      </c>
      <c r="L673">
        <v>0</v>
      </c>
      <c r="M673">
        <v>0</v>
      </c>
      <c r="N673">
        <v>280</v>
      </c>
      <c r="O673">
        <v>50.68</v>
      </c>
      <c r="P673">
        <v>334.28</v>
      </c>
      <c r="Q673" s="18">
        <f>YEAR(A673)</f>
        <v>2024</v>
      </c>
      <c r="R673" s="18">
        <f>MONTH(A673)</f>
        <v>8</v>
      </c>
      <c r="S673" s="18">
        <f>IF(R673&lt;4,Q673-1,Q673)</f>
        <v>2024</v>
      </c>
      <c r="T673" s="18">
        <f>IF(R673&lt;4,R673+9,R673-3)</f>
        <v>5</v>
      </c>
      <c r="U673" s="18" t="str">
        <f>IF(LEN(T673)=1,_xlfn.CONCAT(0,T673),T673)</f>
        <v>05</v>
      </c>
      <c r="V673" s="18" t="str">
        <f>_xlfn.CONCAT(S673,U673)</f>
        <v>202405</v>
      </c>
      <c r="W673" s="18" t="str">
        <f>_xlfn.CONCAT(TEXT(A673,"MMM"),"-",MID(Q673,3,2))</f>
        <v>Aug-24</v>
      </c>
      <c r="X673" s="19">
        <f>IFERROR(IF(D673="Sell",(H673-P673),-(H673+P673)),0)</f>
        <v>2868.2200000000003</v>
      </c>
      <c r="Y673" s="19">
        <f>X673/1000</f>
        <v>2.8682200000000004</v>
      </c>
    </row>
    <row r="674" spans="1:25" x14ac:dyDescent="0.25">
      <c r="A674" s="1">
        <v>45511</v>
      </c>
      <c r="B674" t="s">
        <v>85</v>
      </c>
      <c r="C674" t="s">
        <v>17</v>
      </c>
      <c r="D674" t="s">
        <v>18</v>
      </c>
      <c r="E674">
        <v>900</v>
      </c>
      <c r="F674">
        <v>0</v>
      </c>
      <c r="G674">
        <v>15.25</v>
      </c>
      <c r="H674">
        <v>13725</v>
      </c>
      <c r="I674" t="s">
        <v>87</v>
      </c>
      <c r="J674">
        <v>9</v>
      </c>
      <c r="K674">
        <v>6.86</v>
      </c>
      <c r="L674">
        <v>0</v>
      </c>
      <c r="M674">
        <v>0.02</v>
      </c>
      <c r="N674">
        <v>1200</v>
      </c>
      <c r="O674">
        <v>217.24</v>
      </c>
      <c r="P674">
        <v>1433.12</v>
      </c>
      <c r="Q674" s="18">
        <f>YEAR(A674)</f>
        <v>2024</v>
      </c>
      <c r="R674" s="18">
        <f>MONTH(A674)</f>
        <v>8</v>
      </c>
      <c r="S674" s="18">
        <f>IF(R674&lt;4,Q674-1,Q674)</f>
        <v>2024</v>
      </c>
      <c r="T674" s="18">
        <f>IF(R674&lt;4,R674+9,R674-3)</f>
        <v>5</v>
      </c>
      <c r="U674" s="18" t="str">
        <f>IF(LEN(T674)=1,_xlfn.CONCAT(0,T674),T674)</f>
        <v>05</v>
      </c>
      <c r="V674" s="18" t="str">
        <f>_xlfn.CONCAT(S674,U674)</f>
        <v>202405</v>
      </c>
      <c r="W674" s="18" t="str">
        <f>_xlfn.CONCAT(TEXT(A674,"MMM"),"-",MID(Q674,3,2))</f>
        <v>Aug-24</v>
      </c>
      <c r="X674" s="19">
        <f>IFERROR(IF(D674="Sell",(H674-P674),-(H674+P674)),0)</f>
        <v>12291.880000000001</v>
      </c>
      <c r="Y674" s="19">
        <f>X674/1000</f>
        <v>12.291880000000001</v>
      </c>
    </row>
    <row r="675" spans="1:25" x14ac:dyDescent="0.25">
      <c r="A675" s="1">
        <v>45511</v>
      </c>
      <c r="B675" t="s">
        <v>85</v>
      </c>
      <c r="C675" t="s">
        <v>17</v>
      </c>
      <c r="D675" t="s">
        <v>22</v>
      </c>
      <c r="E675">
        <v>900</v>
      </c>
      <c r="F675">
        <v>0</v>
      </c>
      <c r="G675">
        <v>33.25</v>
      </c>
      <c r="H675">
        <v>29925</v>
      </c>
      <c r="I675" t="s">
        <v>88</v>
      </c>
      <c r="J675">
        <v>0</v>
      </c>
      <c r="K675">
        <v>14.97</v>
      </c>
      <c r="L675">
        <v>2</v>
      </c>
      <c r="M675">
        <v>0.02</v>
      </c>
      <c r="N675">
        <v>1200</v>
      </c>
      <c r="O675">
        <v>218.7</v>
      </c>
      <c r="P675">
        <v>1435.69</v>
      </c>
      <c r="Q675" s="18">
        <f>YEAR(A675)</f>
        <v>2024</v>
      </c>
      <c r="R675" s="18">
        <f>MONTH(A675)</f>
        <v>8</v>
      </c>
      <c r="S675" s="18">
        <f>IF(R675&lt;4,Q675-1,Q675)</f>
        <v>2024</v>
      </c>
      <c r="T675" s="18">
        <f>IF(R675&lt;4,R675+9,R675-3)</f>
        <v>5</v>
      </c>
      <c r="U675" s="18" t="str">
        <f>IF(LEN(T675)=1,_xlfn.CONCAT(0,T675),T675)</f>
        <v>05</v>
      </c>
      <c r="V675" s="18" t="str">
        <f>_xlfn.CONCAT(S675,U675)</f>
        <v>202405</v>
      </c>
      <c r="W675" s="18" t="str">
        <f>_xlfn.CONCAT(TEXT(A675,"MMM"),"-",MID(Q675,3,2))</f>
        <v>Aug-24</v>
      </c>
      <c r="X675" s="19">
        <f>IFERROR(IF(D675="Sell",(H675-P675),-(H675+P675)),0)</f>
        <v>-31360.69</v>
      </c>
      <c r="Y675" s="19">
        <f>X675/1000</f>
        <v>-31.360689999999998</v>
      </c>
    </row>
    <row r="676" spans="1:25" x14ac:dyDescent="0.25">
      <c r="A676" s="1">
        <v>45511</v>
      </c>
      <c r="B676" t="s">
        <v>85</v>
      </c>
      <c r="C676" t="s">
        <v>17</v>
      </c>
      <c r="D676" t="s">
        <v>22</v>
      </c>
      <c r="E676">
        <v>210</v>
      </c>
      <c r="F676">
        <v>0</v>
      </c>
      <c r="G676">
        <v>101.25</v>
      </c>
      <c r="H676">
        <v>21262.5</v>
      </c>
      <c r="I676" t="s">
        <v>89</v>
      </c>
      <c r="J676">
        <v>0</v>
      </c>
      <c r="K676">
        <v>10.63</v>
      </c>
      <c r="L676">
        <v>0</v>
      </c>
      <c r="M676">
        <v>0.02</v>
      </c>
      <c r="N676">
        <v>280</v>
      </c>
      <c r="O676">
        <v>52.32</v>
      </c>
      <c r="P676">
        <v>342.97</v>
      </c>
      <c r="Q676" s="18">
        <f>YEAR(A676)</f>
        <v>2024</v>
      </c>
      <c r="R676" s="18">
        <f>MONTH(A676)</f>
        <v>8</v>
      </c>
      <c r="S676" s="18">
        <f>IF(R676&lt;4,Q676-1,Q676)</f>
        <v>2024</v>
      </c>
      <c r="T676" s="18">
        <f>IF(R676&lt;4,R676+9,R676-3)</f>
        <v>5</v>
      </c>
      <c r="U676" s="18" t="str">
        <f>IF(LEN(T676)=1,_xlfn.CONCAT(0,T676),T676)</f>
        <v>05</v>
      </c>
      <c r="V676" s="18" t="str">
        <f>_xlfn.CONCAT(S676,U676)</f>
        <v>202405</v>
      </c>
      <c r="W676" s="18" t="str">
        <f>_xlfn.CONCAT(TEXT(A676,"MMM"),"-",MID(Q676,3,2))</f>
        <v>Aug-24</v>
      </c>
      <c r="X676" s="19">
        <f>IFERROR(IF(D676="Sell",(H676-P676),-(H676+P676)),0)</f>
        <v>-21605.47</v>
      </c>
      <c r="Y676" s="19">
        <f>X676/1000</f>
        <v>-21.60547</v>
      </c>
    </row>
    <row r="677" spans="1:25" x14ac:dyDescent="0.25">
      <c r="A677" s="1">
        <v>45518</v>
      </c>
      <c r="B677" t="s">
        <v>81</v>
      </c>
      <c r="C677" t="s">
        <v>17</v>
      </c>
      <c r="D677" t="s">
        <v>18</v>
      </c>
      <c r="E677">
        <v>150</v>
      </c>
      <c r="F677">
        <v>0</v>
      </c>
      <c r="G677">
        <v>185.25</v>
      </c>
      <c r="H677">
        <v>27787.5</v>
      </c>
      <c r="I677" t="s">
        <v>82</v>
      </c>
      <c r="J677">
        <v>17</v>
      </c>
      <c r="K677">
        <v>13.9</v>
      </c>
      <c r="L677">
        <v>0</v>
      </c>
      <c r="M677">
        <v>0.03</v>
      </c>
      <c r="N677">
        <v>200</v>
      </c>
      <c r="O677">
        <v>38.520000000000003</v>
      </c>
      <c r="P677">
        <v>269.45</v>
      </c>
      <c r="Q677" s="18">
        <f>YEAR(A677)</f>
        <v>2024</v>
      </c>
      <c r="R677" s="18">
        <f>MONTH(A677)</f>
        <v>8</v>
      </c>
      <c r="S677" s="18">
        <f>IF(R677&lt;4,Q677-1,Q677)</f>
        <v>2024</v>
      </c>
      <c r="T677" s="18">
        <f>IF(R677&lt;4,R677+9,R677-3)</f>
        <v>5</v>
      </c>
      <c r="U677" s="18" t="str">
        <f>IF(LEN(T677)=1,_xlfn.CONCAT(0,T677),T677)</f>
        <v>05</v>
      </c>
      <c r="V677" s="18" t="str">
        <f>_xlfn.CONCAT(S677,U677)</f>
        <v>202405</v>
      </c>
      <c r="W677" s="18" t="str">
        <f>_xlfn.CONCAT(TEXT(A677,"MMM"),"-",MID(Q677,3,2))</f>
        <v>Aug-24</v>
      </c>
      <c r="X677" s="19">
        <f>IFERROR(IF(D677="Sell",(H677-P677),-(H677+P677)),0)</f>
        <v>27518.05</v>
      </c>
      <c r="Y677" s="19">
        <f>X677/1000</f>
        <v>27.518049999999999</v>
      </c>
    </row>
    <row r="678" spans="1:25" x14ac:dyDescent="0.25">
      <c r="A678" s="1">
        <v>45518</v>
      </c>
      <c r="B678" t="s">
        <v>81</v>
      </c>
      <c r="C678" t="s">
        <v>17</v>
      </c>
      <c r="D678" t="s">
        <v>22</v>
      </c>
      <c r="E678">
        <v>75</v>
      </c>
      <c r="F678">
        <v>0</v>
      </c>
      <c r="G678">
        <v>145</v>
      </c>
      <c r="H678">
        <v>10875</v>
      </c>
      <c r="I678" t="s">
        <v>83</v>
      </c>
      <c r="J678">
        <v>0</v>
      </c>
      <c r="K678">
        <v>5.44</v>
      </c>
      <c r="L678">
        <v>0</v>
      </c>
      <c r="M678">
        <v>0.01</v>
      </c>
      <c r="N678">
        <v>100</v>
      </c>
      <c r="O678">
        <v>18.98</v>
      </c>
      <c r="P678">
        <v>124.43</v>
      </c>
      <c r="Q678" s="18">
        <f>YEAR(A678)</f>
        <v>2024</v>
      </c>
      <c r="R678" s="18">
        <f>MONTH(A678)</f>
        <v>8</v>
      </c>
      <c r="S678" s="18">
        <f>IF(R678&lt;4,Q678-1,Q678)</f>
        <v>2024</v>
      </c>
      <c r="T678" s="18">
        <f>IF(R678&lt;4,R678+9,R678-3)</f>
        <v>5</v>
      </c>
      <c r="U678" s="18" t="str">
        <f>IF(LEN(T678)=1,_xlfn.CONCAT(0,T678),T678)</f>
        <v>05</v>
      </c>
      <c r="V678" s="18" t="str">
        <f>_xlfn.CONCAT(S678,U678)</f>
        <v>202405</v>
      </c>
      <c r="W678" s="18" t="str">
        <f>_xlfn.CONCAT(TEXT(A678,"MMM"),"-",MID(Q678,3,2))</f>
        <v>Aug-24</v>
      </c>
      <c r="X678" s="19">
        <f>IFERROR(IF(D678="Sell",(H678-P678),-(H678+P678)),0)</f>
        <v>-10999.43</v>
      </c>
      <c r="Y678" s="19">
        <f>X678/1000</f>
        <v>-10.99943</v>
      </c>
    </row>
    <row r="679" spans="1:25" x14ac:dyDescent="0.25">
      <c r="A679" s="1">
        <v>45518</v>
      </c>
      <c r="B679" t="s">
        <v>81</v>
      </c>
      <c r="C679" t="s">
        <v>17</v>
      </c>
      <c r="D679" t="s">
        <v>22</v>
      </c>
      <c r="E679">
        <v>75</v>
      </c>
      <c r="F679">
        <v>0</v>
      </c>
      <c r="G679">
        <v>195</v>
      </c>
      <c r="H679">
        <v>14625</v>
      </c>
      <c r="I679" t="s">
        <v>84</v>
      </c>
      <c r="J679">
        <v>0</v>
      </c>
      <c r="K679">
        <v>7.31</v>
      </c>
      <c r="L679">
        <v>1</v>
      </c>
      <c r="M679">
        <v>0.01</v>
      </c>
      <c r="N679">
        <v>100</v>
      </c>
      <c r="O679">
        <v>19.32</v>
      </c>
      <c r="P679">
        <v>127.64</v>
      </c>
      <c r="Q679" s="18">
        <f>YEAR(A679)</f>
        <v>2024</v>
      </c>
      <c r="R679" s="18">
        <f>MONTH(A679)</f>
        <v>8</v>
      </c>
      <c r="S679" s="18">
        <f>IF(R679&lt;4,Q679-1,Q679)</f>
        <v>2024</v>
      </c>
      <c r="T679" s="18">
        <f>IF(R679&lt;4,R679+9,R679-3)</f>
        <v>5</v>
      </c>
      <c r="U679" s="18" t="str">
        <f>IF(LEN(T679)=1,_xlfn.CONCAT(0,T679),T679)</f>
        <v>05</v>
      </c>
      <c r="V679" s="18" t="str">
        <f>_xlfn.CONCAT(S679,U679)</f>
        <v>202405</v>
      </c>
      <c r="W679" s="18" t="str">
        <f>_xlfn.CONCAT(TEXT(A679,"MMM"),"-",MID(Q679,3,2))</f>
        <v>Aug-24</v>
      </c>
      <c r="X679" s="19">
        <f>IFERROR(IF(D679="Sell",(H679-P679),-(H679+P679)),0)</f>
        <v>-14752.64</v>
      </c>
      <c r="Y679" s="19">
        <f>X679/1000</f>
        <v>-14.75264</v>
      </c>
    </row>
    <row r="680" spans="1:25" x14ac:dyDescent="0.25">
      <c r="A680" s="1">
        <v>45555</v>
      </c>
      <c r="B680" t="s">
        <v>70</v>
      </c>
      <c r="C680" t="s">
        <v>17</v>
      </c>
      <c r="D680" t="s">
        <v>22</v>
      </c>
      <c r="E680">
        <v>15</v>
      </c>
      <c r="F680">
        <v>0</v>
      </c>
      <c r="G680">
        <v>244</v>
      </c>
      <c r="H680">
        <v>3660</v>
      </c>
      <c r="I680" t="s">
        <v>75</v>
      </c>
      <c r="J680">
        <v>0</v>
      </c>
      <c r="K680">
        <v>1.83</v>
      </c>
      <c r="L680">
        <v>0</v>
      </c>
      <c r="M680">
        <v>0</v>
      </c>
      <c r="N680">
        <v>20</v>
      </c>
      <c r="O680">
        <v>3.92</v>
      </c>
      <c r="P680">
        <v>25.75</v>
      </c>
      <c r="Q680" s="18">
        <f>YEAR(A680)</f>
        <v>2024</v>
      </c>
      <c r="R680" s="18">
        <f>MONTH(A680)</f>
        <v>9</v>
      </c>
      <c r="S680" s="18">
        <f>IF(R680&lt;4,Q680-1,Q680)</f>
        <v>2024</v>
      </c>
      <c r="T680" s="18">
        <f>IF(R680&lt;4,R680+9,R680-3)</f>
        <v>6</v>
      </c>
      <c r="U680" s="18" t="str">
        <f>IF(LEN(T680)=1,_xlfn.CONCAT(0,T680),T680)</f>
        <v>06</v>
      </c>
      <c r="V680" s="18" t="str">
        <f>_xlfn.CONCAT(S680,U680)</f>
        <v>202406</v>
      </c>
      <c r="W680" s="18" t="str">
        <f>_xlfn.CONCAT(TEXT(A680,"MMM"),"-",MID(Q680,3,2))</f>
        <v>Sep-24</v>
      </c>
      <c r="X680" s="19">
        <f>IFERROR(IF(D680="Sell",(H680-P680),-(H680+P680)),0)</f>
        <v>-3685.75</v>
      </c>
      <c r="Y680" s="19">
        <f>X680/1000</f>
        <v>-3.6857500000000001</v>
      </c>
    </row>
    <row r="681" spans="1:25" x14ac:dyDescent="0.25">
      <c r="A681" s="1">
        <v>45555</v>
      </c>
      <c r="B681" t="s">
        <v>70</v>
      </c>
      <c r="C681" t="s">
        <v>17</v>
      </c>
      <c r="D681" t="s">
        <v>22</v>
      </c>
      <c r="E681">
        <v>15</v>
      </c>
      <c r="F681">
        <v>0</v>
      </c>
      <c r="G681">
        <v>295.64999999999998</v>
      </c>
      <c r="H681">
        <v>4434.75</v>
      </c>
      <c r="I681" t="s">
        <v>76</v>
      </c>
      <c r="J681">
        <v>0</v>
      </c>
      <c r="K681">
        <v>2.2200000000000002</v>
      </c>
      <c r="L681">
        <v>0</v>
      </c>
      <c r="M681">
        <v>0</v>
      </c>
      <c r="N681">
        <v>20</v>
      </c>
      <c r="O681">
        <v>4</v>
      </c>
      <c r="P681">
        <v>26.22</v>
      </c>
      <c r="Q681" s="18">
        <f>YEAR(A681)</f>
        <v>2024</v>
      </c>
      <c r="R681" s="18">
        <f>MONTH(A681)</f>
        <v>9</v>
      </c>
      <c r="S681" s="18">
        <f>IF(R681&lt;4,Q681-1,Q681)</f>
        <v>2024</v>
      </c>
      <c r="T681" s="18">
        <f>IF(R681&lt;4,R681+9,R681-3)</f>
        <v>6</v>
      </c>
      <c r="U681" s="18" t="str">
        <f>IF(LEN(T681)=1,_xlfn.CONCAT(0,T681),T681)</f>
        <v>06</v>
      </c>
      <c r="V681" s="18" t="str">
        <f>_xlfn.CONCAT(S681,U681)</f>
        <v>202406</v>
      </c>
      <c r="W681" s="18" t="str">
        <f>_xlfn.CONCAT(TEXT(A681,"MMM"),"-",MID(Q681,3,2))</f>
        <v>Sep-24</v>
      </c>
      <c r="X681" s="19">
        <f>IFERROR(IF(D681="Sell",(H681-P681),-(H681+P681)),0)</f>
        <v>-4460.97</v>
      </c>
      <c r="Y681" s="19">
        <f>X681/1000</f>
        <v>-4.4609700000000005</v>
      </c>
    </row>
    <row r="682" spans="1:25" x14ac:dyDescent="0.25">
      <c r="A682" s="1">
        <v>45555</v>
      </c>
      <c r="B682" t="s">
        <v>70</v>
      </c>
      <c r="C682" t="s">
        <v>17</v>
      </c>
      <c r="D682" t="s">
        <v>22</v>
      </c>
      <c r="E682">
        <v>15</v>
      </c>
      <c r="F682">
        <v>0</v>
      </c>
      <c r="G682">
        <v>329.25</v>
      </c>
      <c r="H682">
        <v>4938.75</v>
      </c>
      <c r="I682" t="s">
        <v>77</v>
      </c>
      <c r="J682">
        <v>0</v>
      </c>
      <c r="K682">
        <v>2.4700000000000002</v>
      </c>
      <c r="L682">
        <v>0.39</v>
      </c>
      <c r="M682">
        <v>0</v>
      </c>
      <c r="N682">
        <v>20</v>
      </c>
      <c r="O682">
        <v>4.04</v>
      </c>
      <c r="P682">
        <v>26.9</v>
      </c>
      <c r="Q682" s="18">
        <f>YEAR(A682)</f>
        <v>2024</v>
      </c>
      <c r="R682" s="18">
        <f>MONTH(A682)</f>
        <v>9</v>
      </c>
      <c r="S682" s="18">
        <f>IF(R682&lt;4,Q682-1,Q682)</f>
        <v>2024</v>
      </c>
      <c r="T682" s="18">
        <f>IF(R682&lt;4,R682+9,R682-3)</f>
        <v>6</v>
      </c>
      <c r="U682" s="18" t="str">
        <f>IF(LEN(T682)=1,_xlfn.CONCAT(0,T682),T682)</f>
        <v>06</v>
      </c>
      <c r="V682" s="18" t="str">
        <f>_xlfn.CONCAT(S682,U682)</f>
        <v>202406</v>
      </c>
      <c r="W682" s="18" t="str">
        <f>_xlfn.CONCAT(TEXT(A682,"MMM"),"-",MID(Q682,3,2))</f>
        <v>Sep-24</v>
      </c>
      <c r="X682" s="19">
        <f>IFERROR(IF(D682="Sell",(H682-P682),-(H682+P682)),0)</f>
        <v>-4965.6499999999996</v>
      </c>
      <c r="Y682" s="19">
        <f>X682/1000</f>
        <v>-4.9656499999999992</v>
      </c>
    </row>
    <row r="683" spans="1:25" x14ac:dyDescent="0.25">
      <c r="A683" s="1">
        <v>45555</v>
      </c>
      <c r="B683" t="s">
        <v>78</v>
      </c>
      <c r="C683" t="s">
        <v>17</v>
      </c>
      <c r="D683" t="s">
        <v>18</v>
      </c>
      <c r="E683">
        <v>60</v>
      </c>
      <c r="F683">
        <v>0</v>
      </c>
      <c r="G683">
        <v>375.25</v>
      </c>
      <c r="H683">
        <v>22515</v>
      </c>
      <c r="I683" t="s">
        <v>79</v>
      </c>
      <c r="J683">
        <v>14</v>
      </c>
      <c r="K683">
        <v>11.26</v>
      </c>
      <c r="L683">
        <v>0</v>
      </c>
      <c r="M683">
        <v>0.02</v>
      </c>
      <c r="N683">
        <v>80</v>
      </c>
      <c r="O683">
        <v>16.440000000000001</v>
      </c>
      <c r="P683">
        <v>121.72</v>
      </c>
      <c r="Q683" s="18">
        <f>YEAR(A683)</f>
        <v>2024</v>
      </c>
      <c r="R683" s="18">
        <f>MONTH(A683)</f>
        <v>9</v>
      </c>
      <c r="S683" s="18">
        <f>IF(R683&lt;4,Q683-1,Q683)</f>
        <v>2024</v>
      </c>
      <c r="T683" s="18">
        <f>IF(R683&lt;4,R683+9,R683-3)</f>
        <v>6</v>
      </c>
      <c r="U683" s="18" t="str">
        <f>IF(LEN(T683)=1,_xlfn.CONCAT(0,T683),T683)</f>
        <v>06</v>
      </c>
      <c r="V683" s="18" t="str">
        <f>_xlfn.CONCAT(S683,U683)</f>
        <v>202406</v>
      </c>
      <c r="W683" s="18" t="str">
        <f>_xlfn.CONCAT(TEXT(A683,"MMM"),"-",MID(Q683,3,2))</f>
        <v>Sep-24</v>
      </c>
      <c r="X683" s="19">
        <f>IFERROR(IF(D683="Sell",(H683-P683),-(H683+P683)),0)</f>
        <v>22393.279999999999</v>
      </c>
      <c r="Y683" s="19">
        <f>X683/1000</f>
        <v>22.393279999999997</v>
      </c>
    </row>
    <row r="684" spans="1:25" x14ac:dyDescent="0.25">
      <c r="A684" s="1">
        <v>45555</v>
      </c>
      <c r="B684" t="s">
        <v>78</v>
      </c>
      <c r="C684" t="s">
        <v>17</v>
      </c>
      <c r="D684" t="s">
        <v>22</v>
      </c>
      <c r="E684">
        <v>60</v>
      </c>
      <c r="F684">
        <v>0</v>
      </c>
      <c r="G684">
        <v>345</v>
      </c>
      <c r="H684">
        <v>20700</v>
      </c>
      <c r="I684" t="s">
        <v>80</v>
      </c>
      <c r="J684">
        <v>0</v>
      </c>
      <c r="K684">
        <v>10.35</v>
      </c>
      <c r="L684">
        <v>0.61</v>
      </c>
      <c r="M684">
        <v>0.02</v>
      </c>
      <c r="N684">
        <v>80</v>
      </c>
      <c r="O684">
        <v>16.260000000000002</v>
      </c>
      <c r="P684">
        <v>107.24</v>
      </c>
      <c r="Q684" s="18">
        <f>YEAR(A684)</f>
        <v>2024</v>
      </c>
      <c r="R684" s="18">
        <f>MONTH(A684)</f>
        <v>9</v>
      </c>
      <c r="S684" s="18">
        <f>IF(R684&lt;4,Q684-1,Q684)</f>
        <v>2024</v>
      </c>
      <c r="T684" s="18">
        <f>IF(R684&lt;4,R684+9,R684-3)</f>
        <v>6</v>
      </c>
      <c r="U684" s="18" t="str">
        <f>IF(LEN(T684)=1,_xlfn.CONCAT(0,T684),T684)</f>
        <v>06</v>
      </c>
      <c r="V684" s="18" t="str">
        <f>_xlfn.CONCAT(S684,U684)</f>
        <v>202406</v>
      </c>
      <c r="W684" s="18" t="str">
        <f>_xlfn.CONCAT(TEXT(A684,"MMM"),"-",MID(Q684,3,2))</f>
        <v>Sep-24</v>
      </c>
      <c r="X684" s="19">
        <f>IFERROR(IF(D684="Sell",(H684-P684),-(H684+P684)),0)</f>
        <v>-20807.240000000002</v>
      </c>
      <c r="Y684" s="19">
        <f>X684/1000</f>
        <v>-20.80724</v>
      </c>
    </row>
    <row r="685" spans="1:25" x14ac:dyDescent="0.25">
      <c r="A685" s="1">
        <v>45559</v>
      </c>
      <c r="B685" t="s">
        <v>70</v>
      </c>
      <c r="C685" t="s">
        <v>17</v>
      </c>
      <c r="D685" t="s">
        <v>22</v>
      </c>
      <c r="E685">
        <v>210</v>
      </c>
      <c r="F685">
        <v>0</v>
      </c>
      <c r="G685">
        <v>25</v>
      </c>
      <c r="H685">
        <v>5250</v>
      </c>
      <c r="I685" t="s">
        <v>72</v>
      </c>
      <c r="J685">
        <v>0</v>
      </c>
      <c r="K685">
        <v>2.62</v>
      </c>
      <c r="L685">
        <v>0</v>
      </c>
      <c r="M685">
        <v>0</v>
      </c>
      <c r="N685">
        <v>280</v>
      </c>
      <c r="O685">
        <v>50.86</v>
      </c>
      <c r="P685">
        <v>333.48</v>
      </c>
      <c r="Q685" s="18">
        <f>YEAR(A685)</f>
        <v>2024</v>
      </c>
      <c r="R685" s="18">
        <f>MONTH(A685)</f>
        <v>9</v>
      </c>
      <c r="S685" s="18">
        <f>IF(R685&lt;4,Q685-1,Q685)</f>
        <v>2024</v>
      </c>
      <c r="T685" s="18">
        <f>IF(R685&lt;4,R685+9,R685-3)</f>
        <v>6</v>
      </c>
      <c r="U685" s="18" t="str">
        <f>IF(LEN(T685)=1,_xlfn.CONCAT(0,T685),T685)</f>
        <v>06</v>
      </c>
      <c r="V685" s="18" t="str">
        <f>_xlfn.CONCAT(S685,U685)</f>
        <v>202406</v>
      </c>
      <c r="W685" s="18" t="str">
        <f>_xlfn.CONCAT(TEXT(A685,"MMM"),"-",MID(Q685,3,2))</f>
        <v>Sep-24</v>
      </c>
      <c r="X685" s="19">
        <f>IFERROR(IF(D685="Sell",(H685-P685),-(H685+P685)),0)</f>
        <v>-5583.48</v>
      </c>
      <c r="Y685" s="19">
        <f>X685/1000</f>
        <v>-5.5834799999999998</v>
      </c>
    </row>
    <row r="686" spans="1:25" x14ac:dyDescent="0.25">
      <c r="A686" s="1">
        <v>45559</v>
      </c>
      <c r="B686" t="s">
        <v>70</v>
      </c>
      <c r="C686" t="s">
        <v>17</v>
      </c>
      <c r="D686" t="s">
        <v>22</v>
      </c>
      <c r="E686">
        <v>210</v>
      </c>
      <c r="F686">
        <v>0</v>
      </c>
      <c r="G686">
        <v>39.5</v>
      </c>
      <c r="H686">
        <v>8295</v>
      </c>
      <c r="I686" t="s">
        <v>73</v>
      </c>
      <c r="J686">
        <v>0</v>
      </c>
      <c r="K686">
        <v>4.1500000000000004</v>
      </c>
      <c r="L686">
        <v>1</v>
      </c>
      <c r="M686">
        <v>0.01</v>
      </c>
      <c r="N686">
        <v>280</v>
      </c>
      <c r="O686">
        <v>51.14</v>
      </c>
      <c r="P686">
        <v>336.3</v>
      </c>
      <c r="Q686" s="18">
        <f>YEAR(A686)</f>
        <v>2024</v>
      </c>
      <c r="R686" s="18">
        <f>MONTH(A686)</f>
        <v>9</v>
      </c>
      <c r="S686" s="18">
        <f>IF(R686&lt;4,Q686-1,Q686)</f>
        <v>2024</v>
      </c>
      <c r="T686" s="18">
        <f>IF(R686&lt;4,R686+9,R686-3)</f>
        <v>6</v>
      </c>
      <c r="U686" s="18" t="str">
        <f>IF(LEN(T686)=1,_xlfn.CONCAT(0,T686),T686)</f>
        <v>06</v>
      </c>
      <c r="V686" s="18" t="str">
        <f>_xlfn.CONCAT(S686,U686)</f>
        <v>202406</v>
      </c>
      <c r="W686" s="18" t="str">
        <f>_xlfn.CONCAT(TEXT(A686,"MMM"),"-",MID(Q686,3,2))</f>
        <v>Sep-24</v>
      </c>
      <c r="X686" s="19">
        <f>IFERROR(IF(D686="Sell",(H686-P686),-(H686+P686)),0)</f>
        <v>-8631.2999999999993</v>
      </c>
      <c r="Y686" s="19">
        <f>X686/1000</f>
        <v>-8.6312999999999995</v>
      </c>
    </row>
    <row r="687" spans="1:25" x14ac:dyDescent="0.25">
      <c r="A687" s="1">
        <v>45559</v>
      </c>
      <c r="B687" t="s">
        <v>70</v>
      </c>
      <c r="C687" t="s">
        <v>17</v>
      </c>
      <c r="D687" t="s">
        <v>22</v>
      </c>
      <c r="E687">
        <v>210</v>
      </c>
      <c r="F687">
        <v>0</v>
      </c>
      <c r="G687">
        <v>55.25</v>
      </c>
      <c r="H687">
        <v>11602.5</v>
      </c>
      <c r="I687" t="s">
        <v>74</v>
      </c>
      <c r="J687">
        <v>0</v>
      </c>
      <c r="K687">
        <v>5.8</v>
      </c>
      <c r="L687">
        <v>0</v>
      </c>
      <c r="M687">
        <v>0.01</v>
      </c>
      <c r="N687">
        <v>280</v>
      </c>
      <c r="O687">
        <v>51.46</v>
      </c>
      <c r="P687">
        <v>337.27</v>
      </c>
      <c r="Q687" s="18">
        <f>YEAR(A687)</f>
        <v>2024</v>
      </c>
      <c r="R687" s="18">
        <f>MONTH(A687)</f>
        <v>9</v>
      </c>
      <c r="S687" s="18">
        <f>IF(R687&lt;4,Q687-1,Q687)</f>
        <v>2024</v>
      </c>
      <c r="T687" s="18">
        <f>IF(R687&lt;4,R687+9,R687-3)</f>
        <v>6</v>
      </c>
      <c r="U687" s="18" t="str">
        <f>IF(LEN(T687)=1,_xlfn.CONCAT(0,T687),T687)</f>
        <v>06</v>
      </c>
      <c r="V687" s="18" t="str">
        <f>_xlfn.CONCAT(S687,U687)</f>
        <v>202406</v>
      </c>
      <c r="W687" s="18" t="str">
        <f>_xlfn.CONCAT(TEXT(A687,"MMM"),"-",MID(Q687,3,2))</f>
        <v>Sep-24</v>
      </c>
      <c r="X687" s="19">
        <f>IFERROR(IF(D687="Sell",(H687-P687),-(H687+P687)),0)</f>
        <v>-11939.77</v>
      </c>
      <c r="Y687" s="19">
        <f>X687/1000</f>
        <v>-11.939770000000001</v>
      </c>
    </row>
    <row r="688" spans="1:25" x14ac:dyDescent="0.25">
      <c r="A688" s="1">
        <v>45560</v>
      </c>
      <c r="B688" t="s">
        <v>70</v>
      </c>
      <c r="C688" t="s">
        <v>17</v>
      </c>
      <c r="D688" t="s">
        <v>18</v>
      </c>
      <c r="E688">
        <v>675</v>
      </c>
      <c r="F688">
        <v>0</v>
      </c>
      <c r="G688">
        <v>5</v>
      </c>
      <c r="H688">
        <v>3375</v>
      </c>
      <c r="I688" t="s">
        <v>71</v>
      </c>
      <c r="J688">
        <v>2.0099999999999998</v>
      </c>
      <c r="K688">
        <v>1.7</v>
      </c>
      <c r="L688">
        <v>0</v>
      </c>
      <c r="M688">
        <v>0</v>
      </c>
      <c r="N688">
        <v>900</v>
      </c>
      <c r="O688">
        <v>162.28</v>
      </c>
      <c r="P688">
        <v>1065.99</v>
      </c>
      <c r="Q688" s="18">
        <f>YEAR(A688)</f>
        <v>2024</v>
      </c>
      <c r="R688" s="18">
        <f>MONTH(A688)</f>
        <v>9</v>
      </c>
      <c r="S688" s="18">
        <f>IF(R688&lt;4,Q688-1,Q688)</f>
        <v>2024</v>
      </c>
      <c r="T688" s="18">
        <f>IF(R688&lt;4,R688+9,R688-3)</f>
        <v>6</v>
      </c>
      <c r="U688" s="18" t="str">
        <f>IF(LEN(T688)=1,_xlfn.CONCAT(0,T688),T688)</f>
        <v>06</v>
      </c>
      <c r="V688" s="18" t="str">
        <f>_xlfn.CONCAT(S688,U688)</f>
        <v>202406</v>
      </c>
      <c r="W688" s="18" t="str">
        <f>_xlfn.CONCAT(TEXT(A688,"MMM"),"-",MID(Q688,3,2))</f>
        <v>Sep-24</v>
      </c>
      <c r="X688" s="19">
        <f>IFERROR(IF(D688="Sell",(H688-P688),-(H688+P688)),0)</f>
        <v>2309.0100000000002</v>
      </c>
      <c r="Y688" s="19">
        <f>X688/1000</f>
        <v>2.3090100000000002</v>
      </c>
    </row>
    <row r="689" spans="1:25" x14ac:dyDescent="0.25">
      <c r="A689" s="1">
        <v>45566</v>
      </c>
      <c r="B689" t="s">
        <v>61</v>
      </c>
      <c r="C689" t="s">
        <v>17</v>
      </c>
      <c r="D689" t="s">
        <v>18</v>
      </c>
      <c r="E689">
        <v>900</v>
      </c>
      <c r="F689">
        <v>0</v>
      </c>
      <c r="G689">
        <v>5</v>
      </c>
      <c r="H689">
        <v>4500</v>
      </c>
      <c r="I689" t="s">
        <v>62</v>
      </c>
      <c r="J689">
        <v>4.38</v>
      </c>
      <c r="K689">
        <v>1.6</v>
      </c>
      <c r="L689">
        <v>0</v>
      </c>
      <c r="M689">
        <v>0</v>
      </c>
      <c r="N689">
        <v>1200</v>
      </c>
      <c r="O689">
        <v>216.3</v>
      </c>
      <c r="P689">
        <v>1422.28</v>
      </c>
      <c r="Q689" s="18">
        <f>YEAR(A689)</f>
        <v>2024</v>
      </c>
      <c r="R689" s="18">
        <f>MONTH(A689)</f>
        <v>10</v>
      </c>
      <c r="S689" s="18">
        <f>IF(R689&lt;4,Q689-1,Q689)</f>
        <v>2024</v>
      </c>
      <c r="T689" s="18">
        <f>IF(R689&lt;4,R689+9,R689-3)</f>
        <v>7</v>
      </c>
      <c r="U689" s="18" t="str">
        <f>IF(LEN(T689)=1,_xlfn.CONCAT(0,T689),T689)</f>
        <v>07</v>
      </c>
      <c r="V689" s="18" t="str">
        <f>_xlfn.CONCAT(S689,U689)</f>
        <v>202407</v>
      </c>
      <c r="W689" s="18" t="str">
        <f>_xlfn.CONCAT(TEXT(A689,"MMM"),"-",MID(Q689,3,2))</f>
        <v>Oct-24</v>
      </c>
      <c r="X689" s="19">
        <f>IFERROR(IF(D689="Sell",(H689-P689),-(H689+P689)),0)</f>
        <v>3077.7200000000003</v>
      </c>
      <c r="Y689" s="19">
        <f>X689/1000</f>
        <v>3.0777200000000002</v>
      </c>
    </row>
    <row r="690" spans="1:25" x14ac:dyDescent="0.25">
      <c r="A690" s="1">
        <v>45566</v>
      </c>
      <c r="B690" t="s">
        <v>61</v>
      </c>
      <c r="C690" t="s">
        <v>17</v>
      </c>
      <c r="D690" t="s">
        <v>18</v>
      </c>
      <c r="E690">
        <v>900</v>
      </c>
      <c r="F690">
        <v>0</v>
      </c>
      <c r="G690">
        <v>5</v>
      </c>
      <c r="H690">
        <v>4500</v>
      </c>
      <c r="I690" t="s">
        <v>63</v>
      </c>
      <c r="J690">
        <v>4.5</v>
      </c>
      <c r="K690">
        <v>1.6</v>
      </c>
      <c r="L690">
        <v>0</v>
      </c>
      <c r="M690">
        <v>0</v>
      </c>
      <c r="N690">
        <v>1200</v>
      </c>
      <c r="O690">
        <v>216.28</v>
      </c>
      <c r="P690">
        <v>1422.38</v>
      </c>
      <c r="Q690" s="18">
        <f>YEAR(A690)</f>
        <v>2024</v>
      </c>
      <c r="R690" s="18">
        <f>MONTH(A690)</f>
        <v>10</v>
      </c>
      <c r="S690" s="18">
        <f>IF(R690&lt;4,Q690-1,Q690)</f>
        <v>2024</v>
      </c>
      <c r="T690" s="18">
        <f>IF(R690&lt;4,R690+9,R690-3)</f>
        <v>7</v>
      </c>
      <c r="U690" s="18" t="str">
        <f>IF(LEN(T690)=1,_xlfn.CONCAT(0,T690),T690)</f>
        <v>07</v>
      </c>
      <c r="V690" s="18" t="str">
        <f>_xlfn.CONCAT(S690,U690)</f>
        <v>202407</v>
      </c>
      <c r="W690" s="18" t="str">
        <f>_xlfn.CONCAT(TEXT(A690,"MMM"),"-",MID(Q690,3,2))</f>
        <v>Oct-24</v>
      </c>
      <c r="X690" s="19">
        <f>IFERROR(IF(D690="Sell",(H690-P690),-(H690+P690)),0)</f>
        <v>3077.62</v>
      </c>
      <c r="Y690" s="19">
        <f>X690/1000</f>
        <v>3.07762</v>
      </c>
    </row>
    <row r="691" spans="1:25" x14ac:dyDescent="0.25">
      <c r="A691" s="1">
        <v>45566</v>
      </c>
      <c r="B691" t="s">
        <v>61</v>
      </c>
      <c r="C691" t="s">
        <v>17</v>
      </c>
      <c r="D691" t="s">
        <v>18</v>
      </c>
      <c r="E691">
        <v>900</v>
      </c>
      <c r="F691">
        <v>0</v>
      </c>
      <c r="G691">
        <v>5</v>
      </c>
      <c r="H691">
        <v>4500</v>
      </c>
      <c r="I691" t="s">
        <v>64</v>
      </c>
      <c r="J691">
        <v>4.53</v>
      </c>
      <c r="K691">
        <v>1.61</v>
      </c>
      <c r="L691">
        <v>0</v>
      </c>
      <c r="M691">
        <v>0</v>
      </c>
      <c r="N691">
        <v>1200</v>
      </c>
      <c r="O691">
        <v>216.28</v>
      </c>
      <c r="P691">
        <v>1422.42</v>
      </c>
      <c r="Q691" s="18">
        <f>YEAR(A691)</f>
        <v>2024</v>
      </c>
      <c r="R691" s="18">
        <f>MONTH(A691)</f>
        <v>10</v>
      </c>
      <c r="S691" s="18">
        <f>IF(R691&lt;4,Q691-1,Q691)</f>
        <v>2024</v>
      </c>
      <c r="T691" s="18">
        <f>IF(R691&lt;4,R691+9,R691-3)</f>
        <v>7</v>
      </c>
      <c r="U691" s="18" t="str">
        <f>IF(LEN(T691)=1,_xlfn.CONCAT(0,T691),T691)</f>
        <v>07</v>
      </c>
      <c r="V691" s="18" t="str">
        <f>_xlfn.CONCAT(S691,U691)</f>
        <v>202407</v>
      </c>
      <c r="W691" s="18" t="str">
        <f>_xlfn.CONCAT(TEXT(A691,"MMM"),"-",MID(Q691,3,2))</f>
        <v>Oct-24</v>
      </c>
      <c r="X691" s="19">
        <f>IFERROR(IF(D691="Sell",(H691-P691),-(H691+P691)),0)</f>
        <v>3077.58</v>
      </c>
      <c r="Y691" s="19">
        <f>X691/1000</f>
        <v>3.0775799999999998</v>
      </c>
    </row>
    <row r="692" spans="1:25" x14ac:dyDescent="0.25">
      <c r="A692" s="1">
        <v>45566</v>
      </c>
      <c r="B692" t="s">
        <v>61</v>
      </c>
      <c r="C692" t="s">
        <v>17</v>
      </c>
      <c r="D692" t="s">
        <v>18</v>
      </c>
      <c r="E692">
        <v>900</v>
      </c>
      <c r="F692">
        <v>0</v>
      </c>
      <c r="G692">
        <v>6.25</v>
      </c>
      <c r="H692">
        <v>5625</v>
      </c>
      <c r="I692" t="s">
        <v>65</v>
      </c>
      <c r="J692">
        <v>5.63</v>
      </c>
      <c r="K692">
        <v>2</v>
      </c>
      <c r="L692">
        <v>0</v>
      </c>
      <c r="M692">
        <v>0.01</v>
      </c>
      <c r="N692">
        <v>1200</v>
      </c>
      <c r="O692">
        <v>216.36</v>
      </c>
      <c r="P692">
        <v>1424</v>
      </c>
      <c r="Q692" s="18">
        <f>YEAR(A692)</f>
        <v>2024</v>
      </c>
      <c r="R692" s="18">
        <f>MONTH(A692)</f>
        <v>10</v>
      </c>
      <c r="S692" s="18">
        <f>IF(R692&lt;4,Q692-1,Q692)</f>
        <v>2024</v>
      </c>
      <c r="T692" s="18">
        <f>IF(R692&lt;4,R692+9,R692-3)</f>
        <v>7</v>
      </c>
      <c r="U692" s="18" t="str">
        <f>IF(LEN(T692)=1,_xlfn.CONCAT(0,T692),T692)</f>
        <v>07</v>
      </c>
      <c r="V692" s="18" t="str">
        <f>_xlfn.CONCAT(S692,U692)</f>
        <v>202407</v>
      </c>
      <c r="W692" s="18" t="str">
        <f>_xlfn.CONCAT(TEXT(A692,"MMM"),"-",MID(Q692,3,2))</f>
        <v>Oct-24</v>
      </c>
      <c r="X692" s="19">
        <f>IFERROR(IF(D692="Sell",(H692-P692),-(H692+P692)),0)</f>
        <v>4201</v>
      </c>
      <c r="Y692" s="19">
        <f>X692/1000</f>
        <v>4.2009999999999996</v>
      </c>
    </row>
    <row r="693" spans="1:25" x14ac:dyDescent="0.25">
      <c r="A693" s="1">
        <v>45566</v>
      </c>
      <c r="B693" t="s">
        <v>61</v>
      </c>
      <c r="C693" t="s">
        <v>17</v>
      </c>
      <c r="D693" t="s">
        <v>22</v>
      </c>
      <c r="E693">
        <v>900</v>
      </c>
      <c r="F693">
        <v>0</v>
      </c>
      <c r="G693">
        <v>10</v>
      </c>
      <c r="H693">
        <v>9000</v>
      </c>
      <c r="I693" t="s">
        <v>66</v>
      </c>
      <c r="J693">
        <v>0</v>
      </c>
      <c r="K693">
        <v>3.19</v>
      </c>
      <c r="L693">
        <v>0</v>
      </c>
      <c r="M693">
        <v>0</v>
      </c>
      <c r="N693">
        <v>1200</v>
      </c>
      <c r="O693">
        <v>216.58</v>
      </c>
      <c r="P693">
        <v>1419.77</v>
      </c>
      <c r="Q693" s="18">
        <f>YEAR(A693)</f>
        <v>2024</v>
      </c>
      <c r="R693" s="18">
        <f>MONTH(A693)</f>
        <v>10</v>
      </c>
      <c r="S693" s="18">
        <f>IF(R693&lt;4,Q693-1,Q693)</f>
        <v>2024</v>
      </c>
      <c r="T693" s="18">
        <f>IF(R693&lt;4,R693+9,R693-3)</f>
        <v>7</v>
      </c>
      <c r="U693" s="18" t="str">
        <f>IF(LEN(T693)=1,_xlfn.CONCAT(0,T693),T693)</f>
        <v>07</v>
      </c>
      <c r="V693" s="18" t="str">
        <f>_xlfn.CONCAT(S693,U693)</f>
        <v>202407</v>
      </c>
      <c r="W693" s="18" t="str">
        <f>_xlfn.CONCAT(TEXT(A693,"MMM"),"-",MID(Q693,3,2))</f>
        <v>Oct-24</v>
      </c>
      <c r="X693" s="19">
        <f>IFERROR(IF(D693="Sell",(H693-P693),-(H693+P693)),0)</f>
        <v>-10419.77</v>
      </c>
      <c r="Y693" s="19">
        <f>X693/1000</f>
        <v>-10.41977</v>
      </c>
    </row>
    <row r="694" spans="1:25" x14ac:dyDescent="0.25">
      <c r="A694" s="1">
        <v>45566</v>
      </c>
      <c r="B694" t="s">
        <v>61</v>
      </c>
      <c r="C694" t="s">
        <v>17</v>
      </c>
      <c r="D694" t="s">
        <v>22</v>
      </c>
      <c r="E694">
        <v>900</v>
      </c>
      <c r="F694">
        <v>0</v>
      </c>
      <c r="G694">
        <v>11</v>
      </c>
      <c r="H694">
        <v>9900</v>
      </c>
      <c r="I694" t="s">
        <v>67</v>
      </c>
      <c r="J694">
        <v>0</v>
      </c>
      <c r="K694">
        <v>3.52</v>
      </c>
      <c r="L694">
        <v>0</v>
      </c>
      <c r="M694">
        <v>0</v>
      </c>
      <c r="N694">
        <v>1200</v>
      </c>
      <c r="O694">
        <v>216.62</v>
      </c>
      <c r="P694">
        <v>1420.14</v>
      </c>
      <c r="Q694" s="18">
        <f>YEAR(A694)</f>
        <v>2024</v>
      </c>
      <c r="R694" s="18">
        <f>MONTH(A694)</f>
        <v>10</v>
      </c>
      <c r="S694" s="18">
        <f>IF(R694&lt;4,Q694-1,Q694)</f>
        <v>2024</v>
      </c>
      <c r="T694" s="18">
        <f>IF(R694&lt;4,R694+9,R694-3)</f>
        <v>7</v>
      </c>
      <c r="U694" s="18" t="str">
        <f>IF(LEN(T694)=1,_xlfn.CONCAT(0,T694),T694)</f>
        <v>07</v>
      </c>
      <c r="V694" s="18" t="str">
        <f>_xlfn.CONCAT(S694,U694)</f>
        <v>202407</v>
      </c>
      <c r="W694" s="18" t="str">
        <f>_xlfn.CONCAT(TEXT(A694,"MMM"),"-",MID(Q694,3,2))</f>
        <v>Oct-24</v>
      </c>
      <c r="X694" s="19">
        <f>IFERROR(IF(D694="Sell",(H694-P694),-(H694+P694)),0)</f>
        <v>-11320.14</v>
      </c>
      <c r="Y694" s="19">
        <f>X694/1000</f>
        <v>-11.320139999999999</v>
      </c>
    </row>
    <row r="695" spans="1:25" x14ac:dyDescent="0.25">
      <c r="A695" s="1">
        <v>45566</v>
      </c>
      <c r="B695" t="s">
        <v>61</v>
      </c>
      <c r="C695" t="s">
        <v>17</v>
      </c>
      <c r="D695" t="s">
        <v>22</v>
      </c>
      <c r="E695">
        <v>900</v>
      </c>
      <c r="F695">
        <v>0</v>
      </c>
      <c r="G695">
        <v>14.25</v>
      </c>
      <c r="H695">
        <v>12825</v>
      </c>
      <c r="I695" t="s">
        <v>68</v>
      </c>
      <c r="J695">
        <v>0</v>
      </c>
      <c r="K695">
        <v>4.57</v>
      </c>
      <c r="L695">
        <v>0</v>
      </c>
      <c r="M695">
        <v>0.01</v>
      </c>
      <c r="N695">
        <v>1200</v>
      </c>
      <c r="O695">
        <v>216.84</v>
      </c>
      <c r="P695">
        <v>1421.42</v>
      </c>
      <c r="Q695" s="18">
        <f>YEAR(A695)</f>
        <v>2024</v>
      </c>
      <c r="R695" s="18">
        <f>MONTH(A695)</f>
        <v>10</v>
      </c>
      <c r="S695" s="18">
        <f>IF(R695&lt;4,Q695-1,Q695)</f>
        <v>2024</v>
      </c>
      <c r="T695" s="18">
        <f>IF(R695&lt;4,R695+9,R695-3)</f>
        <v>7</v>
      </c>
      <c r="U695" s="18" t="str">
        <f>IF(LEN(T695)=1,_xlfn.CONCAT(0,T695),T695)</f>
        <v>07</v>
      </c>
      <c r="V695" s="18" t="str">
        <f>_xlfn.CONCAT(S695,U695)</f>
        <v>202407</v>
      </c>
      <c r="W695" s="18" t="str">
        <f>_xlfn.CONCAT(TEXT(A695,"MMM"),"-",MID(Q695,3,2))</f>
        <v>Oct-24</v>
      </c>
      <c r="X695" s="19">
        <f>IFERROR(IF(D695="Sell",(H695-P695),-(H695+P695)),0)</f>
        <v>-14246.42</v>
      </c>
      <c r="Y695" s="19">
        <f>X695/1000</f>
        <v>-14.246420000000001</v>
      </c>
    </row>
    <row r="696" spans="1:25" x14ac:dyDescent="0.25">
      <c r="A696" s="1">
        <v>45566</v>
      </c>
      <c r="B696" t="s">
        <v>61</v>
      </c>
      <c r="C696" t="s">
        <v>17</v>
      </c>
      <c r="D696" t="s">
        <v>22</v>
      </c>
      <c r="E696">
        <v>900</v>
      </c>
      <c r="F696">
        <v>0</v>
      </c>
      <c r="G696">
        <v>14</v>
      </c>
      <c r="H696">
        <v>12600</v>
      </c>
      <c r="I696" t="s">
        <v>69</v>
      </c>
      <c r="J696">
        <v>0</v>
      </c>
      <c r="K696">
        <v>4.4800000000000004</v>
      </c>
      <c r="L696">
        <v>1</v>
      </c>
      <c r="M696">
        <v>0.02</v>
      </c>
      <c r="N696">
        <v>1200</v>
      </c>
      <c r="O696">
        <v>216.82</v>
      </c>
      <c r="P696">
        <v>1422.32</v>
      </c>
      <c r="Q696" s="18">
        <f>YEAR(A696)</f>
        <v>2024</v>
      </c>
      <c r="R696" s="18">
        <f>MONTH(A696)</f>
        <v>10</v>
      </c>
      <c r="S696" s="18">
        <f>IF(R696&lt;4,Q696-1,Q696)</f>
        <v>2024</v>
      </c>
      <c r="T696" s="18">
        <f>IF(R696&lt;4,R696+9,R696-3)</f>
        <v>7</v>
      </c>
      <c r="U696" s="18" t="str">
        <f>IF(LEN(T696)=1,_xlfn.CONCAT(0,T696),T696)</f>
        <v>07</v>
      </c>
      <c r="V696" s="18" t="str">
        <f>_xlfn.CONCAT(S696,U696)</f>
        <v>202407</v>
      </c>
      <c r="W696" s="18" t="str">
        <f>_xlfn.CONCAT(TEXT(A696,"MMM"),"-",MID(Q696,3,2))</f>
        <v>Oct-24</v>
      </c>
      <c r="X696" s="19">
        <f>IFERROR(IF(D696="Sell",(H696-P696),-(H696+P696)),0)</f>
        <v>-14022.32</v>
      </c>
      <c r="Y696" s="19">
        <f>X696/1000</f>
        <v>-14.022320000000001</v>
      </c>
    </row>
    <row r="697" spans="1:25" x14ac:dyDescent="0.25">
      <c r="A697" s="1">
        <v>45601</v>
      </c>
      <c r="B697" t="s">
        <v>58</v>
      </c>
      <c r="C697" t="s">
        <v>17</v>
      </c>
      <c r="D697" t="s">
        <v>18</v>
      </c>
      <c r="E697">
        <v>210</v>
      </c>
      <c r="F697">
        <v>0</v>
      </c>
      <c r="G697">
        <v>119.25</v>
      </c>
      <c r="H697">
        <v>25042.5</v>
      </c>
      <c r="I697" t="s">
        <v>59</v>
      </c>
      <c r="J697">
        <v>25</v>
      </c>
      <c r="K697">
        <v>8.89</v>
      </c>
      <c r="L697">
        <v>0</v>
      </c>
      <c r="M697">
        <v>0.02</v>
      </c>
      <c r="N697">
        <v>280</v>
      </c>
      <c r="O697">
        <v>52</v>
      </c>
      <c r="P697">
        <v>365.91</v>
      </c>
      <c r="Q697" s="18">
        <f>YEAR(A697)</f>
        <v>2024</v>
      </c>
      <c r="R697" s="18">
        <f>MONTH(A697)</f>
        <v>11</v>
      </c>
      <c r="S697" s="18">
        <f>IF(R697&lt;4,Q697-1,Q697)</f>
        <v>2024</v>
      </c>
      <c r="T697" s="18">
        <f>IF(R697&lt;4,R697+9,R697-3)</f>
        <v>8</v>
      </c>
      <c r="U697" s="18" t="str">
        <f>IF(LEN(T697)=1,_xlfn.CONCAT(0,T697),T697)</f>
        <v>08</v>
      </c>
      <c r="V697" s="18" t="str">
        <f>_xlfn.CONCAT(S697,U697)</f>
        <v>202408</v>
      </c>
      <c r="W697" s="18" t="str">
        <f>_xlfn.CONCAT(TEXT(A697,"MMM"),"-",MID(Q697,3,2))</f>
        <v>Nov-24</v>
      </c>
      <c r="X697" s="19">
        <f>IFERROR(IF(D697="Sell",(H697-P697),-(H697+P697)),0)</f>
        <v>24676.59</v>
      </c>
      <c r="Y697" s="19">
        <f>X697/1000</f>
        <v>24.676590000000001</v>
      </c>
    </row>
    <row r="698" spans="1:25" x14ac:dyDescent="0.25">
      <c r="A698" s="1">
        <v>45601</v>
      </c>
      <c r="B698" t="s">
        <v>58</v>
      </c>
      <c r="C698" t="s">
        <v>17</v>
      </c>
      <c r="D698" t="s">
        <v>22</v>
      </c>
      <c r="E698">
        <v>210</v>
      </c>
      <c r="F698">
        <v>0</v>
      </c>
      <c r="G698">
        <v>89</v>
      </c>
      <c r="H698">
        <v>18690</v>
      </c>
      <c r="I698" t="s">
        <v>60</v>
      </c>
      <c r="J698">
        <v>0</v>
      </c>
      <c r="K698">
        <v>6.63</v>
      </c>
      <c r="L698">
        <v>1</v>
      </c>
      <c r="M698">
        <v>0.01</v>
      </c>
      <c r="N698">
        <v>280</v>
      </c>
      <c r="O698">
        <v>51.6</v>
      </c>
      <c r="P698">
        <v>339.24</v>
      </c>
      <c r="Q698" s="18">
        <f>YEAR(A698)</f>
        <v>2024</v>
      </c>
      <c r="R698" s="18">
        <f>MONTH(A698)</f>
        <v>11</v>
      </c>
      <c r="S698" s="18">
        <f>IF(R698&lt;4,Q698-1,Q698)</f>
        <v>2024</v>
      </c>
      <c r="T698" s="18">
        <f>IF(R698&lt;4,R698+9,R698-3)</f>
        <v>8</v>
      </c>
      <c r="U698" s="18" t="str">
        <f>IF(LEN(T698)=1,_xlfn.CONCAT(0,T698),T698)</f>
        <v>08</v>
      </c>
      <c r="V698" s="18" t="str">
        <f>_xlfn.CONCAT(S698,U698)</f>
        <v>202408</v>
      </c>
      <c r="W698" s="18" t="str">
        <f>_xlfn.CONCAT(TEXT(A698,"MMM"),"-",MID(Q698,3,2))</f>
        <v>Nov-24</v>
      </c>
      <c r="X698" s="19">
        <f>IFERROR(IF(D698="Sell",(H698-P698),-(H698+P698)),0)</f>
        <v>-19029.240000000002</v>
      </c>
      <c r="Y698" s="19">
        <f>X698/1000</f>
        <v>-19.029240000000001</v>
      </c>
    </row>
    <row r="699" spans="1:25" x14ac:dyDescent="0.25">
      <c r="A699" s="1">
        <v>45602</v>
      </c>
      <c r="B699" t="s">
        <v>51</v>
      </c>
      <c r="C699" t="s">
        <v>17</v>
      </c>
      <c r="D699" t="s">
        <v>18</v>
      </c>
      <c r="E699">
        <v>900</v>
      </c>
      <c r="F699">
        <v>0</v>
      </c>
      <c r="G699">
        <v>3.9</v>
      </c>
      <c r="H699">
        <v>3510</v>
      </c>
      <c r="I699" t="s">
        <v>52</v>
      </c>
      <c r="J699">
        <v>3.59</v>
      </c>
      <c r="K699">
        <v>1.25</v>
      </c>
      <c r="L699">
        <v>0</v>
      </c>
      <c r="M699">
        <v>0</v>
      </c>
      <c r="N699">
        <v>1200</v>
      </c>
      <c r="O699">
        <v>216.24</v>
      </c>
      <c r="P699">
        <v>1421.08</v>
      </c>
      <c r="Q699" s="18">
        <f>YEAR(A699)</f>
        <v>2024</v>
      </c>
      <c r="R699" s="18">
        <f>MONTH(A699)</f>
        <v>11</v>
      </c>
      <c r="S699" s="18">
        <f>IF(R699&lt;4,Q699-1,Q699)</f>
        <v>2024</v>
      </c>
      <c r="T699" s="18">
        <f>IF(R699&lt;4,R699+9,R699-3)</f>
        <v>8</v>
      </c>
      <c r="U699" s="18" t="str">
        <f>IF(LEN(T699)=1,_xlfn.CONCAT(0,T699),T699)</f>
        <v>08</v>
      </c>
      <c r="V699" s="18" t="str">
        <f>_xlfn.CONCAT(S699,U699)</f>
        <v>202408</v>
      </c>
      <c r="W699" s="18" t="str">
        <f>_xlfn.CONCAT(TEXT(A699,"MMM"),"-",MID(Q699,3,2))</f>
        <v>Nov-24</v>
      </c>
      <c r="X699" s="19">
        <f>IFERROR(IF(D699="Sell",(H699-P699),-(H699+P699)),0)</f>
        <v>2088.92</v>
      </c>
      <c r="Y699" s="19">
        <f>X699/1000</f>
        <v>2.0889199999999999</v>
      </c>
    </row>
    <row r="700" spans="1:25" x14ac:dyDescent="0.25">
      <c r="A700" s="1">
        <v>45602</v>
      </c>
      <c r="B700" t="s">
        <v>51</v>
      </c>
      <c r="C700" t="s">
        <v>17</v>
      </c>
      <c r="D700" t="s">
        <v>18</v>
      </c>
      <c r="E700">
        <v>900</v>
      </c>
      <c r="F700">
        <v>0</v>
      </c>
      <c r="G700">
        <v>2.4500000000000002</v>
      </c>
      <c r="H700">
        <v>2205</v>
      </c>
      <c r="I700" t="s">
        <v>53</v>
      </c>
      <c r="J700">
        <v>2.2000000000000002</v>
      </c>
      <c r="K700">
        <v>0.79</v>
      </c>
      <c r="L700">
        <v>0</v>
      </c>
      <c r="M700">
        <v>0</v>
      </c>
      <c r="N700">
        <v>1200</v>
      </c>
      <c r="O700">
        <v>216.14</v>
      </c>
      <c r="P700">
        <v>1419.13</v>
      </c>
      <c r="Q700" s="18">
        <f>YEAR(A700)</f>
        <v>2024</v>
      </c>
      <c r="R700" s="18">
        <f>MONTH(A700)</f>
        <v>11</v>
      </c>
      <c r="S700" s="18">
        <f>IF(R700&lt;4,Q700-1,Q700)</f>
        <v>2024</v>
      </c>
      <c r="T700" s="18">
        <f>IF(R700&lt;4,R700+9,R700-3)</f>
        <v>8</v>
      </c>
      <c r="U700" s="18" t="str">
        <f>IF(LEN(T700)=1,_xlfn.CONCAT(0,T700),T700)</f>
        <v>08</v>
      </c>
      <c r="V700" s="18" t="str">
        <f>_xlfn.CONCAT(S700,U700)</f>
        <v>202408</v>
      </c>
      <c r="W700" s="18" t="str">
        <f>_xlfn.CONCAT(TEXT(A700,"MMM"),"-",MID(Q700,3,2))</f>
        <v>Nov-24</v>
      </c>
      <c r="X700" s="19">
        <f>IFERROR(IF(D700="Sell",(H700-P700),-(H700+P700)),0)</f>
        <v>785.86999999999989</v>
      </c>
      <c r="Y700" s="19">
        <f>X700/1000</f>
        <v>0.78586999999999985</v>
      </c>
    </row>
    <row r="701" spans="1:25" x14ac:dyDescent="0.25">
      <c r="A701" s="1">
        <v>45602</v>
      </c>
      <c r="B701" t="s">
        <v>51</v>
      </c>
      <c r="C701" t="s">
        <v>17</v>
      </c>
      <c r="D701" t="s">
        <v>18</v>
      </c>
      <c r="E701">
        <v>900</v>
      </c>
      <c r="F701">
        <v>0</v>
      </c>
      <c r="G701">
        <v>2.4500000000000002</v>
      </c>
      <c r="H701">
        <v>2205</v>
      </c>
      <c r="I701" t="s">
        <v>54</v>
      </c>
      <c r="J701">
        <v>2.21</v>
      </c>
      <c r="K701">
        <v>0.78</v>
      </c>
      <c r="L701">
        <v>0</v>
      </c>
      <c r="M701">
        <v>0</v>
      </c>
      <c r="N701">
        <v>1200</v>
      </c>
      <c r="O701">
        <v>216.14</v>
      </c>
      <c r="P701">
        <v>1419.13</v>
      </c>
      <c r="Q701" s="18">
        <f>YEAR(A701)</f>
        <v>2024</v>
      </c>
      <c r="R701" s="18">
        <f>MONTH(A701)</f>
        <v>11</v>
      </c>
      <c r="S701" s="18">
        <f>IF(R701&lt;4,Q701-1,Q701)</f>
        <v>2024</v>
      </c>
      <c r="T701" s="18">
        <f>IF(R701&lt;4,R701+9,R701-3)</f>
        <v>8</v>
      </c>
      <c r="U701" s="18" t="str">
        <f>IF(LEN(T701)=1,_xlfn.CONCAT(0,T701),T701)</f>
        <v>08</v>
      </c>
      <c r="V701" s="18" t="str">
        <f>_xlfn.CONCAT(S701,U701)</f>
        <v>202408</v>
      </c>
      <c r="W701" s="18" t="str">
        <f>_xlfn.CONCAT(TEXT(A701,"MMM"),"-",MID(Q701,3,2))</f>
        <v>Nov-24</v>
      </c>
      <c r="X701" s="19">
        <f>IFERROR(IF(D701="Sell",(H701-P701),-(H701+P701)),0)</f>
        <v>785.86999999999989</v>
      </c>
      <c r="Y701" s="19">
        <f>X701/1000</f>
        <v>0.78586999999999985</v>
      </c>
    </row>
    <row r="702" spans="1:25" x14ac:dyDescent="0.25">
      <c r="A702" s="1">
        <v>45602</v>
      </c>
      <c r="B702" t="s">
        <v>51</v>
      </c>
      <c r="C702" t="s">
        <v>17</v>
      </c>
      <c r="D702" t="s">
        <v>22</v>
      </c>
      <c r="E702">
        <v>900</v>
      </c>
      <c r="F702">
        <v>0</v>
      </c>
      <c r="G702">
        <v>11.25</v>
      </c>
      <c r="H702">
        <v>10125</v>
      </c>
      <c r="I702" t="s">
        <v>55</v>
      </c>
      <c r="J702">
        <v>0</v>
      </c>
      <c r="K702">
        <v>3.6</v>
      </c>
      <c r="L702">
        <v>0</v>
      </c>
      <c r="M702">
        <v>0.01</v>
      </c>
      <c r="N702">
        <v>1200</v>
      </c>
      <c r="O702">
        <v>216.66</v>
      </c>
      <c r="P702">
        <v>1420.27</v>
      </c>
      <c r="Q702" s="18">
        <f>YEAR(A702)</f>
        <v>2024</v>
      </c>
      <c r="R702" s="18">
        <f>MONTH(A702)</f>
        <v>11</v>
      </c>
      <c r="S702" s="18">
        <f>IF(R702&lt;4,Q702-1,Q702)</f>
        <v>2024</v>
      </c>
      <c r="T702" s="18">
        <f>IF(R702&lt;4,R702+9,R702-3)</f>
        <v>8</v>
      </c>
      <c r="U702" s="18" t="str">
        <f>IF(LEN(T702)=1,_xlfn.CONCAT(0,T702),T702)</f>
        <v>08</v>
      </c>
      <c r="V702" s="18" t="str">
        <f>_xlfn.CONCAT(S702,U702)</f>
        <v>202408</v>
      </c>
      <c r="W702" s="18" t="str">
        <f>_xlfn.CONCAT(TEXT(A702,"MMM"),"-",MID(Q702,3,2))</f>
        <v>Nov-24</v>
      </c>
      <c r="X702" s="19">
        <f>IFERROR(IF(D702="Sell",(H702-P702),-(H702+P702)),0)</f>
        <v>-11545.27</v>
      </c>
      <c r="Y702" s="19">
        <f>X702/1000</f>
        <v>-11.54527</v>
      </c>
    </row>
    <row r="703" spans="1:25" x14ac:dyDescent="0.25">
      <c r="A703" s="1">
        <v>45602</v>
      </c>
      <c r="B703" t="s">
        <v>51</v>
      </c>
      <c r="C703" t="s">
        <v>17</v>
      </c>
      <c r="D703" t="s">
        <v>22</v>
      </c>
      <c r="E703">
        <v>900</v>
      </c>
      <c r="F703">
        <v>0</v>
      </c>
      <c r="G703">
        <v>20</v>
      </c>
      <c r="H703">
        <v>18000</v>
      </c>
      <c r="I703" t="s">
        <v>56</v>
      </c>
      <c r="J703">
        <v>0</v>
      </c>
      <c r="K703">
        <v>6.39</v>
      </c>
      <c r="L703">
        <v>2</v>
      </c>
      <c r="M703">
        <v>0.01</v>
      </c>
      <c r="N703">
        <v>1200</v>
      </c>
      <c r="O703">
        <v>217.16</v>
      </c>
      <c r="P703">
        <v>1425.56</v>
      </c>
      <c r="Q703" s="18">
        <f>YEAR(A703)</f>
        <v>2024</v>
      </c>
      <c r="R703" s="18">
        <f>MONTH(A703)</f>
        <v>11</v>
      </c>
      <c r="S703" s="18">
        <f>IF(R703&lt;4,Q703-1,Q703)</f>
        <v>2024</v>
      </c>
      <c r="T703" s="18">
        <f>IF(R703&lt;4,R703+9,R703-3)</f>
        <v>8</v>
      </c>
      <c r="U703" s="18" t="str">
        <f>IF(LEN(T703)=1,_xlfn.CONCAT(0,T703),T703)</f>
        <v>08</v>
      </c>
      <c r="V703" s="18" t="str">
        <f>_xlfn.CONCAT(S703,U703)</f>
        <v>202408</v>
      </c>
      <c r="W703" s="18" t="str">
        <f>_xlfn.CONCAT(TEXT(A703,"MMM"),"-",MID(Q703,3,2))</f>
        <v>Nov-24</v>
      </c>
      <c r="X703" s="19">
        <f>IFERROR(IF(D703="Sell",(H703-P703),-(H703+P703)),0)</f>
        <v>-19425.560000000001</v>
      </c>
      <c r="Y703" s="19">
        <f>X703/1000</f>
        <v>-19.425560000000001</v>
      </c>
    </row>
    <row r="704" spans="1:25" x14ac:dyDescent="0.25">
      <c r="A704" s="1">
        <v>45602</v>
      </c>
      <c r="B704" t="s">
        <v>51</v>
      </c>
      <c r="C704" t="s">
        <v>17</v>
      </c>
      <c r="D704" t="s">
        <v>22</v>
      </c>
      <c r="E704">
        <v>900</v>
      </c>
      <c r="F704">
        <v>0</v>
      </c>
      <c r="G704">
        <v>41.25</v>
      </c>
      <c r="H704">
        <v>37125</v>
      </c>
      <c r="I704" t="s">
        <v>57</v>
      </c>
      <c r="J704">
        <v>0</v>
      </c>
      <c r="K704">
        <v>13.2</v>
      </c>
      <c r="L704">
        <v>0</v>
      </c>
      <c r="M704">
        <v>0.04</v>
      </c>
      <c r="N704">
        <v>1200</v>
      </c>
      <c r="O704">
        <v>218.4</v>
      </c>
      <c r="P704">
        <v>1431.64</v>
      </c>
      <c r="Q704" s="18">
        <f>YEAR(A704)</f>
        <v>2024</v>
      </c>
      <c r="R704" s="18">
        <f>MONTH(A704)</f>
        <v>11</v>
      </c>
      <c r="S704" s="18">
        <f>IF(R704&lt;4,Q704-1,Q704)</f>
        <v>2024</v>
      </c>
      <c r="T704" s="18">
        <f>IF(R704&lt;4,R704+9,R704-3)</f>
        <v>8</v>
      </c>
      <c r="U704" s="18" t="str">
        <f>IF(LEN(T704)=1,_xlfn.CONCAT(0,T704),T704)</f>
        <v>08</v>
      </c>
      <c r="V704" s="18" t="str">
        <f>_xlfn.CONCAT(S704,U704)</f>
        <v>202408</v>
      </c>
      <c r="W704" s="18" t="str">
        <f>_xlfn.CONCAT(TEXT(A704,"MMM"),"-",MID(Q704,3,2))</f>
        <v>Nov-24</v>
      </c>
      <c r="X704" s="19">
        <f>IFERROR(IF(D704="Sell",(H704-P704),-(H704+P704)),0)</f>
        <v>-38556.639999999999</v>
      </c>
      <c r="Y704" s="19">
        <f>X704/1000</f>
        <v>-38.556640000000002</v>
      </c>
    </row>
    <row r="705" spans="1:25" x14ac:dyDescent="0.25">
      <c r="A705" s="1">
        <v>45615</v>
      </c>
      <c r="B705" t="s">
        <v>48</v>
      </c>
      <c r="C705" t="s">
        <v>17</v>
      </c>
      <c r="D705" t="s">
        <v>22</v>
      </c>
      <c r="E705">
        <v>15</v>
      </c>
      <c r="F705">
        <v>0</v>
      </c>
      <c r="G705">
        <v>200.8</v>
      </c>
      <c r="H705">
        <v>3012</v>
      </c>
      <c r="I705" t="s">
        <v>50</v>
      </c>
      <c r="J705">
        <v>0</v>
      </c>
      <c r="K705">
        <v>1.07</v>
      </c>
      <c r="L705">
        <v>0</v>
      </c>
      <c r="M705">
        <v>0</v>
      </c>
      <c r="N705">
        <v>20</v>
      </c>
      <c r="O705">
        <v>3.8</v>
      </c>
      <c r="P705">
        <v>24.87</v>
      </c>
      <c r="Q705" s="18">
        <f>YEAR(A705)</f>
        <v>2024</v>
      </c>
      <c r="R705" s="18">
        <f>MONTH(A705)</f>
        <v>11</v>
      </c>
      <c r="S705" s="18">
        <f>IF(R705&lt;4,Q705-1,Q705)</f>
        <v>2024</v>
      </c>
      <c r="T705" s="18">
        <f>IF(R705&lt;4,R705+9,R705-3)</f>
        <v>8</v>
      </c>
      <c r="U705" s="18" t="str">
        <f>IF(LEN(T705)=1,_xlfn.CONCAT(0,T705),T705)</f>
        <v>08</v>
      </c>
      <c r="V705" s="18" t="str">
        <f>_xlfn.CONCAT(S705,U705)</f>
        <v>202408</v>
      </c>
      <c r="W705" s="18" t="str">
        <f>_xlfn.CONCAT(TEXT(A705,"MMM"),"-",MID(Q705,3,2))</f>
        <v>Nov-24</v>
      </c>
      <c r="X705" s="19">
        <f>IFERROR(IF(D705="Sell",(H705-P705),-(H705+P705)),0)</f>
        <v>-3036.87</v>
      </c>
      <c r="Y705" s="19">
        <f>X705/1000</f>
        <v>-3.03687</v>
      </c>
    </row>
    <row r="706" spans="1:25" x14ac:dyDescent="0.25">
      <c r="A706" s="1">
        <v>45617</v>
      </c>
      <c r="B706" t="s">
        <v>41</v>
      </c>
      <c r="C706" t="s">
        <v>17</v>
      </c>
      <c r="D706" t="s">
        <v>22</v>
      </c>
      <c r="E706">
        <v>15</v>
      </c>
      <c r="F706">
        <v>0</v>
      </c>
      <c r="G706">
        <v>104</v>
      </c>
      <c r="H706">
        <v>1560</v>
      </c>
      <c r="I706" t="s">
        <v>43</v>
      </c>
      <c r="J706">
        <v>0</v>
      </c>
      <c r="K706">
        <v>0.55000000000000004</v>
      </c>
      <c r="L706">
        <v>0</v>
      </c>
      <c r="M706">
        <v>0</v>
      </c>
      <c r="N706">
        <v>20</v>
      </c>
      <c r="O706">
        <v>3.7</v>
      </c>
      <c r="P706">
        <v>24.25</v>
      </c>
      <c r="Q706" s="18">
        <f>YEAR(A706)</f>
        <v>2024</v>
      </c>
      <c r="R706" s="18">
        <f>MONTH(A706)</f>
        <v>11</v>
      </c>
      <c r="S706" s="18">
        <f>IF(R706&lt;4,Q706-1,Q706)</f>
        <v>2024</v>
      </c>
      <c r="T706" s="18">
        <f>IF(R706&lt;4,R706+9,R706-3)</f>
        <v>8</v>
      </c>
      <c r="U706" s="18" t="str">
        <f>IF(LEN(T706)=1,_xlfn.CONCAT(0,T706),T706)</f>
        <v>08</v>
      </c>
      <c r="V706" s="18" t="str">
        <f>_xlfn.CONCAT(S706,U706)</f>
        <v>202408</v>
      </c>
      <c r="W706" s="18" t="str">
        <f>_xlfn.CONCAT(TEXT(A706,"MMM"),"-",MID(Q706,3,2))</f>
        <v>Nov-24</v>
      </c>
      <c r="X706" s="19">
        <f>IFERROR(IF(D706="Sell",(H706-P706),-(H706+P706)),0)</f>
        <v>-1584.25</v>
      </c>
      <c r="Y706" s="19">
        <f>X706/1000</f>
        <v>-1.5842499999999999</v>
      </c>
    </row>
    <row r="707" spans="1:25" x14ac:dyDescent="0.25">
      <c r="A707" s="1">
        <v>45617</v>
      </c>
      <c r="B707" t="s">
        <v>44</v>
      </c>
      <c r="C707" t="s">
        <v>17</v>
      </c>
      <c r="D707" t="s">
        <v>18</v>
      </c>
      <c r="E707">
        <v>50</v>
      </c>
      <c r="F707">
        <v>0</v>
      </c>
      <c r="G707">
        <v>52.25</v>
      </c>
      <c r="H707">
        <v>2612.5</v>
      </c>
      <c r="I707" t="s">
        <v>45</v>
      </c>
      <c r="J707">
        <v>2.61</v>
      </c>
      <c r="K707">
        <v>0.93</v>
      </c>
      <c r="L707">
        <v>0</v>
      </c>
      <c r="M707">
        <v>0</v>
      </c>
      <c r="N707">
        <v>40</v>
      </c>
      <c r="O707">
        <v>7.36</v>
      </c>
      <c r="P707">
        <v>50.9</v>
      </c>
      <c r="Q707" s="18">
        <f>YEAR(A707)</f>
        <v>2024</v>
      </c>
      <c r="R707" s="18">
        <f>MONTH(A707)</f>
        <v>11</v>
      </c>
      <c r="S707" s="18">
        <f>IF(R707&lt;4,Q707-1,Q707)</f>
        <v>2024</v>
      </c>
      <c r="T707" s="18">
        <f>IF(R707&lt;4,R707+9,R707-3)</f>
        <v>8</v>
      </c>
      <c r="U707" s="18" t="str">
        <f>IF(LEN(T707)=1,_xlfn.CONCAT(0,T707),T707)</f>
        <v>08</v>
      </c>
      <c r="V707" s="18" t="str">
        <f>_xlfn.CONCAT(S707,U707)</f>
        <v>202408</v>
      </c>
      <c r="W707" s="18" t="str">
        <f>_xlfn.CONCAT(TEXT(A707,"MMM"),"-",MID(Q707,3,2))</f>
        <v>Nov-24</v>
      </c>
      <c r="X707" s="19">
        <f>IFERROR(IF(D707="Sell",(H707-P707),-(H707+P707)),0)</f>
        <v>2561.6</v>
      </c>
      <c r="Y707" s="19">
        <f>X707/1000</f>
        <v>2.5615999999999999</v>
      </c>
    </row>
    <row r="708" spans="1:25" x14ac:dyDescent="0.25">
      <c r="A708" s="1">
        <v>45617</v>
      </c>
      <c r="B708" t="s">
        <v>44</v>
      </c>
      <c r="C708" t="s">
        <v>17</v>
      </c>
      <c r="D708" t="s">
        <v>22</v>
      </c>
      <c r="E708">
        <v>25</v>
      </c>
      <c r="F708">
        <v>0</v>
      </c>
      <c r="G708">
        <v>31.8</v>
      </c>
      <c r="H708">
        <v>795</v>
      </c>
      <c r="I708" t="s">
        <v>46</v>
      </c>
      <c r="J708">
        <v>0</v>
      </c>
      <c r="K708">
        <v>0.28000000000000003</v>
      </c>
      <c r="L708">
        <v>0</v>
      </c>
      <c r="M708">
        <v>0</v>
      </c>
      <c r="N708">
        <v>20</v>
      </c>
      <c r="O708">
        <v>3.66</v>
      </c>
      <c r="P708">
        <v>23.94</v>
      </c>
      <c r="Q708" s="18">
        <f>YEAR(A708)</f>
        <v>2024</v>
      </c>
      <c r="R708" s="18">
        <f>MONTH(A708)</f>
        <v>11</v>
      </c>
      <c r="S708" s="18">
        <f>IF(R708&lt;4,Q708-1,Q708)</f>
        <v>2024</v>
      </c>
      <c r="T708" s="18">
        <f>IF(R708&lt;4,R708+9,R708-3)</f>
        <v>8</v>
      </c>
      <c r="U708" s="18" t="str">
        <f>IF(LEN(T708)=1,_xlfn.CONCAT(0,T708),T708)</f>
        <v>08</v>
      </c>
      <c r="V708" s="18" t="str">
        <f>_xlfn.CONCAT(S708,U708)</f>
        <v>202408</v>
      </c>
      <c r="W708" s="18" t="str">
        <f>_xlfn.CONCAT(TEXT(A708,"MMM"),"-",MID(Q708,3,2))</f>
        <v>Nov-24</v>
      </c>
      <c r="X708" s="19">
        <f>IFERROR(IF(D708="Sell",(H708-P708),-(H708+P708)),0)</f>
        <v>-818.94</v>
      </c>
      <c r="Y708" s="19">
        <f>X708/1000</f>
        <v>-0.81894</v>
      </c>
    </row>
    <row r="709" spans="1:25" x14ac:dyDescent="0.25">
      <c r="A709" s="1">
        <v>45617</v>
      </c>
      <c r="B709" t="s">
        <v>44</v>
      </c>
      <c r="C709" t="s">
        <v>17</v>
      </c>
      <c r="D709" t="s">
        <v>22</v>
      </c>
      <c r="E709">
        <v>25</v>
      </c>
      <c r="F709">
        <v>0</v>
      </c>
      <c r="G709">
        <v>32.15</v>
      </c>
      <c r="H709">
        <v>803.75</v>
      </c>
      <c r="I709" t="s">
        <v>47</v>
      </c>
      <c r="J709">
        <v>0</v>
      </c>
      <c r="K709">
        <v>0.28999999999999998</v>
      </c>
      <c r="L709">
        <v>0</v>
      </c>
      <c r="M709">
        <v>0</v>
      </c>
      <c r="N709">
        <v>20</v>
      </c>
      <c r="O709">
        <v>3.66</v>
      </c>
      <c r="P709">
        <v>23.95</v>
      </c>
      <c r="Q709" s="18">
        <f>YEAR(A709)</f>
        <v>2024</v>
      </c>
      <c r="R709" s="18">
        <f>MONTH(A709)</f>
        <v>11</v>
      </c>
      <c r="S709" s="18">
        <f>IF(R709&lt;4,Q709-1,Q709)</f>
        <v>2024</v>
      </c>
      <c r="T709" s="18">
        <f>IF(R709&lt;4,R709+9,R709-3)</f>
        <v>8</v>
      </c>
      <c r="U709" s="18" t="str">
        <f>IF(LEN(T709)=1,_xlfn.CONCAT(0,T709),T709)</f>
        <v>08</v>
      </c>
      <c r="V709" s="18" t="str">
        <f>_xlfn.CONCAT(S709,U709)</f>
        <v>202408</v>
      </c>
      <c r="W709" s="18" t="str">
        <f>_xlfn.CONCAT(TEXT(A709,"MMM"),"-",MID(Q709,3,2))</f>
        <v>Nov-24</v>
      </c>
      <c r="X709" s="19">
        <f>IFERROR(IF(D709="Sell",(H709-P709),-(H709+P709)),0)</f>
        <v>-827.7</v>
      </c>
      <c r="Y709" s="19">
        <f>X709/1000</f>
        <v>-0.82769999999999999</v>
      </c>
    </row>
    <row r="710" spans="1:25" x14ac:dyDescent="0.25">
      <c r="A710" s="1">
        <v>45617</v>
      </c>
      <c r="B710" t="s">
        <v>48</v>
      </c>
      <c r="C710" t="s">
        <v>17</v>
      </c>
      <c r="D710" t="s">
        <v>18</v>
      </c>
      <c r="E710">
        <v>15</v>
      </c>
      <c r="F710">
        <v>0</v>
      </c>
      <c r="G710">
        <v>380.8</v>
      </c>
      <c r="H710">
        <v>5712</v>
      </c>
      <c r="I710" t="s">
        <v>49</v>
      </c>
      <c r="J710">
        <v>5.39</v>
      </c>
      <c r="K710">
        <v>2.0299999999999998</v>
      </c>
      <c r="L710">
        <v>0</v>
      </c>
      <c r="M710">
        <v>0.01</v>
      </c>
      <c r="N710">
        <v>20</v>
      </c>
      <c r="O710">
        <v>3.96</v>
      </c>
      <c r="P710">
        <v>31.39</v>
      </c>
      <c r="Q710" s="18">
        <f>YEAR(A710)</f>
        <v>2024</v>
      </c>
      <c r="R710" s="18">
        <f>MONTH(A710)</f>
        <v>11</v>
      </c>
      <c r="S710" s="18">
        <f>IF(R710&lt;4,Q710-1,Q710)</f>
        <v>2024</v>
      </c>
      <c r="T710" s="18">
        <f>IF(R710&lt;4,R710+9,R710-3)</f>
        <v>8</v>
      </c>
      <c r="U710" s="18" t="str">
        <f>IF(LEN(T710)=1,_xlfn.CONCAT(0,T710),T710)</f>
        <v>08</v>
      </c>
      <c r="V710" s="18" t="str">
        <f>_xlfn.CONCAT(S710,U710)</f>
        <v>202408</v>
      </c>
      <c r="W710" s="18" t="str">
        <f>_xlfn.CONCAT(TEXT(A710,"MMM"),"-",MID(Q710,3,2))</f>
        <v>Nov-24</v>
      </c>
      <c r="X710" s="19">
        <f>IFERROR(IF(D710="Sell",(H710-P710),-(H710+P710)),0)</f>
        <v>5680.61</v>
      </c>
      <c r="Y710" s="19">
        <f>X710/1000</f>
        <v>5.6806099999999997</v>
      </c>
    </row>
    <row r="711" spans="1:25" x14ac:dyDescent="0.25">
      <c r="A711" s="1">
        <v>45622</v>
      </c>
      <c r="B711" t="s">
        <v>41</v>
      </c>
      <c r="C711" t="s">
        <v>17</v>
      </c>
      <c r="D711" t="s">
        <v>18</v>
      </c>
      <c r="E711">
        <v>15</v>
      </c>
      <c r="F711">
        <v>0</v>
      </c>
      <c r="G711">
        <v>3.35</v>
      </c>
      <c r="H711">
        <v>50.25</v>
      </c>
      <c r="I711" t="s">
        <v>42</v>
      </c>
      <c r="J711">
        <v>0</v>
      </c>
      <c r="K711">
        <v>0.02</v>
      </c>
      <c r="L711">
        <v>0</v>
      </c>
      <c r="M711">
        <v>0</v>
      </c>
      <c r="N711">
        <v>20</v>
      </c>
      <c r="O711">
        <v>3.6</v>
      </c>
      <c r="P711">
        <v>23.62</v>
      </c>
      <c r="Q711" s="18">
        <f>YEAR(A711)</f>
        <v>2024</v>
      </c>
      <c r="R711" s="18">
        <f>MONTH(A711)</f>
        <v>11</v>
      </c>
      <c r="S711" s="18">
        <f>IF(R711&lt;4,Q711-1,Q711)</f>
        <v>2024</v>
      </c>
      <c r="T711" s="18">
        <f>IF(R711&lt;4,R711+9,R711-3)</f>
        <v>8</v>
      </c>
      <c r="U711" s="18" t="str">
        <f>IF(LEN(T711)=1,_xlfn.CONCAT(0,T711),T711)</f>
        <v>08</v>
      </c>
      <c r="V711" s="18" t="str">
        <f>_xlfn.CONCAT(S711,U711)</f>
        <v>202408</v>
      </c>
      <c r="W711" s="18" t="str">
        <f>_xlfn.CONCAT(TEXT(A711,"MMM"),"-",MID(Q711,3,2))</f>
        <v>Nov-24</v>
      </c>
      <c r="X711" s="19">
        <f>IFERROR(IF(D711="Sell",(H711-P711),-(H711+P711)),0)</f>
        <v>26.63</v>
      </c>
      <c r="Y711" s="19">
        <f>X711/1000</f>
        <v>2.6629999999999997E-2</v>
      </c>
    </row>
    <row r="712" spans="1:25" x14ac:dyDescent="0.25">
      <c r="A712" s="1">
        <v>45625</v>
      </c>
      <c r="B712" t="s">
        <v>24</v>
      </c>
      <c r="C712" t="s">
        <v>17</v>
      </c>
      <c r="D712" t="s">
        <v>22</v>
      </c>
      <c r="E712">
        <v>15</v>
      </c>
      <c r="F712">
        <v>0</v>
      </c>
      <c r="G712">
        <v>110</v>
      </c>
      <c r="H712">
        <v>1650</v>
      </c>
      <c r="I712" t="s">
        <v>40</v>
      </c>
      <c r="J712">
        <v>0</v>
      </c>
      <c r="K712">
        <v>0.59</v>
      </c>
      <c r="L712">
        <v>0</v>
      </c>
      <c r="M712">
        <v>0</v>
      </c>
      <c r="N712">
        <v>20</v>
      </c>
      <c r="O712">
        <v>3.7</v>
      </c>
      <c r="P712">
        <v>24.29</v>
      </c>
      <c r="Q712" s="18">
        <f>YEAR(A712)</f>
        <v>2024</v>
      </c>
      <c r="R712" s="18">
        <f>MONTH(A712)</f>
        <v>11</v>
      </c>
      <c r="S712" s="18">
        <f>IF(R712&lt;4,Q712-1,Q712)</f>
        <v>2024</v>
      </c>
      <c r="T712" s="18">
        <f>IF(R712&lt;4,R712+9,R712-3)</f>
        <v>8</v>
      </c>
      <c r="U712" s="18" t="str">
        <f>IF(LEN(T712)=1,_xlfn.CONCAT(0,T712),T712)</f>
        <v>08</v>
      </c>
      <c r="V712" s="18" t="str">
        <f>_xlfn.CONCAT(S712,U712)</f>
        <v>202408</v>
      </c>
      <c r="W712" s="18" t="str">
        <f>_xlfn.CONCAT(TEXT(A712,"MMM"),"-",MID(Q712,3,2))</f>
        <v>Nov-24</v>
      </c>
      <c r="X712" s="19">
        <f>IFERROR(IF(D712="Sell",(H712-P712),-(H712+P712)),0)</f>
        <v>-1674.29</v>
      </c>
      <c r="Y712" s="19">
        <f>X712/1000</f>
        <v>-1.6742900000000001</v>
      </c>
    </row>
    <row r="713" spans="1:25" x14ac:dyDescent="0.25">
      <c r="A713" s="1">
        <v>45628</v>
      </c>
      <c r="B713" t="s">
        <v>24</v>
      </c>
      <c r="C713" t="s">
        <v>17</v>
      </c>
      <c r="D713" t="s">
        <v>22</v>
      </c>
      <c r="E713">
        <v>45</v>
      </c>
      <c r="F713">
        <v>0</v>
      </c>
      <c r="G713">
        <v>131.1</v>
      </c>
      <c r="H713">
        <v>5899.5</v>
      </c>
      <c r="I713" t="s">
        <v>39</v>
      </c>
      <c r="J713">
        <v>0</v>
      </c>
      <c r="K713">
        <v>2.1</v>
      </c>
      <c r="L713">
        <v>0</v>
      </c>
      <c r="M713">
        <v>0.01</v>
      </c>
      <c r="N713">
        <v>60</v>
      </c>
      <c r="O713">
        <v>11.18</v>
      </c>
      <c r="P713">
        <v>73.290000000000006</v>
      </c>
      <c r="Q713" s="18">
        <f>YEAR(A713)</f>
        <v>2024</v>
      </c>
      <c r="R713" s="18">
        <f>MONTH(A713)</f>
        <v>12</v>
      </c>
      <c r="S713" s="18">
        <f>IF(R713&lt;4,Q713-1,Q713)</f>
        <v>2024</v>
      </c>
      <c r="T713" s="18">
        <f>IF(R713&lt;4,R713+9,R713-3)</f>
        <v>9</v>
      </c>
      <c r="U713" s="18" t="str">
        <f>IF(LEN(T713)=1,_xlfn.CONCAT(0,T713),T713)</f>
        <v>09</v>
      </c>
      <c r="V713" s="18" t="str">
        <f>_xlfn.CONCAT(S713,U713)</f>
        <v>202409</v>
      </c>
      <c r="W713" s="18" t="str">
        <f>_xlfn.CONCAT(TEXT(A713,"MMM"),"-",MID(Q713,3,2))</f>
        <v>Dec-24</v>
      </c>
      <c r="X713" s="19">
        <f>IFERROR(IF(D713="Sell",(H713-P713),-(H713+P713)),0)</f>
        <v>-5972.79</v>
      </c>
      <c r="Y713" s="19">
        <f>X713/1000</f>
        <v>-5.9727899999999998</v>
      </c>
    </row>
    <row r="714" spans="1:25" x14ac:dyDescent="0.25">
      <c r="A714" s="1">
        <v>45629</v>
      </c>
      <c r="B714" t="s">
        <v>35</v>
      </c>
      <c r="C714" t="s">
        <v>17</v>
      </c>
      <c r="D714" t="s">
        <v>22</v>
      </c>
      <c r="E714">
        <v>100</v>
      </c>
      <c r="F714">
        <v>0</v>
      </c>
      <c r="G714">
        <v>121</v>
      </c>
      <c r="H714">
        <v>12100</v>
      </c>
      <c r="I714" t="s">
        <v>38</v>
      </c>
      <c r="J714">
        <v>0</v>
      </c>
      <c r="K714">
        <v>4.3</v>
      </c>
      <c r="L714">
        <v>0</v>
      </c>
      <c r="M714">
        <v>0.01</v>
      </c>
      <c r="N714">
        <v>80</v>
      </c>
      <c r="O714">
        <v>15.18</v>
      </c>
      <c r="P714">
        <v>99.49</v>
      </c>
      <c r="Q714" s="18">
        <f>YEAR(A714)</f>
        <v>2024</v>
      </c>
      <c r="R714" s="18">
        <f>MONTH(A714)</f>
        <v>12</v>
      </c>
      <c r="S714" s="18">
        <f>IF(R714&lt;4,Q714-1,Q714)</f>
        <v>2024</v>
      </c>
      <c r="T714" s="18">
        <f>IF(R714&lt;4,R714+9,R714-3)</f>
        <v>9</v>
      </c>
      <c r="U714" s="18" t="str">
        <f>IF(LEN(T714)=1,_xlfn.CONCAT(0,T714),T714)</f>
        <v>09</v>
      </c>
      <c r="V714" s="18" t="str">
        <f>_xlfn.CONCAT(S714,U714)</f>
        <v>202409</v>
      </c>
      <c r="W714" s="18" t="str">
        <f>_xlfn.CONCAT(TEXT(A714,"MMM"),"-",MID(Q714,3,2))</f>
        <v>Dec-24</v>
      </c>
      <c r="X714" s="19">
        <f>IFERROR(IF(D714="Sell",(H714-P714),-(H714+P714)),0)</f>
        <v>-12199.49</v>
      </c>
      <c r="Y714" s="19">
        <f>X714/1000</f>
        <v>-12.199489999999999</v>
      </c>
    </row>
    <row r="715" spans="1:25" x14ac:dyDescent="0.25">
      <c r="A715" s="1">
        <v>45630</v>
      </c>
      <c r="B715" t="s">
        <v>24</v>
      </c>
      <c r="C715" t="s">
        <v>17</v>
      </c>
      <c r="D715" t="s">
        <v>22</v>
      </c>
      <c r="E715">
        <v>210</v>
      </c>
      <c r="F715">
        <v>0</v>
      </c>
      <c r="G715">
        <v>61</v>
      </c>
      <c r="H715">
        <v>12810</v>
      </c>
      <c r="I715" t="s">
        <v>34</v>
      </c>
      <c r="J715">
        <v>0</v>
      </c>
      <c r="K715">
        <v>4.5599999999999996</v>
      </c>
      <c r="L715">
        <v>0.38</v>
      </c>
      <c r="M715">
        <v>0.01</v>
      </c>
      <c r="N715">
        <v>280</v>
      </c>
      <c r="O715">
        <v>51.22</v>
      </c>
      <c r="P715">
        <v>336.17</v>
      </c>
      <c r="Q715" s="18">
        <f>YEAR(A715)</f>
        <v>2024</v>
      </c>
      <c r="R715" s="18">
        <f>MONTH(A715)</f>
        <v>12</v>
      </c>
      <c r="S715" s="18">
        <f>IF(R715&lt;4,Q715-1,Q715)</f>
        <v>2024</v>
      </c>
      <c r="T715" s="18">
        <f>IF(R715&lt;4,R715+9,R715-3)</f>
        <v>9</v>
      </c>
      <c r="U715" s="18" t="str">
        <f>IF(LEN(T715)=1,_xlfn.CONCAT(0,T715),T715)</f>
        <v>09</v>
      </c>
      <c r="V715" s="18" t="str">
        <f>_xlfn.CONCAT(S715,U715)</f>
        <v>202409</v>
      </c>
      <c r="W715" s="18" t="str">
        <f>_xlfn.CONCAT(TEXT(A715,"MMM"),"-",MID(Q715,3,2))</f>
        <v>Dec-24</v>
      </c>
      <c r="X715" s="19">
        <f>IFERROR(IF(D715="Sell",(H715-P715),-(H715+P715)),0)</f>
        <v>-13146.17</v>
      </c>
      <c r="Y715" s="19">
        <f>X715/1000</f>
        <v>-13.14617</v>
      </c>
    </row>
    <row r="716" spans="1:25" x14ac:dyDescent="0.25">
      <c r="A716" s="1">
        <v>45630</v>
      </c>
      <c r="B716" t="s">
        <v>35</v>
      </c>
      <c r="C716" t="s">
        <v>17</v>
      </c>
      <c r="D716" t="s">
        <v>18</v>
      </c>
      <c r="E716">
        <v>300</v>
      </c>
      <c r="F716">
        <v>0</v>
      </c>
      <c r="G716">
        <v>91.25</v>
      </c>
      <c r="H716">
        <v>27375</v>
      </c>
      <c r="I716" t="s">
        <v>36</v>
      </c>
      <c r="J716">
        <v>27</v>
      </c>
      <c r="K716">
        <v>9.73</v>
      </c>
      <c r="L716">
        <v>0</v>
      </c>
      <c r="M716">
        <v>0.03</v>
      </c>
      <c r="N716">
        <v>240</v>
      </c>
      <c r="O716">
        <v>44.96</v>
      </c>
      <c r="P716">
        <v>321.72000000000003</v>
      </c>
      <c r="Q716" s="18">
        <f>YEAR(A716)</f>
        <v>2024</v>
      </c>
      <c r="R716" s="18">
        <f>MONTH(A716)</f>
        <v>12</v>
      </c>
      <c r="S716" s="18">
        <f>IF(R716&lt;4,Q716-1,Q716)</f>
        <v>2024</v>
      </c>
      <c r="T716" s="18">
        <f>IF(R716&lt;4,R716+9,R716-3)</f>
        <v>9</v>
      </c>
      <c r="U716" s="18" t="str">
        <f>IF(LEN(T716)=1,_xlfn.CONCAT(0,T716),T716)</f>
        <v>09</v>
      </c>
      <c r="V716" s="18" t="str">
        <f>_xlfn.CONCAT(S716,U716)</f>
        <v>202409</v>
      </c>
      <c r="W716" s="18" t="str">
        <f>_xlfn.CONCAT(TEXT(A716,"MMM"),"-",MID(Q716,3,2))</f>
        <v>Dec-24</v>
      </c>
      <c r="X716" s="19">
        <f>IFERROR(IF(D716="Sell",(H716-P716),-(H716+P716)),0)</f>
        <v>27053.279999999999</v>
      </c>
      <c r="Y716" s="19">
        <f>X716/1000</f>
        <v>27.053279999999997</v>
      </c>
    </row>
    <row r="717" spans="1:25" x14ac:dyDescent="0.25">
      <c r="A717" s="1">
        <v>45630</v>
      </c>
      <c r="B717" t="s">
        <v>35</v>
      </c>
      <c r="C717" t="s">
        <v>17</v>
      </c>
      <c r="D717" t="s">
        <v>22</v>
      </c>
      <c r="E717">
        <v>200</v>
      </c>
      <c r="F717">
        <v>0</v>
      </c>
      <c r="G717">
        <v>71.25</v>
      </c>
      <c r="H717">
        <v>14250</v>
      </c>
      <c r="I717" t="s">
        <v>37</v>
      </c>
      <c r="J717">
        <v>0</v>
      </c>
      <c r="K717">
        <v>5.08</v>
      </c>
      <c r="L717">
        <v>0.62</v>
      </c>
      <c r="M717">
        <v>0</v>
      </c>
      <c r="N717">
        <v>160</v>
      </c>
      <c r="O717">
        <v>29.68</v>
      </c>
      <c r="P717">
        <v>195.38</v>
      </c>
      <c r="Q717" s="18">
        <f>YEAR(A717)</f>
        <v>2024</v>
      </c>
      <c r="R717" s="18">
        <f>MONTH(A717)</f>
        <v>12</v>
      </c>
      <c r="S717" s="18">
        <f>IF(R717&lt;4,Q717-1,Q717)</f>
        <v>2024</v>
      </c>
      <c r="T717" s="18">
        <f>IF(R717&lt;4,R717+9,R717-3)</f>
        <v>9</v>
      </c>
      <c r="U717" s="18" t="str">
        <f>IF(LEN(T717)=1,_xlfn.CONCAT(0,T717),T717)</f>
        <v>09</v>
      </c>
      <c r="V717" s="18" t="str">
        <f>_xlfn.CONCAT(S717,U717)</f>
        <v>202409</v>
      </c>
      <c r="W717" s="18" t="str">
        <f>_xlfn.CONCAT(TEXT(A717,"MMM"),"-",MID(Q717,3,2))</f>
        <v>Dec-24</v>
      </c>
      <c r="X717" s="19">
        <f>IFERROR(IF(D717="Sell",(H717-P717),-(H717+P717)),0)</f>
        <v>-14445.38</v>
      </c>
      <c r="Y717" s="19">
        <f>X717/1000</f>
        <v>-14.445379999999998</v>
      </c>
    </row>
    <row r="718" spans="1:25" x14ac:dyDescent="0.25">
      <c r="A718" s="1">
        <v>45632</v>
      </c>
      <c r="B718" t="s">
        <v>20</v>
      </c>
      <c r="C718" t="s">
        <v>17</v>
      </c>
      <c r="D718" t="s">
        <v>22</v>
      </c>
      <c r="E718">
        <v>150</v>
      </c>
      <c r="F718">
        <v>0</v>
      </c>
      <c r="G718">
        <v>70.8</v>
      </c>
      <c r="H718">
        <v>10620</v>
      </c>
      <c r="I718" t="s">
        <v>31</v>
      </c>
      <c r="J718">
        <v>0</v>
      </c>
      <c r="K718">
        <v>3.77</v>
      </c>
      <c r="L718">
        <v>0</v>
      </c>
      <c r="M718">
        <v>0.01</v>
      </c>
      <c r="N718">
        <v>120</v>
      </c>
      <c r="O718">
        <v>22.28</v>
      </c>
      <c r="P718">
        <v>146.06</v>
      </c>
      <c r="Q718" s="18">
        <f>YEAR(A718)</f>
        <v>2024</v>
      </c>
      <c r="R718" s="18">
        <f>MONTH(A718)</f>
        <v>12</v>
      </c>
      <c r="S718" s="18">
        <f>IF(R718&lt;4,Q718-1,Q718)</f>
        <v>2024</v>
      </c>
      <c r="T718" s="18">
        <f>IF(R718&lt;4,R718+9,R718-3)</f>
        <v>9</v>
      </c>
      <c r="U718" s="18" t="str">
        <f>IF(LEN(T718)=1,_xlfn.CONCAT(0,T718),T718)</f>
        <v>09</v>
      </c>
      <c r="V718" s="18" t="str">
        <f>_xlfn.CONCAT(S718,U718)</f>
        <v>202409</v>
      </c>
      <c r="W718" s="18" t="str">
        <f>_xlfn.CONCAT(TEXT(A718,"MMM"),"-",MID(Q718,3,2))</f>
        <v>Dec-24</v>
      </c>
      <c r="X718" s="19">
        <f>IFERROR(IF(D718="Sell",(H718-P718),-(H718+P718)),0)</f>
        <v>-10766.06</v>
      </c>
      <c r="Y718" s="19">
        <f>X718/1000</f>
        <v>-10.76606</v>
      </c>
    </row>
    <row r="719" spans="1:25" x14ac:dyDescent="0.25">
      <c r="A719" s="1">
        <v>45632</v>
      </c>
      <c r="B719" t="s">
        <v>20</v>
      </c>
      <c r="C719" t="s">
        <v>17</v>
      </c>
      <c r="D719" t="s">
        <v>22</v>
      </c>
      <c r="E719">
        <v>100</v>
      </c>
      <c r="F719">
        <v>0</v>
      </c>
      <c r="G719">
        <v>90.1</v>
      </c>
      <c r="H719">
        <v>9010</v>
      </c>
      <c r="I719" t="s">
        <v>32</v>
      </c>
      <c r="J719">
        <v>0</v>
      </c>
      <c r="K719">
        <v>3.2</v>
      </c>
      <c r="L719">
        <v>0</v>
      </c>
      <c r="M719">
        <v>0.01</v>
      </c>
      <c r="N719">
        <v>80</v>
      </c>
      <c r="O719">
        <v>14.98</v>
      </c>
      <c r="P719">
        <v>98.19</v>
      </c>
      <c r="Q719" s="18">
        <f>YEAR(A719)</f>
        <v>2024</v>
      </c>
      <c r="R719" s="18">
        <f>MONTH(A719)</f>
        <v>12</v>
      </c>
      <c r="S719" s="18">
        <f>IF(R719&lt;4,Q719-1,Q719)</f>
        <v>2024</v>
      </c>
      <c r="T719" s="18">
        <f>IF(R719&lt;4,R719+9,R719-3)</f>
        <v>9</v>
      </c>
      <c r="U719" s="18" t="str">
        <f>IF(LEN(T719)=1,_xlfn.CONCAT(0,T719),T719)</f>
        <v>09</v>
      </c>
      <c r="V719" s="18" t="str">
        <f>_xlfn.CONCAT(S719,U719)</f>
        <v>202409</v>
      </c>
      <c r="W719" s="18" t="str">
        <f>_xlfn.CONCAT(TEXT(A719,"MMM"),"-",MID(Q719,3,2))</f>
        <v>Dec-24</v>
      </c>
      <c r="X719" s="19">
        <f>IFERROR(IF(D719="Sell",(H719-P719),-(H719+P719)),0)</f>
        <v>-9108.19</v>
      </c>
      <c r="Y719" s="19">
        <f>X719/1000</f>
        <v>-9.1081900000000005</v>
      </c>
    </row>
    <row r="720" spans="1:25" x14ac:dyDescent="0.25">
      <c r="A720" s="1">
        <v>45632</v>
      </c>
      <c r="B720" t="s">
        <v>20</v>
      </c>
      <c r="C720" t="s">
        <v>17</v>
      </c>
      <c r="D720" t="s">
        <v>22</v>
      </c>
      <c r="E720">
        <v>250</v>
      </c>
      <c r="F720">
        <v>0</v>
      </c>
      <c r="G720">
        <v>101.25</v>
      </c>
      <c r="H720">
        <v>25312.5</v>
      </c>
      <c r="I720" t="s">
        <v>33</v>
      </c>
      <c r="J720">
        <v>0</v>
      </c>
      <c r="K720">
        <v>9</v>
      </c>
      <c r="L720">
        <v>1</v>
      </c>
      <c r="M720">
        <v>0.03</v>
      </c>
      <c r="N720">
        <v>200</v>
      </c>
      <c r="O720">
        <v>37.619999999999997</v>
      </c>
      <c r="P720">
        <v>247.65</v>
      </c>
      <c r="Q720" s="18">
        <f>YEAR(A720)</f>
        <v>2024</v>
      </c>
      <c r="R720" s="18">
        <f>MONTH(A720)</f>
        <v>12</v>
      </c>
      <c r="S720" s="18">
        <f>IF(R720&lt;4,Q720-1,Q720)</f>
        <v>2024</v>
      </c>
      <c r="T720" s="18">
        <f>IF(R720&lt;4,R720+9,R720-3)</f>
        <v>9</v>
      </c>
      <c r="U720" s="18" t="str">
        <f>IF(LEN(T720)=1,_xlfn.CONCAT(0,T720),T720)</f>
        <v>09</v>
      </c>
      <c r="V720" s="18" t="str">
        <f>_xlfn.CONCAT(S720,U720)</f>
        <v>202409</v>
      </c>
      <c r="W720" s="18" t="str">
        <f>_xlfn.CONCAT(TEXT(A720,"MMM"),"-",MID(Q720,3,2))</f>
        <v>Dec-24</v>
      </c>
      <c r="X720" s="19">
        <f>IFERROR(IF(D720="Sell",(H720-P720),-(H720+P720)),0)</f>
        <v>-25560.15</v>
      </c>
      <c r="Y720" s="19">
        <f>X720/1000</f>
        <v>-25.56015</v>
      </c>
    </row>
    <row r="721" spans="1:25" x14ac:dyDescent="0.25">
      <c r="A721" s="1">
        <v>45635</v>
      </c>
      <c r="B721" t="s">
        <v>28</v>
      </c>
      <c r="C721" t="s">
        <v>17</v>
      </c>
      <c r="D721" t="s">
        <v>18</v>
      </c>
      <c r="E721">
        <v>500</v>
      </c>
      <c r="F721">
        <v>0</v>
      </c>
      <c r="G721">
        <v>205.25</v>
      </c>
      <c r="H721">
        <v>102625</v>
      </c>
      <c r="I721" t="s">
        <v>29</v>
      </c>
      <c r="J721">
        <v>103.01</v>
      </c>
      <c r="K721">
        <v>36.47</v>
      </c>
      <c r="L721">
        <v>0</v>
      </c>
      <c r="M721">
        <v>0.1</v>
      </c>
      <c r="N721">
        <v>400</v>
      </c>
      <c r="O721">
        <v>78.58</v>
      </c>
      <c r="P721">
        <v>618.16</v>
      </c>
      <c r="Q721" s="18">
        <f>YEAR(A721)</f>
        <v>2024</v>
      </c>
      <c r="R721" s="18">
        <f>MONTH(A721)</f>
        <v>12</v>
      </c>
      <c r="S721" s="18">
        <f>IF(R721&lt;4,Q721-1,Q721)</f>
        <v>2024</v>
      </c>
      <c r="T721" s="18">
        <f>IF(R721&lt;4,R721+9,R721-3)</f>
        <v>9</v>
      </c>
      <c r="U721" s="18" t="str">
        <f>IF(LEN(T721)=1,_xlfn.CONCAT(0,T721),T721)</f>
        <v>09</v>
      </c>
      <c r="V721" s="18" t="str">
        <f>_xlfn.CONCAT(S721,U721)</f>
        <v>202409</v>
      </c>
      <c r="W721" s="18" t="str">
        <f>_xlfn.CONCAT(TEXT(A721,"MMM"),"-",MID(Q721,3,2))</f>
        <v>Dec-24</v>
      </c>
      <c r="X721" s="19">
        <f>IFERROR(IF(D721="Sell",(H721-P721),-(H721+P721)),0)</f>
        <v>102006.84</v>
      </c>
      <c r="Y721" s="19">
        <f>X721/1000</f>
        <v>102.00684</v>
      </c>
    </row>
    <row r="722" spans="1:25" x14ac:dyDescent="0.25">
      <c r="A722" s="1">
        <v>45635</v>
      </c>
      <c r="B722" t="s">
        <v>28</v>
      </c>
      <c r="C722" t="s">
        <v>17</v>
      </c>
      <c r="D722" t="s">
        <v>22</v>
      </c>
      <c r="E722">
        <v>500</v>
      </c>
      <c r="F722">
        <v>0</v>
      </c>
      <c r="G722">
        <v>174.55</v>
      </c>
      <c r="H722">
        <v>87275</v>
      </c>
      <c r="I722" t="s">
        <v>30</v>
      </c>
      <c r="J722">
        <v>0</v>
      </c>
      <c r="K722">
        <v>31.01</v>
      </c>
      <c r="L722">
        <v>3</v>
      </c>
      <c r="M722">
        <v>0.09</v>
      </c>
      <c r="N722">
        <v>400</v>
      </c>
      <c r="O722">
        <v>77.599999999999994</v>
      </c>
      <c r="P722">
        <v>511.7</v>
      </c>
      <c r="Q722" s="18">
        <f>YEAR(A722)</f>
        <v>2024</v>
      </c>
      <c r="R722" s="18">
        <f>MONTH(A722)</f>
        <v>12</v>
      </c>
      <c r="S722" s="18">
        <f>IF(R722&lt;4,Q722-1,Q722)</f>
        <v>2024</v>
      </c>
      <c r="T722" s="18">
        <f>IF(R722&lt;4,R722+9,R722-3)</f>
        <v>9</v>
      </c>
      <c r="U722" s="18" t="str">
        <f>IF(LEN(T722)=1,_xlfn.CONCAT(0,T722),T722)</f>
        <v>09</v>
      </c>
      <c r="V722" s="18" t="str">
        <f>_xlfn.CONCAT(S722,U722)</f>
        <v>202409</v>
      </c>
      <c r="W722" s="18" t="str">
        <f>_xlfn.CONCAT(TEXT(A722,"MMM"),"-",MID(Q722,3,2))</f>
        <v>Dec-24</v>
      </c>
      <c r="X722" s="19">
        <f>IFERROR(IF(D722="Sell",(H722-P722),-(H722+P722)),0)</f>
        <v>-87786.7</v>
      </c>
      <c r="Y722" s="19">
        <f>X722/1000</f>
        <v>-87.786699999999996</v>
      </c>
    </row>
    <row r="723" spans="1:25" x14ac:dyDescent="0.25">
      <c r="A723" s="1">
        <v>45636</v>
      </c>
      <c r="B723" t="s">
        <v>16</v>
      </c>
      <c r="C723" t="s">
        <v>17</v>
      </c>
      <c r="D723" t="s">
        <v>18</v>
      </c>
      <c r="E723">
        <v>500</v>
      </c>
      <c r="F723">
        <v>0</v>
      </c>
      <c r="G723">
        <v>165</v>
      </c>
      <c r="H723">
        <v>82500</v>
      </c>
      <c r="I723" t="s">
        <v>26</v>
      </c>
      <c r="J723">
        <v>83</v>
      </c>
      <c r="K723">
        <v>29.31</v>
      </c>
      <c r="L723">
        <v>0</v>
      </c>
      <c r="M723">
        <v>0.08</v>
      </c>
      <c r="N723">
        <v>400</v>
      </c>
      <c r="O723">
        <v>77.3</v>
      </c>
      <c r="P723">
        <v>589.69000000000005</v>
      </c>
      <c r="Q723" s="18">
        <f>YEAR(A723)</f>
        <v>2024</v>
      </c>
      <c r="R723" s="18">
        <f>MONTH(A723)</f>
        <v>12</v>
      </c>
      <c r="S723" s="18">
        <f>IF(R723&lt;4,Q723-1,Q723)</f>
        <v>2024</v>
      </c>
      <c r="T723" s="18">
        <f>IF(R723&lt;4,R723+9,R723-3)</f>
        <v>9</v>
      </c>
      <c r="U723" s="18" t="str">
        <f>IF(LEN(T723)=1,_xlfn.CONCAT(0,T723),T723)</f>
        <v>09</v>
      </c>
      <c r="V723" s="18" t="str">
        <f>_xlfn.CONCAT(S723,U723)</f>
        <v>202409</v>
      </c>
      <c r="W723" s="18" t="str">
        <f>_xlfn.CONCAT(TEXT(A723,"MMM"),"-",MID(Q723,3,2))</f>
        <v>Dec-24</v>
      </c>
      <c r="X723" s="19">
        <f>IFERROR(IF(D723="Sell",(H723-P723),-(H723+P723)),0)</f>
        <v>81910.31</v>
      </c>
      <c r="Y723" s="19">
        <f>X723/1000</f>
        <v>81.910309999999996</v>
      </c>
    </row>
    <row r="724" spans="1:25" x14ac:dyDescent="0.25">
      <c r="A724" s="1">
        <v>45636</v>
      </c>
      <c r="B724" t="s">
        <v>16</v>
      </c>
      <c r="C724" t="s">
        <v>17</v>
      </c>
      <c r="D724" t="s">
        <v>22</v>
      </c>
      <c r="E724">
        <v>500</v>
      </c>
      <c r="F724">
        <v>0</v>
      </c>
      <c r="G724">
        <v>151.25</v>
      </c>
      <c r="H724">
        <v>75625</v>
      </c>
      <c r="I724" t="s">
        <v>27</v>
      </c>
      <c r="J724">
        <v>0</v>
      </c>
      <c r="K724">
        <v>26.88</v>
      </c>
      <c r="L724">
        <v>2</v>
      </c>
      <c r="M724">
        <v>0.08</v>
      </c>
      <c r="N724">
        <v>400</v>
      </c>
      <c r="O724">
        <v>76.84</v>
      </c>
      <c r="P724">
        <v>505.8</v>
      </c>
      <c r="Q724" s="18">
        <f>YEAR(A724)</f>
        <v>2024</v>
      </c>
      <c r="R724" s="18">
        <f>MONTH(A724)</f>
        <v>12</v>
      </c>
      <c r="S724" s="18">
        <f>IF(R724&lt;4,Q724-1,Q724)</f>
        <v>2024</v>
      </c>
      <c r="T724" s="18">
        <f>IF(R724&lt;4,R724+9,R724-3)</f>
        <v>9</v>
      </c>
      <c r="U724" s="18" t="str">
        <f>IF(LEN(T724)=1,_xlfn.CONCAT(0,T724),T724)</f>
        <v>09</v>
      </c>
      <c r="V724" s="18" t="str">
        <f>_xlfn.CONCAT(S724,U724)</f>
        <v>202409</v>
      </c>
      <c r="W724" s="18" t="str">
        <f>_xlfn.CONCAT(TEXT(A724,"MMM"),"-",MID(Q724,3,2))</f>
        <v>Dec-24</v>
      </c>
      <c r="X724" s="19">
        <f>IFERROR(IF(D724="Sell",(H724-P724),-(H724+P724)),0)</f>
        <v>-76130.8</v>
      </c>
      <c r="Y724" s="19">
        <f>X724/1000</f>
        <v>-76.130800000000008</v>
      </c>
    </row>
    <row r="725" spans="1:25" x14ac:dyDescent="0.25">
      <c r="A725" s="1">
        <v>45637</v>
      </c>
      <c r="B725" t="s">
        <v>16</v>
      </c>
      <c r="C725" t="s">
        <v>17</v>
      </c>
      <c r="D725" t="s">
        <v>18</v>
      </c>
      <c r="E725">
        <v>1000</v>
      </c>
      <c r="F725">
        <v>0</v>
      </c>
      <c r="G725">
        <v>69.06</v>
      </c>
      <c r="H725">
        <v>69060</v>
      </c>
      <c r="I725" t="s">
        <v>19</v>
      </c>
      <c r="J725">
        <v>69.099999999999994</v>
      </c>
      <c r="K725">
        <v>24.54</v>
      </c>
      <c r="L725">
        <v>0</v>
      </c>
      <c r="M725">
        <v>0.04</v>
      </c>
      <c r="N725">
        <v>800</v>
      </c>
      <c r="O725">
        <v>148.36000000000001</v>
      </c>
      <c r="P725">
        <v>1042.04</v>
      </c>
      <c r="Q725" s="18">
        <f>YEAR(A725)</f>
        <v>2024</v>
      </c>
      <c r="R725" s="18">
        <f>MONTH(A725)</f>
        <v>12</v>
      </c>
      <c r="S725" s="18">
        <f>IF(R725&lt;4,Q725-1,Q725)</f>
        <v>2024</v>
      </c>
      <c r="T725" s="18">
        <f>IF(R725&lt;4,R725+9,R725-3)</f>
        <v>9</v>
      </c>
      <c r="U725" s="18" t="str">
        <f>IF(LEN(T725)=1,_xlfn.CONCAT(0,T725),T725)</f>
        <v>09</v>
      </c>
      <c r="V725" s="18" t="str">
        <f>_xlfn.CONCAT(S725,U725)</f>
        <v>202409</v>
      </c>
      <c r="W725" s="18" t="str">
        <f>_xlfn.CONCAT(TEXT(A725,"MMM"),"-",MID(Q725,3,2))</f>
        <v>Dec-24</v>
      </c>
      <c r="X725" s="19">
        <f>IFERROR(IF(D725="Sell",(H725-P725),-(H725+P725)),0)</f>
        <v>68017.960000000006</v>
      </c>
      <c r="Y725" s="19">
        <f>X725/1000</f>
        <v>68.017960000000002</v>
      </c>
    </row>
    <row r="726" spans="1:25" x14ac:dyDescent="0.25">
      <c r="A726" s="1">
        <v>45637</v>
      </c>
      <c r="B726" t="s">
        <v>20</v>
      </c>
      <c r="C726" t="s">
        <v>17</v>
      </c>
      <c r="D726" t="s">
        <v>18</v>
      </c>
      <c r="E726">
        <v>500</v>
      </c>
      <c r="F726">
        <v>0</v>
      </c>
      <c r="G726">
        <v>8.1</v>
      </c>
      <c r="H726">
        <v>4050</v>
      </c>
      <c r="I726" t="s">
        <v>21</v>
      </c>
      <c r="J726">
        <v>4.05</v>
      </c>
      <c r="K726">
        <v>1.44</v>
      </c>
      <c r="L726">
        <v>0</v>
      </c>
      <c r="M726">
        <v>0</v>
      </c>
      <c r="N726">
        <v>400</v>
      </c>
      <c r="O726">
        <v>72.260000000000005</v>
      </c>
      <c r="P726">
        <v>477.75</v>
      </c>
      <c r="Q726" s="18">
        <f>YEAR(A726)</f>
        <v>2024</v>
      </c>
      <c r="R726" s="18">
        <f>MONTH(A726)</f>
        <v>12</v>
      </c>
      <c r="S726" s="18">
        <f>IF(R726&lt;4,Q726-1,Q726)</f>
        <v>2024</v>
      </c>
      <c r="T726" s="18">
        <f>IF(R726&lt;4,R726+9,R726-3)</f>
        <v>9</v>
      </c>
      <c r="U726" s="18" t="str">
        <f>IF(LEN(T726)=1,_xlfn.CONCAT(0,T726),T726)</f>
        <v>09</v>
      </c>
      <c r="V726" s="18" t="str">
        <f>_xlfn.CONCAT(S726,U726)</f>
        <v>202409</v>
      </c>
      <c r="W726" s="18" t="str">
        <f>_xlfn.CONCAT(TEXT(A726,"MMM"),"-",MID(Q726,3,2))</f>
        <v>Dec-24</v>
      </c>
      <c r="X726" s="19">
        <f>IFERROR(IF(D726="Sell",(H726-P726),-(H726+P726)),0)</f>
        <v>3572.25</v>
      </c>
      <c r="Y726" s="19">
        <f>X726/1000</f>
        <v>3.5722499999999999</v>
      </c>
    </row>
    <row r="727" spans="1:25" x14ac:dyDescent="0.25">
      <c r="A727" s="1">
        <v>45637</v>
      </c>
      <c r="B727" t="s">
        <v>16</v>
      </c>
      <c r="C727" t="s">
        <v>17</v>
      </c>
      <c r="D727" t="s">
        <v>22</v>
      </c>
      <c r="E727">
        <v>1000</v>
      </c>
      <c r="F727">
        <v>0</v>
      </c>
      <c r="G727">
        <v>101.25</v>
      </c>
      <c r="H727">
        <v>101250</v>
      </c>
      <c r="I727" t="s">
        <v>23</v>
      </c>
      <c r="J727">
        <v>0</v>
      </c>
      <c r="K727">
        <v>35.979999999999997</v>
      </c>
      <c r="L727">
        <v>3</v>
      </c>
      <c r="M727">
        <v>0.11</v>
      </c>
      <c r="N727">
        <v>800</v>
      </c>
      <c r="O727">
        <v>150.46</v>
      </c>
      <c r="P727">
        <v>989.55</v>
      </c>
      <c r="Q727" s="18">
        <f>YEAR(A727)</f>
        <v>2024</v>
      </c>
      <c r="R727" s="18">
        <f>MONTH(A727)</f>
        <v>12</v>
      </c>
      <c r="S727" s="18">
        <f>IF(R727&lt;4,Q727-1,Q727)</f>
        <v>2024</v>
      </c>
      <c r="T727" s="18">
        <f>IF(R727&lt;4,R727+9,R727-3)</f>
        <v>9</v>
      </c>
      <c r="U727" s="18" t="str">
        <f>IF(LEN(T727)=1,_xlfn.CONCAT(0,T727),T727)</f>
        <v>09</v>
      </c>
      <c r="V727" s="18" t="str">
        <f>_xlfn.CONCAT(S727,U727)</f>
        <v>202409</v>
      </c>
      <c r="W727" s="18" t="str">
        <f>_xlfn.CONCAT(TEXT(A727,"MMM"),"-",MID(Q727,3,2))</f>
        <v>Dec-24</v>
      </c>
      <c r="X727" s="19">
        <f>IFERROR(IF(D727="Sell",(H727-P727),-(H727+P727)),0)</f>
        <v>-102239.55</v>
      </c>
      <c r="Y727" s="19">
        <f>X727/1000</f>
        <v>-102.23955000000001</v>
      </c>
    </row>
    <row r="728" spans="1:25" x14ac:dyDescent="0.25">
      <c r="A728" s="1">
        <v>45637</v>
      </c>
      <c r="B728" t="s">
        <v>24</v>
      </c>
      <c r="C728" t="s">
        <v>17</v>
      </c>
      <c r="D728" t="s">
        <v>18</v>
      </c>
      <c r="E728">
        <v>270</v>
      </c>
      <c r="F728">
        <v>0</v>
      </c>
      <c r="G728">
        <v>21.1</v>
      </c>
      <c r="H728">
        <v>5697</v>
      </c>
      <c r="I728" t="s">
        <v>25</v>
      </c>
      <c r="J728">
        <v>5.93</v>
      </c>
      <c r="K728">
        <v>1.99</v>
      </c>
      <c r="L728">
        <v>0</v>
      </c>
      <c r="M728">
        <v>0</v>
      </c>
      <c r="N728">
        <v>360</v>
      </c>
      <c r="O728">
        <v>65.16</v>
      </c>
      <c r="P728">
        <v>433.08</v>
      </c>
      <c r="Q728" s="18">
        <f>YEAR(A728)</f>
        <v>2024</v>
      </c>
      <c r="R728" s="18">
        <f>MONTH(A728)</f>
        <v>12</v>
      </c>
      <c r="S728" s="18">
        <f>IF(R728&lt;4,Q728-1,Q728)</f>
        <v>2024</v>
      </c>
      <c r="T728" s="18">
        <f>IF(R728&lt;4,R728+9,R728-3)</f>
        <v>9</v>
      </c>
      <c r="U728" s="18" t="str">
        <f>IF(LEN(T728)=1,_xlfn.CONCAT(0,T728),T728)</f>
        <v>09</v>
      </c>
      <c r="V728" s="18" t="str">
        <f>_xlfn.CONCAT(S728,U728)</f>
        <v>202409</v>
      </c>
      <c r="W728" s="18" t="str">
        <f>_xlfn.CONCAT(TEXT(A728,"MMM"),"-",MID(Q728,3,2))</f>
        <v>Dec-24</v>
      </c>
      <c r="X728" s="19">
        <f>IFERROR(IF(D728="Sell",(H728-P728),-(H728+P728)),0)</f>
        <v>5263.92</v>
      </c>
      <c r="Y728" s="19">
        <f>X728/1000</f>
        <v>5.2639199999999997</v>
      </c>
    </row>
    <row r="729" spans="1:25" x14ac:dyDescent="0.25">
      <c r="A729" s="1">
        <v>45639</v>
      </c>
      <c r="B729" t="s">
        <v>1003</v>
      </c>
      <c r="C729" t="s">
        <v>17</v>
      </c>
      <c r="D729" t="s">
        <v>18</v>
      </c>
      <c r="E729">
        <v>200</v>
      </c>
      <c r="F729">
        <v>0</v>
      </c>
      <c r="G729">
        <v>215.25</v>
      </c>
      <c r="H729">
        <v>43050</v>
      </c>
      <c r="I729" t="s">
        <v>1004</v>
      </c>
      <c r="J729">
        <v>43.3</v>
      </c>
      <c r="K729">
        <v>15.28</v>
      </c>
      <c r="L729">
        <v>0</v>
      </c>
      <c r="M729">
        <v>0.05</v>
      </c>
      <c r="N729">
        <v>160</v>
      </c>
      <c r="O729">
        <v>31.52</v>
      </c>
      <c r="P729">
        <v>250.15</v>
      </c>
      <c r="Q729" s="18">
        <f>YEAR(A729)</f>
        <v>2024</v>
      </c>
      <c r="R729" s="18">
        <f>MONTH(A729)</f>
        <v>12</v>
      </c>
      <c r="S729" s="18">
        <f>IF(R729&lt;4,Q729-1,Q729)</f>
        <v>2024</v>
      </c>
      <c r="T729" s="18">
        <f>IF(R729&lt;4,R729+9,R729-3)</f>
        <v>9</v>
      </c>
      <c r="U729" s="18" t="str">
        <f>IF(LEN(T729)=1,_xlfn.CONCAT(0,T729),T729)</f>
        <v>09</v>
      </c>
      <c r="V729" s="18" t="str">
        <f>_xlfn.CONCAT(S729,U729)</f>
        <v>202409</v>
      </c>
      <c r="W729" s="18" t="str">
        <f>_xlfn.CONCAT(TEXT(A729,"MMM"),"-",MID(Q729,3,2))</f>
        <v>Dec-24</v>
      </c>
      <c r="X729" s="19">
        <f>IFERROR(IF(D729="Sell",(H729-P729),-(H729+P729)),0)</f>
        <v>42799.85</v>
      </c>
      <c r="Y729" s="19">
        <f>X729/1000</f>
        <v>42.799849999999999</v>
      </c>
    </row>
    <row r="730" spans="1:25" x14ac:dyDescent="0.25">
      <c r="A730" s="1">
        <v>45639</v>
      </c>
      <c r="B730" t="s">
        <v>1003</v>
      </c>
      <c r="C730" t="s">
        <v>17</v>
      </c>
      <c r="D730" t="s">
        <v>22</v>
      </c>
      <c r="E730">
        <v>200</v>
      </c>
      <c r="F730">
        <v>0</v>
      </c>
      <c r="G730">
        <v>193.95</v>
      </c>
      <c r="H730">
        <v>38790</v>
      </c>
      <c r="I730" t="s">
        <v>1005</v>
      </c>
      <c r="J730">
        <v>0</v>
      </c>
      <c r="K730">
        <v>13.78</v>
      </c>
      <c r="L730">
        <v>0.8</v>
      </c>
      <c r="M730">
        <v>0.03</v>
      </c>
      <c r="N730">
        <v>160</v>
      </c>
      <c r="O730">
        <v>31.28</v>
      </c>
      <c r="P730">
        <v>205.89</v>
      </c>
      <c r="Q730" s="18">
        <f>YEAR(A730)</f>
        <v>2024</v>
      </c>
      <c r="R730" s="18">
        <f>MONTH(A730)</f>
        <v>12</v>
      </c>
      <c r="S730" s="18">
        <f>IF(R730&lt;4,Q730-1,Q730)</f>
        <v>2024</v>
      </c>
      <c r="T730" s="18">
        <f>IF(R730&lt;4,R730+9,R730-3)</f>
        <v>9</v>
      </c>
      <c r="U730" s="18" t="str">
        <f>IF(LEN(T730)=1,_xlfn.CONCAT(0,T730),T730)</f>
        <v>09</v>
      </c>
      <c r="V730" s="18" t="str">
        <f>_xlfn.CONCAT(S730,U730)</f>
        <v>202409</v>
      </c>
      <c r="W730" s="18" t="str">
        <f>_xlfn.CONCAT(TEXT(A730,"MMM"),"-",MID(Q730,3,2))</f>
        <v>Dec-24</v>
      </c>
      <c r="X730" s="19">
        <f>IFERROR(IF(D730="Sell",(H730-P730),-(H730+P730)),0)</f>
        <v>-38995.89</v>
      </c>
      <c r="Y730" s="19">
        <f>X730/1000</f>
        <v>-38.995890000000003</v>
      </c>
    </row>
    <row r="731" spans="1:25" x14ac:dyDescent="0.25">
      <c r="A731" s="1">
        <v>45639</v>
      </c>
      <c r="B731" t="s">
        <v>1006</v>
      </c>
      <c r="C731" t="s">
        <v>17</v>
      </c>
      <c r="D731" t="s">
        <v>18</v>
      </c>
      <c r="E731">
        <v>100</v>
      </c>
      <c r="F731">
        <v>0</v>
      </c>
      <c r="G731">
        <v>241.65</v>
      </c>
      <c r="H731">
        <v>24165</v>
      </c>
      <c r="I731" t="s">
        <v>1007</v>
      </c>
      <c r="J731">
        <v>24.16</v>
      </c>
      <c r="K731">
        <v>8.6</v>
      </c>
      <c r="L731">
        <v>0</v>
      </c>
      <c r="M731">
        <v>0.04</v>
      </c>
      <c r="N731">
        <v>80</v>
      </c>
      <c r="O731">
        <v>15.92</v>
      </c>
      <c r="P731">
        <v>128.72</v>
      </c>
      <c r="Q731" s="18">
        <f>YEAR(A731)</f>
        <v>2024</v>
      </c>
      <c r="R731" s="18">
        <f>MONTH(A731)</f>
        <v>12</v>
      </c>
      <c r="S731" s="18">
        <f>IF(R731&lt;4,Q731-1,Q731)</f>
        <v>2024</v>
      </c>
      <c r="T731" s="18">
        <f>IF(R731&lt;4,R731+9,R731-3)</f>
        <v>9</v>
      </c>
      <c r="U731" s="18" t="str">
        <f>IF(LEN(T731)=1,_xlfn.CONCAT(0,T731),T731)</f>
        <v>09</v>
      </c>
      <c r="V731" s="18" t="str">
        <f>_xlfn.CONCAT(S731,U731)</f>
        <v>202409</v>
      </c>
      <c r="W731" s="18" t="str">
        <f>_xlfn.CONCAT(TEXT(A731,"MMM"),"-",MID(Q731,3,2))</f>
        <v>Dec-24</v>
      </c>
      <c r="X731" s="19">
        <f>IFERROR(IF(D731="Sell",(H731-P731),-(H731+P731)),0)</f>
        <v>24036.28</v>
      </c>
      <c r="Y731" s="19">
        <f>X731/1000</f>
        <v>24.036279999999998</v>
      </c>
    </row>
    <row r="732" spans="1:25" x14ac:dyDescent="0.25">
      <c r="A732" s="1">
        <v>45639</v>
      </c>
      <c r="B732" t="s">
        <v>1006</v>
      </c>
      <c r="C732" t="s">
        <v>17</v>
      </c>
      <c r="D732" t="s">
        <v>22</v>
      </c>
      <c r="E732">
        <v>100</v>
      </c>
      <c r="F732">
        <v>0</v>
      </c>
      <c r="G732">
        <v>200.55</v>
      </c>
      <c r="H732">
        <v>20055</v>
      </c>
      <c r="I732" t="s">
        <v>1008</v>
      </c>
      <c r="J732">
        <v>0</v>
      </c>
      <c r="K732">
        <v>7.13</v>
      </c>
      <c r="L732">
        <v>0.6</v>
      </c>
      <c r="M732">
        <v>0.02</v>
      </c>
      <c r="N732">
        <v>80</v>
      </c>
      <c r="O732">
        <v>15.68</v>
      </c>
      <c r="P732">
        <v>103.43</v>
      </c>
      <c r="Q732" s="18">
        <f>YEAR(A732)</f>
        <v>2024</v>
      </c>
      <c r="R732" s="18">
        <f>MONTH(A732)</f>
        <v>12</v>
      </c>
      <c r="S732" s="18">
        <f>IF(R732&lt;4,Q732-1,Q732)</f>
        <v>2024</v>
      </c>
      <c r="T732" s="18">
        <f>IF(R732&lt;4,R732+9,R732-3)</f>
        <v>9</v>
      </c>
      <c r="U732" s="18" t="str">
        <f>IF(LEN(T732)=1,_xlfn.CONCAT(0,T732),T732)</f>
        <v>09</v>
      </c>
      <c r="V732" s="18" t="str">
        <f>_xlfn.CONCAT(S732,U732)</f>
        <v>202409</v>
      </c>
      <c r="W732" s="18" t="str">
        <f>_xlfn.CONCAT(TEXT(A732,"MMM"),"-",MID(Q732,3,2))</f>
        <v>Dec-24</v>
      </c>
      <c r="X732" s="19">
        <f>IFERROR(IF(D732="Sell",(H732-P732),-(H732+P732)),0)</f>
        <v>-20158.43</v>
      </c>
      <c r="Y732" s="19">
        <f>X732/1000</f>
        <v>-20.158429999999999</v>
      </c>
    </row>
    <row r="733" spans="1:25" x14ac:dyDescent="0.25">
      <c r="A733" s="1">
        <v>45639</v>
      </c>
      <c r="B733" t="s">
        <v>1009</v>
      </c>
      <c r="C733" t="s">
        <v>17</v>
      </c>
      <c r="D733" t="s">
        <v>18</v>
      </c>
      <c r="E733">
        <v>100</v>
      </c>
      <c r="F733">
        <v>0</v>
      </c>
      <c r="G733">
        <v>215.25</v>
      </c>
      <c r="H733">
        <v>21525</v>
      </c>
      <c r="I733" t="s">
        <v>1010</v>
      </c>
      <c r="J733">
        <v>21.52</v>
      </c>
      <c r="K733">
        <v>7.64</v>
      </c>
      <c r="L733">
        <v>0</v>
      </c>
      <c r="M733">
        <v>0.02</v>
      </c>
      <c r="N733">
        <v>80</v>
      </c>
      <c r="O733">
        <v>15.76</v>
      </c>
      <c r="P733">
        <v>124.94</v>
      </c>
      <c r="Q733" s="18">
        <f>YEAR(A733)</f>
        <v>2024</v>
      </c>
      <c r="R733" s="18">
        <f>MONTH(A733)</f>
        <v>12</v>
      </c>
      <c r="S733" s="18">
        <f>IF(R733&lt;4,Q733-1,Q733)</f>
        <v>2024</v>
      </c>
      <c r="T733" s="18">
        <f>IF(R733&lt;4,R733+9,R733-3)</f>
        <v>9</v>
      </c>
      <c r="U733" s="18" t="str">
        <f>IF(LEN(T733)=1,_xlfn.CONCAT(0,T733),T733)</f>
        <v>09</v>
      </c>
      <c r="V733" s="18" t="str">
        <f>_xlfn.CONCAT(S733,U733)</f>
        <v>202409</v>
      </c>
      <c r="W733" s="18" t="str">
        <f>_xlfn.CONCAT(TEXT(A733,"MMM"),"-",MID(Q733,3,2))</f>
        <v>Dec-24</v>
      </c>
      <c r="X733" s="19">
        <f>IFERROR(IF(D733="Sell",(H733-P733),-(H733+P733)),0)</f>
        <v>21400.06</v>
      </c>
      <c r="Y733" s="19">
        <f>X733/1000</f>
        <v>21.40006</v>
      </c>
    </row>
    <row r="734" spans="1:25" x14ac:dyDescent="0.25">
      <c r="A734" s="1">
        <v>45639</v>
      </c>
      <c r="B734" t="s">
        <v>1009</v>
      </c>
      <c r="C734" t="s">
        <v>17</v>
      </c>
      <c r="D734" t="s">
        <v>22</v>
      </c>
      <c r="E734">
        <v>100</v>
      </c>
      <c r="F734">
        <v>0</v>
      </c>
      <c r="G734">
        <v>201</v>
      </c>
      <c r="H734">
        <v>20100</v>
      </c>
      <c r="I734" t="s">
        <v>1011</v>
      </c>
      <c r="J734">
        <v>0</v>
      </c>
      <c r="K734">
        <v>7.14</v>
      </c>
      <c r="L734">
        <v>0.6</v>
      </c>
      <c r="M734">
        <v>0.02</v>
      </c>
      <c r="N734">
        <v>80</v>
      </c>
      <c r="O734">
        <v>15.68</v>
      </c>
      <c r="P734">
        <v>103.44</v>
      </c>
      <c r="Q734" s="18">
        <f>YEAR(A734)</f>
        <v>2024</v>
      </c>
      <c r="R734" s="18">
        <f>MONTH(A734)</f>
        <v>12</v>
      </c>
      <c r="S734" s="18">
        <f>IF(R734&lt;4,Q734-1,Q734)</f>
        <v>2024</v>
      </c>
      <c r="T734" s="18">
        <f>IF(R734&lt;4,R734+9,R734-3)</f>
        <v>9</v>
      </c>
      <c r="U734" s="18" t="str">
        <f>IF(LEN(T734)=1,_xlfn.CONCAT(0,T734),T734)</f>
        <v>09</v>
      </c>
      <c r="V734" s="18" t="str">
        <f>_xlfn.CONCAT(S734,U734)</f>
        <v>202409</v>
      </c>
      <c r="W734" s="18" t="str">
        <f>_xlfn.CONCAT(TEXT(A734,"MMM"),"-",MID(Q734,3,2))</f>
        <v>Dec-24</v>
      </c>
      <c r="X734" s="19">
        <f>IFERROR(IF(D734="Sell",(H734-P734),-(H734+P734)),0)</f>
        <v>-20203.439999999999</v>
      </c>
      <c r="Y734" s="19">
        <f>X734/1000</f>
        <v>-20.203439999999997</v>
      </c>
    </row>
    <row r="735" spans="1:25" x14ac:dyDescent="0.25">
      <c r="A735" s="1">
        <v>45642</v>
      </c>
      <c r="B735" t="s">
        <v>1012</v>
      </c>
      <c r="C735" t="s">
        <v>17</v>
      </c>
      <c r="D735" t="s">
        <v>22</v>
      </c>
      <c r="E735">
        <v>200</v>
      </c>
      <c r="F735">
        <v>0</v>
      </c>
      <c r="G735">
        <v>175.25</v>
      </c>
      <c r="H735">
        <v>35050</v>
      </c>
      <c r="I735" t="s">
        <v>1013</v>
      </c>
      <c r="J735">
        <v>0</v>
      </c>
      <c r="K735">
        <v>12.46</v>
      </c>
      <c r="L735">
        <v>1.05</v>
      </c>
      <c r="M735">
        <v>0.04</v>
      </c>
      <c r="N735">
        <v>160</v>
      </c>
      <c r="O735">
        <v>31.04</v>
      </c>
      <c r="P735">
        <v>204.59</v>
      </c>
      <c r="Q735" s="18">
        <f>YEAR(A735)</f>
        <v>2024</v>
      </c>
      <c r="R735" s="18">
        <f>MONTH(A735)</f>
        <v>12</v>
      </c>
      <c r="S735" s="18">
        <f>IF(R735&lt;4,Q735-1,Q735)</f>
        <v>2024</v>
      </c>
      <c r="T735" s="18">
        <f>IF(R735&lt;4,R735+9,R735-3)</f>
        <v>9</v>
      </c>
      <c r="U735" s="18" t="str">
        <f>IF(LEN(T735)=1,_xlfn.CONCAT(0,T735),T735)</f>
        <v>09</v>
      </c>
      <c r="V735" s="18" t="str">
        <f>_xlfn.CONCAT(S735,U735)</f>
        <v>202409</v>
      </c>
      <c r="W735" s="18" t="str">
        <f>_xlfn.CONCAT(TEXT(A735,"MMM"),"-",MID(Q735,3,2))</f>
        <v>Dec-24</v>
      </c>
      <c r="X735" s="19">
        <f>IFERROR(IF(D735="Sell",(H735-P735),-(H735+P735)),0)</f>
        <v>-35254.589999999997</v>
      </c>
      <c r="Y735" s="19">
        <f>X735/1000</f>
        <v>-35.254589999999993</v>
      </c>
    </row>
    <row r="736" spans="1:25" x14ac:dyDescent="0.25">
      <c r="A736" s="1">
        <v>45642</v>
      </c>
      <c r="B736" t="s">
        <v>1014</v>
      </c>
      <c r="C736" t="s">
        <v>17</v>
      </c>
      <c r="D736" t="s">
        <v>18</v>
      </c>
      <c r="E736">
        <v>250</v>
      </c>
      <c r="F736">
        <v>0</v>
      </c>
      <c r="G736">
        <v>162.25</v>
      </c>
      <c r="H736">
        <v>40562.5</v>
      </c>
      <c r="I736" t="s">
        <v>1015</v>
      </c>
      <c r="J736">
        <v>40.56</v>
      </c>
      <c r="K736">
        <v>14.42</v>
      </c>
      <c r="L736">
        <v>0</v>
      </c>
      <c r="M736">
        <v>0.04</v>
      </c>
      <c r="N736">
        <v>200</v>
      </c>
      <c r="O736">
        <v>38.6</v>
      </c>
      <c r="P736">
        <v>293.62</v>
      </c>
      <c r="Q736" s="18">
        <f>YEAR(A736)</f>
        <v>2024</v>
      </c>
      <c r="R736" s="18">
        <f>MONTH(A736)</f>
        <v>12</v>
      </c>
      <c r="S736" s="18">
        <f>IF(R736&lt;4,Q736-1,Q736)</f>
        <v>2024</v>
      </c>
      <c r="T736" s="18">
        <f>IF(R736&lt;4,R736+9,R736-3)</f>
        <v>9</v>
      </c>
      <c r="U736" s="18" t="str">
        <f>IF(LEN(T736)=1,_xlfn.CONCAT(0,T736),T736)</f>
        <v>09</v>
      </c>
      <c r="V736" s="18" t="str">
        <f>_xlfn.CONCAT(S736,U736)</f>
        <v>202409</v>
      </c>
      <c r="W736" s="18" t="str">
        <f>_xlfn.CONCAT(TEXT(A736,"MMM"),"-",MID(Q736,3,2))</f>
        <v>Dec-24</v>
      </c>
      <c r="X736" s="19">
        <f>IFERROR(IF(D736="Sell",(H736-P736),-(H736+P736)),0)</f>
        <v>40268.879999999997</v>
      </c>
      <c r="Y736" s="19">
        <f>X736/1000</f>
        <v>40.268879999999996</v>
      </c>
    </row>
    <row r="737" spans="1:25" x14ac:dyDescent="0.25">
      <c r="A737" s="1">
        <v>45642</v>
      </c>
      <c r="B737" t="s">
        <v>1014</v>
      </c>
      <c r="C737" t="s">
        <v>17</v>
      </c>
      <c r="D737" t="s">
        <v>22</v>
      </c>
      <c r="E737">
        <v>250</v>
      </c>
      <c r="F737">
        <v>0</v>
      </c>
      <c r="G737">
        <v>151.25</v>
      </c>
      <c r="H737">
        <v>37812.5</v>
      </c>
      <c r="I737" t="s">
        <v>1016</v>
      </c>
      <c r="J737">
        <v>0</v>
      </c>
      <c r="K737">
        <v>13.43</v>
      </c>
      <c r="L737">
        <v>1.1299999999999999</v>
      </c>
      <c r="M737">
        <v>0.04</v>
      </c>
      <c r="N737">
        <v>200</v>
      </c>
      <c r="O737">
        <v>38.42</v>
      </c>
      <c r="P737">
        <v>253.02</v>
      </c>
      <c r="Q737" s="18">
        <f>YEAR(A737)</f>
        <v>2024</v>
      </c>
      <c r="R737" s="18">
        <f>MONTH(A737)</f>
        <v>12</v>
      </c>
      <c r="S737" s="18">
        <f>IF(R737&lt;4,Q737-1,Q737)</f>
        <v>2024</v>
      </c>
      <c r="T737" s="18">
        <f>IF(R737&lt;4,R737+9,R737-3)</f>
        <v>9</v>
      </c>
      <c r="U737" s="18" t="str">
        <f>IF(LEN(T737)=1,_xlfn.CONCAT(0,T737),T737)</f>
        <v>09</v>
      </c>
      <c r="V737" s="18" t="str">
        <f>_xlfn.CONCAT(S737,U737)</f>
        <v>202409</v>
      </c>
      <c r="W737" s="18" t="str">
        <f>_xlfn.CONCAT(TEXT(A737,"MMM"),"-",MID(Q737,3,2))</f>
        <v>Dec-24</v>
      </c>
      <c r="X737" s="19">
        <f>IFERROR(IF(D737="Sell",(H737-P737),-(H737+P737)),0)</f>
        <v>-38065.519999999997</v>
      </c>
      <c r="Y737" s="19">
        <f>X737/1000</f>
        <v>-38.065519999999999</v>
      </c>
    </row>
    <row r="738" spans="1:25" x14ac:dyDescent="0.25">
      <c r="A738" s="1">
        <v>45642</v>
      </c>
      <c r="B738" t="s">
        <v>1017</v>
      </c>
      <c r="C738" t="s">
        <v>17</v>
      </c>
      <c r="D738" t="s">
        <v>18</v>
      </c>
      <c r="E738">
        <v>250</v>
      </c>
      <c r="F738">
        <v>0</v>
      </c>
      <c r="G738">
        <v>157</v>
      </c>
      <c r="H738">
        <v>39250</v>
      </c>
      <c r="I738" t="s">
        <v>1018</v>
      </c>
      <c r="J738">
        <v>39.26</v>
      </c>
      <c r="K738">
        <v>13.94</v>
      </c>
      <c r="L738">
        <v>0</v>
      </c>
      <c r="M738">
        <v>0.04</v>
      </c>
      <c r="N738">
        <v>200</v>
      </c>
      <c r="O738">
        <v>38.520000000000003</v>
      </c>
      <c r="P738">
        <v>291.76</v>
      </c>
      <c r="Q738" s="18">
        <f>YEAR(A738)</f>
        <v>2024</v>
      </c>
      <c r="R738" s="18">
        <f>MONTH(A738)</f>
        <v>12</v>
      </c>
      <c r="S738" s="18">
        <f>IF(R738&lt;4,Q738-1,Q738)</f>
        <v>2024</v>
      </c>
      <c r="T738" s="18">
        <f>IF(R738&lt;4,R738+9,R738-3)</f>
        <v>9</v>
      </c>
      <c r="U738" s="18" t="str">
        <f>IF(LEN(T738)=1,_xlfn.CONCAT(0,T738),T738)</f>
        <v>09</v>
      </c>
      <c r="V738" s="18" t="str">
        <f>_xlfn.CONCAT(S738,U738)</f>
        <v>202409</v>
      </c>
      <c r="W738" s="18" t="str">
        <f>_xlfn.CONCAT(TEXT(A738,"MMM"),"-",MID(Q738,3,2))</f>
        <v>Dec-24</v>
      </c>
      <c r="X738" s="19">
        <f>IFERROR(IF(D738="Sell",(H738-P738),-(H738+P738)),0)</f>
        <v>38958.239999999998</v>
      </c>
      <c r="Y738" s="19">
        <f>X738/1000</f>
        <v>38.958239999999996</v>
      </c>
    </row>
    <row r="739" spans="1:25" x14ac:dyDescent="0.25">
      <c r="A739" s="1">
        <v>45642</v>
      </c>
      <c r="B739" t="s">
        <v>1017</v>
      </c>
      <c r="C739" t="s">
        <v>17</v>
      </c>
      <c r="D739" t="s">
        <v>22</v>
      </c>
      <c r="E739">
        <v>250</v>
      </c>
      <c r="F739">
        <v>0</v>
      </c>
      <c r="G739">
        <v>131.25</v>
      </c>
      <c r="H739">
        <v>32812.5</v>
      </c>
      <c r="I739" t="s">
        <v>1019</v>
      </c>
      <c r="J739">
        <v>0</v>
      </c>
      <c r="K739">
        <v>11.66</v>
      </c>
      <c r="L739">
        <v>0.98</v>
      </c>
      <c r="M739">
        <v>0.03</v>
      </c>
      <c r="N739">
        <v>200</v>
      </c>
      <c r="O739">
        <v>38.119999999999997</v>
      </c>
      <c r="P739">
        <v>250.79</v>
      </c>
      <c r="Q739" s="18">
        <f>YEAR(A739)</f>
        <v>2024</v>
      </c>
      <c r="R739" s="18">
        <f>MONTH(A739)</f>
        <v>12</v>
      </c>
      <c r="S739" s="18">
        <f>IF(R739&lt;4,Q739-1,Q739)</f>
        <v>2024</v>
      </c>
      <c r="T739" s="18">
        <f>IF(R739&lt;4,R739+9,R739-3)</f>
        <v>9</v>
      </c>
      <c r="U739" s="18" t="str">
        <f>IF(LEN(T739)=1,_xlfn.CONCAT(0,T739),T739)</f>
        <v>09</v>
      </c>
      <c r="V739" s="18" t="str">
        <f>_xlfn.CONCAT(S739,U739)</f>
        <v>202409</v>
      </c>
      <c r="W739" s="18" t="str">
        <f>_xlfn.CONCAT(TEXT(A739,"MMM"),"-",MID(Q739,3,2))</f>
        <v>Dec-24</v>
      </c>
      <c r="X739" s="19">
        <f>IFERROR(IF(D739="Sell",(H739-P739),-(H739+P739)),0)</f>
        <v>-33063.29</v>
      </c>
      <c r="Y739" s="19">
        <f>X739/1000</f>
        <v>-33.063290000000002</v>
      </c>
    </row>
    <row r="740" spans="1:25" x14ac:dyDescent="0.25">
      <c r="A740" s="1">
        <v>45642</v>
      </c>
      <c r="B740" t="s">
        <v>1020</v>
      </c>
      <c r="C740" t="s">
        <v>17</v>
      </c>
      <c r="D740" t="s">
        <v>18</v>
      </c>
      <c r="E740">
        <v>1000</v>
      </c>
      <c r="F740">
        <v>0</v>
      </c>
      <c r="G740">
        <v>38.549999999999997</v>
      </c>
      <c r="H740">
        <v>38550</v>
      </c>
      <c r="I740" t="s">
        <v>1021</v>
      </c>
      <c r="J740">
        <v>38.19</v>
      </c>
      <c r="K740">
        <v>13.69</v>
      </c>
      <c r="L740">
        <v>0</v>
      </c>
      <c r="M740">
        <v>0.03</v>
      </c>
      <c r="N740">
        <v>800</v>
      </c>
      <c r="O740">
        <v>146.46</v>
      </c>
      <c r="P740">
        <v>998.37</v>
      </c>
      <c r="Q740" s="18">
        <f>YEAR(A740)</f>
        <v>2024</v>
      </c>
      <c r="R740" s="18">
        <f>MONTH(A740)</f>
        <v>12</v>
      </c>
      <c r="S740" s="18">
        <f>IF(R740&lt;4,Q740-1,Q740)</f>
        <v>2024</v>
      </c>
      <c r="T740" s="18">
        <f>IF(R740&lt;4,R740+9,R740-3)</f>
        <v>9</v>
      </c>
      <c r="U740" s="18" t="str">
        <f>IF(LEN(T740)=1,_xlfn.CONCAT(0,T740),T740)</f>
        <v>09</v>
      </c>
      <c r="V740" s="18" t="str">
        <f>_xlfn.CONCAT(S740,U740)</f>
        <v>202409</v>
      </c>
      <c r="W740" s="18" t="str">
        <f>_xlfn.CONCAT(TEXT(A740,"MMM"),"-",MID(Q740,3,2))</f>
        <v>Dec-24</v>
      </c>
      <c r="X740" s="19">
        <f>IFERROR(IF(D740="Sell",(H740-P740),-(H740+P740)),0)</f>
        <v>37551.629999999997</v>
      </c>
      <c r="Y740" s="19">
        <f>X740/1000</f>
        <v>37.551629999999996</v>
      </c>
    </row>
    <row r="741" spans="1:25" x14ac:dyDescent="0.25">
      <c r="A741" s="1">
        <v>45642</v>
      </c>
      <c r="B741" t="s">
        <v>1020</v>
      </c>
      <c r="C741" t="s">
        <v>17</v>
      </c>
      <c r="D741" t="s">
        <v>22</v>
      </c>
      <c r="E741">
        <v>1000</v>
      </c>
      <c r="F741">
        <v>0</v>
      </c>
      <c r="G741">
        <v>48.05</v>
      </c>
      <c r="H741">
        <v>48050</v>
      </c>
      <c r="I741" t="s">
        <v>1022</v>
      </c>
      <c r="J741">
        <v>0</v>
      </c>
      <c r="K741">
        <v>17.07</v>
      </c>
      <c r="L741">
        <v>1.84</v>
      </c>
      <c r="M741">
        <v>0.05</v>
      </c>
      <c r="N741">
        <v>800</v>
      </c>
      <c r="O741">
        <v>147.08000000000001</v>
      </c>
      <c r="P741">
        <v>966.04</v>
      </c>
      <c r="Q741" s="18">
        <f>YEAR(A741)</f>
        <v>2024</v>
      </c>
      <c r="R741" s="18">
        <f>MONTH(A741)</f>
        <v>12</v>
      </c>
      <c r="S741" s="18">
        <f>IF(R741&lt;4,Q741-1,Q741)</f>
        <v>2024</v>
      </c>
      <c r="T741" s="18">
        <f>IF(R741&lt;4,R741+9,R741-3)</f>
        <v>9</v>
      </c>
      <c r="U741" s="18" t="str">
        <f>IF(LEN(T741)=1,_xlfn.CONCAT(0,T741),T741)</f>
        <v>09</v>
      </c>
      <c r="V741" s="18" t="str">
        <f>_xlfn.CONCAT(S741,U741)</f>
        <v>202409</v>
      </c>
      <c r="W741" s="18" t="str">
        <f>_xlfn.CONCAT(TEXT(A741,"MMM"),"-",MID(Q741,3,2))</f>
        <v>Dec-24</v>
      </c>
      <c r="X741" s="19">
        <f>IFERROR(IF(D741="Sell",(H741-P741),-(H741+P741)),0)</f>
        <v>-49016.04</v>
      </c>
      <c r="Y741" s="19">
        <f>X741/1000</f>
        <v>-49.016040000000004</v>
      </c>
    </row>
    <row r="742" spans="1:25" x14ac:dyDescent="0.25">
      <c r="A742" s="1">
        <v>45643</v>
      </c>
      <c r="B742" t="s">
        <v>1006</v>
      </c>
      <c r="C742" t="s">
        <v>17</v>
      </c>
      <c r="D742" t="s">
        <v>18</v>
      </c>
      <c r="E742">
        <v>500</v>
      </c>
      <c r="F742">
        <v>0</v>
      </c>
      <c r="G742">
        <v>70.25</v>
      </c>
      <c r="H742">
        <v>35125</v>
      </c>
      <c r="I742" t="s">
        <v>1023</v>
      </c>
      <c r="J742">
        <v>35.14</v>
      </c>
      <c r="K742">
        <v>12.46</v>
      </c>
      <c r="L742">
        <v>0</v>
      </c>
      <c r="M742">
        <v>0.02</v>
      </c>
      <c r="N742">
        <v>400</v>
      </c>
      <c r="O742">
        <v>74.28</v>
      </c>
      <c r="P742">
        <v>521.9</v>
      </c>
      <c r="Q742" s="18">
        <f>YEAR(A742)</f>
        <v>2024</v>
      </c>
      <c r="R742" s="18">
        <f>MONTH(A742)</f>
        <v>12</v>
      </c>
      <c r="S742" s="18">
        <f>IF(R742&lt;4,Q742-1,Q742)</f>
        <v>2024</v>
      </c>
      <c r="T742" s="18">
        <f>IF(R742&lt;4,R742+9,R742-3)</f>
        <v>9</v>
      </c>
      <c r="U742" s="18" t="str">
        <f>IF(LEN(T742)=1,_xlfn.CONCAT(0,T742),T742)</f>
        <v>09</v>
      </c>
      <c r="V742" s="18" t="str">
        <f>_xlfn.CONCAT(S742,U742)</f>
        <v>202409</v>
      </c>
      <c r="W742" s="18" t="str">
        <f>_xlfn.CONCAT(TEXT(A742,"MMM"),"-",MID(Q742,3,2))</f>
        <v>Dec-24</v>
      </c>
      <c r="X742" s="19">
        <f>IFERROR(IF(D742="Sell",(H742-P742),-(H742+P742)),0)</f>
        <v>34603.1</v>
      </c>
      <c r="Y742" s="19">
        <f>X742/1000</f>
        <v>34.603099999999998</v>
      </c>
    </row>
    <row r="743" spans="1:25" x14ac:dyDescent="0.25">
      <c r="A743" s="1">
        <v>45643</v>
      </c>
      <c r="B743" t="s">
        <v>1006</v>
      </c>
      <c r="C743" t="s">
        <v>17</v>
      </c>
      <c r="D743" t="s">
        <v>22</v>
      </c>
      <c r="E743">
        <v>500</v>
      </c>
      <c r="F743">
        <v>0</v>
      </c>
      <c r="G743">
        <v>99.45</v>
      </c>
      <c r="H743">
        <v>49726.25</v>
      </c>
      <c r="I743" t="s">
        <v>1024</v>
      </c>
      <c r="J743">
        <v>0</v>
      </c>
      <c r="K743">
        <v>17.670000000000002</v>
      </c>
      <c r="L743">
        <v>1.72</v>
      </c>
      <c r="M743">
        <v>0.03</v>
      </c>
      <c r="N743">
        <v>400</v>
      </c>
      <c r="O743">
        <v>75.2</v>
      </c>
      <c r="P743">
        <v>494.62</v>
      </c>
      <c r="Q743" s="18">
        <f>YEAR(A743)</f>
        <v>2024</v>
      </c>
      <c r="R743" s="18">
        <f>MONTH(A743)</f>
        <v>12</v>
      </c>
      <c r="S743" s="18">
        <f>IF(R743&lt;4,Q743-1,Q743)</f>
        <v>2024</v>
      </c>
      <c r="T743" s="18">
        <f>IF(R743&lt;4,R743+9,R743-3)</f>
        <v>9</v>
      </c>
      <c r="U743" s="18" t="str">
        <f>IF(LEN(T743)=1,_xlfn.CONCAT(0,T743),T743)</f>
        <v>09</v>
      </c>
      <c r="V743" s="18" t="str">
        <f>_xlfn.CONCAT(S743,U743)</f>
        <v>202409</v>
      </c>
      <c r="W743" s="18" t="str">
        <f>_xlfn.CONCAT(TEXT(A743,"MMM"),"-",MID(Q743,3,2))</f>
        <v>Dec-24</v>
      </c>
      <c r="X743" s="19">
        <f>IFERROR(IF(D743="Sell",(H743-P743),-(H743+P743)),0)</f>
        <v>-50220.87</v>
      </c>
      <c r="Y743" s="19">
        <f>X743/1000</f>
        <v>-50.220870000000005</v>
      </c>
    </row>
    <row r="744" spans="1:25" x14ac:dyDescent="0.25">
      <c r="A744" s="1">
        <v>45643</v>
      </c>
      <c r="B744" t="s">
        <v>1025</v>
      </c>
      <c r="C744" t="s">
        <v>17</v>
      </c>
      <c r="D744" t="s">
        <v>18</v>
      </c>
      <c r="E744">
        <v>250</v>
      </c>
      <c r="F744">
        <v>0</v>
      </c>
      <c r="G744">
        <v>155.25</v>
      </c>
      <c r="H744">
        <v>38812.5</v>
      </c>
      <c r="I744" t="s">
        <v>1026</v>
      </c>
      <c r="J744">
        <v>38.81</v>
      </c>
      <c r="K744">
        <v>13.79</v>
      </c>
      <c r="L744">
        <v>0</v>
      </c>
      <c r="M744">
        <v>0.03</v>
      </c>
      <c r="N744">
        <v>200</v>
      </c>
      <c r="O744">
        <v>38.479999999999997</v>
      </c>
      <c r="P744">
        <v>291.11</v>
      </c>
      <c r="Q744" s="18">
        <f>YEAR(A744)</f>
        <v>2024</v>
      </c>
      <c r="R744" s="18">
        <f>MONTH(A744)</f>
        <v>12</v>
      </c>
      <c r="S744" s="18">
        <f>IF(R744&lt;4,Q744-1,Q744)</f>
        <v>2024</v>
      </c>
      <c r="T744" s="18">
        <f>IF(R744&lt;4,R744+9,R744-3)</f>
        <v>9</v>
      </c>
      <c r="U744" s="18" t="str">
        <f>IF(LEN(T744)=1,_xlfn.CONCAT(0,T744),T744)</f>
        <v>09</v>
      </c>
      <c r="V744" s="18" t="str">
        <f>_xlfn.CONCAT(S744,U744)</f>
        <v>202409</v>
      </c>
      <c r="W744" s="18" t="str">
        <f>_xlfn.CONCAT(TEXT(A744,"MMM"),"-",MID(Q744,3,2))</f>
        <v>Dec-24</v>
      </c>
      <c r="X744" s="19">
        <f>IFERROR(IF(D744="Sell",(H744-P744),-(H744+P744)),0)</f>
        <v>38521.39</v>
      </c>
      <c r="Y744" s="19">
        <f>X744/1000</f>
        <v>38.521389999999997</v>
      </c>
    </row>
    <row r="745" spans="1:25" x14ac:dyDescent="0.25">
      <c r="A745" s="1">
        <v>45643</v>
      </c>
      <c r="B745" t="s">
        <v>1025</v>
      </c>
      <c r="C745" t="s">
        <v>17</v>
      </c>
      <c r="D745" t="s">
        <v>22</v>
      </c>
      <c r="E745">
        <v>50</v>
      </c>
      <c r="F745">
        <v>0</v>
      </c>
      <c r="G745">
        <v>168.2</v>
      </c>
      <c r="H745">
        <v>8410</v>
      </c>
      <c r="I745" t="s">
        <v>1027</v>
      </c>
      <c r="J745">
        <v>0</v>
      </c>
      <c r="K745">
        <v>2.98</v>
      </c>
      <c r="L745">
        <v>0</v>
      </c>
      <c r="M745">
        <v>0</v>
      </c>
      <c r="N745">
        <v>40</v>
      </c>
      <c r="O745">
        <v>7.72</v>
      </c>
      <c r="P745">
        <v>50.7</v>
      </c>
      <c r="Q745" s="18">
        <f>YEAR(A745)</f>
        <v>2024</v>
      </c>
      <c r="R745" s="18">
        <f>MONTH(A745)</f>
        <v>12</v>
      </c>
      <c r="S745" s="18">
        <f>IF(R745&lt;4,Q745-1,Q745)</f>
        <v>2024</v>
      </c>
      <c r="T745" s="18">
        <f>IF(R745&lt;4,R745+9,R745-3)</f>
        <v>9</v>
      </c>
      <c r="U745" s="18" t="str">
        <f>IF(LEN(T745)=1,_xlfn.CONCAT(0,T745),T745)</f>
        <v>09</v>
      </c>
      <c r="V745" s="18" t="str">
        <f>_xlfn.CONCAT(S745,U745)</f>
        <v>202409</v>
      </c>
      <c r="W745" s="18" t="str">
        <f>_xlfn.CONCAT(TEXT(A745,"MMM"),"-",MID(Q745,3,2))</f>
        <v>Dec-24</v>
      </c>
      <c r="X745" s="19">
        <f>IFERROR(IF(D745="Sell",(H745-P745),-(H745+P745)),0)</f>
        <v>-8460.7000000000007</v>
      </c>
      <c r="Y745" s="19">
        <f>X745/1000</f>
        <v>-8.460700000000001</v>
      </c>
    </row>
    <row r="746" spans="1:25" x14ac:dyDescent="0.25">
      <c r="A746" s="1">
        <v>45643</v>
      </c>
      <c r="B746" t="s">
        <v>1025</v>
      </c>
      <c r="C746" t="s">
        <v>17</v>
      </c>
      <c r="D746" t="s">
        <v>22</v>
      </c>
      <c r="E746">
        <v>100</v>
      </c>
      <c r="F746">
        <v>0</v>
      </c>
      <c r="G746">
        <v>169.95</v>
      </c>
      <c r="H746">
        <v>16995</v>
      </c>
      <c r="I746" t="s">
        <v>1028</v>
      </c>
      <c r="J746">
        <v>0</v>
      </c>
      <c r="K746">
        <v>6.04</v>
      </c>
      <c r="L746">
        <v>1.28</v>
      </c>
      <c r="M746">
        <v>0.02</v>
      </c>
      <c r="N746">
        <v>80</v>
      </c>
      <c r="O746">
        <v>15.5</v>
      </c>
      <c r="P746">
        <v>102.84</v>
      </c>
      <c r="Q746" s="18">
        <f>YEAR(A746)</f>
        <v>2024</v>
      </c>
      <c r="R746" s="18">
        <f>MONTH(A746)</f>
        <v>12</v>
      </c>
      <c r="S746" s="18">
        <f>IF(R746&lt;4,Q746-1,Q746)</f>
        <v>2024</v>
      </c>
      <c r="T746" s="18">
        <f>IF(R746&lt;4,R746+9,R746-3)</f>
        <v>9</v>
      </c>
      <c r="U746" s="18" t="str">
        <f>IF(LEN(T746)=1,_xlfn.CONCAT(0,T746),T746)</f>
        <v>09</v>
      </c>
      <c r="V746" s="18" t="str">
        <f>_xlfn.CONCAT(S746,U746)</f>
        <v>202409</v>
      </c>
      <c r="W746" s="18" t="str">
        <f>_xlfn.CONCAT(TEXT(A746,"MMM"),"-",MID(Q746,3,2))</f>
        <v>Dec-24</v>
      </c>
      <c r="X746" s="19">
        <f>IFERROR(IF(D746="Sell",(H746-P746),-(H746+P746)),0)</f>
        <v>-17097.84</v>
      </c>
      <c r="Y746" s="19">
        <f>X746/1000</f>
        <v>-17.097840000000001</v>
      </c>
    </row>
    <row r="747" spans="1:25" x14ac:dyDescent="0.25">
      <c r="A747" s="1">
        <v>45643</v>
      </c>
      <c r="B747" t="s">
        <v>1025</v>
      </c>
      <c r="C747" t="s">
        <v>17</v>
      </c>
      <c r="D747" t="s">
        <v>22</v>
      </c>
      <c r="E747">
        <v>100</v>
      </c>
      <c r="F747">
        <v>0</v>
      </c>
      <c r="G747">
        <v>171.25</v>
      </c>
      <c r="H747">
        <v>17125</v>
      </c>
      <c r="I747" t="s">
        <v>1029</v>
      </c>
      <c r="J747">
        <v>0</v>
      </c>
      <c r="K747">
        <v>6.08</v>
      </c>
      <c r="L747">
        <v>0</v>
      </c>
      <c r="M747">
        <v>0.02</v>
      </c>
      <c r="N747">
        <v>80</v>
      </c>
      <c r="O747">
        <v>15.5</v>
      </c>
      <c r="P747">
        <v>101.6</v>
      </c>
      <c r="Q747" s="18">
        <f>YEAR(A747)</f>
        <v>2024</v>
      </c>
      <c r="R747" s="18">
        <f>MONTH(A747)</f>
        <v>12</v>
      </c>
      <c r="S747" s="18">
        <f>IF(R747&lt;4,Q747-1,Q747)</f>
        <v>2024</v>
      </c>
      <c r="T747" s="18">
        <f>IF(R747&lt;4,R747+9,R747-3)</f>
        <v>9</v>
      </c>
      <c r="U747" s="18" t="str">
        <f>IF(LEN(T747)=1,_xlfn.CONCAT(0,T747),T747)</f>
        <v>09</v>
      </c>
      <c r="V747" s="18" t="str">
        <f>_xlfn.CONCAT(S747,U747)</f>
        <v>202409</v>
      </c>
      <c r="W747" s="18" t="str">
        <f>_xlfn.CONCAT(TEXT(A747,"MMM"),"-",MID(Q747,3,2))</f>
        <v>Dec-24</v>
      </c>
      <c r="X747" s="19">
        <f>IFERROR(IF(D747="Sell",(H747-P747),-(H747+P747)),0)</f>
        <v>-17226.599999999999</v>
      </c>
      <c r="Y747" s="19">
        <f>X747/1000</f>
        <v>-17.226599999999998</v>
      </c>
    </row>
    <row r="748" spans="1:25" x14ac:dyDescent="0.25">
      <c r="A748" s="1">
        <v>45643</v>
      </c>
      <c r="B748" t="s">
        <v>1012</v>
      </c>
      <c r="C748" t="s">
        <v>17</v>
      </c>
      <c r="D748" t="s">
        <v>18</v>
      </c>
      <c r="E748">
        <v>200</v>
      </c>
      <c r="F748">
        <v>0</v>
      </c>
      <c r="G748">
        <v>205.05</v>
      </c>
      <c r="H748">
        <v>41010</v>
      </c>
      <c r="I748" t="s">
        <v>1030</v>
      </c>
      <c r="J748">
        <v>41.06</v>
      </c>
      <c r="K748">
        <v>14.57</v>
      </c>
      <c r="L748">
        <v>0</v>
      </c>
      <c r="M748">
        <v>0.04</v>
      </c>
      <c r="N748">
        <v>160</v>
      </c>
      <c r="O748">
        <v>31.42</v>
      </c>
      <c r="P748">
        <v>247.09</v>
      </c>
      <c r="Q748" s="18">
        <f>YEAR(A748)</f>
        <v>2024</v>
      </c>
      <c r="R748" s="18">
        <f>MONTH(A748)</f>
        <v>12</v>
      </c>
      <c r="S748" s="18">
        <f>IF(R748&lt;4,Q748-1,Q748)</f>
        <v>2024</v>
      </c>
      <c r="T748" s="18">
        <f>IF(R748&lt;4,R748+9,R748-3)</f>
        <v>9</v>
      </c>
      <c r="U748" s="18" t="str">
        <f>IF(LEN(T748)=1,_xlfn.CONCAT(0,T748),T748)</f>
        <v>09</v>
      </c>
      <c r="V748" s="18" t="str">
        <f>_xlfn.CONCAT(S748,U748)</f>
        <v>202409</v>
      </c>
      <c r="W748" s="18" t="str">
        <f>_xlfn.CONCAT(TEXT(A748,"MMM"),"-",MID(Q748,3,2))</f>
        <v>Dec-24</v>
      </c>
      <c r="X748" s="19">
        <f>IFERROR(IF(D748="Sell",(H748-P748),-(H748+P748)),0)</f>
        <v>40762.910000000003</v>
      </c>
      <c r="Y748" s="19">
        <f>X748/1000</f>
        <v>40.762910000000005</v>
      </c>
    </row>
    <row r="749" spans="1:25" x14ac:dyDescent="0.25">
      <c r="A749" s="1">
        <v>45644</v>
      </c>
      <c r="B749" t="s">
        <v>1031</v>
      </c>
      <c r="C749" t="s">
        <v>17</v>
      </c>
      <c r="D749" t="s">
        <v>22</v>
      </c>
      <c r="E749">
        <v>500</v>
      </c>
      <c r="F749">
        <v>0</v>
      </c>
      <c r="G749">
        <v>75</v>
      </c>
      <c r="H749">
        <v>37500</v>
      </c>
      <c r="I749" t="s">
        <v>1032</v>
      </c>
      <c r="J749">
        <v>0</v>
      </c>
      <c r="K749">
        <v>13.32</v>
      </c>
      <c r="L749">
        <v>1.39</v>
      </c>
      <c r="M749">
        <v>0.04</v>
      </c>
      <c r="N749">
        <v>400</v>
      </c>
      <c r="O749">
        <v>74.400000000000006</v>
      </c>
      <c r="P749">
        <v>489.15</v>
      </c>
      <c r="Q749" s="18">
        <f>YEAR(A749)</f>
        <v>2024</v>
      </c>
      <c r="R749" s="18">
        <f>MONTH(A749)</f>
        <v>12</v>
      </c>
      <c r="S749" s="18">
        <f>IF(R749&lt;4,Q749-1,Q749)</f>
        <v>2024</v>
      </c>
      <c r="T749" s="18">
        <f>IF(R749&lt;4,R749+9,R749-3)</f>
        <v>9</v>
      </c>
      <c r="U749" s="18" t="str">
        <f>IF(LEN(T749)=1,_xlfn.CONCAT(0,T749),T749)</f>
        <v>09</v>
      </c>
      <c r="V749" s="18" t="str">
        <f>_xlfn.CONCAT(S749,U749)</f>
        <v>202409</v>
      </c>
      <c r="W749" s="18" t="str">
        <f>_xlfn.CONCAT(TEXT(A749,"MMM"),"-",MID(Q749,3,2))</f>
        <v>Dec-24</v>
      </c>
      <c r="X749" s="19">
        <f>IFERROR(IF(D749="Sell",(H749-P749),-(H749+P749)),0)</f>
        <v>-37989.15</v>
      </c>
      <c r="Y749" s="19">
        <f>X749/1000</f>
        <v>-37.989150000000002</v>
      </c>
    </row>
    <row r="750" spans="1:25" x14ac:dyDescent="0.25">
      <c r="A750" s="1">
        <v>45644</v>
      </c>
      <c r="B750" t="s">
        <v>1031</v>
      </c>
      <c r="C750" t="s">
        <v>17</v>
      </c>
      <c r="D750" t="s">
        <v>22</v>
      </c>
      <c r="E750">
        <v>25</v>
      </c>
      <c r="F750">
        <v>0</v>
      </c>
      <c r="G750">
        <v>71</v>
      </c>
      <c r="H750">
        <v>1775</v>
      </c>
      <c r="I750" t="s">
        <v>1033</v>
      </c>
      <c r="J750">
        <v>0</v>
      </c>
      <c r="K750">
        <v>0.63</v>
      </c>
      <c r="L750">
        <v>0</v>
      </c>
      <c r="M750">
        <v>0</v>
      </c>
      <c r="N750">
        <v>20</v>
      </c>
      <c r="O750">
        <v>3.72</v>
      </c>
      <c r="P750">
        <v>24.35</v>
      </c>
      <c r="Q750" s="18">
        <f>YEAR(A750)</f>
        <v>2024</v>
      </c>
      <c r="R750" s="18">
        <f>MONTH(A750)</f>
        <v>12</v>
      </c>
      <c r="S750" s="18">
        <f>IF(R750&lt;4,Q750-1,Q750)</f>
        <v>2024</v>
      </c>
      <c r="T750" s="18">
        <f>IF(R750&lt;4,R750+9,R750-3)</f>
        <v>9</v>
      </c>
      <c r="U750" s="18" t="str">
        <f>IF(LEN(T750)=1,_xlfn.CONCAT(0,T750),T750)</f>
        <v>09</v>
      </c>
      <c r="V750" s="18" t="str">
        <f>_xlfn.CONCAT(S750,U750)</f>
        <v>202409</v>
      </c>
      <c r="W750" s="18" t="str">
        <f>_xlfn.CONCAT(TEXT(A750,"MMM"),"-",MID(Q750,3,2))</f>
        <v>Dec-24</v>
      </c>
      <c r="X750" s="19">
        <f>IFERROR(IF(D750="Sell",(H750-P750),-(H750+P750)),0)</f>
        <v>-1799.35</v>
      </c>
      <c r="Y750" s="19">
        <f>X750/1000</f>
        <v>-1.79935</v>
      </c>
    </row>
    <row r="751" spans="1:25" x14ac:dyDescent="0.25">
      <c r="A751" s="1">
        <v>45644</v>
      </c>
      <c r="B751" t="s">
        <v>1034</v>
      </c>
      <c r="C751" t="s">
        <v>17</v>
      </c>
      <c r="D751" t="s">
        <v>18</v>
      </c>
      <c r="E751">
        <v>300</v>
      </c>
      <c r="F751">
        <v>0</v>
      </c>
      <c r="G751">
        <v>76</v>
      </c>
      <c r="H751">
        <v>22800</v>
      </c>
      <c r="I751" t="s">
        <v>1035</v>
      </c>
      <c r="J751">
        <v>23.18</v>
      </c>
      <c r="K751">
        <v>8.1</v>
      </c>
      <c r="L751">
        <v>0</v>
      </c>
      <c r="M751">
        <v>0.03</v>
      </c>
      <c r="N751">
        <v>240</v>
      </c>
      <c r="O751">
        <v>44.66</v>
      </c>
      <c r="P751">
        <v>315.97000000000003</v>
      </c>
      <c r="Q751" s="18">
        <f>YEAR(A751)</f>
        <v>2024</v>
      </c>
      <c r="R751" s="18">
        <f>MONTH(A751)</f>
        <v>12</v>
      </c>
      <c r="S751" s="18">
        <f>IF(R751&lt;4,Q751-1,Q751)</f>
        <v>2024</v>
      </c>
      <c r="T751" s="18">
        <f>IF(R751&lt;4,R751+9,R751-3)</f>
        <v>9</v>
      </c>
      <c r="U751" s="18" t="str">
        <f>IF(LEN(T751)=1,_xlfn.CONCAT(0,T751),T751)</f>
        <v>09</v>
      </c>
      <c r="V751" s="18" t="str">
        <f>_xlfn.CONCAT(S751,U751)</f>
        <v>202409</v>
      </c>
      <c r="W751" s="18" t="str">
        <f>_xlfn.CONCAT(TEXT(A751,"MMM"),"-",MID(Q751,3,2))</f>
        <v>Dec-24</v>
      </c>
      <c r="X751" s="19">
        <f>IFERROR(IF(D751="Sell",(H751-P751),-(H751+P751)),0)</f>
        <v>22484.03</v>
      </c>
      <c r="Y751" s="19">
        <f>X751/1000</f>
        <v>22.484029999999997</v>
      </c>
    </row>
    <row r="752" spans="1:25" x14ac:dyDescent="0.25">
      <c r="A752" s="1">
        <v>45644</v>
      </c>
      <c r="B752" t="s">
        <v>1034</v>
      </c>
      <c r="C752" t="s">
        <v>17</v>
      </c>
      <c r="D752" t="s">
        <v>22</v>
      </c>
      <c r="E752">
        <v>100</v>
      </c>
      <c r="F752">
        <v>0</v>
      </c>
      <c r="G752">
        <v>95</v>
      </c>
      <c r="H752">
        <v>9500</v>
      </c>
      <c r="I752" t="s">
        <v>1036</v>
      </c>
      <c r="J752">
        <v>0</v>
      </c>
      <c r="K752">
        <v>3.38</v>
      </c>
      <c r="L752">
        <v>0.91</v>
      </c>
      <c r="M752">
        <v>0.01</v>
      </c>
      <c r="N752">
        <v>80</v>
      </c>
      <c r="O752">
        <v>15.02</v>
      </c>
      <c r="P752">
        <v>99.32</v>
      </c>
      <c r="Q752" s="18">
        <f>YEAR(A752)</f>
        <v>2024</v>
      </c>
      <c r="R752" s="18">
        <f>MONTH(A752)</f>
        <v>12</v>
      </c>
      <c r="S752" s="18">
        <f>IF(R752&lt;4,Q752-1,Q752)</f>
        <v>2024</v>
      </c>
      <c r="T752" s="18">
        <f>IF(R752&lt;4,R752+9,R752-3)</f>
        <v>9</v>
      </c>
      <c r="U752" s="18" t="str">
        <f>IF(LEN(T752)=1,_xlfn.CONCAT(0,T752),T752)</f>
        <v>09</v>
      </c>
      <c r="V752" s="18" t="str">
        <f>_xlfn.CONCAT(S752,U752)</f>
        <v>202409</v>
      </c>
      <c r="W752" s="18" t="str">
        <f>_xlfn.CONCAT(TEXT(A752,"MMM"),"-",MID(Q752,3,2))</f>
        <v>Dec-24</v>
      </c>
      <c r="X752" s="19">
        <f>IFERROR(IF(D752="Sell",(H752-P752),-(H752+P752)),0)</f>
        <v>-9599.32</v>
      </c>
      <c r="Y752" s="19">
        <f>X752/1000</f>
        <v>-9.5993200000000005</v>
      </c>
    </row>
    <row r="753" spans="1:25" x14ac:dyDescent="0.25">
      <c r="A753" s="1">
        <v>45644</v>
      </c>
      <c r="B753" t="s">
        <v>1034</v>
      </c>
      <c r="C753" t="s">
        <v>17</v>
      </c>
      <c r="D753" t="s">
        <v>22</v>
      </c>
      <c r="E753">
        <v>100</v>
      </c>
      <c r="F753">
        <v>0</v>
      </c>
      <c r="G753">
        <v>99.3</v>
      </c>
      <c r="H753">
        <v>9930</v>
      </c>
      <c r="I753" t="s">
        <v>1037</v>
      </c>
      <c r="J753">
        <v>0</v>
      </c>
      <c r="K753">
        <v>3.53</v>
      </c>
      <c r="L753">
        <v>0</v>
      </c>
      <c r="M753">
        <v>0.01</v>
      </c>
      <c r="N753">
        <v>80</v>
      </c>
      <c r="O753">
        <v>15.04</v>
      </c>
      <c r="P753">
        <v>98.58</v>
      </c>
      <c r="Q753" s="18">
        <f>YEAR(A753)</f>
        <v>2024</v>
      </c>
      <c r="R753" s="18">
        <f>MONTH(A753)</f>
        <v>12</v>
      </c>
      <c r="S753" s="18">
        <f>IF(R753&lt;4,Q753-1,Q753)</f>
        <v>2024</v>
      </c>
      <c r="T753" s="18">
        <f>IF(R753&lt;4,R753+9,R753-3)</f>
        <v>9</v>
      </c>
      <c r="U753" s="18" t="str">
        <f>IF(LEN(T753)=1,_xlfn.CONCAT(0,T753),T753)</f>
        <v>09</v>
      </c>
      <c r="V753" s="18" t="str">
        <f>_xlfn.CONCAT(S753,U753)</f>
        <v>202409</v>
      </c>
      <c r="W753" s="18" t="str">
        <f>_xlfn.CONCAT(TEXT(A753,"MMM"),"-",MID(Q753,3,2))</f>
        <v>Dec-24</v>
      </c>
      <c r="X753" s="19">
        <f>IFERROR(IF(D753="Sell",(H753-P753),-(H753+P753)),0)</f>
        <v>-10028.58</v>
      </c>
      <c r="Y753" s="19">
        <f>X753/1000</f>
        <v>-10.02858</v>
      </c>
    </row>
    <row r="754" spans="1:25" x14ac:dyDescent="0.25">
      <c r="A754" s="1">
        <v>45644</v>
      </c>
      <c r="B754" t="s">
        <v>1034</v>
      </c>
      <c r="C754" t="s">
        <v>17</v>
      </c>
      <c r="D754" t="s">
        <v>22</v>
      </c>
      <c r="E754">
        <v>100</v>
      </c>
      <c r="F754">
        <v>0</v>
      </c>
      <c r="G754">
        <v>108.66</v>
      </c>
      <c r="H754">
        <v>10866.25</v>
      </c>
      <c r="I754" t="s">
        <v>1038</v>
      </c>
      <c r="J754">
        <v>0</v>
      </c>
      <c r="K754">
        <v>3.87</v>
      </c>
      <c r="L754">
        <v>0</v>
      </c>
      <c r="M754">
        <v>0.01</v>
      </c>
      <c r="N754">
        <v>80</v>
      </c>
      <c r="O754">
        <v>15.1</v>
      </c>
      <c r="P754">
        <v>98.98</v>
      </c>
      <c r="Q754" s="18">
        <f>YEAR(A754)</f>
        <v>2024</v>
      </c>
      <c r="R754" s="18">
        <f>MONTH(A754)</f>
        <v>12</v>
      </c>
      <c r="S754" s="18">
        <f>IF(R754&lt;4,Q754-1,Q754)</f>
        <v>2024</v>
      </c>
      <c r="T754" s="18">
        <f>IF(R754&lt;4,R754+9,R754-3)</f>
        <v>9</v>
      </c>
      <c r="U754" s="18" t="str">
        <f>IF(LEN(T754)=1,_xlfn.CONCAT(0,T754),T754)</f>
        <v>09</v>
      </c>
      <c r="V754" s="18" t="str">
        <f>_xlfn.CONCAT(S754,U754)</f>
        <v>202409</v>
      </c>
      <c r="W754" s="18" t="str">
        <f>_xlfn.CONCAT(TEXT(A754,"MMM"),"-",MID(Q754,3,2))</f>
        <v>Dec-24</v>
      </c>
      <c r="X754" s="19">
        <f>IFERROR(IF(D754="Sell",(H754-P754),-(H754+P754)),0)</f>
        <v>-10965.23</v>
      </c>
      <c r="Y754" s="19">
        <f>X754/1000</f>
        <v>-10.96523</v>
      </c>
    </row>
    <row r="755" spans="1:25" x14ac:dyDescent="0.25">
      <c r="A755" s="1">
        <v>45644</v>
      </c>
      <c r="B755" t="s">
        <v>1039</v>
      </c>
      <c r="C755" t="s">
        <v>17</v>
      </c>
      <c r="D755" t="s">
        <v>18</v>
      </c>
      <c r="E755">
        <v>2100</v>
      </c>
      <c r="F755">
        <v>0</v>
      </c>
      <c r="G755">
        <v>13.25</v>
      </c>
      <c r="H755">
        <v>27825</v>
      </c>
      <c r="I755" t="s">
        <v>1040</v>
      </c>
      <c r="J755">
        <v>27.83</v>
      </c>
      <c r="K755">
        <v>9.89</v>
      </c>
      <c r="L755">
        <v>0</v>
      </c>
      <c r="M755">
        <v>0.03</v>
      </c>
      <c r="N755">
        <v>60</v>
      </c>
      <c r="O755">
        <v>12.58</v>
      </c>
      <c r="P755">
        <v>110.33</v>
      </c>
      <c r="Q755" s="18">
        <f>YEAR(A755)</f>
        <v>2024</v>
      </c>
      <c r="R755" s="18">
        <f>MONTH(A755)</f>
        <v>12</v>
      </c>
      <c r="S755" s="18">
        <f>IF(R755&lt;4,Q755-1,Q755)</f>
        <v>2024</v>
      </c>
      <c r="T755" s="18">
        <f>IF(R755&lt;4,R755+9,R755-3)</f>
        <v>9</v>
      </c>
      <c r="U755" s="18" t="str">
        <f>IF(LEN(T755)=1,_xlfn.CONCAT(0,T755),T755)</f>
        <v>09</v>
      </c>
      <c r="V755" s="18" t="str">
        <f>_xlfn.CONCAT(S755,U755)</f>
        <v>202409</v>
      </c>
      <c r="W755" s="18" t="str">
        <f>_xlfn.CONCAT(TEXT(A755,"MMM"),"-",MID(Q755,3,2))</f>
        <v>Dec-24</v>
      </c>
      <c r="X755" s="19">
        <f>IFERROR(IF(D755="Sell",(H755-P755),-(H755+P755)),0)</f>
        <v>27714.67</v>
      </c>
      <c r="Y755" s="19">
        <f>X755/1000</f>
        <v>27.714669999999998</v>
      </c>
    </row>
    <row r="756" spans="1:25" x14ac:dyDescent="0.25">
      <c r="A756" s="1">
        <v>45644</v>
      </c>
      <c r="B756" t="s">
        <v>1039</v>
      </c>
      <c r="C756" t="s">
        <v>17</v>
      </c>
      <c r="D756" t="s">
        <v>22</v>
      </c>
      <c r="E756">
        <v>2100</v>
      </c>
      <c r="F756">
        <v>0</v>
      </c>
      <c r="G756">
        <v>11.05</v>
      </c>
      <c r="H756">
        <v>23205</v>
      </c>
      <c r="I756" t="s">
        <v>1041</v>
      </c>
      <c r="J756">
        <v>0</v>
      </c>
      <c r="K756">
        <v>8.25</v>
      </c>
      <c r="L756">
        <v>0.7</v>
      </c>
      <c r="M756">
        <v>0.03</v>
      </c>
      <c r="N756">
        <v>60</v>
      </c>
      <c r="O756">
        <v>12.3</v>
      </c>
      <c r="P756">
        <v>81.28</v>
      </c>
      <c r="Q756" s="18">
        <f>YEAR(A756)</f>
        <v>2024</v>
      </c>
      <c r="R756" s="18">
        <f>MONTH(A756)</f>
        <v>12</v>
      </c>
      <c r="S756" s="18">
        <f>IF(R756&lt;4,Q756-1,Q756)</f>
        <v>2024</v>
      </c>
      <c r="T756" s="18">
        <f>IF(R756&lt;4,R756+9,R756-3)</f>
        <v>9</v>
      </c>
      <c r="U756" s="18" t="str">
        <f>IF(LEN(T756)=1,_xlfn.CONCAT(0,T756),T756)</f>
        <v>09</v>
      </c>
      <c r="V756" s="18" t="str">
        <f>_xlfn.CONCAT(S756,U756)</f>
        <v>202409</v>
      </c>
      <c r="W756" s="18" t="str">
        <f>_xlfn.CONCAT(TEXT(A756,"MMM"),"-",MID(Q756,3,2))</f>
        <v>Dec-24</v>
      </c>
      <c r="X756" s="19">
        <f>IFERROR(IF(D756="Sell",(H756-P756),-(H756+P756)),0)</f>
        <v>-23286.28</v>
      </c>
      <c r="Y756" s="19">
        <f>X756/1000</f>
        <v>-23.286279999999998</v>
      </c>
    </row>
    <row r="757" spans="1:25" x14ac:dyDescent="0.25">
      <c r="A757" s="1">
        <v>45645</v>
      </c>
      <c r="B757" t="s">
        <v>1042</v>
      </c>
      <c r="C757" t="s">
        <v>17</v>
      </c>
      <c r="D757" t="s">
        <v>18</v>
      </c>
      <c r="E757">
        <v>2100</v>
      </c>
      <c r="F757">
        <v>0</v>
      </c>
      <c r="G757">
        <v>16.25</v>
      </c>
      <c r="H757">
        <v>34125</v>
      </c>
      <c r="I757" t="s">
        <v>1043</v>
      </c>
      <c r="J757">
        <v>34.14</v>
      </c>
      <c r="K757">
        <v>12.12</v>
      </c>
      <c r="L757">
        <v>0</v>
      </c>
      <c r="M757">
        <v>0.03</v>
      </c>
      <c r="N757">
        <v>60</v>
      </c>
      <c r="O757">
        <v>12.96</v>
      </c>
      <c r="P757">
        <v>119.25</v>
      </c>
      <c r="Q757" s="18">
        <f>YEAR(A757)</f>
        <v>2024</v>
      </c>
      <c r="R757" s="18">
        <f>MONTH(A757)</f>
        <v>12</v>
      </c>
      <c r="S757" s="18">
        <f>IF(R757&lt;4,Q757-1,Q757)</f>
        <v>2024</v>
      </c>
      <c r="T757" s="18">
        <f>IF(R757&lt;4,R757+9,R757-3)</f>
        <v>9</v>
      </c>
      <c r="U757" s="18" t="str">
        <f>IF(LEN(T757)=1,_xlfn.CONCAT(0,T757),T757)</f>
        <v>09</v>
      </c>
      <c r="V757" s="18" t="str">
        <f>_xlfn.CONCAT(S757,U757)</f>
        <v>202409</v>
      </c>
      <c r="W757" s="18" t="str">
        <f>_xlfn.CONCAT(TEXT(A757,"MMM"),"-",MID(Q757,3,2))</f>
        <v>Dec-24</v>
      </c>
      <c r="X757" s="19">
        <f>IFERROR(IF(D757="Sell",(H757-P757),-(H757+P757)),0)</f>
        <v>34005.75</v>
      </c>
      <c r="Y757" s="19">
        <f>X757/1000</f>
        <v>34.005749999999999</v>
      </c>
    </row>
    <row r="758" spans="1:25" x14ac:dyDescent="0.25">
      <c r="A758" s="1">
        <v>45645</v>
      </c>
      <c r="B758" t="s">
        <v>1042</v>
      </c>
      <c r="C758" t="s">
        <v>17</v>
      </c>
      <c r="D758" t="s">
        <v>22</v>
      </c>
      <c r="E758">
        <v>1400</v>
      </c>
      <c r="F758">
        <v>0</v>
      </c>
      <c r="G758">
        <v>14.7</v>
      </c>
      <c r="H758">
        <v>20580</v>
      </c>
      <c r="I758" t="s">
        <v>1044</v>
      </c>
      <c r="J758">
        <v>0</v>
      </c>
      <c r="K758">
        <v>7.31</v>
      </c>
      <c r="L758">
        <v>0.92</v>
      </c>
      <c r="M758">
        <v>0.02</v>
      </c>
      <c r="N758">
        <v>40</v>
      </c>
      <c r="O758">
        <v>8.52</v>
      </c>
      <c r="P758">
        <v>56.77</v>
      </c>
      <c r="Q758" s="18">
        <f>YEAR(A758)</f>
        <v>2024</v>
      </c>
      <c r="R758" s="18">
        <f>MONTH(A758)</f>
        <v>12</v>
      </c>
      <c r="S758" s="18">
        <f>IF(R758&lt;4,Q758-1,Q758)</f>
        <v>2024</v>
      </c>
      <c r="T758" s="18">
        <f>IF(R758&lt;4,R758+9,R758-3)</f>
        <v>9</v>
      </c>
      <c r="U758" s="18" t="str">
        <f>IF(LEN(T758)=1,_xlfn.CONCAT(0,T758),T758)</f>
        <v>09</v>
      </c>
      <c r="V758" s="18" t="str">
        <f>_xlfn.CONCAT(S758,U758)</f>
        <v>202409</v>
      </c>
      <c r="W758" s="18" t="str">
        <f>_xlfn.CONCAT(TEXT(A758,"MMM"),"-",MID(Q758,3,2))</f>
        <v>Dec-24</v>
      </c>
      <c r="X758" s="19">
        <f>IFERROR(IF(D758="Sell",(H758-P758),-(H758+P758)),0)</f>
        <v>-20636.77</v>
      </c>
      <c r="Y758" s="19">
        <f>X758/1000</f>
        <v>-20.636770000000002</v>
      </c>
    </row>
    <row r="759" spans="1:25" x14ac:dyDescent="0.25">
      <c r="A759" s="1">
        <v>45645</v>
      </c>
      <c r="B759" t="s">
        <v>1042</v>
      </c>
      <c r="C759" t="s">
        <v>17</v>
      </c>
      <c r="D759" t="s">
        <v>22</v>
      </c>
      <c r="E759">
        <v>700</v>
      </c>
      <c r="F759">
        <v>0</v>
      </c>
      <c r="G759">
        <v>14.25</v>
      </c>
      <c r="H759">
        <v>9975</v>
      </c>
      <c r="I759" t="s">
        <v>1045</v>
      </c>
      <c r="J759">
        <v>0</v>
      </c>
      <c r="K759">
        <v>3.54</v>
      </c>
      <c r="L759">
        <v>0</v>
      </c>
      <c r="M759">
        <v>0.01</v>
      </c>
      <c r="N759">
        <v>20</v>
      </c>
      <c r="O759">
        <v>4.24</v>
      </c>
      <c r="P759">
        <v>27.79</v>
      </c>
      <c r="Q759" s="18">
        <f>YEAR(A759)</f>
        <v>2024</v>
      </c>
      <c r="R759" s="18">
        <f>MONTH(A759)</f>
        <v>12</v>
      </c>
      <c r="S759" s="18">
        <f>IF(R759&lt;4,Q759-1,Q759)</f>
        <v>2024</v>
      </c>
      <c r="T759" s="18">
        <f>IF(R759&lt;4,R759+9,R759-3)</f>
        <v>9</v>
      </c>
      <c r="U759" s="18" t="str">
        <f>IF(LEN(T759)=1,_xlfn.CONCAT(0,T759),T759)</f>
        <v>09</v>
      </c>
      <c r="V759" s="18" t="str">
        <f>_xlfn.CONCAT(S759,U759)</f>
        <v>202409</v>
      </c>
      <c r="W759" s="18" t="str">
        <f>_xlfn.CONCAT(TEXT(A759,"MMM"),"-",MID(Q759,3,2))</f>
        <v>Dec-24</v>
      </c>
      <c r="X759" s="19">
        <f>IFERROR(IF(D759="Sell",(H759-P759),-(H759+P759)),0)</f>
        <v>-10002.790000000001</v>
      </c>
      <c r="Y759" s="19">
        <f>X759/1000</f>
        <v>-10.002790000000001</v>
      </c>
    </row>
    <row r="760" spans="1:25" x14ac:dyDescent="0.25">
      <c r="A760" s="1">
        <v>45645</v>
      </c>
      <c r="B760" t="s">
        <v>1046</v>
      </c>
      <c r="C760" t="s">
        <v>17</v>
      </c>
      <c r="D760" t="s">
        <v>18</v>
      </c>
      <c r="E760">
        <v>600</v>
      </c>
      <c r="F760">
        <v>0</v>
      </c>
      <c r="G760">
        <v>105.25</v>
      </c>
      <c r="H760">
        <v>63150</v>
      </c>
      <c r="I760" t="s">
        <v>1047</v>
      </c>
      <c r="J760">
        <v>63.16</v>
      </c>
      <c r="K760">
        <v>22.44</v>
      </c>
      <c r="L760">
        <v>0</v>
      </c>
      <c r="M760">
        <v>0.06</v>
      </c>
      <c r="N760">
        <v>80</v>
      </c>
      <c r="O760">
        <v>18.440000000000001</v>
      </c>
      <c r="P760">
        <v>184.1</v>
      </c>
      <c r="Q760" s="18">
        <f>YEAR(A760)</f>
        <v>2024</v>
      </c>
      <c r="R760" s="18">
        <f>MONTH(A760)</f>
        <v>12</v>
      </c>
      <c r="S760" s="18">
        <f>IF(R760&lt;4,Q760-1,Q760)</f>
        <v>2024</v>
      </c>
      <c r="T760" s="18">
        <f>IF(R760&lt;4,R760+9,R760-3)</f>
        <v>9</v>
      </c>
      <c r="U760" s="18" t="str">
        <f>IF(LEN(T760)=1,_xlfn.CONCAT(0,T760),T760)</f>
        <v>09</v>
      </c>
      <c r="V760" s="18" t="str">
        <f>_xlfn.CONCAT(S760,U760)</f>
        <v>202409</v>
      </c>
      <c r="W760" s="18" t="str">
        <f>_xlfn.CONCAT(TEXT(A760,"MMM"),"-",MID(Q760,3,2))</f>
        <v>Dec-24</v>
      </c>
      <c r="X760" s="19">
        <f>IFERROR(IF(D760="Sell",(H760-P760),-(H760+P760)),0)</f>
        <v>62965.9</v>
      </c>
      <c r="Y760" s="19">
        <f>X760/1000</f>
        <v>62.965900000000005</v>
      </c>
    </row>
    <row r="761" spans="1:25" x14ac:dyDescent="0.25">
      <c r="A761" s="1">
        <v>45645</v>
      </c>
      <c r="B761" t="s">
        <v>1046</v>
      </c>
      <c r="C761" t="s">
        <v>17</v>
      </c>
      <c r="D761" t="s">
        <v>22</v>
      </c>
      <c r="E761">
        <v>600</v>
      </c>
      <c r="F761">
        <v>0</v>
      </c>
      <c r="G761">
        <v>99.7</v>
      </c>
      <c r="H761">
        <v>59820</v>
      </c>
      <c r="I761" t="s">
        <v>1048</v>
      </c>
      <c r="J761">
        <v>0</v>
      </c>
      <c r="K761">
        <v>21.25</v>
      </c>
      <c r="L761">
        <v>2.08</v>
      </c>
      <c r="M761">
        <v>0.06</v>
      </c>
      <c r="N761">
        <v>80</v>
      </c>
      <c r="O761">
        <v>18.239999999999998</v>
      </c>
      <c r="P761">
        <v>121.63</v>
      </c>
      <c r="Q761" s="18">
        <f>YEAR(A761)</f>
        <v>2024</v>
      </c>
      <c r="R761" s="18">
        <f>MONTH(A761)</f>
        <v>12</v>
      </c>
      <c r="S761" s="18">
        <f>IF(R761&lt;4,Q761-1,Q761)</f>
        <v>2024</v>
      </c>
      <c r="T761" s="18">
        <f>IF(R761&lt;4,R761+9,R761-3)</f>
        <v>9</v>
      </c>
      <c r="U761" s="18" t="str">
        <f>IF(LEN(T761)=1,_xlfn.CONCAT(0,T761),T761)</f>
        <v>09</v>
      </c>
      <c r="V761" s="18" t="str">
        <f>_xlfn.CONCAT(S761,U761)</f>
        <v>202409</v>
      </c>
      <c r="W761" s="18" t="str">
        <f>_xlfn.CONCAT(TEXT(A761,"MMM"),"-",MID(Q761,3,2))</f>
        <v>Dec-24</v>
      </c>
      <c r="X761" s="19">
        <f>IFERROR(IF(D761="Sell",(H761-P761),-(H761+P761)),0)</f>
        <v>-59941.63</v>
      </c>
      <c r="Y761" s="19">
        <f>X761/1000</f>
        <v>-59.941629999999996</v>
      </c>
    </row>
    <row r="762" spans="1:25" x14ac:dyDescent="0.25">
      <c r="A762" s="1">
        <v>45645</v>
      </c>
      <c r="B762" t="s">
        <v>1031</v>
      </c>
      <c r="C762" t="s">
        <v>17</v>
      </c>
      <c r="D762" t="s">
        <v>18</v>
      </c>
      <c r="E762">
        <v>525</v>
      </c>
      <c r="F762">
        <v>0</v>
      </c>
      <c r="G762">
        <v>169.18</v>
      </c>
      <c r="H762">
        <v>88820</v>
      </c>
      <c r="I762" t="s">
        <v>1049</v>
      </c>
      <c r="J762">
        <v>88.72</v>
      </c>
      <c r="K762">
        <v>31.55</v>
      </c>
      <c r="L762">
        <v>0</v>
      </c>
      <c r="M762">
        <v>0.09</v>
      </c>
      <c r="N762">
        <v>420</v>
      </c>
      <c r="O762">
        <v>81.3</v>
      </c>
      <c r="P762">
        <v>621.66</v>
      </c>
      <c r="Q762" s="18">
        <f>YEAR(A762)</f>
        <v>2024</v>
      </c>
      <c r="R762" s="18">
        <f>MONTH(A762)</f>
        <v>12</v>
      </c>
      <c r="S762" s="18">
        <f>IF(R762&lt;4,Q762-1,Q762)</f>
        <v>2024</v>
      </c>
      <c r="T762" s="18">
        <f>IF(R762&lt;4,R762+9,R762-3)</f>
        <v>9</v>
      </c>
      <c r="U762" s="18" t="str">
        <f>IF(LEN(T762)=1,_xlfn.CONCAT(0,T762),T762)</f>
        <v>09</v>
      </c>
      <c r="V762" s="18" t="str">
        <f>_xlfn.CONCAT(S762,U762)</f>
        <v>202409</v>
      </c>
      <c r="W762" s="18" t="str">
        <f>_xlfn.CONCAT(TEXT(A762,"MMM"),"-",MID(Q762,3,2))</f>
        <v>Dec-24</v>
      </c>
      <c r="X762" s="19">
        <f>IFERROR(IF(D762="Sell",(H762-P762),-(H762+P762)),0)</f>
        <v>88198.34</v>
      </c>
      <c r="Y762" s="19">
        <f>X762/1000</f>
        <v>88.198340000000002</v>
      </c>
    </row>
    <row r="763" spans="1:25" x14ac:dyDescent="0.25">
      <c r="A763" s="1">
        <v>45646</v>
      </c>
      <c r="B763" t="s">
        <v>1050</v>
      </c>
      <c r="C763" t="s">
        <v>17</v>
      </c>
      <c r="D763" t="s">
        <v>22</v>
      </c>
      <c r="E763">
        <v>100</v>
      </c>
      <c r="F763">
        <v>0</v>
      </c>
      <c r="G763">
        <v>105</v>
      </c>
      <c r="H763">
        <v>10500</v>
      </c>
      <c r="I763" t="s">
        <v>1051</v>
      </c>
      <c r="J763">
        <v>0</v>
      </c>
      <c r="K763">
        <v>3.73</v>
      </c>
      <c r="L763">
        <v>0</v>
      </c>
      <c r="M763">
        <v>0.01</v>
      </c>
      <c r="N763">
        <v>80</v>
      </c>
      <c r="O763">
        <v>15.08</v>
      </c>
      <c r="P763">
        <v>98.82</v>
      </c>
      <c r="Q763" s="18">
        <f>YEAR(A763)</f>
        <v>2024</v>
      </c>
      <c r="R763" s="18">
        <f>MONTH(A763)</f>
        <v>12</v>
      </c>
      <c r="S763" s="18">
        <f>IF(R763&lt;4,Q763-1,Q763)</f>
        <v>2024</v>
      </c>
      <c r="T763" s="18">
        <f>IF(R763&lt;4,R763+9,R763-3)</f>
        <v>9</v>
      </c>
      <c r="U763" s="18" t="str">
        <f>IF(LEN(T763)=1,_xlfn.CONCAT(0,T763),T763)</f>
        <v>09</v>
      </c>
      <c r="V763" s="18" t="str">
        <f>_xlfn.CONCAT(S763,U763)</f>
        <v>202409</v>
      </c>
      <c r="W763" s="18" t="str">
        <f>_xlfn.CONCAT(TEXT(A763,"MMM"),"-",MID(Q763,3,2))</f>
        <v>Dec-24</v>
      </c>
      <c r="X763" s="19">
        <f>IFERROR(IF(D763="Sell",(H763-P763),-(H763+P763)),0)</f>
        <v>-10598.82</v>
      </c>
      <c r="Y763" s="19">
        <f>X763/1000</f>
        <v>-10.59882</v>
      </c>
    </row>
    <row r="764" spans="1:25" x14ac:dyDescent="0.25">
      <c r="A764" s="1">
        <v>45646</v>
      </c>
      <c r="B764" t="s">
        <v>1050</v>
      </c>
      <c r="C764" t="s">
        <v>17</v>
      </c>
      <c r="D764" t="s">
        <v>22</v>
      </c>
      <c r="E764">
        <v>200</v>
      </c>
      <c r="F764">
        <v>0</v>
      </c>
      <c r="G764">
        <v>141.25</v>
      </c>
      <c r="H764">
        <v>28250</v>
      </c>
      <c r="I764" t="s">
        <v>1052</v>
      </c>
      <c r="J764">
        <v>0</v>
      </c>
      <c r="K764">
        <v>10.039999999999999</v>
      </c>
      <c r="L764">
        <v>2</v>
      </c>
      <c r="M764">
        <v>0.03</v>
      </c>
      <c r="N764">
        <v>160</v>
      </c>
      <c r="O764">
        <v>30.62</v>
      </c>
      <c r="P764">
        <v>202.69</v>
      </c>
      <c r="Q764" s="18">
        <f>YEAR(A764)</f>
        <v>2024</v>
      </c>
      <c r="R764" s="18">
        <f>MONTH(A764)</f>
        <v>12</v>
      </c>
      <c r="S764" s="18">
        <f>IF(R764&lt;4,Q764-1,Q764)</f>
        <v>2024</v>
      </c>
      <c r="T764" s="18">
        <f>IF(R764&lt;4,R764+9,R764-3)</f>
        <v>9</v>
      </c>
      <c r="U764" s="18" t="str">
        <f>IF(LEN(T764)=1,_xlfn.CONCAT(0,T764),T764)</f>
        <v>09</v>
      </c>
      <c r="V764" s="18" t="str">
        <f>_xlfn.CONCAT(S764,U764)</f>
        <v>202409</v>
      </c>
      <c r="W764" s="18" t="str">
        <f>_xlfn.CONCAT(TEXT(A764,"MMM"),"-",MID(Q764,3,2))</f>
        <v>Dec-24</v>
      </c>
      <c r="X764" s="19">
        <f>IFERROR(IF(D764="Sell",(H764-P764),-(H764+P764)),0)</f>
        <v>-28452.69</v>
      </c>
      <c r="Y764" s="19">
        <f>X764/1000</f>
        <v>-28.452689999999997</v>
      </c>
    </row>
    <row r="765" spans="1:25" x14ac:dyDescent="0.25">
      <c r="A765" s="1">
        <v>45646</v>
      </c>
      <c r="B765" t="s">
        <v>1050</v>
      </c>
      <c r="C765" t="s">
        <v>17</v>
      </c>
      <c r="D765" t="s">
        <v>22</v>
      </c>
      <c r="E765">
        <v>100</v>
      </c>
      <c r="F765">
        <v>0</v>
      </c>
      <c r="G765">
        <v>190.5</v>
      </c>
      <c r="H765">
        <v>19050</v>
      </c>
      <c r="I765" t="s">
        <v>1053</v>
      </c>
      <c r="J765">
        <v>0</v>
      </c>
      <c r="K765">
        <v>6.77</v>
      </c>
      <c r="L765">
        <v>0</v>
      </c>
      <c r="M765">
        <v>0.02</v>
      </c>
      <c r="N765">
        <v>80</v>
      </c>
      <c r="O765">
        <v>15.62</v>
      </c>
      <c r="P765">
        <v>102.41</v>
      </c>
      <c r="Q765" s="18">
        <f>YEAR(A765)</f>
        <v>2024</v>
      </c>
      <c r="R765" s="18">
        <f>MONTH(A765)</f>
        <v>12</v>
      </c>
      <c r="S765" s="18">
        <f>IF(R765&lt;4,Q765-1,Q765)</f>
        <v>2024</v>
      </c>
      <c r="T765" s="18">
        <f>IF(R765&lt;4,R765+9,R765-3)</f>
        <v>9</v>
      </c>
      <c r="U765" s="18" t="str">
        <f>IF(LEN(T765)=1,_xlfn.CONCAT(0,T765),T765)</f>
        <v>09</v>
      </c>
      <c r="V765" s="18" t="str">
        <f>_xlfn.CONCAT(S765,U765)</f>
        <v>202409</v>
      </c>
      <c r="W765" s="18" t="str">
        <f>_xlfn.CONCAT(TEXT(A765,"MMM"),"-",MID(Q765,3,2))</f>
        <v>Dec-24</v>
      </c>
      <c r="X765" s="19">
        <f>IFERROR(IF(D765="Sell",(H765-P765),-(H765+P765)),0)</f>
        <v>-19152.41</v>
      </c>
      <c r="Y765" s="19">
        <f>X765/1000</f>
        <v>-19.15241</v>
      </c>
    </row>
    <row r="766" spans="1:25" x14ac:dyDescent="0.25">
      <c r="A766" s="1">
        <v>45646</v>
      </c>
      <c r="B766" t="s">
        <v>1050</v>
      </c>
      <c r="C766" t="s">
        <v>17</v>
      </c>
      <c r="D766" t="s">
        <v>22</v>
      </c>
      <c r="E766">
        <v>100</v>
      </c>
      <c r="F766">
        <v>0</v>
      </c>
      <c r="G766">
        <v>206.6</v>
      </c>
      <c r="H766">
        <v>20660</v>
      </c>
      <c r="I766" t="s">
        <v>1054</v>
      </c>
      <c r="J766">
        <v>0</v>
      </c>
      <c r="K766">
        <v>7.35</v>
      </c>
      <c r="L766">
        <v>0</v>
      </c>
      <c r="M766">
        <v>0.03</v>
      </c>
      <c r="N766">
        <v>80</v>
      </c>
      <c r="O766">
        <v>15.74</v>
      </c>
      <c r="P766">
        <v>103.12</v>
      </c>
      <c r="Q766" s="18">
        <f>YEAR(A766)</f>
        <v>2024</v>
      </c>
      <c r="R766" s="18">
        <f>MONTH(A766)</f>
        <v>12</v>
      </c>
      <c r="S766" s="18">
        <f>IF(R766&lt;4,Q766-1,Q766)</f>
        <v>2024</v>
      </c>
      <c r="T766" s="18">
        <f>IF(R766&lt;4,R766+9,R766-3)</f>
        <v>9</v>
      </c>
      <c r="U766" s="18" t="str">
        <f>IF(LEN(T766)=1,_xlfn.CONCAT(0,T766),T766)</f>
        <v>09</v>
      </c>
      <c r="V766" s="18" t="str">
        <f>_xlfn.CONCAT(S766,U766)</f>
        <v>202409</v>
      </c>
      <c r="W766" s="18" t="str">
        <f>_xlfn.CONCAT(TEXT(A766,"MMM"),"-",MID(Q766,3,2))</f>
        <v>Dec-24</v>
      </c>
      <c r="X766" s="19">
        <f>IFERROR(IF(D766="Sell",(H766-P766),-(H766+P766)),0)</f>
        <v>-20763.12</v>
      </c>
      <c r="Y766" s="19">
        <f>X766/1000</f>
        <v>-20.763120000000001</v>
      </c>
    </row>
    <row r="767" spans="1:25" x14ac:dyDescent="0.25">
      <c r="A767" s="1">
        <v>45649</v>
      </c>
      <c r="B767" t="s">
        <v>1055</v>
      </c>
      <c r="C767" t="s">
        <v>17</v>
      </c>
      <c r="D767" t="s">
        <v>18</v>
      </c>
      <c r="E767">
        <v>3500</v>
      </c>
      <c r="F767">
        <v>0</v>
      </c>
      <c r="G767">
        <v>6.1</v>
      </c>
      <c r="H767">
        <v>21350</v>
      </c>
      <c r="I767" t="s">
        <v>1056</v>
      </c>
      <c r="J767">
        <v>21.35</v>
      </c>
      <c r="K767">
        <v>7.58</v>
      </c>
      <c r="L767">
        <v>0</v>
      </c>
      <c r="M767">
        <v>0.02</v>
      </c>
      <c r="N767">
        <v>100</v>
      </c>
      <c r="O767">
        <v>19.36</v>
      </c>
      <c r="P767">
        <v>148.31</v>
      </c>
      <c r="Q767" s="18">
        <f>YEAR(A767)</f>
        <v>2024</v>
      </c>
      <c r="R767" s="18">
        <f>MONTH(A767)</f>
        <v>12</v>
      </c>
      <c r="S767" s="18">
        <f>IF(R767&lt;4,Q767-1,Q767)</f>
        <v>2024</v>
      </c>
      <c r="T767" s="18">
        <f>IF(R767&lt;4,R767+9,R767-3)</f>
        <v>9</v>
      </c>
      <c r="U767" s="18" t="str">
        <f>IF(LEN(T767)=1,_xlfn.CONCAT(0,T767),T767)</f>
        <v>09</v>
      </c>
      <c r="V767" s="18" t="str">
        <f>_xlfn.CONCAT(S767,U767)</f>
        <v>202409</v>
      </c>
      <c r="W767" s="18" t="str">
        <f>_xlfn.CONCAT(TEXT(A767,"MMM"),"-",MID(Q767,3,2))</f>
        <v>Dec-24</v>
      </c>
      <c r="X767" s="19">
        <f>IFERROR(IF(D767="Sell",(H767-P767),-(H767+P767)),0)</f>
        <v>21201.69</v>
      </c>
      <c r="Y767" s="19">
        <f>X767/1000</f>
        <v>21.201689999999999</v>
      </c>
    </row>
    <row r="768" spans="1:25" x14ac:dyDescent="0.25">
      <c r="A768" s="1">
        <v>45649</v>
      </c>
      <c r="B768" t="s">
        <v>1055</v>
      </c>
      <c r="C768" t="s">
        <v>17</v>
      </c>
      <c r="D768" t="s">
        <v>22</v>
      </c>
      <c r="E768">
        <v>3500</v>
      </c>
      <c r="F768">
        <v>0</v>
      </c>
      <c r="G768">
        <v>9.19</v>
      </c>
      <c r="H768">
        <v>32165</v>
      </c>
      <c r="I768" t="s">
        <v>1057</v>
      </c>
      <c r="J768">
        <v>0</v>
      </c>
      <c r="K768">
        <v>11.44</v>
      </c>
      <c r="L768">
        <v>1</v>
      </c>
      <c r="M768">
        <v>0.04</v>
      </c>
      <c r="N768">
        <v>100</v>
      </c>
      <c r="O768">
        <v>20.079999999999998</v>
      </c>
      <c r="P768">
        <v>132.56</v>
      </c>
      <c r="Q768" s="18">
        <f>YEAR(A768)</f>
        <v>2024</v>
      </c>
      <c r="R768" s="18">
        <f>MONTH(A768)</f>
        <v>12</v>
      </c>
      <c r="S768" s="18">
        <f>IF(R768&lt;4,Q768-1,Q768)</f>
        <v>2024</v>
      </c>
      <c r="T768" s="18">
        <f>IF(R768&lt;4,R768+9,R768-3)</f>
        <v>9</v>
      </c>
      <c r="U768" s="18" t="str">
        <f>IF(LEN(T768)=1,_xlfn.CONCAT(0,T768),T768)</f>
        <v>09</v>
      </c>
      <c r="V768" s="18" t="str">
        <f>_xlfn.CONCAT(S768,U768)</f>
        <v>202409</v>
      </c>
      <c r="W768" s="18" t="str">
        <f>_xlfn.CONCAT(TEXT(A768,"MMM"),"-",MID(Q768,3,2))</f>
        <v>Dec-24</v>
      </c>
      <c r="X768" s="19">
        <f>IFERROR(IF(D768="Sell",(H768-P768),-(H768+P768)),0)</f>
        <v>-32297.56</v>
      </c>
      <c r="Y768" s="19">
        <f>X768/1000</f>
        <v>-32.297560000000004</v>
      </c>
    </row>
    <row r="769" spans="1:25" x14ac:dyDescent="0.25">
      <c r="A769" s="1">
        <v>45649</v>
      </c>
      <c r="B769" t="s">
        <v>1050</v>
      </c>
      <c r="C769" t="s">
        <v>17</v>
      </c>
      <c r="D769" t="s">
        <v>18</v>
      </c>
      <c r="E769">
        <v>500</v>
      </c>
      <c r="F769">
        <v>0</v>
      </c>
      <c r="G769">
        <v>72</v>
      </c>
      <c r="H769">
        <v>36000</v>
      </c>
      <c r="I769" t="s">
        <v>1058</v>
      </c>
      <c r="J769">
        <v>35.65</v>
      </c>
      <c r="K769">
        <v>12.79</v>
      </c>
      <c r="L769">
        <v>0</v>
      </c>
      <c r="M769">
        <v>0.03</v>
      </c>
      <c r="N769">
        <v>400</v>
      </c>
      <c r="O769">
        <v>74.319999999999993</v>
      </c>
      <c r="P769">
        <v>522.79</v>
      </c>
      <c r="Q769" s="18">
        <f>YEAR(A769)</f>
        <v>2024</v>
      </c>
      <c r="R769" s="18">
        <f>MONTH(A769)</f>
        <v>12</v>
      </c>
      <c r="S769" s="18">
        <f>IF(R769&lt;4,Q769-1,Q769)</f>
        <v>2024</v>
      </c>
      <c r="T769" s="18">
        <f>IF(R769&lt;4,R769+9,R769-3)</f>
        <v>9</v>
      </c>
      <c r="U769" s="18" t="str">
        <f>IF(LEN(T769)=1,_xlfn.CONCAT(0,T769),T769)</f>
        <v>09</v>
      </c>
      <c r="V769" s="18" t="str">
        <f>_xlfn.CONCAT(S769,U769)</f>
        <v>202409</v>
      </c>
      <c r="W769" s="18" t="str">
        <f>_xlfn.CONCAT(TEXT(A769,"MMM"),"-",MID(Q769,3,2))</f>
        <v>Dec-24</v>
      </c>
      <c r="X769" s="19">
        <f>IFERROR(IF(D769="Sell",(H769-P769),-(H769+P769)),0)</f>
        <v>35477.21</v>
      </c>
      <c r="Y769" s="19">
        <f>X769/1000</f>
        <v>35.477209999999999</v>
      </c>
    </row>
    <row r="770" spans="1:25" x14ac:dyDescent="0.25">
      <c r="A770" s="1">
        <v>45650</v>
      </c>
      <c r="B770" t="s">
        <v>1059</v>
      </c>
      <c r="C770" t="s">
        <v>17</v>
      </c>
      <c r="D770" t="s">
        <v>18</v>
      </c>
      <c r="E770">
        <v>400</v>
      </c>
      <c r="F770">
        <v>0</v>
      </c>
      <c r="G770">
        <v>53.5</v>
      </c>
      <c r="H770">
        <v>21400</v>
      </c>
      <c r="I770" t="s">
        <v>1060</v>
      </c>
      <c r="J770">
        <v>21.41</v>
      </c>
      <c r="K770">
        <v>7.6</v>
      </c>
      <c r="L770">
        <v>0</v>
      </c>
      <c r="M770">
        <v>0.02</v>
      </c>
      <c r="N770">
        <v>320</v>
      </c>
      <c r="O770">
        <v>58.98</v>
      </c>
      <c r="P770">
        <v>408.01</v>
      </c>
      <c r="Q770" s="18">
        <f>YEAR(A770)</f>
        <v>2024</v>
      </c>
      <c r="R770" s="18">
        <f>MONTH(A770)</f>
        <v>12</v>
      </c>
      <c r="S770" s="18">
        <f>IF(R770&lt;4,Q770-1,Q770)</f>
        <v>2024</v>
      </c>
      <c r="T770" s="18">
        <f>IF(R770&lt;4,R770+9,R770-3)</f>
        <v>9</v>
      </c>
      <c r="U770" s="18" t="str">
        <f>IF(LEN(T770)=1,_xlfn.CONCAT(0,T770),T770)</f>
        <v>09</v>
      </c>
      <c r="V770" s="18" t="str">
        <f>_xlfn.CONCAT(S770,U770)</f>
        <v>202409</v>
      </c>
      <c r="W770" s="18" t="str">
        <f>_xlfn.CONCAT(TEXT(A770,"MMM"),"-",MID(Q770,3,2))</f>
        <v>Dec-24</v>
      </c>
      <c r="X770" s="19">
        <f>IFERROR(IF(D770="Sell",(H770-P770),-(H770+P770)),0)</f>
        <v>20991.99</v>
      </c>
      <c r="Y770" s="19">
        <f>X770/1000</f>
        <v>20.991990000000001</v>
      </c>
    </row>
    <row r="771" spans="1:25" x14ac:dyDescent="0.25">
      <c r="A771" s="1">
        <v>45650</v>
      </c>
      <c r="B771" t="s">
        <v>1059</v>
      </c>
      <c r="C771" t="s">
        <v>17</v>
      </c>
      <c r="D771" t="s">
        <v>22</v>
      </c>
      <c r="E771">
        <v>100</v>
      </c>
      <c r="F771">
        <v>0</v>
      </c>
      <c r="G771">
        <v>58</v>
      </c>
      <c r="H771">
        <v>5800</v>
      </c>
      <c r="I771" t="s">
        <v>1061</v>
      </c>
      <c r="J771">
        <v>0</v>
      </c>
      <c r="K771">
        <v>2.06</v>
      </c>
      <c r="L771">
        <v>0</v>
      </c>
      <c r="M771">
        <v>0.01</v>
      </c>
      <c r="N771">
        <v>80</v>
      </c>
      <c r="O771">
        <v>14.78</v>
      </c>
      <c r="P771">
        <v>96.85</v>
      </c>
      <c r="Q771" s="18">
        <f>YEAR(A771)</f>
        <v>2024</v>
      </c>
      <c r="R771" s="18">
        <f>MONTH(A771)</f>
        <v>12</v>
      </c>
      <c r="S771" s="18">
        <f>IF(R771&lt;4,Q771-1,Q771)</f>
        <v>2024</v>
      </c>
      <c r="T771" s="18">
        <f>IF(R771&lt;4,R771+9,R771-3)</f>
        <v>9</v>
      </c>
      <c r="U771" s="18" t="str">
        <f>IF(LEN(T771)=1,_xlfn.CONCAT(0,T771),T771)</f>
        <v>09</v>
      </c>
      <c r="V771" s="18" t="str">
        <f>_xlfn.CONCAT(S771,U771)</f>
        <v>202409</v>
      </c>
      <c r="W771" s="18" t="str">
        <f>_xlfn.CONCAT(TEXT(A771,"MMM"),"-",MID(Q771,3,2))</f>
        <v>Dec-24</v>
      </c>
      <c r="X771" s="19">
        <f>IFERROR(IF(D771="Sell",(H771-P771),-(H771+P771)),0)</f>
        <v>-5896.85</v>
      </c>
      <c r="Y771" s="19">
        <f>X771/1000</f>
        <v>-5.8968500000000006</v>
      </c>
    </row>
    <row r="772" spans="1:25" x14ac:dyDescent="0.25">
      <c r="A772" s="1">
        <v>45650</v>
      </c>
      <c r="B772" t="s">
        <v>1059</v>
      </c>
      <c r="C772" t="s">
        <v>17</v>
      </c>
      <c r="D772" t="s">
        <v>22</v>
      </c>
      <c r="E772">
        <v>100</v>
      </c>
      <c r="F772">
        <v>0</v>
      </c>
      <c r="G772">
        <v>70.8</v>
      </c>
      <c r="H772">
        <v>7080</v>
      </c>
      <c r="I772" t="s">
        <v>1062</v>
      </c>
      <c r="J772">
        <v>0</v>
      </c>
      <c r="K772">
        <v>2.52</v>
      </c>
      <c r="L772">
        <v>0.81</v>
      </c>
      <c r="M772">
        <v>0.01</v>
      </c>
      <c r="N772">
        <v>80</v>
      </c>
      <c r="O772">
        <v>14.86</v>
      </c>
      <c r="P772">
        <v>98.2</v>
      </c>
      <c r="Q772" s="18">
        <f>YEAR(A772)</f>
        <v>2024</v>
      </c>
      <c r="R772" s="18">
        <f>MONTH(A772)</f>
        <v>12</v>
      </c>
      <c r="S772" s="18">
        <f>IF(R772&lt;4,Q772-1,Q772)</f>
        <v>2024</v>
      </c>
      <c r="T772" s="18">
        <f>IF(R772&lt;4,R772+9,R772-3)</f>
        <v>9</v>
      </c>
      <c r="U772" s="18" t="str">
        <f>IF(LEN(T772)=1,_xlfn.CONCAT(0,T772),T772)</f>
        <v>09</v>
      </c>
      <c r="V772" s="18" t="str">
        <f>_xlfn.CONCAT(S772,U772)</f>
        <v>202409</v>
      </c>
      <c r="W772" s="18" t="str">
        <f>_xlfn.CONCAT(TEXT(A772,"MMM"),"-",MID(Q772,3,2))</f>
        <v>Dec-24</v>
      </c>
      <c r="X772" s="19">
        <f>IFERROR(IF(D772="Sell",(H772-P772),-(H772+P772)),0)</f>
        <v>-7178.2</v>
      </c>
      <c r="Y772" s="19">
        <f>X772/1000</f>
        <v>-7.1781999999999995</v>
      </c>
    </row>
    <row r="773" spans="1:25" x14ac:dyDescent="0.25">
      <c r="A773" s="1">
        <v>45650</v>
      </c>
      <c r="B773" t="s">
        <v>1059</v>
      </c>
      <c r="C773" t="s">
        <v>17</v>
      </c>
      <c r="D773" t="s">
        <v>22</v>
      </c>
      <c r="E773">
        <v>50</v>
      </c>
      <c r="F773">
        <v>0</v>
      </c>
      <c r="G773">
        <v>71.25</v>
      </c>
      <c r="H773">
        <v>3562.5</v>
      </c>
      <c r="I773" t="s">
        <v>1063</v>
      </c>
      <c r="J773">
        <v>0</v>
      </c>
      <c r="K773">
        <v>1.26</v>
      </c>
      <c r="L773">
        <v>0</v>
      </c>
      <c r="M773">
        <v>0</v>
      </c>
      <c r="N773">
        <v>40</v>
      </c>
      <c r="O773">
        <v>7.44</v>
      </c>
      <c r="P773">
        <v>48.7</v>
      </c>
      <c r="Q773" s="18">
        <f>YEAR(A773)</f>
        <v>2024</v>
      </c>
      <c r="R773" s="18">
        <f>MONTH(A773)</f>
        <v>12</v>
      </c>
      <c r="S773" s="18">
        <f>IF(R773&lt;4,Q773-1,Q773)</f>
        <v>2024</v>
      </c>
      <c r="T773" s="18">
        <f>IF(R773&lt;4,R773+9,R773-3)</f>
        <v>9</v>
      </c>
      <c r="U773" s="18" t="str">
        <f>IF(LEN(T773)=1,_xlfn.CONCAT(0,T773),T773)</f>
        <v>09</v>
      </c>
      <c r="V773" s="18" t="str">
        <f>_xlfn.CONCAT(S773,U773)</f>
        <v>202409</v>
      </c>
      <c r="W773" s="18" t="str">
        <f>_xlfn.CONCAT(TEXT(A773,"MMM"),"-",MID(Q773,3,2))</f>
        <v>Dec-24</v>
      </c>
      <c r="X773" s="19">
        <f>IFERROR(IF(D773="Sell",(H773-P773),-(H773+P773)),0)</f>
        <v>-3611.2</v>
      </c>
      <c r="Y773" s="19">
        <f>X773/1000</f>
        <v>-3.6111999999999997</v>
      </c>
    </row>
    <row r="774" spans="1:25" x14ac:dyDescent="0.25">
      <c r="A774" s="1">
        <v>45650</v>
      </c>
      <c r="B774" t="s">
        <v>1059</v>
      </c>
      <c r="C774" t="s">
        <v>17</v>
      </c>
      <c r="D774" t="s">
        <v>22</v>
      </c>
      <c r="E774">
        <v>50</v>
      </c>
      <c r="F774">
        <v>0</v>
      </c>
      <c r="G774">
        <v>78</v>
      </c>
      <c r="H774">
        <v>3900</v>
      </c>
      <c r="I774" t="s">
        <v>1064</v>
      </c>
      <c r="J774">
        <v>0</v>
      </c>
      <c r="K774">
        <v>1.39</v>
      </c>
      <c r="L774">
        <v>0</v>
      </c>
      <c r="M774">
        <v>0</v>
      </c>
      <c r="N774">
        <v>40</v>
      </c>
      <c r="O774">
        <v>7.46</v>
      </c>
      <c r="P774">
        <v>48.85</v>
      </c>
      <c r="Q774" s="18">
        <f>YEAR(A774)</f>
        <v>2024</v>
      </c>
      <c r="R774" s="18">
        <f>MONTH(A774)</f>
        <v>12</v>
      </c>
      <c r="S774" s="18">
        <f>IF(R774&lt;4,Q774-1,Q774)</f>
        <v>2024</v>
      </c>
      <c r="T774" s="18">
        <f>IF(R774&lt;4,R774+9,R774-3)</f>
        <v>9</v>
      </c>
      <c r="U774" s="18" t="str">
        <f>IF(LEN(T774)=1,_xlfn.CONCAT(0,T774),T774)</f>
        <v>09</v>
      </c>
      <c r="V774" s="18" t="str">
        <f>_xlfn.CONCAT(S774,U774)</f>
        <v>202409</v>
      </c>
      <c r="W774" s="18" t="str">
        <f>_xlfn.CONCAT(TEXT(A774,"MMM"),"-",MID(Q774,3,2))</f>
        <v>Dec-24</v>
      </c>
      <c r="X774" s="19">
        <f>IFERROR(IF(D774="Sell",(H774-P774),-(H774+P774)),0)</f>
        <v>-3948.85</v>
      </c>
      <c r="Y774" s="19">
        <f>X774/1000</f>
        <v>-3.9488499999999997</v>
      </c>
    </row>
    <row r="775" spans="1:25" x14ac:dyDescent="0.25">
      <c r="A775" s="1">
        <v>45650</v>
      </c>
      <c r="B775" t="s">
        <v>1059</v>
      </c>
      <c r="C775" t="s">
        <v>17</v>
      </c>
      <c r="D775" t="s">
        <v>22</v>
      </c>
      <c r="E775">
        <v>100</v>
      </c>
      <c r="F775">
        <v>0</v>
      </c>
      <c r="G775">
        <v>89</v>
      </c>
      <c r="H775">
        <v>8900</v>
      </c>
      <c r="I775" t="s">
        <v>1065</v>
      </c>
      <c r="J775">
        <v>0</v>
      </c>
      <c r="K775">
        <v>3.16</v>
      </c>
      <c r="L775">
        <v>0</v>
      </c>
      <c r="M775">
        <v>0.01</v>
      </c>
      <c r="N775">
        <v>80</v>
      </c>
      <c r="O775">
        <v>14.96</v>
      </c>
      <c r="P775">
        <v>98.13</v>
      </c>
      <c r="Q775" s="18">
        <f>YEAR(A775)</f>
        <v>2024</v>
      </c>
      <c r="R775" s="18">
        <f>MONTH(A775)</f>
        <v>12</v>
      </c>
      <c r="S775" s="18">
        <f>IF(R775&lt;4,Q775-1,Q775)</f>
        <v>2024</v>
      </c>
      <c r="T775" s="18">
        <f>IF(R775&lt;4,R775+9,R775-3)</f>
        <v>9</v>
      </c>
      <c r="U775" s="18" t="str">
        <f>IF(LEN(T775)=1,_xlfn.CONCAT(0,T775),T775)</f>
        <v>09</v>
      </c>
      <c r="V775" s="18" t="str">
        <f>_xlfn.CONCAT(S775,U775)</f>
        <v>202409</v>
      </c>
      <c r="W775" s="18" t="str">
        <f>_xlfn.CONCAT(TEXT(A775,"MMM"),"-",MID(Q775,3,2))</f>
        <v>Dec-24</v>
      </c>
      <c r="X775" s="19">
        <f>IFERROR(IF(D775="Sell",(H775-P775),-(H775+P775)),0)</f>
        <v>-8998.1299999999992</v>
      </c>
      <c r="Y775" s="19">
        <f>X775/1000</f>
        <v>-8.9981299999999997</v>
      </c>
    </row>
    <row r="776" spans="1:25" x14ac:dyDescent="0.25">
      <c r="A776" s="1">
        <v>45650</v>
      </c>
      <c r="B776" t="s">
        <v>1066</v>
      </c>
      <c r="C776" t="s">
        <v>17</v>
      </c>
      <c r="D776" t="s">
        <v>22</v>
      </c>
      <c r="E776">
        <v>25</v>
      </c>
      <c r="F776">
        <v>0</v>
      </c>
      <c r="G776">
        <v>60.45</v>
      </c>
      <c r="H776">
        <v>1511.25</v>
      </c>
      <c r="I776" t="s">
        <v>1067</v>
      </c>
      <c r="J776">
        <v>0</v>
      </c>
      <c r="K776">
        <v>0.54</v>
      </c>
      <c r="L776">
        <v>0</v>
      </c>
      <c r="M776">
        <v>0</v>
      </c>
      <c r="N776">
        <v>20</v>
      </c>
      <c r="O776">
        <v>3.7</v>
      </c>
      <c r="P776">
        <v>24.24</v>
      </c>
      <c r="Q776" s="18">
        <f>YEAR(A776)</f>
        <v>2024</v>
      </c>
      <c r="R776" s="18">
        <f>MONTH(A776)</f>
        <v>12</v>
      </c>
      <c r="S776" s="18">
        <f>IF(R776&lt;4,Q776-1,Q776)</f>
        <v>2024</v>
      </c>
      <c r="T776" s="18">
        <f>IF(R776&lt;4,R776+9,R776-3)</f>
        <v>9</v>
      </c>
      <c r="U776" s="18" t="str">
        <f>IF(LEN(T776)=1,_xlfn.CONCAT(0,T776),T776)</f>
        <v>09</v>
      </c>
      <c r="V776" s="18" t="str">
        <f>_xlfn.CONCAT(S776,U776)</f>
        <v>202409</v>
      </c>
      <c r="W776" s="18" t="str">
        <f>_xlfn.CONCAT(TEXT(A776,"MMM"),"-",MID(Q776,3,2))</f>
        <v>Dec-24</v>
      </c>
      <c r="X776" s="19">
        <f>IFERROR(IF(D776="Sell",(H776-P776),-(H776+P776)),0)</f>
        <v>-1535.49</v>
      </c>
      <c r="Y776" s="19">
        <f>X776/1000</f>
        <v>-1.53549</v>
      </c>
    </row>
    <row r="777" spans="1:25" x14ac:dyDescent="0.25">
      <c r="A777" s="1">
        <v>45650</v>
      </c>
      <c r="B777" t="s">
        <v>1066</v>
      </c>
      <c r="C777" t="s">
        <v>17</v>
      </c>
      <c r="D777" t="s">
        <v>18</v>
      </c>
      <c r="E777">
        <v>100</v>
      </c>
      <c r="F777">
        <v>0</v>
      </c>
      <c r="G777">
        <v>73.25</v>
      </c>
      <c r="H777">
        <v>7325</v>
      </c>
      <c r="I777" t="s">
        <v>1068</v>
      </c>
      <c r="J777">
        <v>7.6</v>
      </c>
      <c r="K777">
        <v>2.6</v>
      </c>
      <c r="L777">
        <v>0</v>
      </c>
      <c r="M777">
        <v>0</v>
      </c>
      <c r="N777">
        <v>80</v>
      </c>
      <c r="O777">
        <v>14.88</v>
      </c>
      <c r="P777">
        <v>105.08</v>
      </c>
      <c r="Q777" s="18">
        <f>YEAR(A777)</f>
        <v>2024</v>
      </c>
      <c r="R777" s="18">
        <f>MONTH(A777)</f>
        <v>12</v>
      </c>
      <c r="S777" s="18">
        <f>IF(R777&lt;4,Q777-1,Q777)</f>
        <v>2024</v>
      </c>
      <c r="T777" s="18">
        <f>IF(R777&lt;4,R777+9,R777-3)</f>
        <v>9</v>
      </c>
      <c r="U777" s="18" t="str">
        <f>IF(LEN(T777)=1,_xlfn.CONCAT(0,T777),T777)</f>
        <v>09</v>
      </c>
      <c r="V777" s="18" t="str">
        <f>_xlfn.CONCAT(S777,U777)</f>
        <v>202409</v>
      </c>
      <c r="W777" s="18" t="str">
        <f>_xlfn.CONCAT(TEXT(A777,"MMM"),"-",MID(Q777,3,2))</f>
        <v>Dec-24</v>
      </c>
      <c r="X777" s="19">
        <f>IFERROR(IF(D777="Sell",(H777-P777),-(H777+P777)),0)</f>
        <v>7219.92</v>
      </c>
      <c r="Y777" s="19">
        <f>X777/1000</f>
        <v>7.2199200000000001</v>
      </c>
    </row>
    <row r="778" spans="1:25" x14ac:dyDescent="0.25">
      <c r="A778" s="1">
        <v>45650</v>
      </c>
      <c r="B778" t="s">
        <v>1066</v>
      </c>
      <c r="C778" t="s">
        <v>17</v>
      </c>
      <c r="D778" t="s">
        <v>22</v>
      </c>
      <c r="E778">
        <v>75</v>
      </c>
      <c r="F778">
        <v>0</v>
      </c>
      <c r="G778">
        <v>63.95</v>
      </c>
      <c r="H778">
        <v>4796.25</v>
      </c>
      <c r="I778" t="s">
        <v>1069</v>
      </c>
      <c r="J778">
        <v>0</v>
      </c>
      <c r="K778">
        <v>1.7</v>
      </c>
      <c r="L778">
        <v>0.19</v>
      </c>
      <c r="M778">
        <v>0</v>
      </c>
      <c r="N778">
        <v>60</v>
      </c>
      <c r="O778">
        <v>11.1</v>
      </c>
      <c r="P778">
        <v>72.989999999999995</v>
      </c>
      <c r="Q778" s="18">
        <f>YEAR(A778)</f>
        <v>2024</v>
      </c>
      <c r="R778" s="18">
        <f>MONTH(A778)</f>
        <v>12</v>
      </c>
      <c r="S778" s="18">
        <f>IF(R778&lt;4,Q778-1,Q778)</f>
        <v>2024</v>
      </c>
      <c r="T778" s="18">
        <f>IF(R778&lt;4,R778+9,R778-3)</f>
        <v>9</v>
      </c>
      <c r="U778" s="18" t="str">
        <f>IF(LEN(T778)=1,_xlfn.CONCAT(0,T778),T778)</f>
        <v>09</v>
      </c>
      <c r="V778" s="18" t="str">
        <f>_xlfn.CONCAT(S778,U778)</f>
        <v>202409</v>
      </c>
      <c r="W778" s="18" t="str">
        <f>_xlfn.CONCAT(TEXT(A778,"MMM"),"-",MID(Q778,3,2))</f>
        <v>Dec-24</v>
      </c>
      <c r="X778" s="19">
        <f>IFERROR(IF(D778="Sell",(H778-P778),-(H778+P778)),0)</f>
        <v>-4869.24</v>
      </c>
      <c r="Y778" s="19">
        <f>X778/1000</f>
        <v>-4.8692399999999996</v>
      </c>
    </row>
    <row r="779" spans="1:25" x14ac:dyDescent="0.25">
      <c r="A779" s="1">
        <v>45652</v>
      </c>
      <c r="B779" t="s">
        <v>1070</v>
      </c>
      <c r="C779" t="s">
        <v>17</v>
      </c>
      <c r="D779" t="s">
        <v>18</v>
      </c>
      <c r="E779">
        <v>500</v>
      </c>
      <c r="F779">
        <v>0</v>
      </c>
      <c r="G779">
        <v>16.149999999999999</v>
      </c>
      <c r="H779">
        <v>8075</v>
      </c>
      <c r="I779" t="s">
        <v>1071</v>
      </c>
      <c r="J779">
        <v>8.07</v>
      </c>
      <c r="K779">
        <v>2.87</v>
      </c>
      <c r="L779">
        <v>0</v>
      </c>
      <c r="M779">
        <v>0.01</v>
      </c>
      <c r="N779">
        <v>400</v>
      </c>
      <c r="O779">
        <v>72.52</v>
      </c>
      <c r="P779">
        <v>483.47</v>
      </c>
      <c r="Q779" s="18">
        <f>YEAR(A779)</f>
        <v>2024</v>
      </c>
      <c r="R779" s="18">
        <f>MONTH(A779)</f>
        <v>12</v>
      </c>
      <c r="S779" s="18">
        <f>IF(R779&lt;4,Q779-1,Q779)</f>
        <v>2024</v>
      </c>
      <c r="T779" s="18">
        <f>IF(R779&lt;4,R779+9,R779-3)</f>
        <v>9</v>
      </c>
      <c r="U779" s="18" t="str">
        <f>IF(LEN(T779)=1,_xlfn.CONCAT(0,T779),T779)</f>
        <v>09</v>
      </c>
      <c r="V779" s="18" t="str">
        <f>_xlfn.CONCAT(S779,U779)</f>
        <v>202409</v>
      </c>
      <c r="W779" s="18" t="str">
        <f>_xlfn.CONCAT(TEXT(A779,"MMM"),"-",MID(Q779,3,2))</f>
        <v>Dec-24</v>
      </c>
      <c r="X779" s="19">
        <f>IFERROR(IF(D779="Sell",(H779-P779),-(H779+P779)),0)</f>
        <v>7591.53</v>
      </c>
      <c r="Y779" s="19">
        <f>X779/1000</f>
        <v>7.5915299999999997</v>
      </c>
    </row>
    <row r="780" spans="1:25" x14ac:dyDescent="0.25">
      <c r="A780" s="1">
        <v>45652</v>
      </c>
      <c r="B780" t="s">
        <v>1070</v>
      </c>
      <c r="C780" t="s">
        <v>17</v>
      </c>
      <c r="D780" t="s">
        <v>22</v>
      </c>
      <c r="E780">
        <v>200</v>
      </c>
      <c r="F780">
        <v>0</v>
      </c>
      <c r="G780">
        <v>10.85</v>
      </c>
      <c r="H780">
        <v>2170</v>
      </c>
      <c r="I780" t="s">
        <v>1072</v>
      </c>
      <c r="J780">
        <v>0</v>
      </c>
      <c r="K780">
        <v>0.77</v>
      </c>
      <c r="L780">
        <v>0.25</v>
      </c>
      <c r="M780">
        <v>0</v>
      </c>
      <c r="N780">
        <v>160</v>
      </c>
      <c r="O780">
        <v>28.94</v>
      </c>
      <c r="P780">
        <v>189.96</v>
      </c>
      <c r="Q780" s="18">
        <f>YEAR(A780)</f>
        <v>2024</v>
      </c>
      <c r="R780" s="18">
        <f>MONTH(A780)</f>
        <v>12</v>
      </c>
      <c r="S780" s="18">
        <f>IF(R780&lt;4,Q780-1,Q780)</f>
        <v>2024</v>
      </c>
      <c r="T780" s="18">
        <f>IF(R780&lt;4,R780+9,R780-3)</f>
        <v>9</v>
      </c>
      <c r="U780" s="18" t="str">
        <f>IF(LEN(T780)=1,_xlfn.CONCAT(0,T780),T780)</f>
        <v>09</v>
      </c>
      <c r="V780" s="18" t="str">
        <f>_xlfn.CONCAT(S780,U780)</f>
        <v>202409</v>
      </c>
      <c r="W780" s="18" t="str">
        <f>_xlfn.CONCAT(TEXT(A780,"MMM"),"-",MID(Q780,3,2))</f>
        <v>Dec-24</v>
      </c>
      <c r="X780" s="19">
        <f>IFERROR(IF(D780="Sell",(H780-P780),-(H780+P780)),0)</f>
        <v>-2359.96</v>
      </c>
      <c r="Y780" s="19">
        <f>X780/1000</f>
        <v>-2.3599600000000001</v>
      </c>
    </row>
    <row r="781" spans="1:25" x14ac:dyDescent="0.25">
      <c r="A781" s="1">
        <v>45652</v>
      </c>
      <c r="B781" t="s">
        <v>1070</v>
      </c>
      <c r="C781" t="s">
        <v>17</v>
      </c>
      <c r="D781" t="s">
        <v>22</v>
      </c>
      <c r="E781">
        <v>100</v>
      </c>
      <c r="F781">
        <v>0</v>
      </c>
      <c r="G781">
        <v>11.85</v>
      </c>
      <c r="H781">
        <v>1185</v>
      </c>
      <c r="I781" t="s">
        <v>1073</v>
      </c>
      <c r="J781">
        <v>0</v>
      </c>
      <c r="K781">
        <v>0.42</v>
      </c>
      <c r="L781">
        <v>0</v>
      </c>
      <c r="M781">
        <v>0</v>
      </c>
      <c r="N781">
        <v>80</v>
      </c>
      <c r="O781">
        <v>14.48</v>
      </c>
      <c r="P781">
        <v>94.9</v>
      </c>
      <c r="Q781" s="18">
        <f>YEAR(A781)</f>
        <v>2024</v>
      </c>
      <c r="R781" s="18">
        <f>MONTH(A781)</f>
        <v>12</v>
      </c>
      <c r="S781" s="18">
        <f>IF(R781&lt;4,Q781-1,Q781)</f>
        <v>2024</v>
      </c>
      <c r="T781" s="18">
        <f>IF(R781&lt;4,R781+9,R781-3)</f>
        <v>9</v>
      </c>
      <c r="U781" s="18" t="str">
        <f>IF(LEN(T781)=1,_xlfn.CONCAT(0,T781),T781)</f>
        <v>09</v>
      </c>
      <c r="V781" s="18" t="str">
        <f>_xlfn.CONCAT(S781,U781)</f>
        <v>202409</v>
      </c>
      <c r="W781" s="18" t="str">
        <f>_xlfn.CONCAT(TEXT(A781,"MMM"),"-",MID(Q781,3,2))</f>
        <v>Dec-24</v>
      </c>
      <c r="X781" s="19">
        <f>IFERROR(IF(D781="Sell",(H781-P781),-(H781+P781)),0)</f>
        <v>-1279.9000000000001</v>
      </c>
      <c r="Y781" s="19">
        <f>X781/1000</f>
        <v>-1.2799</v>
      </c>
    </row>
    <row r="782" spans="1:25" x14ac:dyDescent="0.25">
      <c r="A782" s="1">
        <v>45652</v>
      </c>
      <c r="B782" t="s">
        <v>1070</v>
      </c>
      <c r="C782" t="s">
        <v>17</v>
      </c>
      <c r="D782" t="s">
        <v>22</v>
      </c>
      <c r="E782">
        <v>100</v>
      </c>
      <c r="F782">
        <v>0</v>
      </c>
      <c r="G782">
        <v>12.7</v>
      </c>
      <c r="H782">
        <v>1270</v>
      </c>
      <c r="I782" t="s">
        <v>1074</v>
      </c>
      <c r="J782">
        <v>0</v>
      </c>
      <c r="K782">
        <v>0.45</v>
      </c>
      <c r="L782">
        <v>0</v>
      </c>
      <c r="M782">
        <v>0</v>
      </c>
      <c r="N782">
        <v>80</v>
      </c>
      <c r="O782">
        <v>14.48</v>
      </c>
      <c r="P782">
        <v>94.93</v>
      </c>
      <c r="Q782" s="18">
        <f>YEAR(A782)</f>
        <v>2024</v>
      </c>
      <c r="R782" s="18">
        <f>MONTH(A782)</f>
        <v>12</v>
      </c>
      <c r="S782" s="18">
        <f>IF(R782&lt;4,Q782-1,Q782)</f>
        <v>2024</v>
      </c>
      <c r="T782" s="18">
        <f>IF(R782&lt;4,R782+9,R782-3)</f>
        <v>9</v>
      </c>
      <c r="U782" s="18" t="str">
        <f>IF(LEN(T782)=1,_xlfn.CONCAT(0,T782),T782)</f>
        <v>09</v>
      </c>
      <c r="V782" s="18" t="str">
        <f>_xlfn.CONCAT(S782,U782)</f>
        <v>202409</v>
      </c>
      <c r="W782" s="18" t="str">
        <f>_xlfn.CONCAT(TEXT(A782,"MMM"),"-",MID(Q782,3,2))</f>
        <v>Dec-24</v>
      </c>
      <c r="X782" s="19">
        <f>IFERROR(IF(D782="Sell",(H782-P782),-(H782+P782)),0)</f>
        <v>-1364.93</v>
      </c>
      <c r="Y782" s="19">
        <f>X782/1000</f>
        <v>-1.36493</v>
      </c>
    </row>
    <row r="783" spans="1:25" x14ac:dyDescent="0.25">
      <c r="A783" s="1">
        <v>45652</v>
      </c>
      <c r="B783" t="s">
        <v>1070</v>
      </c>
      <c r="C783" t="s">
        <v>17</v>
      </c>
      <c r="D783" t="s">
        <v>22</v>
      </c>
      <c r="E783">
        <v>50</v>
      </c>
      <c r="F783">
        <v>0</v>
      </c>
      <c r="G783">
        <v>17.3</v>
      </c>
      <c r="H783">
        <v>865</v>
      </c>
      <c r="I783" t="s">
        <v>1075</v>
      </c>
      <c r="J783">
        <v>0</v>
      </c>
      <c r="K783">
        <v>0.31</v>
      </c>
      <c r="L783">
        <v>0</v>
      </c>
      <c r="M783">
        <v>0</v>
      </c>
      <c r="N783">
        <v>40</v>
      </c>
      <c r="O783">
        <v>7.26</v>
      </c>
      <c r="P783">
        <v>47.57</v>
      </c>
      <c r="Q783" s="18">
        <f>YEAR(A783)</f>
        <v>2024</v>
      </c>
      <c r="R783" s="18">
        <f>MONTH(A783)</f>
        <v>12</v>
      </c>
      <c r="S783" s="18">
        <f>IF(R783&lt;4,Q783-1,Q783)</f>
        <v>2024</v>
      </c>
      <c r="T783" s="18">
        <f>IF(R783&lt;4,R783+9,R783-3)</f>
        <v>9</v>
      </c>
      <c r="U783" s="18" t="str">
        <f>IF(LEN(T783)=1,_xlfn.CONCAT(0,T783),T783)</f>
        <v>09</v>
      </c>
      <c r="V783" s="18" t="str">
        <f>_xlfn.CONCAT(S783,U783)</f>
        <v>202409</v>
      </c>
      <c r="W783" s="18" t="str">
        <f>_xlfn.CONCAT(TEXT(A783,"MMM"),"-",MID(Q783,3,2))</f>
        <v>Dec-24</v>
      </c>
      <c r="X783" s="19">
        <f>IFERROR(IF(D783="Sell",(H783-P783),-(H783+P783)),0)</f>
        <v>-912.57</v>
      </c>
      <c r="Y783" s="19">
        <f>X783/1000</f>
        <v>-0.9125700000000001</v>
      </c>
    </row>
    <row r="784" spans="1:25" x14ac:dyDescent="0.25">
      <c r="A784" s="1">
        <v>45652</v>
      </c>
      <c r="B784" t="s">
        <v>1070</v>
      </c>
      <c r="C784" t="s">
        <v>17</v>
      </c>
      <c r="D784" t="s">
        <v>22</v>
      </c>
      <c r="E784">
        <v>50</v>
      </c>
      <c r="F784">
        <v>0</v>
      </c>
      <c r="G784">
        <v>21.75</v>
      </c>
      <c r="H784">
        <v>1087.5</v>
      </c>
      <c r="I784" t="s">
        <v>1076</v>
      </c>
      <c r="J784">
        <v>0</v>
      </c>
      <c r="K784">
        <v>0.39</v>
      </c>
      <c r="L784">
        <v>0</v>
      </c>
      <c r="M784">
        <v>0</v>
      </c>
      <c r="N784">
        <v>40</v>
      </c>
      <c r="O784">
        <v>7.28</v>
      </c>
      <c r="P784">
        <v>47.67</v>
      </c>
      <c r="Q784" s="18">
        <f>YEAR(A784)</f>
        <v>2024</v>
      </c>
      <c r="R784" s="18">
        <f>MONTH(A784)</f>
        <v>12</v>
      </c>
      <c r="S784" s="18">
        <f>IF(R784&lt;4,Q784-1,Q784)</f>
        <v>2024</v>
      </c>
      <c r="T784" s="18">
        <f>IF(R784&lt;4,R784+9,R784-3)</f>
        <v>9</v>
      </c>
      <c r="U784" s="18" t="str">
        <f>IF(LEN(T784)=1,_xlfn.CONCAT(0,T784),T784)</f>
        <v>09</v>
      </c>
      <c r="V784" s="18" t="str">
        <f>_xlfn.CONCAT(S784,U784)</f>
        <v>202409</v>
      </c>
      <c r="W784" s="18" t="str">
        <f>_xlfn.CONCAT(TEXT(A784,"MMM"),"-",MID(Q784,3,2))</f>
        <v>Dec-24</v>
      </c>
      <c r="X784" s="19">
        <f>IFERROR(IF(D784="Sell",(H784-P784),-(H784+P784)),0)</f>
        <v>-1135.17</v>
      </c>
      <c r="Y784" s="19">
        <f>X784/1000</f>
        <v>-1.13517</v>
      </c>
    </row>
    <row r="785" spans="1:25" x14ac:dyDescent="0.25">
      <c r="A785" s="1">
        <v>45652</v>
      </c>
      <c r="B785" t="s">
        <v>1070</v>
      </c>
      <c r="C785" t="s">
        <v>17</v>
      </c>
      <c r="D785" t="s">
        <v>18</v>
      </c>
      <c r="E785">
        <v>50</v>
      </c>
      <c r="F785">
        <v>0</v>
      </c>
      <c r="G785">
        <v>44.25</v>
      </c>
      <c r="H785">
        <v>2212.5</v>
      </c>
      <c r="I785" t="s">
        <v>1077</v>
      </c>
      <c r="J785">
        <v>2.1</v>
      </c>
      <c r="K785">
        <v>0.79</v>
      </c>
      <c r="L785">
        <v>0</v>
      </c>
      <c r="M785">
        <v>0</v>
      </c>
      <c r="N785">
        <v>40</v>
      </c>
      <c r="O785">
        <v>7.34</v>
      </c>
      <c r="P785">
        <v>50.23</v>
      </c>
      <c r="Q785" s="18">
        <f>YEAR(A785)</f>
        <v>2024</v>
      </c>
      <c r="R785" s="18">
        <f>MONTH(A785)</f>
        <v>12</v>
      </c>
      <c r="S785" s="18">
        <f>IF(R785&lt;4,Q785-1,Q785)</f>
        <v>2024</v>
      </c>
      <c r="T785" s="18">
        <f>IF(R785&lt;4,R785+9,R785-3)</f>
        <v>9</v>
      </c>
      <c r="U785" s="18" t="str">
        <f>IF(LEN(T785)=1,_xlfn.CONCAT(0,T785),T785)</f>
        <v>09</v>
      </c>
      <c r="V785" s="18" t="str">
        <f>_xlfn.CONCAT(S785,U785)</f>
        <v>202409</v>
      </c>
      <c r="W785" s="18" t="str">
        <f>_xlfn.CONCAT(TEXT(A785,"MMM"),"-",MID(Q785,3,2))</f>
        <v>Dec-24</v>
      </c>
      <c r="X785" s="19">
        <f>IFERROR(IF(D785="Sell",(H785-P785),-(H785+P785)),0)</f>
        <v>2162.27</v>
      </c>
      <c r="Y785" s="19">
        <f>X785/1000</f>
        <v>2.1622699999999999</v>
      </c>
    </row>
    <row r="786" spans="1:25" x14ac:dyDescent="0.25">
      <c r="A786" s="1">
        <v>45652</v>
      </c>
      <c r="B786" t="s">
        <v>1070</v>
      </c>
      <c r="C786" t="s">
        <v>17</v>
      </c>
      <c r="D786" t="s">
        <v>22</v>
      </c>
      <c r="E786">
        <v>50</v>
      </c>
      <c r="F786">
        <v>0</v>
      </c>
      <c r="G786">
        <v>33.9</v>
      </c>
      <c r="H786">
        <v>1695</v>
      </c>
      <c r="I786" t="s">
        <v>1078</v>
      </c>
      <c r="J786">
        <v>0</v>
      </c>
      <c r="K786">
        <v>0.6</v>
      </c>
      <c r="L786">
        <v>0</v>
      </c>
      <c r="M786">
        <v>0</v>
      </c>
      <c r="N786">
        <v>40</v>
      </c>
      <c r="O786">
        <v>7.3</v>
      </c>
      <c r="P786">
        <v>47.9</v>
      </c>
      <c r="Q786" s="18">
        <f>YEAR(A786)</f>
        <v>2024</v>
      </c>
      <c r="R786" s="18">
        <f>MONTH(A786)</f>
        <v>12</v>
      </c>
      <c r="S786" s="18">
        <f>IF(R786&lt;4,Q786-1,Q786)</f>
        <v>2024</v>
      </c>
      <c r="T786" s="18">
        <f>IF(R786&lt;4,R786+9,R786-3)</f>
        <v>9</v>
      </c>
      <c r="U786" s="18" t="str">
        <f>IF(LEN(T786)=1,_xlfn.CONCAT(0,T786),T786)</f>
        <v>09</v>
      </c>
      <c r="V786" s="18" t="str">
        <f>_xlfn.CONCAT(S786,U786)</f>
        <v>202409</v>
      </c>
      <c r="W786" s="18" t="str">
        <f>_xlfn.CONCAT(TEXT(A786,"MMM"),"-",MID(Q786,3,2))</f>
        <v>Dec-24</v>
      </c>
      <c r="X786" s="19">
        <f>IFERROR(IF(D786="Sell",(H786-P786),-(H786+P786)),0)</f>
        <v>-1742.9</v>
      </c>
      <c r="Y786" s="19">
        <f>X786/1000</f>
        <v>-1.7429000000000001</v>
      </c>
    </row>
    <row r="787" spans="1:25" x14ac:dyDescent="0.25">
      <c r="A787" s="1">
        <v>45652</v>
      </c>
      <c r="B787" t="s">
        <v>1079</v>
      </c>
      <c r="C787" t="s">
        <v>17</v>
      </c>
      <c r="D787" t="s">
        <v>22</v>
      </c>
      <c r="E787">
        <v>25</v>
      </c>
      <c r="F787">
        <v>0</v>
      </c>
      <c r="G787">
        <v>123.65</v>
      </c>
      <c r="H787">
        <v>3091.25</v>
      </c>
      <c r="I787" t="s">
        <v>1080</v>
      </c>
      <c r="J787">
        <v>0</v>
      </c>
      <c r="K787">
        <v>1.1000000000000001</v>
      </c>
      <c r="L787">
        <v>0</v>
      </c>
      <c r="M787">
        <v>0</v>
      </c>
      <c r="N787">
        <v>20</v>
      </c>
      <c r="O787">
        <v>3.8</v>
      </c>
      <c r="P787">
        <v>24.9</v>
      </c>
      <c r="Q787" s="18">
        <f>YEAR(A787)</f>
        <v>2024</v>
      </c>
      <c r="R787" s="18">
        <f>MONTH(A787)</f>
        <v>12</v>
      </c>
      <c r="S787" s="18">
        <f>IF(R787&lt;4,Q787-1,Q787)</f>
        <v>2024</v>
      </c>
      <c r="T787" s="18">
        <f>IF(R787&lt;4,R787+9,R787-3)</f>
        <v>9</v>
      </c>
      <c r="U787" s="18" t="str">
        <f>IF(LEN(T787)=1,_xlfn.CONCAT(0,T787),T787)</f>
        <v>09</v>
      </c>
      <c r="V787" s="18" t="str">
        <f>_xlfn.CONCAT(S787,U787)</f>
        <v>202409</v>
      </c>
      <c r="W787" s="18" t="str">
        <f>_xlfn.CONCAT(TEXT(A787,"MMM"),"-",MID(Q787,3,2))</f>
        <v>Dec-24</v>
      </c>
      <c r="X787" s="19">
        <f>IFERROR(IF(D787="Sell",(H787-P787),-(H787+P787)),0)</f>
        <v>-3116.15</v>
      </c>
      <c r="Y787" s="19">
        <f>X787/1000</f>
        <v>-3.1161500000000002</v>
      </c>
    </row>
    <row r="788" spans="1:25" x14ac:dyDescent="0.25">
      <c r="A788" s="1">
        <v>45652</v>
      </c>
      <c r="B788" t="s">
        <v>1079</v>
      </c>
      <c r="C788" t="s">
        <v>17</v>
      </c>
      <c r="D788" t="s">
        <v>18</v>
      </c>
      <c r="E788">
        <v>75</v>
      </c>
      <c r="F788">
        <v>0</v>
      </c>
      <c r="G788">
        <v>134.25</v>
      </c>
      <c r="H788">
        <v>10068.75</v>
      </c>
      <c r="I788" t="s">
        <v>1081</v>
      </c>
      <c r="J788">
        <v>10.07</v>
      </c>
      <c r="K788">
        <v>3.58</v>
      </c>
      <c r="L788">
        <v>0</v>
      </c>
      <c r="M788">
        <v>0.01</v>
      </c>
      <c r="N788">
        <v>60</v>
      </c>
      <c r="O788">
        <v>11.44</v>
      </c>
      <c r="P788">
        <v>85.1</v>
      </c>
      <c r="Q788" s="18">
        <f>YEAR(A788)</f>
        <v>2024</v>
      </c>
      <c r="R788" s="18">
        <f>MONTH(A788)</f>
        <v>12</v>
      </c>
      <c r="S788" s="18">
        <f>IF(R788&lt;4,Q788-1,Q788)</f>
        <v>2024</v>
      </c>
      <c r="T788" s="18">
        <f>IF(R788&lt;4,R788+9,R788-3)</f>
        <v>9</v>
      </c>
      <c r="U788" s="18" t="str">
        <f>IF(LEN(T788)=1,_xlfn.CONCAT(0,T788),T788)</f>
        <v>09</v>
      </c>
      <c r="V788" s="18" t="str">
        <f>_xlfn.CONCAT(S788,U788)</f>
        <v>202409</v>
      </c>
      <c r="W788" s="18" t="str">
        <f>_xlfn.CONCAT(TEXT(A788,"MMM"),"-",MID(Q788,3,2))</f>
        <v>Dec-24</v>
      </c>
      <c r="X788" s="19">
        <f>IFERROR(IF(D788="Sell",(H788-P788),-(H788+P788)),0)</f>
        <v>9983.65</v>
      </c>
      <c r="Y788" s="19">
        <f>X788/1000</f>
        <v>9.983649999999999</v>
      </c>
    </row>
    <row r="789" spans="1:25" x14ac:dyDescent="0.25">
      <c r="A789" s="1">
        <v>45652</v>
      </c>
      <c r="B789" t="s">
        <v>1079</v>
      </c>
      <c r="C789" t="s">
        <v>17</v>
      </c>
      <c r="D789" t="s">
        <v>22</v>
      </c>
      <c r="E789">
        <v>25</v>
      </c>
      <c r="F789">
        <v>0</v>
      </c>
      <c r="G789">
        <v>111.95</v>
      </c>
      <c r="H789">
        <v>2798.75</v>
      </c>
      <c r="I789" t="s">
        <v>1082</v>
      </c>
      <c r="J789">
        <v>0</v>
      </c>
      <c r="K789">
        <v>0.99</v>
      </c>
      <c r="L789">
        <v>0</v>
      </c>
      <c r="M789">
        <v>0</v>
      </c>
      <c r="N789">
        <v>20</v>
      </c>
      <c r="O789">
        <v>3.78</v>
      </c>
      <c r="P789">
        <v>24.77</v>
      </c>
      <c r="Q789" s="18">
        <f>YEAR(A789)</f>
        <v>2024</v>
      </c>
      <c r="R789" s="18">
        <f>MONTH(A789)</f>
        <v>12</v>
      </c>
      <c r="S789" s="18">
        <f>IF(R789&lt;4,Q789-1,Q789)</f>
        <v>2024</v>
      </c>
      <c r="T789" s="18">
        <f>IF(R789&lt;4,R789+9,R789-3)</f>
        <v>9</v>
      </c>
      <c r="U789" s="18" t="str">
        <f>IF(LEN(T789)=1,_xlfn.CONCAT(0,T789),T789)</f>
        <v>09</v>
      </c>
      <c r="V789" s="18" t="str">
        <f>_xlfn.CONCAT(S789,U789)</f>
        <v>202409</v>
      </c>
      <c r="W789" s="18" t="str">
        <f>_xlfn.CONCAT(TEXT(A789,"MMM"),"-",MID(Q789,3,2))</f>
        <v>Dec-24</v>
      </c>
      <c r="X789" s="19">
        <f>IFERROR(IF(D789="Sell",(H789-P789),-(H789+P789)),0)</f>
        <v>-2823.52</v>
      </c>
      <c r="Y789" s="19">
        <f>X789/1000</f>
        <v>-2.8235199999999998</v>
      </c>
    </row>
    <row r="790" spans="1:25" x14ac:dyDescent="0.25">
      <c r="A790" s="1">
        <v>45652</v>
      </c>
      <c r="B790" t="s">
        <v>1079</v>
      </c>
      <c r="C790" t="s">
        <v>17</v>
      </c>
      <c r="D790" t="s">
        <v>22</v>
      </c>
      <c r="E790">
        <v>25</v>
      </c>
      <c r="F790">
        <v>0</v>
      </c>
      <c r="G790">
        <v>120.15</v>
      </c>
      <c r="H790">
        <v>3003.75</v>
      </c>
      <c r="I790" t="s">
        <v>1083</v>
      </c>
      <c r="J790">
        <v>0</v>
      </c>
      <c r="K790">
        <v>1.07</v>
      </c>
      <c r="L790">
        <v>0</v>
      </c>
      <c r="M790">
        <v>0</v>
      </c>
      <c r="N790">
        <v>20</v>
      </c>
      <c r="O790">
        <v>3.8</v>
      </c>
      <c r="P790">
        <v>24.87</v>
      </c>
      <c r="Q790" s="18">
        <f>YEAR(A790)</f>
        <v>2024</v>
      </c>
      <c r="R790" s="18">
        <f>MONTH(A790)</f>
        <v>12</v>
      </c>
      <c r="S790" s="18">
        <f>IF(R790&lt;4,Q790-1,Q790)</f>
        <v>2024</v>
      </c>
      <c r="T790" s="18">
        <f>IF(R790&lt;4,R790+9,R790-3)</f>
        <v>9</v>
      </c>
      <c r="U790" s="18" t="str">
        <f>IF(LEN(T790)=1,_xlfn.CONCAT(0,T790),T790)</f>
        <v>09</v>
      </c>
      <c r="V790" s="18" t="str">
        <f>_xlfn.CONCAT(S790,U790)</f>
        <v>202409</v>
      </c>
      <c r="W790" s="18" t="str">
        <f>_xlfn.CONCAT(TEXT(A790,"MMM"),"-",MID(Q790,3,2))</f>
        <v>Dec-24</v>
      </c>
      <c r="X790" s="19">
        <f>IFERROR(IF(D790="Sell",(H790-P790),-(H790+P790)),0)</f>
        <v>-3028.62</v>
      </c>
      <c r="Y790" s="19">
        <f>X790/1000</f>
        <v>-3.0286200000000001</v>
      </c>
    </row>
    <row r="791" spans="1:25" x14ac:dyDescent="0.25">
      <c r="A791" s="1">
        <v>45652</v>
      </c>
      <c r="B791" t="s">
        <v>1079</v>
      </c>
      <c r="C791" t="s">
        <v>17</v>
      </c>
      <c r="D791" t="s">
        <v>18</v>
      </c>
      <c r="E791">
        <v>100</v>
      </c>
      <c r="F791">
        <v>0</v>
      </c>
      <c r="G791">
        <v>77.55</v>
      </c>
      <c r="H791">
        <v>7755</v>
      </c>
      <c r="I791" t="s">
        <v>1084</v>
      </c>
      <c r="J791">
        <v>7.76</v>
      </c>
      <c r="K791">
        <v>2.76</v>
      </c>
      <c r="L791">
        <v>0</v>
      </c>
      <c r="M791">
        <v>0.01</v>
      </c>
      <c r="N791">
        <v>80</v>
      </c>
      <c r="O791">
        <v>14.9</v>
      </c>
      <c r="P791">
        <v>105.43</v>
      </c>
      <c r="Q791" s="18">
        <f>YEAR(A791)</f>
        <v>2024</v>
      </c>
      <c r="R791" s="18">
        <f>MONTH(A791)</f>
        <v>12</v>
      </c>
      <c r="S791" s="18">
        <f>IF(R791&lt;4,Q791-1,Q791)</f>
        <v>2024</v>
      </c>
      <c r="T791" s="18">
        <f>IF(R791&lt;4,R791+9,R791-3)</f>
        <v>9</v>
      </c>
      <c r="U791" s="18" t="str">
        <f>IF(LEN(T791)=1,_xlfn.CONCAT(0,T791),T791)</f>
        <v>09</v>
      </c>
      <c r="V791" s="18" t="str">
        <f>_xlfn.CONCAT(S791,U791)</f>
        <v>202409</v>
      </c>
      <c r="W791" s="18" t="str">
        <f>_xlfn.CONCAT(TEXT(A791,"MMM"),"-",MID(Q791,3,2))</f>
        <v>Dec-24</v>
      </c>
      <c r="X791" s="19">
        <f>IFERROR(IF(D791="Sell",(H791-P791),-(H791+P791)),0)</f>
        <v>7649.57</v>
      </c>
      <c r="Y791" s="19">
        <f>X791/1000</f>
        <v>7.6495699999999998</v>
      </c>
    </row>
    <row r="792" spans="1:25" x14ac:dyDescent="0.25">
      <c r="A792" s="1">
        <v>45652</v>
      </c>
      <c r="B792" t="s">
        <v>1079</v>
      </c>
      <c r="C792" t="s">
        <v>17</v>
      </c>
      <c r="D792" t="s">
        <v>22</v>
      </c>
      <c r="E792">
        <v>100</v>
      </c>
      <c r="F792">
        <v>0</v>
      </c>
      <c r="G792">
        <v>70.25</v>
      </c>
      <c r="H792">
        <v>7025</v>
      </c>
      <c r="I792" t="s">
        <v>1085</v>
      </c>
      <c r="J792">
        <v>0</v>
      </c>
      <c r="K792">
        <v>2.4900000000000002</v>
      </c>
      <c r="L792">
        <v>0.75</v>
      </c>
      <c r="M792">
        <v>0</v>
      </c>
      <c r="N792">
        <v>80</v>
      </c>
      <c r="O792">
        <v>14.86</v>
      </c>
      <c r="P792">
        <v>98.1</v>
      </c>
      <c r="Q792" s="18">
        <f>YEAR(A792)</f>
        <v>2024</v>
      </c>
      <c r="R792" s="18">
        <f>MONTH(A792)</f>
        <v>12</v>
      </c>
      <c r="S792" s="18">
        <f>IF(R792&lt;4,Q792-1,Q792)</f>
        <v>2024</v>
      </c>
      <c r="T792" s="18">
        <f>IF(R792&lt;4,R792+9,R792-3)</f>
        <v>9</v>
      </c>
      <c r="U792" s="18" t="str">
        <f>IF(LEN(T792)=1,_xlfn.CONCAT(0,T792),T792)</f>
        <v>09</v>
      </c>
      <c r="V792" s="18" t="str">
        <f>_xlfn.CONCAT(S792,U792)</f>
        <v>202409</v>
      </c>
      <c r="W792" s="18" t="str">
        <f>_xlfn.CONCAT(TEXT(A792,"MMM"),"-",MID(Q792,3,2))</f>
        <v>Dec-24</v>
      </c>
      <c r="X792" s="19">
        <f>IFERROR(IF(D792="Sell",(H792-P792),-(H792+P792)),0)</f>
        <v>-7123.1</v>
      </c>
      <c r="Y792" s="19">
        <f>X792/1000</f>
        <v>-7.1231</v>
      </c>
    </row>
    <row r="793" spans="1:25" x14ac:dyDescent="0.25">
      <c r="A793" s="1">
        <v>45653</v>
      </c>
      <c r="B793" t="s">
        <v>1086</v>
      </c>
      <c r="C793" t="s">
        <v>17</v>
      </c>
      <c r="D793" t="s">
        <v>18</v>
      </c>
      <c r="E793">
        <v>150</v>
      </c>
      <c r="F793">
        <v>0</v>
      </c>
      <c r="G793">
        <v>115</v>
      </c>
      <c r="H793">
        <v>17250</v>
      </c>
      <c r="I793" t="s">
        <v>1087</v>
      </c>
      <c r="J793">
        <v>17.739999999999998</v>
      </c>
      <c r="K793">
        <v>6.13</v>
      </c>
      <c r="L793">
        <v>0</v>
      </c>
      <c r="M793">
        <v>0.02</v>
      </c>
      <c r="N793">
        <v>40</v>
      </c>
      <c r="O793">
        <v>8.3000000000000007</v>
      </c>
      <c r="P793">
        <v>72.19</v>
      </c>
      <c r="Q793" s="18">
        <f>YEAR(A793)</f>
        <v>2024</v>
      </c>
      <c r="R793" s="18">
        <f>MONTH(A793)</f>
        <v>12</v>
      </c>
      <c r="S793" s="18">
        <f>IF(R793&lt;4,Q793-1,Q793)</f>
        <v>2024</v>
      </c>
      <c r="T793" s="18">
        <f>IF(R793&lt;4,R793+9,R793-3)</f>
        <v>9</v>
      </c>
      <c r="U793" s="18" t="str">
        <f>IF(LEN(T793)=1,_xlfn.CONCAT(0,T793),T793)</f>
        <v>09</v>
      </c>
      <c r="V793" s="18" t="str">
        <f>_xlfn.CONCAT(S793,U793)</f>
        <v>202409</v>
      </c>
      <c r="W793" s="18" t="str">
        <f>_xlfn.CONCAT(TEXT(A793,"MMM"),"-",MID(Q793,3,2))</f>
        <v>Dec-24</v>
      </c>
      <c r="X793" s="19">
        <f>IFERROR(IF(D793="Sell",(H793-P793),-(H793+P793)),0)</f>
        <v>17177.810000000001</v>
      </c>
      <c r="Y793" s="19">
        <f>X793/1000</f>
        <v>17.177810000000001</v>
      </c>
    </row>
    <row r="794" spans="1:25" x14ac:dyDescent="0.25">
      <c r="A794" s="1">
        <v>45653</v>
      </c>
      <c r="B794" t="s">
        <v>1086</v>
      </c>
      <c r="C794" t="s">
        <v>17</v>
      </c>
      <c r="D794" t="s">
        <v>22</v>
      </c>
      <c r="E794">
        <v>150</v>
      </c>
      <c r="F794">
        <v>0</v>
      </c>
      <c r="G794">
        <v>106.55</v>
      </c>
      <c r="H794">
        <v>15982.5</v>
      </c>
      <c r="I794" t="s">
        <v>1088</v>
      </c>
      <c r="J794">
        <v>0</v>
      </c>
      <c r="K794">
        <v>5.68</v>
      </c>
      <c r="L794">
        <v>1</v>
      </c>
      <c r="M794">
        <v>0.02</v>
      </c>
      <c r="N794">
        <v>40</v>
      </c>
      <c r="O794">
        <v>8.2200000000000006</v>
      </c>
      <c r="P794">
        <v>54.92</v>
      </c>
      <c r="Q794" s="18">
        <f>YEAR(A794)</f>
        <v>2024</v>
      </c>
      <c r="R794" s="18">
        <f>MONTH(A794)</f>
        <v>12</v>
      </c>
      <c r="S794" s="18">
        <f>IF(R794&lt;4,Q794-1,Q794)</f>
        <v>2024</v>
      </c>
      <c r="T794" s="18">
        <f>IF(R794&lt;4,R794+9,R794-3)</f>
        <v>9</v>
      </c>
      <c r="U794" s="18" t="str">
        <f>IF(LEN(T794)=1,_xlfn.CONCAT(0,T794),T794)</f>
        <v>09</v>
      </c>
      <c r="V794" s="18" t="str">
        <f>_xlfn.CONCAT(S794,U794)</f>
        <v>202409</v>
      </c>
      <c r="W794" s="18" t="str">
        <f>_xlfn.CONCAT(TEXT(A794,"MMM"),"-",MID(Q794,3,2))</f>
        <v>Dec-24</v>
      </c>
      <c r="X794" s="19">
        <f>IFERROR(IF(D794="Sell",(H794-P794),-(H794+P794)),0)</f>
        <v>-16037.42</v>
      </c>
      <c r="Y794" s="19">
        <f>X794/1000</f>
        <v>-16.037420000000001</v>
      </c>
    </row>
    <row r="795" spans="1:25" x14ac:dyDescent="0.25">
      <c r="A795" s="1">
        <v>45653</v>
      </c>
      <c r="B795" t="s">
        <v>1086</v>
      </c>
      <c r="C795" t="s">
        <v>17</v>
      </c>
      <c r="D795" t="s">
        <v>18</v>
      </c>
      <c r="E795">
        <v>150</v>
      </c>
      <c r="F795">
        <v>0</v>
      </c>
      <c r="G795">
        <v>101.75</v>
      </c>
      <c r="H795">
        <v>15262.5</v>
      </c>
      <c r="I795" t="s">
        <v>1089</v>
      </c>
      <c r="J795">
        <v>15.26</v>
      </c>
      <c r="K795">
        <v>5.42</v>
      </c>
      <c r="L795">
        <v>0</v>
      </c>
      <c r="M795">
        <v>0.02</v>
      </c>
      <c r="N795">
        <v>40</v>
      </c>
      <c r="O795">
        <v>8.18</v>
      </c>
      <c r="P795">
        <v>68.88</v>
      </c>
      <c r="Q795" s="18">
        <f>YEAR(A795)</f>
        <v>2024</v>
      </c>
      <c r="R795" s="18">
        <f>MONTH(A795)</f>
        <v>12</v>
      </c>
      <c r="S795" s="18">
        <f>IF(R795&lt;4,Q795-1,Q795)</f>
        <v>2024</v>
      </c>
      <c r="T795" s="18">
        <f>IF(R795&lt;4,R795+9,R795-3)</f>
        <v>9</v>
      </c>
      <c r="U795" s="18" t="str">
        <f>IF(LEN(T795)=1,_xlfn.CONCAT(0,T795),T795)</f>
        <v>09</v>
      </c>
      <c r="V795" s="18" t="str">
        <f>_xlfn.CONCAT(S795,U795)</f>
        <v>202409</v>
      </c>
      <c r="W795" s="18" t="str">
        <f>_xlfn.CONCAT(TEXT(A795,"MMM"),"-",MID(Q795,3,2))</f>
        <v>Dec-24</v>
      </c>
      <c r="X795" s="19">
        <f>IFERROR(IF(D795="Sell",(H795-P795),-(H795+P795)),0)</f>
        <v>15193.62</v>
      </c>
      <c r="Y795" s="19">
        <f>X795/1000</f>
        <v>15.193620000000001</v>
      </c>
    </row>
    <row r="796" spans="1:25" x14ac:dyDescent="0.25">
      <c r="A796" s="1">
        <v>45653</v>
      </c>
      <c r="B796" t="s">
        <v>1086</v>
      </c>
      <c r="C796" t="s">
        <v>17</v>
      </c>
      <c r="D796" t="s">
        <v>22</v>
      </c>
      <c r="E796">
        <v>75</v>
      </c>
      <c r="F796">
        <v>0</v>
      </c>
      <c r="G796">
        <v>131.69999999999999</v>
      </c>
      <c r="H796">
        <v>9877.5</v>
      </c>
      <c r="I796" t="s">
        <v>1090</v>
      </c>
      <c r="J796">
        <v>0</v>
      </c>
      <c r="K796">
        <v>3.51</v>
      </c>
      <c r="L796">
        <v>0</v>
      </c>
      <c r="M796">
        <v>0.01</v>
      </c>
      <c r="N796">
        <v>20</v>
      </c>
      <c r="O796">
        <v>4.24</v>
      </c>
      <c r="P796">
        <v>27.76</v>
      </c>
      <c r="Q796" s="18">
        <f>YEAR(A796)</f>
        <v>2024</v>
      </c>
      <c r="R796" s="18">
        <f>MONTH(A796)</f>
        <v>12</v>
      </c>
      <c r="S796" s="18">
        <f>IF(R796&lt;4,Q796-1,Q796)</f>
        <v>2024</v>
      </c>
      <c r="T796" s="18">
        <f>IF(R796&lt;4,R796+9,R796-3)</f>
        <v>9</v>
      </c>
      <c r="U796" s="18" t="str">
        <f>IF(LEN(T796)=1,_xlfn.CONCAT(0,T796),T796)</f>
        <v>09</v>
      </c>
      <c r="V796" s="18" t="str">
        <f>_xlfn.CONCAT(S796,U796)</f>
        <v>202409</v>
      </c>
      <c r="W796" s="18" t="str">
        <f>_xlfn.CONCAT(TEXT(A796,"MMM"),"-",MID(Q796,3,2))</f>
        <v>Dec-24</v>
      </c>
      <c r="X796" s="19">
        <f>IFERROR(IF(D796="Sell",(H796-P796),-(H796+P796)),0)</f>
        <v>-9905.26</v>
      </c>
      <c r="Y796" s="19">
        <f>X796/1000</f>
        <v>-9.9052600000000002</v>
      </c>
    </row>
    <row r="797" spans="1:25" x14ac:dyDescent="0.25">
      <c r="A797" s="1">
        <v>45653</v>
      </c>
      <c r="B797" t="s">
        <v>1086</v>
      </c>
      <c r="C797" t="s">
        <v>17</v>
      </c>
      <c r="D797" t="s">
        <v>22</v>
      </c>
      <c r="E797">
        <v>75</v>
      </c>
      <c r="F797">
        <v>0</v>
      </c>
      <c r="G797">
        <v>149.44999999999999</v>
      </c>
      <c r="H797">
        <v>11208.75</v>
      </c>
      <c r="I797" t="s">
        <v>1091</v>
      </c>
      <c r="J797">
        <v>0</v>
      </c>
      <c r="K797">
        <v>3.98</v>
      </c>
      <c r="L797">
        <v>0</v>
      </c>
      <c r="M797">
        <v>0.01</v>
      </c>
      <c r="N797">
        <v>20</v>
      </c>
      <c r="O797">
        <v>4.32</v>
      </c>
      <c r="P797">
        <v>28.31</v>
      </c>
      <c r="Q797" s="18">
        <f>YEAR(A797)</f>
        <v>2024</v>
      </c>
      <c r="R797" s="18">
        <f>MONTH(A797)</f>
        <v>12</v>
      </c>
      <c r="S797" s="18">
        <f>IF(R797&lt;4,Q797-1,Q797)</f>
        <v>2024</v>
      </c>
      <c r="T797" s="18">
        <f>IF(R797&lt;4,R797+9,R797-3)</f>
        <v>9</v>
      </c>
      <c r="U797" s="18" t="str">
        <f>IF(LEN(T797)=1,_xlfn.CONCAT(0,T797),T797)</f>
        <v>09</v>
      </c>
      <c r="V797" s="18" t="str">
        <f>_xlfn.CONCAT(S797,U797)</f>
        <v>202409</v>
      </c>
      <c r="W797" s="18" t="str">
        <f>_xlfn.CONCAT(TEXT(A797,"MMM"),"-",MID(Q797,3,2))</f>
        <v>Dec-24</v>
      </c>
      <c r="X797" s="19">
        <f>IFERROR(IF(D797="Sell",(H797-P797),-(H797+P797)),0)</f>
        <v>-11237.06</v>
      </c>
      <c r="Y797" s="19">
        <f>X797/1000</f>
        <v>-11.23706</v>
      </c>
    </row>
    <row r="798" spans="1:25" x14ac:dyDescent="0.25">
      <c r="A798" s="1">
        <v>45656</v>
      </c>
      <c r="B798" t="s">
        <v>1086</v>
      </c>
      <c r="C798" t="s">
        <v>17</v>
      </c>
      <c r="D798" t="s">
        <v>18</v>
      </c>
      <c r="E798">
        <v>75</v>
      </c>
      <c r="F798">
        <v>0</v>
      </c>
      <c r="G798">
        <v>105.25</v>
      </c>
      <c r="H798">
        <v>7893.75</v>
      </c>
      <c r="I798" t="s">
        <v>1092</v>
      </c>
      <c r="J798">
        <v>7.89</v>
      </c>
      <c r="K798">
        <v>2.8</v>
      </c>
      <c r="L798">
        <v>0</v>
      </c>
      <c r="M798">
        <v>0.01</v>
      </c>
      <c r="N798">
        <v>20</v>
      </c>
      <c r="O798">
        <v>4.0999999999999996</v>
      </c>
      <c r="P798">
        <v>34.799999999999997</v>
      </c>
      <c r="Q798" s="18">
        <f>YEAR(A798)</f>
        <v>2024</v>
      </c>
      <c r="R798" s="18">
        <f>MONTH(A798)</f>
        <v>12</v>
      </c>
      <c r="S798" s="18">
        <f>IF(R798&lt;4,Q798-1,Q798)</f>
        <v>2024</v>
      </c>
      <c r="T798" s="18">
        <f>IF(R798&lt;4,R798+9,R798-3)</f>
        <v>9</v>
      </c>
      <c r="U798" s="18" t="str">
        <f>IF(LEN(T798)=1,_xlfn.CONCAT(0,T798),T798)</f>
        <v>09</v>
      </c>
      <c r="V798" s="18" t="str">
        <f>_xlfn.CONCAT(S798,U798)</f>
        <v>202409</v>
      </c>
      <c r="W798" s="18" t="str">
        <f>_xlfn.CONCAT(TEXT(A798,"MMM"),"-",MID(Q798,3,2))</f>
        <v>Dec-24</v>
      </c>
      <c r="X798" s="19">
        <f>IFERROR(IF(D798="Sell",(H798-P798),-(H798+P798)),0)</f>
        <v>7858.95</v>
      </c>
      <c r="Y798" s="19">
        <f>X798/1000</f>
        <v>7.8589500000000001</v>
      </c>
    </row>
    <row r="799" spans="1:25" x14ac:dyDescent="0.25">
      <c r="A799" s="1">
        <v>45656</v>
      </c>
      <c r="B799" t="s">
        <v>1086</v>
      </c>
      <c r="C799" t="s">
        <v>17</v>
      </c>
      <c r="D799" t="s">
        <v>22</v>
      </c>
      <c r="E799">
        <v>75</v>
      </c>
      <c r="F799">
        <v>0</v>
      </c>
      <c r="G799">
        <v>85</v>
      </c>
      <c r="H799">
        <v>6375</v>
      </c>
      <c r="I799" t="s">
        <v>1093</v>
      </c>
      <c r="J799">
        <v>0</v>
      </c>
      <c r="K799">
        <v>2.27</v>
      </c>
      <c r="L799">
        <v>0</v>
      </c>
      <c r="M799">
        <v>0.01</v>
      </c>
      <c r="N799">
        <v>20</v>
      </c>
      <c r="O799">
        <v>4.0199999999999996</v>
      </c>
      <c r="P799">
        <v>26.3</v>
      </c>
      <c r="Q799" s="18">
        <f>YEAR(A799)</f>
        <v>2024</v>
      </c>
      <c r="R799" s="18">
        <f>MONTH(A799)</f>
        <v>12</v>
      </c>
      <c r="S799" s="18">
        <f>IF(R799&lt;4,Q799-1,Q799)</f>
        <v>2024</v>
      </c>
      <c r="T799" s="18">
        <f>IF(R799&lt;4,R799+9,R799-3)</f>
        <v>9</v>
      </c>
      <c r="U799" s="18" t="str">
        <f>IF(LEN(T799)=1,_xlfn.CONCAT(0,T799),T799)</f>
        <v>09</v>
      </c>
      <c r="V799" s="18" t="str">
        <f>_xlfn.CONCAT(S799,U799)</f>
        <v>202409</v>
      </c>
      <c r="W799" s="18" t="str">
        <f>_xlfn.CONCAT(TEXT(A799,"MMM"),"-",MID(Q799,3,2))</f>
        <v>Dec-24</v>
      </c>
      <c r="X799" s="19">
        <f>IFERROR(IF(D799="Sell",(H799-P799),-(H799+P799)),0)</f>
        <v>-6401.3</v>
      </c>
      <c r="Y799" s="19">
        <f>X799/1000</f>
        <v>-6.4013</v>
      </c>
    </row>
    <row r="800" spans="1:25" x14ac:dyDescent="0.25">
      <c r="A800" s="1">
        <v>45656</v>
      </c>
      <c r="B800" t="s">
        <v>1094</v>
      </c>
      <c r="C800" t="s">
        <v>17</v>
      </c>
      <c r="D800" t="s">
        <v>18</v>
      </c>
      <c r="E800">
        <v>75</v>
      </c>
      <c r="F800">
        <v>0</v>
      </c>
      <c r="G800">
        <v>93.45</v>
      </c>
      <c r="H800">
        <v>7008.75</v>
      </c>
      <c r="I800" t="s">
        <v>1095</v>
      </c>
      <c r="J800">
        <v>7.11</v>
      </c>
      <c r="K800">
        <v>2.4900000000000002</v>
      </c>
      <c r="L800">
        <v>0</v>
      </c>
      <c r="M800">
        <v>0.01</v>
      </c>
      <c r="N800">
        <v>20</v>
      </c>
      <c r="O800">
        <v>4.0599999999999996</v>
      </c>
      <c r="P800">
        <v>33.67</v>
      </c>
      <c r="Q800" s="18">
        <f>YEAR(A800)</f>
        <v>2024</v>
      </c>
      <c r="R800" s="18">
        <f>MONTH(A800)</f>
        <v>12</v>
      </c>
      <c r="S800" s="18">
        <f>IF(R800&lt;4,Q800-1,Q800)</f>
        <v>2024</v>
      </c>
      <c r="T800" s="18">
        <f>IF(R800&lt;4,R800+9,R800-3)</f>
        <v>9</v>
      </c>
      <c r="U800" s="18" t="str">
        <f>IF(LEN(T800)=1,_xlfn.CONCAT(0,T800),T800)</f>
        <v>09</v>
      </c>
      <c r="V800" s="18" t="str">
        <f>_xlfn.CONCAT(S800,U800)</f>
        <v>202409</v>
      </c>
      <c r="W800" s="18" t="str">
        <f>_xlfn.CONCAT(TEXT(A800,"MMM"),"-",MID(Q800,3,2))</f>
        <v>Dec-24</v>
      </c>
      <c r="X800" s="19">
        <f>IFERROR(IF(D800="Sell",(H800-P800),-(H800+P800)),0)</f>
        <v>6975.08</v>
      </c>
      <c r="Y800" s="19">
        <f>X800/1000</f>
        <v>6.9750800000000002</v>
      </c>
    </row>
    <row r="801" spans="1:25" x14ac:dyDescent="0.25">
      <c r="A801" s="1">
        <v>45656</v>
      </c>
      <c r="B801" t="s">
        <v>1094</v>
      </c>
      <c r="C801" t="s">
        <v>17</v>
      </c>
      <c r="D801" t="s">
        <v>22</v>
      </c>
      <c r="E801">
        <v>75</v>
      </c>
      <c r="F801">
        <v>0</v>
      </c>
      <c r="G801">
        <v>108.55</v>
      </c>
      <c r="H801">
        <v>8141.25</v>
      </c>
      <c r="I801" t="s">
        <v>1096</v>
      </c>
      <c r="J801">
        <v>0</v>
      </c>
      <c r="K801">
        <v>2.89</v>
      </c>
      <c r="L801">
        <v>0</v>
      </c>
      <c r="M801">
        <v>0.01</v>
      </c>
      <c r="N801">
        <v>20</v>
      </c>
      <c r="O801">
        <v>4.12</v>
      </c>
      <c r="P801">
        <v>27.02</v>
      </c>
      <c r="Q801" s="18">
        <f>YEAR(A801)</f>
        <v>2024</v>
      </c>
      <c r="R801" s="18">
        <f>MONTH(A801)</f>
        <v>12</v>
      </c>
      <c r="S801" s="18">
        <f>IF(R801&lt;4,Q801-1,Q801)</f>
        <v>2024</v>
      </c>
      <c r="T801" s="18">
        <f>IF(R801&lt;4,R801+9,R801-3)</f>
        <v>9</v>
      </c>
      <c r="U801" s="18" t="str">
        <f>IF(LEN(T801)=1,_xlfn.CONCAT(0,T801),T801)</f>
        <v>09</v>
      </c>
      <c r="V801" s="18" t="str">
        <f>_xlfn.CONCAT(S801,U801)</f>
        <v>202409</v>
      </c>
      <c r="W801" s="18" t="str">
        <f>_xlfn.CONCAT(TEXT(A801,"MMM"),"-",MID(Q801,3,2))</f>
        <v>Dec-24</v>
      </c>
      <c r="X801" s="19">
        <f>IFERROR(IF(D801="Sell",(H801-P801),-(H801+P801)),0)</f>
        <v>-8168.27</v>
      </c>
      <c r="Y801" s="19">
        <f>X801/1000</f>
        <v>-8.1682699999999997</v>
      </c>
    </row>
    <row r="802" spans="1:25" x14ac:dyDescent="0.25">
      <c r="A802" s="1">
        <v>45657</v>
      </c>
      <c r="B802" t="s">
        <v>1097</v>
      </c>
      <c r="C802" t="s">
        <v>17</v>
      </c>
      <c r="D802" t="s">
        <v>22</v>
      </c>
      <c r="E802">
        <v>75</v>
      </c>
      <c r="F802">
        <v>0</v>
      </c>
      <c r="G802">
        <v>103</v>
      </c>
      <c r="H802">
        <v>7725</v>
      </c>
      <c r="I802" t="s">
        <v>1098</v>
      </c>
      <c r="J802">
        <v>0</v>
      </c>
      <c r="K802">
        <v>2.74</v>
      </c>
      <c r="L802">
        <v>0</v>
      </c>
      <c r="M802">
        <v>0.01</v>
      </c>
      <c r="N802">
        <v>20</v>
      </c>
      <c r="O802">
        <v>4.0999999999999996</v>
      </c>
      <c r="P802">
        <v>26.85</v>
      </c>
      <c r="Q802" s="18">
        <f>YEAR(A802)</f>
        <v>2024</v>
      </c>
      <c r="R802" s="18">
        <f>MONTH(A802)</f>
        <v>12</v>
      </c>
      <c r="S802" s="18">
        <f>IF(R802&lt;4,Q802-1,Q802)</f>
        <v>2024</v>
      </c>
      <c r="T802" s="18">
        <f>IF(R802&lt;4,R802+9,R802-3)</f>
        <v>9</v>
      </c>
      <c r="U802" s="18" t="str">
        <f>IF(LEN(T802)=1,_xlfn.CONCAT(0,T802),T802)</f>
        <v>09</v>
      </c>
      <c r="V802" s="18" t="str">
        <f>_xlfn.CONCAT(S802,U802)</f>
        <v>202409</v>
      </c>
      <c r="W802" s="18" t="str">
        <f>_xlfn.CONCAT(TEXT(A802,"MMM"),"-",MID(Q802,3,2))</f>
        <v>Dec-24</v>
      </c>
      <c r="X802" s="19">
        <f>IFERROR(IF(D802="Sell",(H802-P802),-(H802+P802)),0)</f>
        <v>-7751.85</v>
      </c>
      <c r="Y802" s="19">
        <f>X802/1000</f>
        <v>-7.7518500000000001</v>
      </c>
    </row>
    <row r="803" spans="1:25" x14ac:dyDescent="0.25">
      <c r="A803" s="1">
        <v>45657</v>
      </c>
      <c r="B803" t="s">
        <v>1097</v>
      </c>
      <c r="C803" t="s">
        <v>17</v>
      </c>
      <c r="D803" t="s">
        <v>22</v>
      </c>
      <c r="E803">
        <v>75</v>
      </c>
      <c r="F803">
        <v>0</v>
      </c>
      <c r="G803">
        <v>108.9</v>
      </c>
      <c r="H803">
        <v>8167.5</v>
      </c>
      <c r="I803" t="s">
        <v>1099</v>
      </c>
      <c r="J803">
        <v>0</v>
      </c>
      <c r="K803">
        <v>2.9</v>
      </c>
      <c r="L803">
        <v>0</v>
      </c>
      <c r="M803">
        <v>0.01</v>
      </c>
      <c r="N803">
        <v>20</v>
      </c>
      <c r="O803">
        <v>4.12</v>
      </c>
      <c r="P803">
        <v>27.03</v>
      </c>
      <c r="Q803" s="18">
        <f>YEAR(A803)</f>
        <v>2024</v>
      </c>
      <c r="R803" s="18">
        <f>MONTH(A803)</f>
        <v>12</v>
      </c>
      <c r="S803" s="18">
        <f>IF(R803&lt;4,Q803-1,Q803)</f>
        <v>2024</v>
      </c>
      <c r="T803" s="18">
        <f>IF(R803&lt;4,R803+9,R803-3)</f>
        <v>9</v>
      </c>
      <c r="U803" s="18" t="str">
        <f>IF(LEN(T803)=1,_xlfn.CONCAT(0,T803),T803)</f>
        <v>09</v>
      </c>
      <c r="V803" s="18" t="str">
        <f>_xlfn.CONCAT(S803,U803)</f>
        <v>202409</v>
      </c>
      <c r="W803" s="18" t="str">
        <f>_xlfn.CONCAT(TEXT(A803,"MMM"),"-",MID(Q803,3,2))</f>
        <v>Dec-24</v>
      </c>
      <c r="X803" s="19">
        <f>IFERROR(IF(D803="Sell",(H803-P803),-(H803+P803)),0)</f>
        <v>-8194.5300000000007</v>
      </c>
      <c r="Y803" s="19">
        <f>X803/1000</f>
        <v>-8.1945300000000003</v>
      </c>
    </row>
    <row r="804" spans="1:25" x14ac:dyDescent="0.25">
      <c r="A804" s="1">
        <v>45657</v>
      </c>
      <c r="B804" t="s">
        <v>1097</v>
      </c>
      <c r="C804" t="s">
        <v>17</v>
      </c>
      <c r="D804" t="s">
        <v>22</v>
      </c>
      <c r="E804">
        <v>75</v>
      </c>
      <c r="F804">
        <v>0</v>
      </c>
      <c r="G804">
        <v>126.25</v>
      </c>
      <c r="H804">
        <v>9468.75</v>
      </c>
      <c r="I804" t="s">
        <v>1100</v>
      </c>
      <c r="J804">
        <v>0</v>
      </c>
      <c r="K804">
        <v>3.36</v>
      </c>
      <c r="L804">
        <v>0.44</v>
      </c>
      <c r="M804">
        <v>0.01</v>
      </c>
      <c r="N804">
        <v>20</v>
      </c>
      <c r="O804">
        <v>4.2</v>
      </c>
      <c r="P804">
        <v>28.01</v>
      </c>
      <c r="Q804" s="18">
        <f>YEAR(A804)</f>
        <v>2024</v>
      </c>
      <c r="R804" s="18">
        <f>MONTH(A804)</f>
        <v>12</v>
      </c>
      <c r="S804" s="18">
        <f>IF(R804&lt;4,Q804-1,Q804)</f>
        <v>2024</v>
      </c>
      <c r="T804" s="18">
        <f>IF(R804&lt;4,R804+9,R804-3)</f>
        <v>9</v>
      </c>
      <c r="U804" s="18" t="str">
        <f>IF(LEN(T804)=1,_xlfn.CONCAT(0,T804),T804)</f>
        <v>09</v>
      </c>
      <c r="V804" s="18" t="str">
        <f>_xlfn.CONCAT(S804,U804)</f>
        <v>202409</v>
      </c>
      <c r="W804" s="18" t="str">
        <f>_xlfn.CONCAT(TEXT(A804,"MMM"),"-",MID(Q804,3,2))</f>
        <v>Dec-24</v>
      </c>
      <c r="X804" s="19">
        <f>IFERROR(IF(D804="Sell",(H804-P804),-(H804+P804)),0)</f>
        <v>-9496.76</v>
      </c>
      <c r="Y804" s="19">
        <f>X804/1000</f>
        <v>-9.4967600000000001</v>
      </c>
    </row>
    <row r="805" spans="1:25" x14ac:dyDescent="0.25">
      <c r="A805" s="1">
        <v>45657</v>
      </c>
      <c r="B805" t="s">
        <v>1101</v>
      </c>
      <c r="C805" t="s">
        <v>17</v>
      </c>
      <c r="D805" t="s">
        <v>18</v>
      </c>
      <c r="E805">
        <v>75</v>
      </c>
      <c r="F805">
        <v>0</v>
      </c>
      <c r="G805">
        <v>129.25</v>
      </c>
      <c r="H805">
        <v>9693.75</v>
      </c>
      <c r="I805" t="s">
        <v>1102</v>
      </c>
      <c r="J805">
        <v>9.56</v>
      </c>
      <c r="K805">
        <v>3.44</v>
      </c>
      <c r="L805">
        <v>0</v>
      </c>
      <c r="M805">
        <v>0.01</v>
      </c>
      <c r="N805">
        <v>20</v>
      </c>
      <c r="O805">
        <v>4.22</v>
      </c>
      <c r="P805">
        <v>37.229999999999997</v>
      </c>
      <c r="Q805" s="18">
        <f>YEAR(A805)</f>
        <v>2024</v>
      </c>
      <c r="R805" s="18">
        <f>MONTH(A805)</f>
        <v>12</v>
      </c>
      <c r="S805" s="18">
        <f>IF(R805&lt;4,Q805-1,Q805)</f>
        <v>2024</v>
      </c>
      <c r="T805" s="18">
        <f>IF(R805&lt;4,R805+9,R805-3)</f>
        <v>9</v>
      </c>
      <c r="U805" s="18" t="str">
        <f>IF(LEN(T805)=1,_xlfn.CONCAT(0,T805),T805)</f>
        <v>09</v>
      </c>
      <c r="V805" s="18" t="str">
        <f>_xlfn.CONCAT(S805,U805)</f>
        <v>202409</v>
      </c>
      <c r="W805" s="18" t="str">
        <f>_xlfn.CONCAT(TEXT(A805,"MMM"),"-",MID(Q805,3,2))</f>
        <v>Dec-24</v>
      </c>
      <c r="X805" s="19">
        <f>IFERROR(IF(D805="Sell",(H805-P805),-(H805+P805)),0)</f>
        <v>9656.52</v>
      </c>
      <c r="Y805" s="19">
        <f>X805/1000</f>
        <v>9.6565200000000004</v>
      </c>
    </row>
    <row r="806" spans="1:25" x14ac:dyDescent="0.25">
      <c r="A806" s="1">
        <v>45657</v>
      </c>
      <c r="B806" t="s">
        <v>1101</v>
      </c>
      <c r="C806" t="s">
        <v>17</v>
      </c>
      <c r="D806" t="s">
        <v>22</v>
      </c>
      <c r="E806">
        <v>75</v>
      </c>
      <c r="F806">
        <v>0</v>
      </c>
      <c r="G806">
        <v>122.25</v>
      </c>
      <c r="H806">
        <v>9168.75</v>
      </c>
      <c r="I806" t="s">
        <v>1103</v>
      </c>
      <c r="J806">
        <v>0</v>
      </c>
      <c r="K806">
        <v>3.26</v>
      </c>
      <c r="L806">
        <v>0</v>
      </c>
      <c r="M806">
        <v>0.01</v>
      </c>
      <c r="N806">
        <v>20</v>
      </c>
      <c r="O806">
        <v>4.18</v>
      </c>
      <c r="P806">
        <v>27.45</v>
      </c>
      <c r="Q806" s="18">
        <f>YEAR(A806)</f>
        <v>2024</v>
      </c>
      <c r="R806" s="18">
        <f>MONTH(A806)</f>
        <v>12</v>
      </c>
      <c r="S806" s="18">
        <f>IF(R806&lt;4,Q806-1,Q806)</f>
        <v>2024</v>
      </c>
      <c r="T806" s="18">
        <f>IF(R806&lt;4,R806+9,R806-3)</f>
        <v>9</v>
      </c>
      <c r="U806" s="18" t="str">
        <f>IF(LEN(T806)=1,_xlfn.CONCAT(0,T806),T806)</f>
        <v>09</v>
      </c>
      <c r="V806" s="18" t="str">
        <f>_xlfn.CONCAT(S806,U806)</f>
        <v>202409</v>
      </c>
      <c r="W806" s="18" t="str">
        <f>_xlfn.CONCAT(TEXT(A806,"MMM"),"-",MID(Q806,3,2))</f>
        <v>Dec-24</v>
      </c>
      <c r="X806" s="19">
        <f>IFERROR(IF(D806="Sell",(H806-P806),-(H806+P806)),0)</f>
        <v>-9196.2000000000007</v>
      </c>
      <c r="Y806" s="19">
        <f>X806/1000</f>
        <v>-9.196200000000001</v>
      </c>
    </row>
    <row r="807" spans="1:25" x14ac:dyDescent="0.25">
      <c r="A807" s="1">
        <v>45657</v>
      </c>
      <c r="B807" t="s">
        <v>1101</v>
      </c>
      <c r="C807" t="s">
        <v>17</v>
      </c>
      <c r="D807" t="s">
        <v>18</v>
      </c>
      <c r="E807">
        <v>75</v>
      </c>
      <c r="F807">
        <v>0</v>
      </c>
      <c r="G807">
        <v>139.25</v>
      </c>
      <c r="H807">
        <v>10443.75</v>
      </c>
      <c r="I807" t="s">
        <v>1104</v>
      </c>
      <c r="J807">
        <v>10.44</v>
      </c>
      <c r="K807">
        <v>3.71</v>
      </c>
      <c r="L807">
        <v>0</v>
      </c>
      <c r="M807">
        <v>0.01</v>
      </c>
      <c r="N807">
        <v>20</v>
      </c>
      <c r="O807">
        <v>4.26</v>
      </c>
      <c r="P807">
        <v>38.42</v>
      </c>
      <c r="Q807" s="18">
        <f>YEAR(A807)</f>
        <v>2024</v>
      </c>
      <c r="R807" s="18">
        <f>MONTH(A807)</f>
        <v>12</v>
      </c>
      <c r="S807" s="18">
        <f>IF(R807&lt;4,Q807-1,Q807)</f>
        <v>2024</v>
      </c>
      <c r="T807" s="18">
        <f>IF(R807&lt;4,R807+9,R807-3)</f>
        <v>9</v>
      </c>
      <c r="U807" s="18" t="str">
        <f>IF(LEN(T807)=1,_xlfn.CONCAT(0,T807),T807)</f>
        <v>09</v>
      </c>
      <c r="V807" s="18" t="str">
        <f>_xlfn.CONCAT(S807,U807)</f>
        <v>202409</v>
      </c>
      <c r="W807" s="18" t="str">
        <f>_xlfn.CONCAT(TEXT(A807,"MMM"),"-",MID(Q807,3,2))</f>
        <v>Dec-24</v>
      </c>
      <c r="X807" s="19">
        <f>IFERROR(IF(D807="Sell",(H807-P807),-(H807+P807)),0)</f>
        <v>10405.33</v>
      </c>
      <c r="Y807" s="19">
        <f>X807/1000</f>
        <v>10.405329999999999</v>
      </c>
    </row>
    <row r="808" spans="1:25" x14ac:dyDescent="0.25">
      <c r="A808" s="1">
        <v>45657</v>
      </c>
      <c r="B808" t="s">
        <v>1101</v>
      </c>
      <c r="C808" t="s">
        <v>17</v>
      </c>
      <c r="D808" t="s">
        <v>22</v>
      </c>
      <c r="E808">
        <v>75</v>
      </c>
      <c r="F808">
        <v>0</v>
      </c>
      <c r="G808">
        <v>127.2</v>
      </c>
      <c r="H808">
        <v>9540</v>
      </c>
      <c r="I808" t="s">
        <v>1105</v>
      </c>
      <c r="J808">
        <v>0</v>
      </c>
      <c r="K808">
        <v>3.39</v>
      </c>
      <c r="L808">
        <v>0.56000000000000005</v>
      </c>
      <c r="M808">
        <v>0.01</v>
      </c>
      <c r="N808">
        <v>20</v>
      </c>
      <c r="O808">
        <v>4.22</v>
      </c>
      <c r="P808">
        <v>28.18</v>
      </c>
      <c r="Q808" s="18">
        <f>YEAR(A808)</f>
        <v>2024</v>
      </c>
      <c r="R808" s="18">
        <f>MONTH(A808)</f>
        <v>12</v>
      </c>
      <c r="S808" s="18">
        <f>IF(R808&lt;4,Q808-1,Q808)</f>
        <v>2024</v>
      </c>
      <c r="T808" s="18">
        <f>IF(R808&lt;4,R808+9,R808-3)</f>
        <v>9</v>
      </c>
      <c r="U808" s="18" t="str">
        <f>IF(LEN(T808)=1,_xlfn.CONCAT(0,T808),T808)</f>
        <v>09</v>
      </c>
      <c r="V808" s="18" t="str">
        <f>_xlfn.CONCAT(S808,U808)</f>
        <v>202409</v>
      </c>
      <c r="W808" s="18" t="str">
        <f>_xlfn.CONCAT(TEXT(A808,"MMM"),"-",MID(Q808,3,2))</f>
        <v>Dec-24</v>
      </c>
      <c r="X808" s="19">
        <f>IFERROR(IF(D808="Sell",(H808-P808),-(H808+P808)),0)</f>
        <v>-9568.18</v>
      </c>
      <c r="Y808" s="19">
        <f>X808/1000</f>
        <v>-9.5681799999999999</v>
      </c>
    </row>
    <row r="809" spans="1:25" x14ac:dyDescent="0.25">
      <c r="A809" s="1">
        <v>45658</v>
      </c>
      <c r="B809" t="s">
        <v>1106</v>
      </c>
      <c r="C809" t="s">
        <v>17</v>
      </c>
      <c r="D809" t="s">
        <v>18</v>
      </c>
      <c r="E809">
        <v>225</v>
      </c>
      <c r="F809">
        <v>0</v>
      </c>
      <c r="G809">
        <v>169.75</v>
      </c>
      <c r="H809">
        <v>38193.75</v>
      </c>
      <c r="I809" t="s">
        <v>1107</v>
      </c>
      <c r="J809">
        <v>38.19</v>
      </c>
      <c r="K809">
        <v>13.57</v>
      </c>
      <c r="L809">
        <v>0</v>
      </c>
      <c r="M809">
        <v>0.04</v>
      </c>
      <c r="N809">
        <v>60</v>
      </c>
      <c r="O809">
        <v>13.24</v>
      </c>
      <c r="P809">
        <v>125.04</v>
      </c>
      <c r="Q809" s="18">
        <f>YEAR(A809)</f>
        <v>2025</v>
      </c>
      <c r="R809" s="18">
        <f>MONTH(A809)</f>
        <v>1</v>
      </c>
      <c r="S809" s="18">
        <f>IF(R809&lt;4,Q809-1,Q809)</f>
        <v>2024</v>
      </c>
      <c r="T809" s="18">
        <f>IF(R809&lt;4,R809+9,R809-3)</f>
        <v>10</v>
      </c>
      <c r="U809" s="18">
        <f>IF(LEN(T809)=1,_xlfn.CONCAT(0,T809),T809)</f>
        <v>10</v>
      </c>
      <c r="V809" s="18" t="str">
        <f>_xlfn.CONCAT(S809,U809)</f>
        <v>202410</v>
      </c>
      <c r="W809" s="18" t="str">
        <f>_xlfn.CONCAT(TEXT(A809,"MMM"),"-",MID(Q809,3,2))</f>
        <v>Jan-25</v>
      </c>
      <c r="X809" s="19">
        <f>IFERROR(IF(D809="Sell",(H809-P809),-(H809+P809)),0)</f>
        <v>38068.71</v>
      </c>
      <c r="Y809" s="19">
        <f>X809/1000</f>
        <v>38.068709999999996</v>
      </c>
    </row>
    <row r="810" spans="1:25" x14ac:dyDescent="0.25">
      <c r="A810" s="1">
        <v>45658</v>
      </c>
      <c r="B810" t="s">
        <v>1106</v>
      </c>
      <c r="C810" t="s">
        <v>17</v>
      </c>
      <c r="D810" t="s">
        <v>22</v>
      </c>
      <c r="E810">
        <v>225</v>
      </c>
      <c r="F810">
        <v>0</v>
      </c>
      <c r="G810">
        <v>160.25</v>
      </c>
      <c r="H810">
        <v>36056.25</v>
      </c>
      <c r="I810" t="s">
        <v>1108</v>
      </c>
      <c r="J810">
        <v>0</v>
      </c>
      <c r="K810">
        <v>12.81</v>
      </c>
      <c r="L810">
        <v>0.79</v>
      </c>
      <c r="M810">
        <v>0.04</v>
      </c>
      <c r="N810">
        <v>60</v>
      </c>
      <c r="O810">
        <v>13.12</v>
      </c>
      <c r="P810">
        <v>86.76</v>
      </c>
      <c r="Q810" s="18">
        <f>YEAR(A810)</f>
        <v>2025</v>
      </c>
      <c r="R810" s="18">
        <f>MONTH(A810)</f>
        <v>1</v>
      </c>
      <c r="S810" s="18">
        <f>IF(R810&lt;4,Q810-1,Q810)</f>
        <v>2024</v>
      </c>
      <c r="T810" s="18">
        <f>IF(R810&lt;4,R810+9,R810-3)</f>
        <v>10</v>
      </c>
      <c r="U810" s="18">
        <f>IF(LEN(T810)=1,_xlfn.CONCAT(0,T810),T810)</f>
        <v>10</v>
      </c>
      <c r="V810" s="18" t="str">
        <f>_xlfn.CONCAT(S810,U810)</f>
        <v>202410</v>
      </c>
      <c r="W810" s="18" t="str">
        <f>_xlfn.CONCAT(TEXT(A810,"MMM"),"-",MID(Q810,3,2))</f>
        <v>Jan-25</v>
      </c>
      <c r="X810" s="19">
        <f>IFERROR(IF(D810="Sell",(H810-P810),-(H810+P810)),0)</f>
        <v>-36143.01</v>
      </c>
      <c r="Y810" s="19">
        <f>X810/1000</f>
        <v>-36.143010000000004</v>
      </c>
    </row>
    <row r="811" spans="1:25" x14ac:dyDescent="0.25">
      <c r="A811" s="1">
        <v>45658</v>
      </c>
      <c r="B811" t="s">
        <v>1109</v>
      </c>
      <c r="C811" t="s">
        <v>17</v>
      </c>
      <c r="D811" t="s">
        <v>18</v>
      </c>
      <c r="E811">
        <v>225</v>
      </c>
      <c r="F811">
        <v>0</v>
      </c>
      <c r="G811">
        <v>115.5</v>
      </c>
      <c r="H811">
        <v>25987.5</v>
      </c>
      <c r="I811" t="s">
        <v>1110</v>
      </c>
      <c r="J811">
        <v>25.99</v>
      </c>
      <c r="K811">
        <v>9.23</v>
      </c>
      <c r="L811">
        <v>0</v>
      </c>
      <c r="M811">
        <v>0.03</v>
      </c>
      <c r="N811">
        <v>60</v>
      </c>
      <c r="O811">
        <v>12.46</v>
      </c>
      <c r="P811">
        <v>107.71</v>
      </c>
      <c r="Q811" s="18">
        <f>YEAR(A811)</f>
        <v>2025</v>
      </c>
      <c r="R811" s="18">
        <f>MONTH(A811)</f>
        <v>1</v>
      </c>
      <c r="S811" s="18">
        <f>IF(R811&lt;4,Q811-1,Q811)</f>
        <v>2024</v>
      </c>
      <c r="T811" s="18">
        <f>IF(R811&lt;4,R811+9,R811-3)</f>
        <v>10</v>
      </c>
      <c r="U811" s="18">
        <f>IF(LEN(T811)=1,_xlfn.CONCAT(0,T811),T811)</f>
        <v>10</v>
      </c>
      <c r="V811" s="18" t="str">
        <f>_xlfn.CONCAT(S811,U811)</f>
        <v>202410</v>
      </c>
      <c r="W811" s="18" t="str">
        <f>_xlfn.CONCAT(TEXT(A811,"MMM"),"-",MID(Q811,3,2))</f>
        <v>Jan-25</v>
      </c>
      <c r="X811" s="19">
        <f>IFERROR(IF(D811="Sell",(H811-P811),-(H811+P811)),0)</f>
        <v>25879.79</v>
      </c>
      <c r="Y811" s="19">
        <f>X811/1000</f>
        <v>25.87979</v>
      </c>
    </row>
    <row r="812" spans="1:25" x14ac:dyDescent="0.25">
      <c r="A812" s="1">
        <v>45658</v>
      </c>
      <c r="B812" t="s">
        <v>1109</v>
      </c>
      <c r="C812" t="s">
        <v>17</v>
      </c>
      <c r="D812" t="s">
        <v>22</v>
      </c>
      <c r="E812">
        <v>225</v>
      </c>
      <c r="F812">
        <v>0</v>
      </c>
      <c r="G812">
        <v>105.4</v>
      </c>
      <c r="H812">
        <v>23715</v>
      </c>
      <c r="I812" t="s">
        <v>1111</v>
      </c>
      <c r="J812">
        <v>0</v>
      </c>
      <c r="K812">
        <v>8.43</v>
      </c>
      <c r="L812">
        <v>0.71</v>
      </c>
      <c r="M812">
        <v>0.02</v>
      </c>
      <c r="N812">
        <v>60</v>
      </c>
      <c r="O812">
        <v>12.32</v>
      </c>
      <c r="P812">
        <v>81.48</v>
      </c>
      <c r="Q812" s="18">
        <f>YEAR(A812)</f>
        <v>2025</v>
      </c>
      <c r="R812" s="18">
        <f>MONTH(A812)</f>
        <v>1</v>
      </c>
      <c r="S812" s="18">
        <f>IF(R812&lt;4,Q812-1,Q812)</f>
        <v>2024</v>
      </c>
      <c r="T812" s="18">
        <f>IF(R812&lt;4,R812+9,R812-3)</f>
        <v>10</v>
      </c>
      <c r="U812" s="18">
        <f>IF(LEN(T812)=1,_xlfn.CONCAT(0,T812),T812)</f>
        <v>10</v>
      </c>
      <c r="V812" s="18" t="str">
        <f>_xlfn.CONCAT(S812,U812)</f>
        <v>202410</v>
      </c>
      <c r="W812" s="18" t="str">
        <f>_xlfn.CONCAT(TEXT(A812,"MMM"),"-",MID(Q812,3,2))</f>
        <v>Jan-25</v>
      </c>
      <c r="X812" s="19">
        <f>IFERROR(IF(D812="Sell",(H812-P812),-(H812+P812)),0)</f>
        <v>-23796.48</v>
      </c>
      <c r="Y812" s="19">
        <f>X812/1000</f>
        <v>-23.796479999999999</v>
      </c>
    </row>
    <row r="813" spans="1:25" x14ac:dyDescent="0.25">
      <c r="A813" s="1">
        <v>45658</v>
      </c>
      <c r="B813" t="s">
        <v>1112</v>
      </c>
      <c r="C813" t="s">
        <v>17</v>
      </c>
      <c r="D813" t="s">
        <v>18</v>
      </c>
      <c r="E813">
        <v>150</v>
      </c>
      <c r="F813">
        <v>0</v>
      </c>
      <c r="G813">
        <v>120.15</v>
      </c>
      <c r="H813">
        <v>18022.5</v>
      </c>
      <c r="I813" t="s">
        <v>1113</v>
      </c>
      <c r="J813">
        <v>18.02</v>
      </c>
      <c r="K813">
        <v>6.4</v>
      </c>
      <c r="L813">
        <v>0</v>
      </c>
      <c r="M813">
        <v>0.02</v>
      </c>
      <c r="N813">
        <v>40</v>
      </c>
      <c r="O813">
        <v>8.36</v>
      </c>
      <c r="P813">
        <v>72.8</v>
      </c>
      <c r="Q813" s="18">
        <f>YEAR(A813)</f>
        <v>2025</v>
      </c>
      <c r="R813" s="18">
        <f>MONTH(A813)</f>
        <v>1</v>
      </c>
      <c r="S813" s="18">
        <f>IF(R813&lt;4,Q813-1,Q813)</f>
        <v>2024</v>
      </c>
      <c r="T813" s="18">
        <f>IF(R813&lt;4,R813+9,R813-3)</f>
        <v>10</v>
      </c>
      <c r="U813" s="18">
        <f>IF(LEN(T813)=1,_xlfn.CONCAT(0,T813),T813)</f>
        <v>10</v>
      </c>
      <c r="V813" s="18" t="str">
        <f>_xlfn.CONCAT(S813,U813)</f>
        <v>202410</v>
      </c>
      <c r="W813" s="18" t="str">
        <f>_xlfn.CONCAT(TEXT(A813,"MMM"),"-",MID(Q813,3,2))</f>
        <v>Jan-25</v>
      </c>
      <c r="X813" s="19">
        <f>IFERROR(IF(D813="Sell",(H813-P813),-(H813+P813)),0)</f>
        <v>17949.7</v>
      </c>
      <c r="Y813" s="19">
        <f>X813/1000</f>
        <v>17.9497</v>
      </c>
    </row>
    <row r="814" spans="1:25" x14ac:dyDescent="0.25">
      <c r="A814" s="1">
        <v>45658</v>
      </c>
      <c r="B814" t="s">
        <v>1112</v>
      </c>
      <c r="C814" t="s">
        <v>17</v>
      </c>
      <c r="D814" t="s">
        <v>22</v>
      </c>
      <c r="E814">
        <v>75</v>
      </c>
      <c r="F814">
        <v>0</v>
      </c>
      <c r="G814">
        <v>110</v>
      </c>
      <c r="H814">
        <v>8250</v>
      </c>
      <c r="I814" t="s">
        <v>1114</v>
      </c>
      <c r="J814">
        <v>0</v>
      </c>
      <c r="K814">
        <v>2.93</v>
      </c>
      <c r="L814">
        <v>0.5</v>
      </c>
      <c r="M814">
        <v>0.01</v>
      </c>
      <c r="N814">
        <v>20</v>
      </c>
      <c r="O814">
        <v>4.12</v>
      </c>
      <c r="P814">
        <v>27.56</v>
      </c>
      <c r="Q814" s="18">
        <f>YEAR(A814)</f>
        <v>2025</v>
      </c>
      <c r="R814" s="18">
        <f>MONTH(A814)</f>
        <v>1</v>
      </c>
      <c r="S814" s="18">
        <f>IF(R814&lt;4,Q814-1,Q814)</f>
        <v>2024</v>
      </c>
      <c r="T814" s="18">
        <f>IF(R814&lt;4,R814+9,R814-3)</f>
        <v>10</v>
      </c>
      <c r="U814" s="18">
        <f>IF(LEN(T814)=1,_xlfn.CONCAT(0,T814),T814)</f>
        <v>10</v>
      </c>
      <c r="V814" s="18" t="str">
        <f>_xlfn.CONCAT(S814,U814)</f>
        <v>202410</v>
      </c>
      <c r="W814" s="18" t="str">
        <f>_xlfn.CONCAT(TEXT(A814,"MMM"),"-",MID(Q814,3,2))</f>
        <v>Jan-25</v>
      </c>
      <c r="X814" s="19">
        <f>IFERROR(IF(D814="Sell",(H814-P814),-(H814+P814)),0)</f>
        <v>-8277.56</v>
      </c>
      <c r="Y814" s="19">
        <f>X814/1000</f>
        <v>-8.2775599999999994</v>
      </c>
    </row>
    <row r="815" spans="1:25" x14ac:dyDescent="0.25">
      <c r="A815" s="1">
        <v>45658</v>
      </c>
      <c r="B815" t="s">
        <v>1112</v>
      </c>
      <c r="C815" t="s">
        <v>17</v>
      </c>
      <c r="D815" t="s">
        <v>22</v>
      </c>
      <c r="E815">
        <v>75</v>
      </c>
      <c r="F815">
        <v>0</v>
      </c>
      <c r="G815">
        <v>113.4</v>
      </c>
      <c r="H815">
        <v>8505</v>
      </c>
      <c r="I815" t="s">
        <v>1115</v>
      </c>
      <c r="J815">
        <v>0</v>
      </c>
      <c r="K815">
        <v>3.02</v>
      </c>
      <c r="L815">
        <v>0</v>
      </c>
      <c r="M815">
        <v>0.01</v>
      </c>
      <c r="N815">
        <v>20</v>
      </c>
      <c r="O815">
        <v>4.1399999999999997</v>
      </c>
      <c r="P815">
        <v>27.17</v>
      </c>
      <c r="Q815" s="18">
        <f>YEAR(A815)</f>
        <v>2025</v>
      </c>
      <c r="R815" s="18">
        <f>MONTH(A815)</f>
        <v>1</v>
      </c>
      <c r="S815" s="18">
        <f>IF(R815&lt;4,Q815-1,Q815)</f>
        <v>2024</v>
      </c>
      <c r="T815" s="18">
        <f>IF(R815&lt;4,R815+9,R815-3)</f>
        <v>10</v>
      </c>
      <c r="U815" s="18">
        <f>IF(LEN(T815)=1,_xlfn.CONCAT(0,T815),T815)</f>
        <v>10</v>
      </c>
      <c r="V815" s="18" t="str">
        <f>_xlfn.CONCAT(S815,U815)</f>
        <v>202410</v>
      </c>
      <c r="W815" s="18" t="str">
        <f>_xlfn.CONCAT(TEXT(A815,"MMM"),"-",MID(Q815,3,2))</f>
        <v>Jan-25</v>
      </c>
      <c r="X815" s="19">
        <f>IFERROR(IF(D815="Sell",(H815-P815),-(H815+P815)),0)</f>
        <v>-8532.17</v>
      </c>
      <c r="Y815" s="19">
        <f>X815/1000</f>
        <v>-8.5321700000000007</v>
      </c>
    </row>
    <row r="816" spans="1:25" x14ac:dyDescent="0.25">
      <c r="A816" s="1">
        <v>45658</v>
      </c>
      <c r="B816" t="s">
        <v>1097</v>
      </c>
      <c r="C816" t="s">
        <v>17</v>
      </c>
      <c r="D816" t="s">
        <v>18</v>
      </c>
      <c r="E816">
        <v>225</v>
      </c>
      <c r="F816">
        <v>0</v>
      </c>
      <c r="G816">
        <v>86</v>
      </c>
      <c r="H816">
        <v>19350</v>
      </c>
      <c r="I816" t="s">
        <v>1116</v>
      </c>
      <c r="J816">
        <v>19.8</v>
      </c>
      <c r="K816">
        <v>6.87</v>
      </c>
      <c r="L816">
        <v>0</v>
      </c>
      <c r="M816">
        <v>0.02</v>
      </c>
      <c r="N816">
        <v>60</v>
      </c>
      <c r="O816">
        <v>12.04</v>
      </c>
      <c r="P816">
        <v>98.73</v>
      </c>
      <c r="Q816" s="18">
        <f>YEAR(A816)</f>
        <v>2025</v>
      </c>
      <c r="R816" s="18">
        <f>MONTH(A816)</f>
        <v>1</v>
      </c>
      <c r="S816" s="18">
        <f>IF(R816&lt;4,Q816-1,Q816)</f>
        <v>2024</v>
      </c>
      <c r="T816" s="18">
        <f>IF(R816&lt;4,R816+9,R816-3)</f>
        <v>10</v>
      </c>
      <c r="U816" s="18">
        <f>IF(LEN(T816)=1,_xlfn.CONCAT(0,T816),T816)</f>
        <v>10</v>
      </c>
      <c r="V816" s="18" t="str">
        <f>_xlfn.CONCAT(S816,U816)</f>
        <v>202410</v>
      </c>
      <c r="W816" s="18" t="str">
        <f>_xlfn.CONCAT(TEXT(A816,"MMM"),"-",MID(Q816,3,2))</f>
        <v>Jan-25</v>
      </c>
      <c r="X816" s="19">
        <f>IFERROR(IF(D816="Sell",(H816-P816),-(H816+P816)),0)</f>
        <v>19251.27</v>
      </c>
      <c r="Y816" s="19">
        <f>X816/1000</f>
        <v>19.251270000000002</v>
      </c>
    </row>
    <row r="817" spans="1:25" x14ac:dyDescent="0.25">
      <c r="A817" s="1">
        <v>45659</v>
      </c>
      <c r="B817" t="s">
        <v>1086</v>
      </c>
      <c r="C817" t="s">
        <v>17</v>
      </c>
      <c r="D817" t="s">
        <v>18</v>
      </c>
      <c r="E817">
        <v>300</v>
      </c>
      <c r="F817">
        <v>0</v>
      </c>
      <c r="G817">
        <v>37.35</v>
      </c>
      <c r="H817">
        <v>11205</v>
      </c>
      <c r="I817" t="s">
        <v>1117</v>
      </c>
      <c r="J817">
        <v>11.21</v>
      </c>
      <c r="K817">
        <v>3.98</v>
      </c>
      <c r="L817">
        <v>0</v>
      </c>
      <c r="M817">
        <v>0.01</v>
      </c>
      <c r="N817">
        <v>80</v>
      </c>
      <c r="O817">
        <v>15.12</v>
      </c>
      <c r="P817">
        <v>110.32</v>
      </c>
      <c r="Q817" s="18">
        <f>YEAR(A817)</f>
        <v>2025</v>
      </c>
      <c r="R817" s="18">
        <f>MONTH(A817)</f>
        <v>1</v>
      </c>
      <c r="S817" s="18">
        <f>IF(R817&lt;4,Q817-1,Q817)</f>
        <v>2024</v>
      </c>
      <c r="T817" s="18">
        <f>IF(R817&lt;4,R817+9,R817-3)</f>
        <v>10</v>
      </c>
      <c r="U817" s="18">
        <f>IF(LEN(T817)=1,_xlfn.CONCAT(0,T817),T817)</f>
        <v>10</v>
      </c>
      <c r="V817" s="18" t="str">
        <f>_xlfn.CONCAT(S817,U817)</f>
        <v>202410</v>
      </c>
      <c r="W817" s="18" t="str">
        <f>_xlfn.CONCAT(TEXT(A817,"MMM"),"-",MID(Q817,3,2))</f>
        <v>Jan-25</v>
      </c>
      <c r="X817" s="19">
        <f>IFERROR(IF(D817="Sell",(H817-P817),-(H817+P817)),0)</f>
        <v>11094.68</v>
      </c>
      <c r="Y817" s="19">
        <f>X817/1000</f>
        <v>11.09468</v>
      </c>
    </row>
    <row r="818" spans="1:25" x14ac:dyDescent="0.25">
      <c r="A818" s="1">
        <v>45659</v>
      </c>
      <c r="B818" t="s">
        <v>1086</v>
      </c>
      <c r="C818" t="s">
        <v>17</v>
      </c>
      <c r="D818" t="s">
        <v>22</v>
      </c>
      <c r="E818">
        <v>300</v>
      </c>
      <c r="F818">
        <v>0</v>
      </c>
      <c r="G818">
        <v>61.25</v>
      </c>
      <c r="H818">
        <v>18375</v>
      </c>
      <c r="I818" t="s">
        <v>1118</v>
      </c>
      <c r="J818">
        <v>0</v>
      </c>
      <c r="K818">
        <v>6.53</v>
      </c>
      <c r="L818">
        <v>2</v>
      </c>
      <c r="M818">
        <v>0.02</v>
      </c>
      <c r="N818">
        <v>80</v>
      </c>
      <c r="O818">
        <v>15.58</v>
      </c>
      <c r="P818">
        <v>104.13</v>
      </c>
      <c r="Q818" s="18">
        <f>YEAR(A818)</f>
        <v>2025</v>
      </c>
      <c r="R818" s="18">
        <f>MONTH(A818)</f>
        <v>1</v>
      </c>
      <c r="S818" s="18">
        <f>IF(R818&lt;4,Q818-1,Q818)</f>
        <v>2024</v>
      </c>
      <c r="T818" s="18">
        <f>IF(R818&lt;4,R818+9,R818-3)</f>
        <v>10</v>
      </c>
      <c r="U818" s="18">
        <f>IF(LEN(T818)=1,_xlfn.CONCAT(0,T818),T818)</f>
        <v>10</v>
      </c>
      <c r="V818" s="18" t="str">
        <f>_xlfn.CONCAT(S818,U818)</f>
        <v>202410</v>
      </c>
      <c r="W818" s="18" t="str">
        <f>_xlfn.CONCAT(TEXT(A818,"MMM"),"-",MID(Q818,3,2))</f>
        <v>Jan-25</v>
      </c>
      <c r="X818" s="19">
        <f>IFERROR(IF(D818="Sell",(H818-P818),-(H818+P818)),0)</f>
        <v>-18479.13</v>
      </c>
      <c r="Y818" s="19">
        <f>X818/1000</f>
        <v>-18.479130000000001</v>
      </c>
    </row>
    <row r="819" spans="1:25" x14ac:dyDescent="0.25">
      <c r="A819" s="1">
        <v>45659</v>
      </c>
      <c r="B819" t="s">
        <v>1086</v>
      </c>
      <c r="C819" t="s">
        <v>17</v>
      </c>
      <c r="D819" t="s">
        <v>18</v>
      </c>
      <c r="E819">
        <v>300</v>
      </c>
      <c r="F819">
        <v>0</v>
      </c>
      <c r="G819">
        <v>82.15</v>
      </c>
      <c r="H819">
        <v>24645</v>
      </c>
      <c r="I819" t="s">
        <v>1119</v>
      </c>
      <c r="J819">
        <v>24.79</v>
      </c>
      <c r="K819">
        <v>8.76</v>
      </c>
      <c r="L819">
        <v>0</v>
      </c>
      <c r="M819">
        <v>0.03</v>
      </c>
      <c r="N819">
        <v>80</v>
      </c>
      <c r="O819">
        <v>16</v>
      </c>
      <c r="P819">
        <v>129.58000000000001</v>
      </c>
      <c r="Q819" s="18">
        <f>YEAR(A819)</f>
        <v>2025</v>
      </c>
      <c r="R819" s="18">
        <f>MONTH(A819)</f>
        <v>1</v>
      </c>
      <c r="S819" s="18">
        <f>IF(R819&lt;4,Q819-1,Q819)</f>
        <v>2024</v>
      </c>
      <c r="T819" s="18">
        <f>IF(R819&lt;4,R819+9,R819-3)</f>
        <v>10</v>
      </c>
      <c r="U819" s="18">
        <f>IF(LEN(T819)=1,_xlfn.CONCAT(0,T819),T819)</f>
        <v>10</v>
      </c>
      <c r="V819" s="18" t="str">
        <f>_xlfn.CONCAT(S819,U819)</f>
        <v>202410</v>
      </c>
      <c r="W819" s="18" t="str">
        <f>_xlfn.CONCAT(TEXT(A819,"MMM"),"-",MID(Q819,3,2))</f>
        <v>Jan-25</v>
      </c>
      <c r="X819" s="19">
        <f>IFERROR(IF(D819="Sell",(H819-P819),-(H819+P819)),0)</f>
        <v>24515.42</v>
      </c>
      <c r="Y819" s="19">
        <f>X819/1000</f>
        <v>24.515419999999999</v>
      </c>
    </row>
    <row r="820" spans="1:25" x14ac:dyDescent="0.25">
      <c r="A820" s="1">
        <v>45659</v>
      </c>
      <c r="B820" t="s">
        <v>1086</v>
      </c>
      <c r="C820" t="s">
        <v>17</v>
      </c>
      <c r="D820" t="s">
        <v>22</v>
      </c>
      <c r="E820">
        <v>75</v>
      </c>
      <c r="F820">
        <v>0</v>
      </c>
      <c r="G820">
        <v>114.2</v>
      </c>
      <c r="H820">
        <v>8565</v>
      </c>
      <c r="I820" t="s">
        <v>1120</v>
      </c>
      <c r="J820">
        <v>0</v>
      </c>
      <c r="K820">
        <v>3.04</v>
      </c>
      <c r="L820">
        <v>0</v>
      </c>
      <c r="M820">
        <v>0.01</v>
      </c>
      <c r="N820">
        <v>20</v>
      </c>
      <c r="O820">
        <v>4.1399999999999997</v>
      </c>
      <c r="P820">
        <v>27.19</v>
      </c>
      <c r="Q820" s="18">
        <f>YEAR(A820)</f>
        <v>2025</v>
      </c>
      <c r="R820" s="18">
        <f>MONTH(A820)</f>
        <v>1</v>
      </c>
      <c r="S820" s="18">
        <f>IF(R820&lt;4,Q820-1,Q820)</f>
        <v>2024</v>
      </c>
      <c r="T820" s="18">
        <f>IF(R820&lt;4,R820+9,R820-3)</f>
        <v>10</v>
      </c>
      <c r="U820" s="18">
        <f>IF(LEN(T820)=1,_xlfn.CONCAT(0,T820),T820)</f>
        <v>10</v>
      </c>
      <c r="V820" s="18" t="str">
        <f>_xlfn.CONCAT(S820,U820)</f>
        <v>202410</v>
      </c>
      <c r="W820" s="18" t="str">
        <f>_xlfn.CONCAT(TEXT(A820,"MMM"),"-",MID(Q820,3,2))</f>
        <v>Jan-25</v>
      </c>
      <c r="X820" s="19">
        <f>IFERROR(IF(D820="Sell",(H820-P820),-(H820+P820)),0)</f>
        <v>-8592.19</v>
      </c>
      <c r="Y820" s="19">
        <f>X820/1000</f>
        <v>-8.5921900000000004</v>
      </c>
    </row>
    <row r="821" spans="1:25" x14ac:dyDescent="0.25">
      <c r="A821" s="1">
        <v>45659</v>
      </c>
      <c r="B821" t="s">
        <v>1086</v>
      </c>
      <c r="C821" t="s">
        <v>17</v>
      </c>
      <c r="D821" t="s">
        <v>22</v>
      </c>
      <c r="E821">
        <v>225</v>
      </c>
      <c r="F821">
        <v>0</v>
      </c>
      <c r="G821">
        <v>127.25</v>
      </c>
      <c r="H821">
        <v>28631.25</v>
      </c>
      <c r="I821" t="s">
        <v>1121</v>
      </c>
      <c r="J821">
        <v>0</v>
      </c>
      <c r="K821">
        <v>10.17</v>
      </c>
      <c r="L821">
        <v>0</v>
      </c>
      <c r="M821">
        <v>0.03</v>
      </c>
      <c r="N821">
        <v>60</v>
      </c>
      <c r="O821">
        <v>12.64</v>
      </c>
      <c r="P821">
        <v>82.84</v>
      </c>
      <c r="Q821" s="18">
        <f>YEAR(A821)</f>
        <v>2025</v>
      </c>
      <c r="R821" s="18">
        <f>MONTH(A821)</f>
        <v>1</v>
      </c>
      <c r="S821" s="18">
        <f>IF(R821&lt;4,Q821-1,Q821)</f>
        <v>2024</v>
      </c>
      <c r="T821" s="18">
        <f>IF(R821&lt;4,R821+9,R821-3)</f>
        <v>10</v>
      </c>
      <c r="U821" s="18">
        <f>IF(LEN(T821)=1,_xlfn.CONCAT(0,T821),T821)</f>
        <v>10</v>
      </c>
      <c r="V821" s="18" t="str">
        <f>_xlfn.CONCAT(S821,U821)</f>
        <v>202410</v>
      </c>
      <c r="W821" s="18" t="str">
        <f>_xlfn.CONCAT(TEXT(A821,"MMM"),"-",MID(Q821,3,2))</f>
        <v>Jan-25</v>
      </c>
      <c r="X821" s="19">
        <f>IFERROR(IF(D821="Sell",(H821-P821),-(H821+P821)),0)</f>
        <v>-28714.09</v>
      </c>
      <c r="Y821" s="19">
        <f>X821/1000</f>
        <v>-28.714089999999999</v>
      </c>
    </row>
    <row r="822" spans="1:25" x14ac:dyDescent="0.25">
      <c r="A822" s="1">
        <v>45664</v>
      </c>
      <c r="B822" t="s">
        <v>1122</v>
      </c>
      <c r="C822" t="s">
        <v>17</v>
      </c>
      <c r="D822" t="s">
        <v>18</v>
      </c>
      <c r="E822">
        <v>75</v>
      </c>
      <c r="F822">
        <v>0</v>
      </c>
      <c r="G822">
        <v>20.25</v>
      </c>
      <c r="H822">
        <v>1518.75</v>
      </c>
      <c r="I822" t="s">
        <v>1123</v>
      </c>
      <c r="J822">
        <v>2</v>
      </c>
      <c r="K822">
        <v>0.54</v>
      </c>
      <c r="L822">
        <v>0</v>
      </c>
      <c r="M822">
        <v>0</v>
      </c>
      <c r="N822">
        <v>20</v>
      </c>
      <c r="O822">
        <v>3.7</v>
      </c>
      <c r="P822">
        <v>26.24</v>
      </c>
      <c r="Q822" s="18">
        <f>YEAR(A822)</f>
        <v>2025</v>
      </c>
      <c r="R822" s="18">
        <f>MONTH(A822)</f>
        <v>1</v>
      </c>
      <c r="S822" s="18">
        <f>IF(R822&lt;4,Q822-1,Q822)</f>
        <v>2024</v>
      </c>
      <c r="T822" s="18">
        <f>IF(R822&lt;4,R822+9,R822-3)</f>
        <v>10</v>
      </c>
      <c r="U822" s="18">
        <f>IF(LEN(T822)=1,_xlfn.CONCAT(0,T822),T822)</f>
        <v>10</v>
      </c>
      <c r="V822" s="18" t="str">
        <f>_xlfn.CONCAT(S822,U822)</f>
        <v>202410</v>
      </c>
      <c r="W822" s="18" t="str">
        <f>_xlfn.CONCAT(TEXT(A822,"MMM"),"-",MID(Q822,3,2))</f>
        <v>Jan-25</v>
      </c>
      <c r="X822" s="19">
        <f>IFERROR(IF(D822="Sell",(H822-P822),-(H822+P822)),0)</f>
        <v>1492.51</v>
      </c>
      <c r="Y822" s="19">
        <f>X822/1000</f>
        <v>1.49251</v>
      </c>
    </row>
    <row r="823" spans="1:25" x14ac:dyDescent="0.25">
      <c r="A823" s="1">
        <v>45664</v>
      </c>
      <c r="B823" t="s">
        <v>1122</v>
      </c>
      <c r="C823" t="s">
        <v>17</v>
      </c>
      <c r="D823" t="s">
        <v>22</v>
      </c>
      <c r="E823">
        <v>75</v>
      </c>
      <c r="F823">
        <v>0</v>
      </c>
      <c r="G823">
        <v>14.25</v>
      </c>
      <c r="H823">
        <v>1068.75</v>
      </c>
      <c r="I823" t="s">
        <v>1124</v>
      </c>
      <c r="J823">
        <v>0</v>
      </c>
      <c r="K823">
        <v>0.38</v>
      </c>
      <c r="L823">
        <v>0</v>
      </c>
      <c r="M823">
        <v>0</v>
      </c>
      <c r="N823">
        <v>20</v>
      </c>
      <c r="O823">
        <v>3.66</v>
      </c>
      <c r="P823">
        <v>24.04</v>
      </c>
      <c r="Q823" s="18">
        <f>YEAR(A823)</f>
        <v>2025</v>
      </c>
      <c r="R823" s="18">
        <f>MONTH(A823)</f>
        <v>1</v>
      </c>
      <c r="S823" s="18">
        <f>IF(R823&lt;4,Q823-1,Q823)</f>
        <v>2024</v>
      </c>
      <c r="T823" s="18">
        <f>IF(R823&lt;4,R823+9,R823-3)</f>
        <v>10</v>
      </c>
      <c r="U823" s="18">
        <f>IF(LEN(T823)=1,_xlfn.CONCAT(0,T823),T823)</f>
        <v>10</v>
      </c>
      <c r="V823" s="18" t="str">
        <f>_xlfn.CONCAT(S823,U823)</f>
        <v>202410</v>
      </c>
      <c r="W823" s="18" t="str">
        <f>_xlfn.CONCAT(TEXT(A823,"MMM"),"-",MID(Q823,3,2))</f>
        <v>Jan-25</v>
      </c>
      <c r="X823" s="19">
        <f>IFERROR(IF(D823="Sell",(H823-P823),-(H823+P823)),0)</f>
        <v>-1092.79</v>
      </c>
      <c r="Y823" s="19">
        <f>X823/1000</f>
        <v>-1.0927899999999999</v>
      </c>
    </row>
    <row r="824" spans="1:25" x14ac:dyDescent="0.25">
      <c r="A824" s="1">
        <v>45665</v>
      </c>
      <c r="B824" t="s">
        <v>1122</v>
      </c>
      <c r="C824" t="s">
        <v>17</v>
      </c>
      <c r="D824" t="s">
        <v>18</v>
      </c>
      <c r="E824">
        <v>450</v>
      </c>
      <c r="F824">
        <v>0</v>
      </c>
      <c r="G824">
        <v>2.4</v>
      </c>
      <c r="H824">
        <v>1080</v>
      </c>
      <c r="I824" t="s">
        <v>1125</v>
      </c>
      <c r="J824">
        <v>1</v>
      </c>
      <c r="K824">
        <v>0.38</v>
      </c>
      <c r="L824">
        <v>0</v>
      </c>
      <c r="M824">
        <v>0</v>
      </c>
      <c r="N824">
        <v>120</v>
      </c>
      <c r="O824">
        <v>21.66</v>
      </c>
      <c r="P824">
        <v>143.04</v>
      </c>
      <c r="Q824" s="18">
        <f>YEAR(A824)</f>
        <v>2025</v>
      </c>
      <c r="R824" s="18">
        <f>MONTH(A824)</f>
        <v>1</v>
      </c>
      <c r="S824" s="18">
        <f>IF(R824&lt;4,Q824-1,Q824)</f>
        <v>2024</v>
      </c>
      <c r="T824" s="18">
        <f>IF(R824&lt;4,R824+9,R824-3)</f>
        <v>10</v>
      </c>
      <c r="U824" s="18">
        <f>IF(LEN(T824)=1,_xlfn.CONCAT(0,T824),T824)</f>
        <v>10</v>
      </c>
      <c r="V824" s="18" t="str">
        <f>_xlfn.CONCAT(S824,U824)</f>
        <v>202410</v>
      </c>
      <c r="W824" s="18" t="str">
        <f>_xlfn.CONCAT(TEXT(A824,"MMM"),"-",MID(Q824,3,2))</f>
        <v>Jan-25</v>
      </c>
      <c r="X824" s="19">
        <f>IFERROR(IF(D824="Sell",(H824-P824),-(H824+P824)),0)</f>
        <v>936.96</v>
      </c>
      <c r="Y824" s="19">
        <f>X824/1000</f>
        <v>0.93696000000000002</v>
      </c>
    </row>
    <row r="825" spans="1:25" x14ac:dyDescent="0.25">
      <c r="A825" s="1">
        <v>45665</v>
      </c>
      <c r="B825" t="s">
        <v>1122</v>
      </c>
      <c r="C825" t="s">
        <v>17</v>
      </c>
      <c r="D825" t="s">
        <v>22</v>
      </c>
      <c r="E825">
        <v>450</v>
      </c>
      <c r="F825">
        <v>0</v>
      </c>
      <c r="G825">
        <v>4.25</v>
      </c>
      <c r="H825">
        <v>1912.5</v>
      </c>
      <c r="I825" t="s">
        <v>1126</v>
      </c>
      <c r="J825">
        <v>0</v>
      </c>
      <c r="K825">
        <v>0.68</v>
      </c>
      <c r="L825">
        <v>0</v>
      </c>
      <c r="M825">
        <v>0</v>
      </c>
      <c r="N825">
        <v>120</v>
      </c>
      <c r="O825">
        <v>21.72</v>
      </c>
      <c r="P825">
        <v>142.4</v>
      </c>
      <c r="Q825" s="18">
        <f>YEAR(A825)</f>
        <v>2025</v>
      </c>
      <c r="R825" s="18">
        <f>MONTH(A825)</f>
        <v>1</v>
      </c>
      <c r="S825" s="18">
        <f>IF(R825&lt;4,Q825-1,Q825)</f>
        <v>2024</v>
      </c>
      <c r="T825" s="18">
        <f>IF(R825&lt;4,R825+9,R825-3)</f>
        <v>10</v>
      </c>
      <c r="U825" s="18">
        <f>IF(LEN(T825)=1,_xlfn.CONCAT(0,T825),T825)</f>
        <v>10</v>
      </c>
      <c r="V825" s="18" t="str">
        <f>_xlfn.CONCAT(S825,U825)</f>
        <v>202410</v>
      </c>
      <c r="W825" s="18" t="str">
        <f>_xlfn.CONCAT(TEXT(A825,"MMM"),"-",MID(Q825,3,2))</f>
        <v>Jan-25</v>
      </c>
      <c r="X825" s="19">
        <f>IFERROR(IF(D825="Sell",(H825-P825),-(H825+P825)),0)</f>
        <v>-2054.9</v>
      </c>
      <c r="Y825" s="19">
        <f>X825/1000</f>
        <v>-2.0548999999999999</v>
      </c>
    </row>
    <row r="826" spans="1:25" x14ac:dyDescent="0.25">
      <c r="A826" s="1">
        <v>45672</v>
      </c>
      <c r="B826" t="s">
        <v>1127</v>
      </c>
      <c r="C826" t="s">
        <v>17</v>
      </c>
      <c r="D826" t="s">
        <v>18</v>
      </c>
      <c r="E826">
        <v>75</v>
      </c>
      <c r="F826">
        <v>0</v>
      </c>
      <c r="G826">
        <v>59.25</v>
      </c>
      <c r="H826">
        <v>4443.75</v>
      </c>
      <c r="I826" t="s">
        <v>1128</v>
      </c>
      <c r="J826">
        <v>4</v>
      </c>
      <c r="K826">
        <v>1.58</v>
      </c>
      <c r="L826">
        <v>0</v>
      </c>
      <c r="M826">
        <v>0</v>
      </c>
      <c r="N826">
        <v>20</v>
      </c>
      <c r="O826">
        <v>3.88</v>
      </c>
      <c r="P826">
        <v>29.46</v>
      </c>
      <c r="Q826" s="18">
        <f>YEAR(A826)</f>
        <v>2025</v>
      </c>
      <c r="R826" s="18">
        <f>MONTH(A826)</f>
        <v>1</v>
      </c>
      <c r="S826" s="18">
        <f>IF(R826&lt;4,Q826-1,Q826)</f>
        <v>2024</v>
      </c>
      <c r="T826" s="18">
        <f>IF(R826&lt;4,R826+9,R826-3)</f>
        <v>10</v>
      </c>
      <c r="U826" s="18">
        <f>IF(LEN(T826)=1,_xlfn.CONCAT(0,T826),T826)</f>
        <v>10</v>
      </c>
      <c r="V826" s="18" t="str">
        <f>_xlfn.CONCAT(S826,U826)</f>
        <v>202410</v>
      </c>
      <c r="W826" s="18" t="str">
        <f>_xlfn.CONCAT(TEXT(A826,"MMM"),"-",MID(Q826,3,2))</f>
        <v>Jan-25</v>
      </c>
      <c r="X826" s="19">
        <f>IFERROR(IF(D826="Sell",(H826-P826),-(H826+P826)),0)</f>
        <v>4414.29</v>
      </c>
      <c r="Y826" s="19">
        <f>X826/1000</f>
        <v>4.4142900000000003</v>
      </c>
    </row>
    <row r="827" spans="1:25" x14ac:dyDescent="0.25">
      <c r="A827" s="1">
        <v>45672</v>
      </c>
      <c r="B827" t="s">
        <v>1127</v>
      </c>
      <c r="C827" t="s">
        <v>17</v>
      </c>
      <c r="D827" t="s">
        <v>22</v>
      </c>
      <c r="E827">
        <v>75</v>
      </c>
      <c r="F827">
        <v>0</v>
      </c>
      <c r="G827">
        <v>53.8</v>
      </c>
      <c r="H827">
        <v>4035</v>
      </c>
      <c r="I827" t="s">
        <v>1129</v>
      </c>
      <c r="J827">
        <v>0</v>
      </c>
      <c r="K827">
        <v>1.43</v>
      </c>
      <c r="L827">
        <v>0</v>
      </c>
      <c r="M827">
        <v>0</v>
      </c>
      <c r="N827">
        <v>20</v>
      </c>
      <c r="O827">
        <v>3.86</v>
      </c>
      <c r="P827">
        <v>25.29</v>
      </c>
      <c r="Q827" s="18">
        <f>YEAR(A827)</f>
        <v>2025</v>
      </c>
      <c r="R827" s="18">
        <f>MONTH(A827)</f>
        <v>1</v>
      </c>
      <c r="S827" s="18">
        <f>IF(R827&lt;4,Q827-1,Q827)</f>
        <v>2024</v>
      </c>
      <c r="T827" s="18">
        <f>IF(R827&lt;4,R827+9,R827-3)</f>
        <v>10</v>
      </c>
      <c r="U827" s="18">
        <f>IF(LEN(T827)=1,_xlfn.CONCAT(0,T827),T827)</f>
        <v>10</v>
      </c>
      <c r="V827" s="18" t="str">
        <f>_xlfn.CONCAT(S827,U827)</f>
        <v>202410</v>
      </c>
      <c r="W827" s="18" t="str">
        <f>_xlfn.CONCAT(TEXT(A827,"MMM"),"-",MID(Q827,3,2))</f>
        <v>Jan-25</v>
      </c>
      <c r="X827" s="19">
        <f>IFERROR(IF(D827="Sell",(H827-P827),-(H827+P827)),0)</f>
        <v>-4060.29</v>
      </c>
      <c r="Y827" s="19">
        <f>X827/1000</f>
        <v>-4.0602900000000002</v>
      </c>
    </row>
    <row r="828" spans="1:25" x14ac:dyDescent="0.25">
      <c r="A828" s="1">
        <v>45681</v>
      </c>
      <c r="B828" t="s">
        <v>1130</v>
      </c>
      <c r="C828" t="s">
        <v>17</v>
      </c>
      <c r="D828" t="s">
        <v>22</v>
      </c>
      <c r="E828">
        <v>100</v>
      </c>
      <c r="F828">
        <v>0</v>
      </c>
      <c r="G828">
        <v>10</v>
      </c>
      <c r="H828">
        <v>1000</v>
      </c>
      <c r="I828" t="s">
        <v>1131</v>
      </c>
      <c r="J828">
        <v>0</v>
      </c>
      <c r="K828">
        <v>0.36</v>
      </c>
      <c r="L828">
        <v>0</v>
      </c>
      <c r="M828">
        <v>0</v>
      </c>
      <c r="N828">
        <v>80</v>
      </c>
      <c r="O828">
        <v>14.46</v>
      </c>
      <c r="P828">
        <v>94.82</v>
      </c>
      <c r="Q828" s="18">
        <f>YEAR(A828)</f>
        <v>2025</v>
      </c>
      <c r="R828" s="18">
        <f>MONTH(A828)</f>
        <v>1</v>
      </c>
      <c r="S828" s="18">
        <f>IF(R828&lt;4,Q828-1,Q828)</f>
        <v>2024</v>
      </c>
      <c r="T828" s="18">
        <f>IF(R828&lt;4,R828+9,R828-3)</f>
        <v>10</v>
      </c>
      <c r="U828" s="18">
        <f>IF(LEN(T828)=1,_xlfn.CONCAT(0,T828),T828)</f>
        <v>10</v>
      </c>
      <c r="V828" s="18" t="str">
        <f>_xlfn.CONCAT(S828,U828)</f>
        <v>202410</v>
      </c>
      <c r="W828" s="18" t="str">
        <f>_xlfn.CONCAT(TEXT(A828,"MMM"),"-",MID(Q828,3,2))</f>
        <v>Jan-25</v>
      </c>
      <c r="X828" s="19">
        <f>IFERROR(IF(D828="Sell",(H828-P828),-(H828+P828)),0)</f>
        <v>-1094.82</v>
      </c>
      <c r="Y828" s="19">
        <f>X828/1000</f>
        <v>-1.0948199999999999</v>
      </c>
    </row>
    <row r="829" spans="1:25" x14ac:dyDescent="0.25">
      <c r="A829" s="1">
        <v>45681</v>
      </c>
      <c r="B829" t="s">
        <v>1130</v>
      </c>
      <c r="C829" t="s">
        <v>17</v>
      </c>
      <c r="D829" t="s">
        <v>22</v>
      </c>
      <c r="E829">
        <v>100</v>
      </c>
      <c r="F829">
        <v>0</v>
      </c>
      <c r="G829">
        <v>25.1</v>
      </c>
      <c r="H829">
        <v>2510</v>
      </c>
      <c r="I829" t="s">
        <v>1132</v>
      </c>
      <c r="J829">
        <v>0</v>
      </c>
      <c r="K829">
        <v>0.89</v>
      </c>
      <c r="L829">
        <v>0</v>
      </c>
      <c r="M829">
        <v>0</v>
      </c>
      <c r="N829">
        <v>80</v>
      </c>
      <c r="O829">
        <v>14.56</v>
      </c>
      <c r="P829">
        <v>95.45</v>
      </c>
      <c r="Q829" s="18">
        <f>YEAR(A829)</f>
        <v>2025</v>
      </c>
      <c r="R829" s="18">
        <f>MONTH(A829)</f>
        <v>1</v>
      </c>
      <c r="S829" s="18">
        <f>IF(R829&lt;4,Q829-1,Q829)</f>
        <v>2024</v>
      </c>
      <c r="T829" s="18">
        <f>IF(R829&lt;4,R829+9,R829-3)</f>
        <v>10</v>
      </c>
      <c r="U829" s="18">
        <f>IF(LEN(T829)=1,_xlfn.CONCAT(0,T829),T829)</f>
        <v>10</v>
      </c>
      <c r="V829" s="18" t="str">
        <f>_xlfn.CONCAT(S829,U829)</f>
        <v>202410</v>
      </c>
      <c r="W829" s="18" t="str">
        <f>_xlfn.CONCAT(TEXT(A829,"MMM"),"-",MID(Q829,3,2))</f>
        <v>Jan-25</v>
      </c>
      <c r="X829" s="19">
        <f>IFERROR(IF(D829="Sell",(H829-P829),-(H829+P829)),0)</f>
        <v>-2605.4499999999998</v>
      </c>
      <c r="Y829" s="19">
        <f>X829/1000</f>
        <v>-2.6054499999999998</v>
      </c>
    </row>
    <row r="830" spans="1:25" x14ac:dyDescent="0.25">
      <c r="A830" s="1">
        <v>45685</v>
      </c>
      <c r="B830" t="s">
        <v>1130</v>
      </c>
      <c r="C830" t="s">
        <v>17</v>
      </c>
      <c r="D830" t="s">
        <v>18</v>
      </c>
      <c r="E830">
        <v>200</v>
      </c>
      <c r="F830">
        <v>0</v>
      </c>
      <c r="G830">
        <v>3.1</v>
      </c>
      <c r="H830">
        <v>620</v>
      </c>
      <c r="I830" t="s">
        <v>1133</v>
      </c>
      <c r="J830">
        <v>1</v>
      </c>
      <c r="K830">
        <v>0.22</v>
      </c>
      <c r="L830">
        <v>0</v>
      </c>
      <c r="M830">
        <v>0</v>
      </c>
      <c r="N830">
        <v>160</v>
      </c>
      <c r="O830">
        <v>28.84</v>
      </c>
      <c r="P830">
        <v>190.06</v>
      </c>
      <c r="Q830" s="18">
        <f>YEAR(A830)</f>
        <v>2025</v>
      </c>
      <c r="R830" s="18">
        <f>MONTH(A830)</f>
        <v>1</v>
      </c>
      <c r="S830" s="18">
        <f>IF(R830&lt;4,Q830-1,Q830)</f>
        <v>2024</v>
      </c>
      <c r="T830" s="18">
        <f>IF(R830&lt;4,R830+9,R830-3)</f>
        <v>10</v>
      </c>
      <c r="U830" s="18">
        <f>IF(LEN(T830)=1,_xlfn.CONCAT(0,T830),T830)</f>
        <v>10</v>
      </c>
      <c r="V830" s="18" t="str">
        <f>_xlfn.CONCAT(S830,U830)</f>
        <v>202410</v>
      </c>
      <c r="W830" s="18" t="str">
        <f>_xlfn.CONCAT(TEXT(A830,"MMM"),"-",MID(Q830,3,2))</f>
        <v>Jan-25</v>
      </c>
      <c r="X830" s="19">
        <f>IFERROR(IF(D830="Sell",(H830-P830),-(H830+P830)),0)</f>
        <v>429.94</v>
      </c>
      <c r="Y830" s="19">
        <f>X830/1000</f>
        <v>0.42993999999999999</v>
      </c>
    </row>
    <row r="831" spans="1:25" x14ac:dyDescent="0.25">
      <c r="A831" s="1">
        <v>45687</v>
      </c>
      <c r="B831" t="s">
        <v>1134</v>
      </c>
      <c r="C831" t="s">
        <v>17</v>
      </c>
      <c r="D831" t="s">
        <v>18</v>
      </c>
      <c r="E831">
        <v>25</v>
      </c>
      <c r="F831">
        <v>0</v>
      </c>
      <c r="G831">
        <v>123.7</v>
      </c>
      <c r="H831">
        <v>3092.5</v>
      </c>
      <c r="I831" t="s">
        <v>1135</v>
      </c>
      <c r="J831">
        <v>3.09</v>
      </c>
      <c r="K831">
        <v>1.1000000000000001</v>
      </c>
      <c r="L831">
        <v>0</v>
      </c>
      <c r="M831">
        <v>0</v>
      </c>
      <c r="N831">
        <v>20</v>
      </c>
      <c r="O831">
        <v>3.8</v>
      </c>
      <c r="P831">
        <v>27.99</v>
      </c>
      <c r="Q831" s="18">
        <f>YEAR(A831)</f>
        <v>2025</v>
      </c>
      <c r="R831" s="18">
        <f>MONTH(A831)</f>
        <v>1</v>
      </c>
      <c r="S831" s="18">
        <f>IF(R831&lt;4,Q831-1,Q831)</f>
        <v>2024</v>
      </c>
      <c r="T831" s="18">
        <f>IF(R831&lt;4,R831+9,R831-3)</f>
        <v>10</v>
      </c>
      <c r="U831" s="18">
        <f>IF(LEN(T831)=1,_xlfn.CONCAT(0,T831),T831)</f>
        <v>10</v>
      </c>
      <c r="V831" s="18" t="str">
        <f>_xlfn.CONCAT(S831,U831)</f>
        <v>202410</v>
      </c>
      <c r="W831" s="18" t="str">
        <f>_xlfn.CONCAT(TEXT(A831,"MMM"),"-",MID(Q831,3,2))</f>
        <v>Jan-25</v>
      </c>
      <c r="X831" s="19">
        <f>IFERROR(IF(D831="Sell",(H831-P831),-(H831+P831)),0)</f>
        <v>3064.51</v>
      </c>
      <c r="Y831" s="19">
        <f>X831/1000</f>
        <v>3.0645100000000003</v>
      </c>
    </row>
    <row r="832" spans="1:25" x14ac:dyDescent="0.25">
      <c r="A832" s="1">
        <v>45687</v>
      </c>
      <c r="B832" t="s">
        <v>1134</v>
      </c>
      <c r="C832" t="s">
        <v>17</v>
      </c>
      <c r="D832" t="s">
        <v>22</v>
      </c>
      <c r="E832">
        <v>25</v>
      </c>
      <c r="F832">
        <v>0</v>
      </c>
      <c r="G832">
        <v>95.75</v>
      </c>
      <c r="H832">
        <v>2393.75</v>
      </c>
      <c r="I832" t="s">
        <v>1136</v>
      </c>
      <c r="J832">
        <v>0</v>
      </c>
      <c r="K832">
        <v>0.85</v>
      </c>
      <c r="L832">
        <v>0</v>
      </c>
      <c r="M832">
        <v>0</v>
      </c>
      <c r="N832">
        <v>20</v>
      </c>
      <c r="O832">
        <v>3.76</v>
      </c>
      <c r="P832">
        <v>24.61</v>
      </c>
      <c r="Q832" s="18">
        <f>YEAR(A832)</f>
        <v>2025</v>
      </c>
      <c r="R832" s="18">
        <f>MONTH(A832)</f>
        <v>1</v>
      </c>
      <c r="S832" s="18">
        <f>IF(R832&lt;4,Q832-1,Q832)</f>
        <v>2024</v>
      </c>
      <c r="T832" s="18">
        <f>IF(R832&lt;4,R832+9,R832-3)</f>
        <v>10</v>
      </c>
      <c r="U832" s="18">
        <f>IF(LEN(T832)=1,_xlfn.CONCAT(0,T832),T832)</f>
        <v>10</v>
      </c>
      <c r="V832" s="18" t="str">
        <f>_xlfn.CONCAT(S832,U832)</f>
        <v>202410</v>
      </c>
      <c r="W832" s="18" t="str">
        <f>_xlfn.CONCAT(TEXT(A832,"MMM"),"-",MID(Q832,3,2))</f>
        <v>Jan-25</v>
      </c>
      <c r="X832" s="19">
        <f>IFERROR(IF(D832="Sell",(H832-P832),-(H832+P832)),0)</f>
        <v>-2418.36</v>
      </c>
      <c r="Y832" s="19">
        <f>X832/1000</f>
        <v>-2.4183600000000003</v>
      </c>
    </row>
    <row r="833" spans="1:25" x14ac:dyDescent="0.25">
      <c r="A833" s="1">
        <v>45687</v>
      </c>
      <c r="B833" t="s">
        <v>1134</v>
      </c>
      <c r="C833" t="s">
        <v>17</v>
      </c>
      <c r="D833" t="s">
        <v>18</v>
      </c>
      <c r="E833">
        <v>100</v>
      </c>
      <c r="F833">
        <v>0</v>
      </c>
      <c r="G833">
        <v>115.25</v>
      </c>
      <c r="H833">
        <v>11525</v>
      </c>
      <c r="I833" t="s">
        <v>1137</v>
      </c>
      <c r="J833">
        <v>11.91</v>
      </c>
      <c r="K833">
        <v>4.09</v>
      </c>
      <c r="L833">
        <v>0</v>
      </c>
      <c r="M833">
        <v>0.01</v>
      </c>
      <c r="N833">
        <v>80</v>
      </c>
      <c r="O833">
        <v>15.14</v>
      </c>
      <c r="P833">
        <v>111.15</v>
      </c>
      <c r="Q833" s="18">
        <f>YEAR(A833)</f>
        <v>2025</v>
      </c>
      <c r="R833" s="18">
        <f>MONTH(A833)</f>
        <v>1</v>
      </c>
      <c r="S833" s="18">
        <f>IF(R833&lt;4,Q833-1,Q833)</f>
        <v>2024</v>
      </c>
      <c r="T833" s="18">
        <f>IF(R833&lt;4,R833+9,R833-3)</f>
        <v>10</v>
      </c>
      <c r="U833" s="18">
        <f>IF(LEN(T833)=1,_xlfn.CONCAT(0,T833),T833)</f>
        <v>10</v>
      </c>
      <c r="V833" s="18" t="str">
        <f>_xlfn.CONCAT(S833,U833)</f>
        <v>202410</v>
      </c>
      <c r="W833" s="18" t="str">
        <f>_xlfn.CONCAT(TEXT(A833,"MMM"),"-",MID(Q833,3,2))</f>
        <v>Jan-25</v>
      </c>
      <c r="X833" s="19">
        <f>IFERROR(IF(D833="Sell",(H833-P833),-(H833+P833)),0)</f>
        <v>11413.85</v>
      </c>
      <c r="Y833" s="19">
        <f>X833/1000</f>
        <v>11.41385</v>
      </c>
    </row>
    <row r="834" spans="1:25" x14ac:dyDescent="0.25">
      <c r="A834" s="1">
        <v>45687</v>
      </c>
      <c r="B834" t="s">
        <v>1134</v>
      </c>
      <c r="C834" t="s">
        <v>17</v>
      </c>
      <c r="D834" t="s">
        <v>22</v>
      </c>
      <c r="E834">
        <v>100</v>
      </c>
      <c r="F834">
        <v>0</v>
      </c>
      <c r="G834">
        <v>103.16</v>
      </c>
      <c r="H834">
        <v>10316.25</v>
      </c>
      <c r="I834" t="s">
        <v>1138</v>
      </c>
      <c r="J834">
        <v>0</v>
      </c>
      <c r="K834">
        <v>3.67</v>
      </c>
      <c r="L834">
        <v>0</v>
      </c>
      <c r="M834">
        <v>0.01</v>
      </c>
      <c r="N834">
        <v>80</v>
      </c>
      <c r="O834">
        <v>15.06</v>
      </c>
      <c r="P834">
        <v>98.74</v>
      </c>
      <c r="Q834" s="18">
        <f>YEAR(A834)</f>
        <v>2025</v>
      </c>
      <c r="R834" s="18">
        <f>MONTH(A834)</f>
        <v>1</v>
      </c>
      <c r="S834" s="18">
        <f>IF(R834&lt;4,Q834-1,Q834)</f>
        <v>2024</v>
      </c>
      <c r="T834" s="18">
        <f>IF(R834&lt;4,R834+9,R834-3)</f>
        <v>10</v>
      </c>
      <c r="U834" s="18">
        <f>IF(LEN(T834)=1,_xlfn.CONCAT(0,T834),T834)</f>
        <v>10</v>
      </c>
      <c r="V834" s="18" t="str">
        <f>_xlfn.CONCAT(S834,U834)</f>
        <v>202410</v>
      </c>
      <c r="W834" s="18" t="str">
        <f>_xlfn.CONCAT(TEXT(A834,"MMM"),"-",MID(Q834,3,2))</f>
        <v>Jan-25</v>
      </c>
      <c r="X834" s="19">
        <f>IFERROR(IF(D834="Sell",(H834-P834),-(H834+P834)),0)</f>
        <v>-10414.99</v>
      </c>
      <c r="Y834" s="19">
        <f>X834/1000</f>
        <v>-10.41499</v>
      </c>
    </row>
    <row r="835" spans="1:25" x14ac:dyDescent="0.25">
      <c r="A835" s="1">
        <v>45688</v>
      </c>
      <c r="B835" t="s">
        <v>1139</v>
      </c>
      <c r="C835" t="s">
        <v>17</v>
      </c>
      <c r="D835" t="s">
        <v>18</v>
      </c>
      <c r="E835">
        <v>75</v>
      </c>
      <c r="F835">
        <v>0</v>
      </c>
      <c r="G835">
        <v>307.25</v>
      </c>
      <c r="H835">
        <v>23043.75</v>
      </c>
      <c r="I835" t="s">
        <v>1140</v>
      </c>
      <c r="J835">
        <v>23.04</v>
      </c>
      <c r="K835">
        <v>8.19</v>
      </c>
      <c r="L835">
        <v>0</v>
      </c>
      <c r="M835">
        <v>0.02</v>
      </c>
      <c r="N835">
        <v>20</v>
      </c>
      <c r="O835">
        <v>5.08</v>
      </c>
      <c r="P835">
        <v>56.33</v>
      </c>
      <c r="Q835" s="18">
        <f>YEAR(A835)</f>
        <v>2025</v>
      </c>
      <c r="R835" s="18">
        <f>MONTH(A835)</f>
        <v>1</v>
      </c>
      <c r="S835" s="18">
        <f>IF(R835&lt;4,Q835-1,Q835)</f>
        <v>2024</v>
      </c>
      <c r="T835" s="18">
        <f>IF(R835&lt;4,R835+9,R835-3)</f>
        <v>10</v>
      </c>
      <c r="U835" s="18">
        <f>IF(LEN(T835)=1,_xlfn.CONCAT(0,T835),T835)</f>
        <v>10</v>
      </c>
      <c r="V835" s="18" t="str">
        <f>_xlfn.CONCAT(S835,U835)</f>
        <v>202410</v>
      </c>
      <c r="W835" s="18" t="str">
        <f>_xlfn.CONCAT(TEXT(A835,"MMM"),"-",MID(Q835,3,2))</f>
        <v>Jan-25</v>
      </c>
      <c r="X835" s="19">
        <f>IFERROR(IF(D835="Sell",(H835-P835),-(H835+P835)),0)</f>
        <v>22987.42</v>
      </c>
      <c r="Y835" s="19">
        <f>X835/1000</f>
        <v>22.987419999999997</v>
      </c>
    </row>
    <row r="836" spans="1:25" x14ac:dyDescent="0.25">
      <c r="A836" s="1">
        <v>45688</v>
      </c>
      <c r="B836" t="s">
        <v>1139</v>
      </c>
      <c r="C836" t="s">
        <v>17</v>
      </c>
      <c r="D836" t="s">
        <v>22</v>
      </c>
      <c r="E836">
        <v>75</v>
      </c>
      <c r="F836">
        <v>0</v>
      </c>
      <c r="G836">
        <v>286</v>
      </c>
      <c r="H836">
        <v>21450</v>
      </c>
      <c r="I836" t="s">
        <v>1141</v>
      </c>
      <c r="J836">
        <v>0</v>
      </c>
      <c r="K836">
        <v>7.62</v>
      </c>
      <c r="L836">
        <v>0</v>
      </c>
      <c r="M836">
        <v>0.02</v>
      </c>
      <c r="N836">
        <v>20</v>
      </c>
      <c r="O836">
        <v>4.9800000000000004</v>
      </c>
      <c r="P836">
        <v>32.619999999999997</v>
      </c>
      <c r="Q836" s="18">
        <f>YEAR(A836)</f>
        <v>2025</v>
      </c>
      <c r="R836" s="18">
        <f>MONTH(A836)</f>
        <v>1</v>
      </c>
      <c r="S836" s="18">
        <f>IF(R836&lt;4,Q836-1,Q836)</f>
        <v>2024</v>
      </c>
      <c r="T836" s="18">
        <f>IF(R836&lt;4,R836+9,R836-3)</f>
        <v>10</v>
      </c>
      <c r="U836" s="18">
        <f>IF(LEN(T836)=1,_xlfn.CONCAT(0,T836),T836)</f>
        <v>10</v>
      </c>
      <c r="V836" s="18" t="str">
        <f>_xlfn.CONCAT(S836,U836)</f>
        <v>202410</v>
      </c>
      <c r="W836" s="18" t="str">
        <f>_xlfn.CONCAT(TEXT(A836,"MMM"),"-",MID(Q836,3,2))</f>
        <v>Jan-25</v>
      </c>
      <c r="X836" s="19">
        <f>IFERROR(IF(D836="Sell",(H836-P836),-(H836+P836)),0)</f>
        <v>-21482.62</v>
      </c>
      <c r="Y836" s="19">
        <f>X836/1000</f>
        <v>-21.482620000000001</v>
      </c>
    </row>
    <row r="837" spans="1:25" x14ac:dyDescent="0.25">
      <c r="A837" s="1">
        <v>45688</v>
      </c>
      <c r="B837" t="s">
        <v>1139</v>
      </c>
      <c r="C837" t="s">
        <v>17</v>
      </c>
      <c r="D837" t="s">
        <v>18</v>
      </c>
      <c r="E837">
        <v>75</v>
      </c>
      <c r="F837">
        <v>0</v>
      </c>
      <c r="G837">
        <v>317.25</v>
      </c>
      <c r="H837">
        <v>23793.75</v>
      </c>
      <c r="I837" t="s">
        <v>1142</v>
      </c>
      <c r="J837">
        <v>23.79</v>
      </c>
      <c r="K837">
        <v>8.4499999999999993</v>
      </c>
      <c r="L837">
        <v>0</v>
      </c>
      <c r="M837">
        <v>0.02</v>
      </c>
      <c r="N837">
        <v>20</v>
      </c>
      <c r="O837">
        <v>5.12</v>
      </c>
      <c r="P837">
        <v>57.38</v>
      </c>
      <c r="Q837" s="18">
        <f>YEAR(A837)</f>
        <v>2025</v>
      </c>
      <c r="R837" s="18">
        <f>MONTH(A837)</f>
        <v>1</v>
      </c>
      <c r="S837" s="18">
        <f>IF(R837&lt;4,Q837-1,Q837)</f>
        <v>2024</v>
      </c>
      <c r="T837" s="18">
        <f>IF(R837&lt;4,R837+9,R837-3)</f>
        <v>10</v>
      </c>
      <c r="U837" s="18">
        <f>IF(LEN(T837)=1,_xlfn.CONCAT(0,T837),T837)</f>
        <v>10</v>
      </c>
      <c r="V837" s="18" t="str">
        <f>_xlfn.CONCAT(S837,U837)</f>
        <v>202410</v>
      </c>
      <c r="W837" s="18" t="str">
        <f>_xlfn.CONCAT(TEXT(A837,"MMM"),"-",MID(Q837,3,2))</f>
        <v>Jan-25</v>
      </c>
      <c r="X837" s="19">
        <f>IFERROR(IF(D837="Sell",(H837-P837),-(H837+P837)),0)</f>
        <v>23736.37</v>
      </c>
      <c r="Y837" s="19">
        <f>X837/1000</f>
        <v>23.736369999999997</v>
      </c>
    </row>
    <row r="838" spans="1:25" x14ac:dyDescent="0.25">
      <c r="A838" s="1">
        <v>45688</v>
      </c>
      <c r="B838" t="s">
        <v>1139</v>
      </c>
      <c r="C838" t="s">
        <v>17</v>
      </c>
      <c r="D838" t="s">
        <v>22</v>
      </c>
      <c r="E838">
        <v>75</v>
      </c>
      <c r="F838">
        <v>0</v>
      </c>
      <c r="G838">
        <v>303.5</v>
      </c>
      <c r="H838">
        <v>22762.5</v>
      </c>
      <c r="I838" t="s">
        <v>1143</v>
      </c>
      <c r="J838">
        <v>0</v>
      </c>
      <c r="K838">
        <v>8.09</v>
      </c>
      <c r="L838">
        <v>1.33</v>
      </c>
      <c r="M838">
        <v>0.02</v>
      </c>
      <c r="N838">
        <v>20</v>
      </c>
      <c r="O838">
        <v>5.0599999999999996</v>
      </c>
      <c r="P838">
        <v>34.5</v>
      </c>
      <c r="Q838" s="18">
        <f>YEAR(A838)</f>
        <v>2025</v>
      </c>
      <c r="R838" s="18">
        <f>MONTH(A838)</f>
        <v>1</v>
      </c>
      <c r="S838" s="18">
        <f>IF(R838&lt;4,Q838-1,Q838)</f>
        <v>2024</v>
      </c>
      <c r="T838" s="18">
        <f>IF(R838&lt;4,R838+9,R838-3)</f>
        <v>10</v>
      </c>
      <c r="U838" s="18">
        <f>IF(LEN(T838)=1,_xlfn.CONCAT(0,T838),T838)</f>
        <v>10</v>
      </c>
      <c r="V838" s="18" t="str">
        <f>_xlfn.CONCAT(S838,U838)</f>
        <v>202410</v>
      </c>
      <c r="W838" s="18" t="str">
        <f>_xlfn.CONCAT(TEXT(A838,"MMM"),"-",MID(Q838,3,2))</f>
        <v>Jan-25</v>
      </c>
      <c r="X838" s="19">
        <f>IFERROR(IF(D838="Sell",(H838-P838),-(H838+P838)),0)</f>
        <v>-22797</v>
      </c>
      <c r="Y838" s="19">
        <f>X838/1000</f>
        <v>-22.797000000000001</v>
      </c>
    </row>
    <row r="839" spans="1:25" x14ac:dyDescent="0.25">
      <c r="A839" s="1">
        <v>45688</v>
      </c>
      <c r="B839" t="s">
        <v>1144</v>
      </c>
      <c r="C839" t="s">
        <v>17</v>
      </c>
      <c r="D839" t="s">
        <v>18</v>
      </c>
      <c r="E839">
        <v>300</v>
      </c>
      <c r="F839">
        <v>0</v>
      </c>
      <c r="G839">
        <v>259.25</v>
      </c>
      <c r="H839">
        <v>77775</v>
      </c>
      <c r="I839" t="s">
        <v>1145</v>
      </c>
      <c r="J839">
        <v>77.77</v>
      </c>
      <c r="K839">
        <v>27.64</v>
      </c>
      <c r="L839">
        <v>0</v>
      </c>
      <c r="M839">
        <v>0.08</v>
      </c>
      <c r="N839">
        <v>80</v>
      </c>
      <c r="O839">
        <v>19.38</v>
      </c>
      <c r="P839">
        <v>204.87</v>
      </c>
      <c r="Q839" s="18">
        <f>YEAR(A839)</f>
        <v>2025</v>
      </c>
      <c r="R839" s="18">
        <f>MONTH(A839)</f>
        <v>1</v>
      </c>
      <c r="S839" s="18">
        <f>IF(R839&lt;4,Q839-1,Q839)</f>
        <v>2024</v>
      </c>
      <c r="T839" s="18">
        <f>IF(R839&lt;4,R839+9,R839-3)</f>
        <v>10</v>
      </c>
      <c r="U839" s="18">
        <f>IF(LEN(T839)=1,_xlfn.CONCAT(0,T839),T839)</f>
        <v>10</v>
      </c>
      <c r="V839" s="18" t="str">
        <f>_xlfn.CONCAT(S839,U839)</f>
        <v>202410</v>
      </c>
      <c r="W839" s="18" t="str">
        <f>_xlfn.CONCAT(TEXT(A839,"MMM"),"-",MID(Q839,3,2))</f>
        <v>Jan-25</v>
      </c>
      <c r="X839" s="19">
        <f>IFERROR(IF(D839="Sell",(H839-P839),-(H839+P839)),0)</f>
        <v>77570.13</v>
      </c>
      <c r="Y839" s="19">
        <f>X839/1000</f>
        <v>77.570130000000006</v>
      </c>
    </row>
    <row r="840" spans="1:25" x14ac:dyDescent="0.25">
      <c r="A840" s="1">
        <v>45688</v>
      </c>
      <c r="B840" t="s">
        <v>1144</v>
      </c>
      <c r="C840" t="s">
        <v>17</v>
      </c>
      <c r="D840" t="s">
        <v>22</v>
      </c>
      <c r="E840">
        <v>150</v>
      </c>
      <c r="F840">
        <v>0</v>
      </c>
      <c r="G840">
        <v>246.25</v>
      </c>
      <c r="H840">
        <v>36937.5</v>
      </c>
      <c r="I840" t="s">
        <v>1146</v>
      </c>
      <c r="J840">
        <v>0</v>
      </c>
      <c r="K840">
        <v>13.12</v>
      </c>
      <c r="L840">
        <v>0</v>
      </c>
      <c r="M840">
        <v>0.04</v>
      </c>
      <c r="N840">
        <v>40</v>
      </c>
      <c r="O840">
        <v>9.56</v>
      </c>
      <c r="P840">
        <v>62.72</v>
      </c>
      <c r="Q840" s="18">
        <f>YEAR(A840)</f>
        <v>2025</v>
      </c>
      <c r="R840" s="18">
        <f>MONTH(A840)</f>
        <v>1</v>
      </c>
      <c r="S840" s="18">
        <f>IF(R840&lt;4,Q840-1,Q840)</f>
        <v>2024</v>
      </c>
      <c r="T840" s="18">
        <f>IF(R840&lt;4,R840+9,R840-3)</f>
        <v>10</v>
      </c>
      <c r="U840" s="18">
        <f>IF(LEN(T840)=1,_xlfn.CONCAT(0,T840),T840)</f>
        <v>10</v>
      </c>
      <c r="V840" s="18" t="str">
        <f>_xlfn.CONCAT(S840,U840)</f>
        <v>202410</v>
      </c>
      <c r="W840" s="18" t="str">
        <f>_xlfn.CONCAT(TEXT(A840,"MMM"),"-",MID(Q840,3,2))</f>
        <v>Jan-25</v>
      </c>
      <c r="X840" s="19">
        <f>IFERROR(IF(D840="Sell",(H840-P840),-(H840+P840)),0)</f>
        <v>-37000.22</v>
      </c>
      <c r="Y840" s="19">
        <f>X840/1000</f>
        <v>-37.000219999999999</v>
      </c>
    </row>
    <row r="841" spans="1:25" x14ac:dyDescent="0.25">
      <c r="A841" s="1">
        <v>45688</v>
      </c>
      <c r="B841" t="s">
        <v>1144</v>
      </c>
      <c r="C841" t="s">
        <v>17</v>
      </c>
      <c r="D841" t="s">
        <v>22</v>
      </c>
      <c r="E841">
        <v>150</v>
      </c>
      <c r="F841">
        <v>0</v>
      </c>
      <c r="G841">
        <v>252.3</v>
      </c>
      <c r="H841">
        <v>37845</v>
      </c>
      <c r="I841" t="s">
        <v>1147</v>
      </c>
      <c r="J841">
        <v>0</v>
      </c>
      <c r="K841">
        <v>13.45</v>
      </c>
      <c r="L841">
        <v>3.67</v>
      </c>
      <c r="M841">
        <v>0.04</v>
      </c>
      <c r="N841">
        <v>40</v>
      </c>
      <c r="O841">
        <v>9.6199999999999992</v>
      </c>
      <c r="P841">
        <v>66.78</v>
      </c>
      <c r="Q841" s="18">
        <f>YEAR(A841)</f>
        <v>2025</v>
      </c>
      <c r="R841" s="18">
        <f>MONTH(A841)</f>
        <v>1</v>
      </c>
      <c r="S841" s="18">
        <f>IF(R841&lt;4,Q841-1,Q841)</f>
        <v>2024</v>
      </c>
      <c r="T841" s="18">
        <f>IF(R841&lt;4,R841+9,R841-3)</f>
        <v>10</v>
      </c>
      <c r="U841" s="18">
        <f>IF(LEN(T841)=1,_xlfn.CONCAT(0,T841),T841)</f>
        <v>10</v>
      </c>
      <c r="V841" s="18" t="str">
        <f>_xlfn.CONCAT(S841,U841)</f>
        <v>202410</v>
      </c>
      <c r="W841" s="18" t="str">
        <f>_xlfn.CONCAT(TEXT(A841,"MMM"),"-",MID(Q841,3,2))</f>
        <v>Jan-25</v>
      </c>
      <c r="X841" s="19">
        <f>IFERROR(IF(D841="Sell",(H841-P841),-(H841+P841)),0)</f>
        <v>-37911.78</v>
      </c>
      <c r="Y841" s="19">
        <f>X841/1000</f>
        <v>-37.91178</v>
      </c>
    </row>
    <row r="842" spans="1:25" x14ac:dyDescent="0.25">
      <c r="A842" s="1">
        <v>45688</v>
      </c>
      <c r="B842" t="s">
        <v>1144</v>
      </c>
      <c r="C842" t="s">
        <v>17</v>
      </c>
      <c r="D842" t="s">
        <v>18</v>
      </c>
      <c r="E842">
        <v>150</v>
      </c>
      <c r="F842">
        <v>0</v>
      </c>
      <c r="G842">
        <v>247.5</v>
      </c>
      <c r="H842">
        <v>37125</v>
      </c>
      <c r="I842" t="s">
        <v>1148</v>
      </c>
      <c r="J842">
        <v>37.380000000000003</v>
      </c>
      <c r="K842">
        <v>13.2</v>
      </c>
      <c r="L842">
        <v>0</v>
      </c>
      <c r="M842">
        <v>0.04</v>
      </c>
      <c r="N842">
        <v>40</v>
      </c>
      <c r="O842">
        <v>9.6</v>
      </c>
      <c r="P842">
        <v>100.22</v>
      </c>
      <c r="Q842" s="18">
        <f>YEAR(A842)</f>
        <v>2025</v>
      </c>
      <c r="R842" s="18">
        <f>MONTH(A842)</f>
        <v>1</v>
      </c>
      <c r="S842" s="18">
        <f>IF(R842&lt;4,Q842-1,Q842)</f>
        <v>2024</v>
      </c>
      <c r="T842" s="18">
        <f>IF(R842&lt;4,R842+9,R842-3)</f>
        <v>10</v>
      </c>
      <c r="U842" s="18">
        <f>IF(LEN(T842)=1,_xlfn.CONCAT(0,T842),T842)</f>
        <v>10</v>
      </c>
      <c r="V842" s="18" t="str">
        <f>_xlfn.CONCAT(S842,U842)</f>
        <v>202410</v>
      </c>
      <c r="W842" s="18" t="str">
        <f>_xlfn.CONCAT(TEXT(A842,"MMM"),"-",MID(Q842,3,2))</f>
        <v>Jan-25</v>
      </c>
      <c r="X842" s="19">
        <f>IFERROR(IF(D842="Sell",(H842-P842),-(H842+P842)),0)</f>
        <v>37024.78</v>
      </c>
      <c r="Y842" s="19">
        <f>X842/1000</f>
        <v>37.02478</v>
      </c>
    </row>
    <row r="843" spans="1:25" x14ac:dyDescent="0.25">
      <c r="A843" s="1">
        <v>45688</v>
      </c>
      <c r="B843" t="s">
        <v>1144</v>
      </c>
      <c r="C843" t="s">
        <v>17</v>
      </c>
      <c r="D843" t="s">
        <v>22</v>
      </c>
      <c r="E843">
        <v>75</v>
      </c>
      <c r="F843">
        <v>0</v>
      </c>
      <c r="G843">
        <v>242.1</v>
      </c>
      <c r="H843">
        <v>18157.5</v>
      </c>
      <c r="I843" t="s">
        <v>1149</v>
      </c>
      <c r="J843">
        <v>0</v>
      </c>
      <c r="K843">
        <v>6.45</v>
      </c>
      <c r="L843">
        <v>0</v>
      </c>
      <c r="M843">
        <v>0.02</v>
      </c>
      <c r="N843">
        <v>20</v>
      </c>
      <c r="O843">
        <v>4.76</v>
      </c>
      <c r="P843">
        <v>31.23</v>
      </c>
      <c r="Q843" s="18">
        <f>YEAR(A843)</f>
        <v>2025</v>
      </c>
      <c r="R843" s="18">
        <f>MONTH(A843)</f>
        <v>1</v>
      </c>
      <c r="S843" s="18">
        <f>IF(R843&lt;4,Q843-1,Q843)</f>
        <v>2024</v>
      </c>
      <c r="T843" s="18">
        <f>IF(R843&lt;4,R843+9,R843-3)</f>
        <v>10</v>
      </c>
      <c r="U843" s="18">
        <f>IF(LEN(T843)=1,_xlfn.CONCAT(0,T843),T843)</f>
        <v>10</v>
      </c>
      <c r="V843" s="18" t="str">
        <f>_xlfn.CONCAT(S843,U843)</f>
        <v>202410</v>
      </c>
      <c r="W843" s="18" t="str">
        <f>_xlfn.CONCAT(TEXT(A843,"MMM"),"-",MID(Q843,3,2))</f>
        <v>Jan-25</v>
      </c>
      <c r="X843" s="19">
        <f>IFERROR(IF(D843="Sell",(H843-P843),-(H843+P843)),0)</f>
        <v>-18188.73</v>
      </c>
      <c r="Y843" s="19">
        <f>X843/1000</f>
        <v>-18.18873</v>
      </c>
    </row>
    <row r="844" spans="1:25" x14ac:dyDescent="0.25">
      <c r="A844" s="1">
        <v>45688</v>
      </c>
      <c r="B844" t="s">
        <v>1144</v>
      </c>
      <c r="C844" t="s">
        <v>17</v>
      </c>
      <c r="D844" t="s">
        <v>22</v>
      </c>
      <c r="E844">
        <v>75</v>
      </c>
      <c r="F844">
        <v>0</v>
      </c>
      <c r="G844">
        <v>251.25</v>
      </c>
      <c r="H844">
        <v>18843.75</v>
      </c>
      <c r="I844" t="s">
        <v>1150</v>
      </c>
      <c r="J844">
        <v>0</v>
      </c>
      <c r="K844">
        <v>6.7</v>
      </c>
      <c r="L844">
        <v>0</v>
      </c>
      <c r="M844">
        <v>0.02</v>
      </c>
      <c r="N844">
        <v>20</v>
      </c>
      <c r="O844">
        <v>4.8</v>
      </c>
      <c r="P844">
        <v>31.52</v>
      </c>
      <c r="Q844" s="18">
        <f>YEAR(A844)</f>
        <v>2025</v>
      </c>
      <c r="R844" s="18">
        <f>MONTH(A844)</f>
        <v>1</v>
      </c>
      <c r="S844" s="18">
        <f>IF(R844&lt;4,Q844-1,Q844)</f>
        <v>2024</v>
      </c>
      <c r="T844" s="18">
        <f>IF(R844&lt;4,R844+9,R844-3)</f>
        <v>10</v>
      </c>
      <c r="U844" s="18">
        <f>IF(LEN(T844)=1,_xlfn.CONCAT(0,T844),T844)</f>
        <v>10</v>
      </c>
      <c r="V844" s="18" t="str">
        <f>_xlfn.CONCAT(S844,U844)</f>
        <v>202410</v>
      </c>
      <c r="W844" s="18" t="str">
        <f>_xlfn.CONCAT(TEXT(A844,"MMM"),"-",MID(Q844,3,2))</f>
        <v>Jan-25</v>
      </c>
      <c r="X844" s="19">
        <f>IFERROR(IF(D844="Sell",(H844-P844),-(H844+P844)),0)</f>
        <v>-18875.27</v>
      </c>
      <c r="Y844" s="19">
        <f>X844/1000</f>
        <v>-18.87527</v>
      </c>
    </row>
    <row r="845" spans="1:25" x14ac:dyDescent="0.25">
      <c r="A845" s="1">
        <v>45689</v>
      </c>
      <c r="B845" t="s">
        <v>1151</v>
      </c>
      <c r="C845" t="s">
        <v>17</v>
      </c>
      <c r="D845" t="s">
        <v>18</v>
      </c>
      <c r="E845">
        <v>300</v>
      </c>
      <c r="F845">
        <v>0</v>
      </c>
      <c r="G845">
        <v>103.8</v>
      </c>
      <c r="H845">
        <v>31140</v>
      </c>
      <c r="I845" t="s">
        <v>1152</v>
      </c>
      <c r="J845">
        <v>31</v>
      </c>
      <c r="K845">
        <v>11.06</v>
      </c>
      <c r="L845">
        <v>0</v>
      </c>
      <c r="M845">
        <v>0.03</v>
      </c>
      <c r="N845">
        <v>80</v>
      </c>
      <c r="O845">
        <v>16.399999999999999</v>
      </c>
      <c r="P845">
        <v>138.49</v>
      </c>
      <c r="Q845" s="18">
        <f>YEAR(A845)</f>
        <v>2025</v>
      </c>
      <c r="R845" s="18">
        <f>MONTH(A845)</f>
        <v>2</v>
      </c>
      <c r="S845" s="18">
        <f>IF(R845&lt;4,Q845-1,Q845)</f>
        <v>2024</v>
      </c>
      <c r="T845" s="18">
        <f>IF(R845&lt;4,R845+9,R845-3)</f>
        <v>11</v>
      </c>
      <c r="U845" s="18">
        <f>IF(LEN(T845)=1,_xlfn.CONCAT(0,T845),T845)</f>
        <v>11</v>
      </c>
      <c r="V845" s="18" t="str">
        <f>_xlfn.CONCAT(S845,U845)</f>
        <v>202411</v>
      </c>
      <c r="W845" s="18" t="str">
        <f>_xlfn.CONCAT(TEXT(A845,"MMM"),"-",MID(Q845,3,2))</f>
        <v>Feb-25</v>
      </c>
      <c r="X845" s="19">
        <f>IFERROR(IF(D845="Sell",(H845-P845),-(H845+P845)),0)</f>
        <v>31001.51</v>
      </c>
      <c r="Y845" s="19">
        <f>X845/1000</f>
        <v>31.00151</v>
      </c>
    </row>
    <row r="846" spans="1:25" x14ac:dyDescent="0.25">
      <c r="A846" s="1">
        <v>45689</v>
      </c>
      <c r="B846" t="s">
        <v>1151</v>
      </c>
      <c r="C846" t="s">
        <v>17</v>
      </c>
      <c r="D846" t="s">
        <v>22</v>
      </c>
      <c r="E846">
        <v>75</v>
      </c>
      <c r="F846">
        <v>0</v>
      </c>
      <c r="G846">
        <v>215.3</v>
      </c>
      <c r="H846">
        <v>16147.5</v>
      </c>
      <c r="I846" t="s">
        <v>1153</v>
      </c>
      <c r="J846">
        <v>0</v>
      </c>
      <c r="K846">
        <v>5.74</v>
      </c>
      <c r="L846">
        <v>0</v>
      </c>
      <c r="M846">
        <v>0.02</v>
      </c>
      <c r="N846">
        <v>20</v>
      </c>
      <c r="O846">
        <v>4.6399999999999997</v>
      </c>
      <c r="P846">
        <v>30.4</v>
      </c>
      <c r="Q846" s="18">
        <f>YEAR(A846)</f>
        <v>2025</v>
      </c>
      <c r="R846" s="18">
        <f>MONTH(A846)</f>
        <v>2</v>
      </c>
      <c r="S846" s="18">
        <f>IF(R846&lt;4,Q846-1,Q846)</f>
        <v>2024</v>
      </c>
      <c r="T846" s="18">
        <f>IF(R846&lt;4,R846+9,R846-3)</f>
        <v>11</v>
      </c>
      <c r="U846" s="18">
        <f>IF(LEN(T846)=1,_xlfn.CONCAT(0,T846),T846)</f>
        <v>11</v>
      </c>
      <c r="V846" s="18" t="str">
        <f>_xlfn.CONCAT(S846,U846)</f>
        <v>202411</v>
      </c>
      <c r="W846" s="18" t="str">
        <f>_xlfn.CONCAT(TEXT(A846,"MMM"),"-",MID(Q846,3,2))</f>
        <v>Feb-25</v>
      </c>
      <c r="X846" s="19">
        <f>IFERROR(IF(D846="Sell",(H846-P846),-(H846+P846)),0)</f>
        <v>-16177.9</v>
      </c>
      <c r="Y846" s="19">
        <f>X846/1000</f>
        <v>-16.177900000000001</v>
      </c>
    </row>
    <row r="847" spans="1:25" x14ac:dyDescent="0.25">
      <c r="A847" s="1">
        <v>45689</v>
      </c>
      <c r="B847" t="s">
        <v>1151</v>
      </c>
      <c r="C847" t="s">
        <v>17</v>
      </c>
      <c r="D847" t="s">
        <v>22</v>
      </c>
      <c r="E847">
        <v>75</v>
      </c>
      <c r="F847">
        <v>0</v>
      </c>
      <c r="G847">
        <v>241.45</v>
      </c>
      <c r="H847">
        <v>18108.75</v>
      </c>
      <c r="I847" t="s">
        <v>1154</v>
      </c>
      <c r="J847">
        <v>0</v>
      </c>
      <c r="K847">
        <v>6.43</v>
      </c>
      <c r="L847">
        <v>0</v>
      </c>
      <c r="M847">
        <v>0.02</v>
      </c>
      <c r="N847">
        <v>20</v>
      </c>
      <c r="O847">
        <v>4.76</v>
      </c>
      <c r="P847">
        <v>31.21</v>
      </c>
      <c r="Q847" s="18">
        <f>YEAR(A847)</f>
        <v>2025</v>
      </c>
      <c r="R847" s="18">
        <f>MONTH(A847)</f>
        <v>2</v>
      </c>
      <c r="S847" s="18">
        <f>IF(R847&lt;4,Q847-1,Q847)</f>
        <v>2024</v>
      </c>
      <c r="T847" s="18">
        <f>IF(R847&lt;4,R847+9,R847-3)</f>
        <v>11</v>
      </c>
      <c r="U847" s="18">
        <f>IF(LEN(T847)=1,_xlfn.CONCAT(0,T847),T847)</f>
        <v>11</v>
      </c>
      <c r="V847" s="18" t="str">
        <f>_xlfn.CONCAT(S847,U847)</f>
        <v>202411</v>
      </c>
      <c r="W847" s="18" t="str">
        <f>_xlfn.CONCAT(TEXT(A847,"MMM"),"-",MID(Q847,3,2))</f>
        <v>Feb-25</v>
      </c>
      <c r="X847" s="19">
        <f>IFERROR(IF(D847="Sell",(H847-P847),-(H847+P847)),0)</f>
        <v>-18139.96</v>
      </c>
      <c r="Y847" s="19">
        <f>X847/1000</f>
        <v>-18.139959999999999</v>
      </c>
    </row>
    <row r="848" spans="1:25" x14ac:dyDescent="0.25">
      <c r="A848" s="1">
        <v>45689</v>
      </c>
      <c r="B848" t="s">
        <v>1151</v>
      </c>
      <c r="C848" t="s">
        <v>17</v>
      </c>
      <c r="D848" t="s">
        <v>22</v>
      </c>
      <c r="E848">
        <v>75</v>
      </c>
      <c r="F848">
        <v>0</v>
      </c>
      <c r="G848">
        <v>242.1</v>
      </c>
      <c r="H848">
        <v>18157.5</v>
      </c>
      <c r="I848" t="s">
        <v>1155</v>
      </c>
      <c r="J848">
        <v>0</v>
      </c>
      <c r="K848">
        <v>6.45</v>
      </c>
      <c r="L848">
        <v>0</v>
      </c>
      <c r="M848">
        <v>0.02</v>
      </c>
      <c r="N848">
        <v>20</v>
      </c>
      <c r="O848">
        <v>4.76</v>
      </c>
      <c r="P848">
        <v>31.23</v>
      </c>
      <c r="Q848" s="18">
        <f>YEAR(A848)</f>
        <v>2025</v>
      </c>
      <c r="R848" s="18">
        <f>MONTH(A848)</f>
        <v>2</v>
      </c>
      <c r="S848" s="18">
        <f>IF(R848&lt;4,Q848-1,Q848)</f>
        <v>2024</v>
      </c>
      <c r="T848" s="18">
        <f>IF(R848&lt;4,R848+9,R848-3)</f>
        <v>11</v>
      </c>
      <c r="U848" s="18">
        <f>IF(LEN(T848)=1,_xlfn.CONCAT(0,T848),T848)</f>
        <v>11</v>
      </c>
      <c r="V848" s="18" t="str">
        <f>_xlfn.CONCAT(S848,U848)</f>
        <v>202411</v>
      </c>
      <c r="W848" s="18" t="str">
        <f>_xlfn.CONCAT(TEXT(A848,"MMM"),"-",MID(Q848,3,2))</f>
        <v>Feb-25</v>
      </c>
      <c r="X848" s="19">
        <f>IFERROR(IF(D848="Sell",(H848-P848),-(H848+P848)),0)</f>
        <v>-18188.73</v>
      </c>
      <c r="Y848" s="19">
        <f>X848/1000</f>
        <v>-18.18873</v>
      </c>
    </row>
    <row r="849" spans="1:25" x14ac:dyDescent="0.25">
      <c r="A849" s="1">
        <v>45689</v>
      </c>
      <c r="B849" t="s">
        <v>1151</v>
      </c>
      <c r="C849" t="s">
        <v>17</v>
      </c>
      <c r="D849" t="s">
        <v>22</v>
      </c>
      <c r="E849">
        <v>75</v>
      </c>
      <c r="F849">
        <v>0</v>
      </c>
      <c r="G849">
        <v>252</v>
      </c>
      <c r="H849">
        <v>18900</v>
      </c>
      <c r="I849" t="s">
        <v>1156</v>
      </c>
      <c r="J849">
        <v>0</v>
      </c>
      <c r="K849">
        <v>6.72</v>
      </c>
      <c r="L849">
        <v>2</v>
      </c>
      <c r="M849">
        <v>0.02</v>
      </c>
      <c r="N849">
        <v>20</v>
      </c>
      <c r="O849">
        <v>4.82</v>
      </c>
      <c r="P849">
        <v>33.56</v>
      </c>
      <c r="Q849" s="18">
        <f>YEAR(A849)</f>
        <v>2025</v>
      </c>
      <c r="R849" s="18">
        <f>MONTH(A849)</f>
        <v>2</v>
      </c>
      <c r="S849" s="18">
        <f>IF(R849&lt;4,Q849-1,Q849)</f>
        <v>2024</v>
      </c>
      <c r="T849" s="18">
        <f>IF(R849&lt;4,R849+9,R849-3)</f>
        <v>11</v>
      </c>
      <c r="U849" s="18">
        <f>IF(LEN(T849)=1,_xlfn.CONCAT(0,T849),T849)</f>
        <v>11</v>
      </c>
      <c r="V849" s="18" t="str">
        <f>_xlfn.CONCAT(S849,U849)</f>
        <v>202411</v>
      </c>
      <c r="W849" s="18" t="str">
        <f>_xlfn.CONCAT(TEXT(A849,"MMM"),"-",MID(Q849,3,2))</f>
        <v>Feb-25</v>
      </c>
      <c r="X849" s="19">
        <f>IFERROR(IF(D849="Sell",(H849-P849),-(H849+P849)),0)</f>
        <v>-18933.560000000001</v>
      </c>
      <c r="Y849" s="19">
        <f>X849/1000</f>
        <v>-18.93356</v>
      </c>
    </row>
    <row r="850" spans="1:25" x14ac:dyDescent="0.25">
      <c r="A850" s="1">
        <v>45691</v>
      </c>
      <c r="B850" t="s">
        <v>1157</v>
      </c>
      <c r="C850" t="s">
        <v>17</v>
      </c>
      <c r="D850" t="s">
        <v>18</v>
      </c>
      <c r="E850">
        <v>150</v>
      </c>
      <c r="F850">
        <v>0</v>
      </c>
      <c r="G850">
        <v>169.95</v>
      </c>
      <c r="H850">
        <v>25492.5</v>
      </c>
      <c r="I850" t="s">
        <v>1158</v>
      </c>
      <c r="J850">
        <v>25</v>
      </c>
      <c r="K850">
        <v>9.06</v>
      </c>
      <c r="L850">
        <v>0</v>
      </c>
      <c r="M850">
        <v>0.03</v>
      </c>
      <c r="N850">
        <v>40</v>
      </c>
      <c r="O850">
        <v>8.84</v>
      </c>
      <c r="P850">
        <v>82.93</v>
      </c>
      <c r="Q850" s="18">
        <f>YEAR(A850)</f>
        <v>2025</v>
      </c>
      <c r="R850" s="18">
        <f>MONTH(A850)</f>
        <v>2</v>
      </c>
      <c r="S850" s="18">
        <f>IF(R850&lt;4,Q850-1,Q850)</f>
        <v>2024</v>
      </c>
      <c r="T850" s="18">
        <f>IF(R850&lt;4,R850+9,R850-3)</f>
        <v>11</v>
      </c>
      <c r="U850" s="18">
        <f>IF(LEN(T850)=1,_xlfn.CONCAT(0,T850),T850)</f>
        <v>11</v>
      </c>
      <c r="V850" s="18" t="str">
        <f>_xlfn.CONCAT(S850,U850)</f>
        <v>202411</v>
      </c>
      <c r="W850" s="18" t="str">
        <f>_xlfn.CONCAT(TEXT(A850,"MMM"),"-",MID(Q850,3,2))</f>
        <v>Feb-25</v>
      </c>
      <c r="X850" s="19">
        <f>IFERROR(IF(D850="Sell",(H850-P850),-(H850+P850)),0)</f>
        <v>25409.57</v>
      </c>
      <c r="Y850" s="19">
        <f>X850/1000</f>
        <v>25.409569999999999</v>
      </c>
    </row>
    <row r="851" spans="1:25" x14ac:dyDescent="0.25">
      <c r="A851" s="1">
        <v>45691</v>
      </c>
      <c r="B851" t="s">
        <v>1157</v>
      </c>
      <c r="C851" t="s">
        <v>17</v>
      </c>
      <c r="D851" t="s">
        <v>22</v>
      </c>
      <c r="E851">
        <v>75</v>
      </c>
      <c r="F851">
        <v>0</v>
      </c>
      <c r="G851">
        <v>120.15</v>
      </c>
      <c r="H851">
        <v>9011.25</v>
      </c>
      <c r="I851" t="s">
        <v>1159</v>
      </c>
      <c r="J851">
        <v>0</v>
      </c>
      <c r="K851">
        <v>3.2</v>
      </c>
      <c r="L851">
        <v>0</v>
      </c>
      <c r="M851">
        <v>0.01</v>
      </c>
      <c r="N851">
        <v>20</v>
      </c>
      <c r="O851">
        <v>4.18</v>
      </c>
      <c r="P851">
        <v>27.39</v>
      </c>
      <c r="Q851" s="18">
        <f>YEAR(A851)</f>
        <v>2025</v>
      </c>
      <c r="R851" s="18">
        <f>MONTH(A851)</f>
        <v>2</v>
      </c>
      <c r="S851" s="18">
        <f>IF(R851&lt;4,Q851-1,Q851)</f>
        <v>2024</v>
      </c>
      <c r="T851" s="18">
        <f>IF(R851&lt;4,R851+9,R851-3)</f>
        <v>11</v>
      </c>
      <c r="U851" s="18">
        <f>IF(LEN(T851)=1,_xlfn.CONCAT(0,T851),T851)</f>
        <v>11</v>
      </c>
      <c r="V851" s="18" t="str">
        <f>_xlfn.CONCAT(S851,U851)</f>
        <v>202411</v>
      </c>
      <c r="W851" s="18" t="str">
        <f>_xlfn.CONCAT(TEXT(A851,"MMM"),"-",MID(Q851,3,2))</f>
        <v>Feb-25</v>
      </c>
      <c r="X851" s="19">
        <f>IFERROR(IF(D851="Sell",(H851-P851),-(H851+P851)),0)</f>
        <v>-9038.64</v>
      </c>
      <c r="Y851" s="19">
        <f>X851/1000</f>
        <v>-9.0386399999999991</v>
      </c>
    </row>
    <row r="852" spans="1:25" x14ac:dyDescent="0.25">
      <c r="A852" s="1">
        <v>45691</v>
      </c>
      <c r="B852" t="s">
        <v>1157</v>
      </c>
      <c r="C852" t="s">
        <v>17</v>
      </c>
      <c r="D852" t="s">
        <v>22</v>
      </c>
      <c r="E852">
        <v>75</v>
      </c>
      <c r="F852">
        <v>0</v>
      </c>
      <c r="G852">
        <v>157.69999999999999</v>
      </c>
      <c r="H852">
        <v>11827.5</v>
      </c>
      <c r="I852" t="s">
        <v>1160</v>
      </c>
      <c r="J852">
        <v>0</v>
      </c>
      <c r="K852">
        <v>4.2</v>
      </c>
      <c r="L852">
        <v>1</v>
      </c>
      <c r="M852">
        <v>0.01</v>
      </c>
      <c r="N852">
        <v>20</v>
      </c>
      <c r="O852">
        <v>4.3600000000000003</v>
      </c>
      <c r="P852">
        <v>29.57</v>
      </c>
      <c r="Q852" s="18">
        <f>YEAR(A852)</f>
        <v>2025</v>
      </c>
      <c r="R852" s="18">
        <f>MONTH(A852)</f>
        <v>2</v>
      </c>
      <c r="S852" s="18">
        <f>IF(R852&lt;4,Q852-1,Q852)</f>
        <v>2024</v>
      </c>
      <c r="T852" s="18">
        <f>IF(R852&lt;4,R852+9,R852-3)</f>
        <v>11</v>
      </c>
      <c r="U852" s="18">
        <f>IF(LEN(T852)=1,_xlfn.CONCAT(0,T852),T852)</f>
        <v>11</v>
      </c>
      <c r="V852" s="18" t="str">
        <f>_xlfn.CONCAT(S852,U852)</f>
        <v>202411</v>
      </c>
      <c r="W852" s="18" t="str">
        <f>_xlfn.CONCAT(TEXT(A852,"MMM"),"-",MID(Q852,3,2))</f>
        <v>Feb-25</v>
      </c>
      <c r="X852" s="19">
        <f>IFERROR(IF(D852="Sell",(H852-P852),-(H852+P852)),0)</f>
        <v>-11857.07</v>
      </c>
      <c r="Y852" s="19">
        <f>X852/1000</f>
        <v>-11.85707</v>
      </c>
    </row>
    <row r="853" spans="1:25" x14ac:dyDescent="0.25">
      <c r="A853" s="1">
        <v>45692</v>
      </c>
      <c r="B853" t="s">
        <v>1161</v>
      </c>
      <c r="C853" t="s">
        <v>17</v>
      </c>
      <c r="D853" t="s">
        <v>18</v>
      </c>
      <c r="E853">
        <v>150</v>
      </c>
      <c r="F853">
        <v>0</v>
      </c>
      <c r="G853">
        <v>169.25</v>
      </c>
      <c r="H853">
        <v>25387.5</v>
      </c>
      <c r="I853" t="s">
        <v>1162</v>
      </c>
      <c r="J853">
        <v>25.39</v>
      </c>
      <c r="K853">
        <v>9.02</v>
      </c>
      <c r="L853">
        <v>0</v>
      </c>
      <c r="M853">
        <v>0.03</v>
      </c>
      <c r="N853">
        <v>40</v>
      </c>
      <c r="O853">
        <v>8.82</v>
      </c>
      <c r="P853">
        <v>83.26</v>
      </c>
      <c r="Q853" s="18">
        <f>YEAR(A853)</f>
        <v>2025</v>
      </c>
      <c r="R853" s="18">
        <f>MONTH(A853)</f>
        <v>2</v>
      </c>
      <c r="S853" s="18">
        <f>IF(R853&lt;4,Q853-1,Q853)</f>
        <v>2024</v>
      </c>
      <c r="T853" s="18">
        <f>IF(R853&lt;4,R853+9,R853-3)</f>
        <v>11</v>
      </c>
      <c r="U853" s="18">
        <f>IF(LEN(T853)=1,_xlfn.CONCAT(0,T853),T853)</f>
        <v>11</v>
      </c>
      <c r="V853" s="18" t="str">
        <f>_xlfn.CONCAT(S853,U853)</f>
        <v>202411</v>
      </c>
      <c r="W853" s="18" t="str">
        <f>_xlfn.CONCAT(TEXT(A853,"MMM"),"-",MID(Q853,3,2))</f>
        <v>Feb-25</v>
      </c>
      <c r="X853" s="19">
        <f>IFERROR(IF(D853="Sell",(H853-P853),-(H853+P853)),0)</f>
        <v>25304.240000000002</v>
      </c>
      <c r="Y853" s="19">
        <f>X853/1000</f>
        <v>25.30424</v>
      </c>
    </row>
    <row r="854" spans="1:25" x14ac:dyDescent="0.25">
      <c r="A854" s="1">
        <v>45692</v>
      </c>
      <c r="B854" t="s">
        <v>1161</v>
      </c>
      <c r="C854" t="s">
        <v>17</v>
      </c>
      <c r="D854" t="s">
        <v>22</v>
      </c>
      <c r="E854">
        <v>75</v>
      </c>
      <c r="F854">
        <v>0</v>
      </c>
      <c r="G854">
        <v>145.69999999999999</v>
      </c>
      <c r="H854">
        <v>10927.5</v>
      </c>
      <c r="I854" t="s">
        <v>1163</v>
      </c>
      <c r="J854">
        <v>0</v>
      </c>
      <c r="K854">
        <v>3.88</v>
      </c>
      <c r="L854">
        <v>0</v>
      </c>
      <c r="M854">
        <v>0.01</v>
      </c>
      <c r="N854">
        <v>20</v>
      </c>
      <c r="O854">
        <v>4.3</v>
      </c>
      <c r="P854">
        <v>28.19</v>
      </c>
      <c r="Q854" s="18">
        <f>YEAR(A854)</f>
        <v>2025</v>
      </c>
      <c r="R854" s="18">
        <f>MONTH(A854)</f>
        <v>2</v>
      </c>
      <c r="S854" s="18">
        <f>IF(R854&lt;4,Q854-1,Q854)</f>
        <v>2024</v>
      </c>
      <c r="T854" s="18">
        <f>IF(R854&lt;4,R854+9,R854-3)</f>
        <v>11</v>
      </c>
      <c r="U854" s="18">
        <f>IF(LEN(T854)=1,_xlfn.CONCAT(0,T854),T854)</f>
        <v>11</v>
      </c>
      <c r="V854" s="18" t="str">
        <f>_xlfn.CONCAT(S854,U854)</f>
        <v>202411</v>
      </c>
      <c r="W854" s="18" t="str">
        <f>_xlfn.CONCAT(TEXT(A854,"MMM"),"-",MID(Q854,3,2))</f>
        <v>Feb-25</v>
      </c>
      <c r="X854" s="19">
        <f>IFERROR(IF(D854="Sell",(H854-P854),-(H854+P854)),0)</f>
        <v>-10955.69</v>
      </c>
      <c r="Y854" s="19">
        <f>X854/1000</f>
        <v>-10.955690000000001</v>
      </c>
    </row>
    <row r="855" spans="1:25" x14ac:dyDescent="0.25">
      <c r="A855" s="1">
        <v>45692</v>
      </c>
      <c r="B855" t="s">
        <v>1161</v>
      </c>
      <c r="C855" t="s">
        <v>17</v>
      </c>
      <c r="D855" t="s">
        <v>22</v>
      </c>
      <c r="E855">
        <v>75</v>
      </c>
      <c r="F855">
        <v>0</v>
      </c>
      <c r="G855">
        <v>157.69999999999999</v>
      </c>
      <c r="H855">
        <v>11827.5</v>
      </c>
      <c r="I855" t="s">
        <v>1164</v>
      </c>
      <c r="J855">
        <v>0</v>
      </c>
      <c r="K855">
        <v>4.2</v>
      </c>
      <c r="L855">
        <v>0.52</v>
      </c>
      <c r="M855">
        <v>0.01</v>
      </c>
      <c r="N855">
        <v>20</v>
      </c>
      <c r="O855">
        <v>4.3600000000000003</v>
      </c>
      <c r="P855">
        <v>29.09</v>
      </c>
      <c r="Q855" s="18">
        <f>YEAR(A855)</f>
        <v>2025</v>
      </c>
      <c r="R855" s="18">
        <f>MONTH(A855)</f>
        <v>2</v>
      </c>
      <c r="S855" s="18">
        <f>IF(R855&lt;4,Q855-1,Q855)</f>
        <v>2024</v>
      </c>
      <c r="T855" s="18">
        <f>IF(R855&lt;4,R855+9,R855-3)</f>
        <v>11</v>
      </c>
      <c r="U855" s="18">
        <f>IF(LEN(T855)=1,_xlfn.CONCAT(0,T855),T855)</f>
        <v>11</v>
      </c>
      <c r="V855" s="18" t="str">
        <f>_xlfn.CONCAT(S855,U855)</f>
        <v>202411</v>
      </c>
      <c r="W855" s="18" t="str">
        <f>_xlfn.CONCAT(TEXT(A855,"MMM"),"-",MID(Q855,3,2))</f>
        <v>Feb-25</v>
      </c>
      <c r="X855" s="19">
        <f>IFERROR(IF(D855="Sell",(H855-P855),-(H855+P855)),0)</f>
        <v>-11856.59</v>
      </c>
      <c r="Y855" s="19">
        <f>X855/1000</f>
        <v>-11.856590000000001</v>
      </c>
    </row>
    <row r="856" spans="1:25" x14ac:dyDescent="0.25">
      <c r="A856" s="1">
        <v>45692</v>
      </c>
      <c r="B856" t="s">
        <v>1165</v>
      </c>
      <c r="C856" t="s">
        <v>17</v>
      </c>
      <c r="D856" t="s">
        <v>18</v>
      </c>
      <c r="E856">
        <v>75</v>
      </c>
      <c r="F856">
        <v>0</v>
      </c>
      <c r="G856">
        <v>72</v>
      </c>
      <c r="H856">
        <v>5400</v>
      </c>
      <c r="I856" t="s">
        <v>1166</v>
      </c>
      <c r="J856">
        <v>5.4</v>
      </c>
      <c r="K856">
        <v>1.92</v>
      </c>
      <c r="L856">
        <v>0</v>
      </c>
      <c r="M856">
        <v>0.01</v>
      </c>
      <c r="N856">
        <v>20</v>
      </c>
      <c r="O856">
        <v>3.94</v>
      </c>
      <c r="P856">
        <v>31.27</v>
      </c>
      <c r="Q856" s="18">
        <f>YEAR(A856)</f>
        <v>2025</v>
      </c>
      <c r="R856" s="18">
        <f>MONTH(A856)</f>
        <v>2</v>
      </c>
      <c r="S856" s="18">
        <f>IF(R856&lt;4,Q856-1,Q856)</f>
        <v>2024</v>
      </c>
      <c r="T856" s="18">
        <f>IF(R856&lt;4,R856+9,R856-3)</f>
        <v>11</v>
      </c>
      <c r="U856" s="18">
        <f>IF(LEN(T856)=1,_xlfn.CONCAT(0,T856),T856)</f>
        <v>11</v>
      </c>
      <c r="V856" s="18" t="str">
        <f>_xlfn.CONCAT(S856,U856)</f>
        <v>202411</v>
      </c>
      <c r="W856" s="18" t="str">
        <f>_xlfn.CONCAT(TEXT(A856,"MMM"),"-",MID(Q856,3,2))</f>
        <v>Feb-25</v>
      </c>
      <c r="X856" s="19">
        <f>IFERROR(IF(D856="Sell",(H856-P856),-(H856+P856)),0)</f>
        <v>5368.73</v>
      </c>
      <c r="Y856" s="19">
        <f>X856/1000</f>
        <v>5.3687299999999993</v>
      </c>
    </row>
    <row r="857" spans="1:25" x14ac:dyDescent="0.25">
      <c r="A857" s="1">
        <v>45692</v>
      </c>
      <c r="B857" t="s">
        <v>1167</v>
      </c>
      <c r="C857" t="s">
        <v>17</v>
      </c>
      <c r="D857" t="s">
        <v>18</v>
      </c>
      <c r="E857">
        <v>75</v>
      </c>
      <c r="F857">
        <v>0</v>
      </c>
      <c r="G857">
        <v>169.75</v>
      </c>
      <c r="H857">
        <v>12731.25</v>
      </c>
      <c r="I857" t="s">
        <v>1168</v>
      </c>
      <c r="J857">
        <v>13.21</v>
      </c>
      <c r="K857">
        <v>4.5199999999999996</v>
      </c>
      <c r="L857">
        <v>0</v>
      </c>
      <c r="M857">
        <v>0.01</v>
      </c>
      <c r="N857">
        <v>20</v>
      </c>
      <c r="O857">
        <v>4.42</v>
      </c>
      <c r="P857">
        <v>42.16</v>
      </c>
      <c r="Q857" s="18">
        <f>YEAR(A857)</f>
        <v>2025</v>
      </c>
      <c r="R857" s="18">
        <f>MONTH(A857)</f>
        <v>2</v>
      </c>
      <c r="S857" s="18">
        <f>IF(R857&lt;4,Q857-1,Q857)</f>
        <v>2024</v>
      </c>
      <c r="T857" s="18">
        <f>IF(R857&lt;4,R857+9,R857-3)</f>
        <v>11</v>
      </c>
      <c r="U857" s="18">
        <f>IF(LEN(T857)=1,_xlfn.CONCAT(0,T857),T857)</f>
        <v>11</v>
      </c>
      <c r="V857" s="18" t="str">
        <f>_xlfn.CONCAT(S857,U857)</f>
        <v>202411</v>
      </c>
      <c r="W857" s="18" t="str">
        <f>_xlfn.CONCAT(TEXT(A857,"MMM"),"-",MID(Q857,3,2))</f>
        <v>Feb-25</v>
      </c>
      <c r="X857" s="19">
        <f>IFERROR(IF(D857="Sell",(H857-P857),-(H857+P857)),0)</f>
        <v>12689.09</v>
      </c>
      <c r="Y857" s="19">
        <f>X857/1000</f>
        <v>12.68909</v>
      </c>
    </row>
    <row r="858" spans="1:25" x14ac:dyDescent="0.25">
      <c r="A858" s="1">
        <v>45692</v>
      </c>
      <c r="B858" t="s">
        <v>1167</v>
      </c>
      <c r="C858" t="s">
        <v>17</v>
      </c>
      <c r="D858" t="s">
        <v>22</v>
      </c>
      <c r="E858">
        <v>75</v>
      </c>
      <c r="F858">
        <v>0</v>
      </c>
      <c r="G858">
        <v>150.44999999999999</v>
      </c>
      <c r="H858">
        <v>11283.75</v>
      </c>
      <c r="I858" t="s">
        <v>1169</v>
      </c>
      <c r="J858">
        <v>0</v>
      </c>
      <c r="K858">
        <v>4.01</v>
      </c>
      <c r="L858">
        <v>0.34</v>
      </c>
      <c r="M858">
        <v>0.01</v>
      </c>
      <c r="N858">
        <v>20</v>
      </c>
      <c r="O858">
        <v>4.32</v>
      </c>
      <c r="P858">
        <v>28.68</v>
      </c>
      <c r="Q858" s="18">
        <f>YEAR(A858)</f>
        <v>2025</v>
      </c>
      <c r="R858" s="18">
        <f>MONTH(A858)</f>
        <v>2</v>
      </c>
      <c r="S858" s="18">
        <f>IF(R858&lt;4,Q858-1,Q858)</f>
        <v>2024</v>
      </c>
      <c r="T858" s="18">
        <f>IF(R858&lt;4,R858+9,R858-3)</f>
        <v>11</v>
      </c>
      <c r="U858" s="18">
        <f>IF(LEN(T858)=1,_xlfn.CONCAT(0,T858),T858)</f>
        <v>11</v>
      </c>
      <c r="V858" s="18" t="str">
        <f>_xlfn.CONCAT(S858,U858)</f>
        <v>202411</v>
      </c>
      <c r="W858" s="18" t="str">
        <f>_xlfn.CONCAT(TEXT(A858,"MMM"),"-",MID(Q858,3,2))</f>
        <v>Feb-25</v>
      </c>
      <c r="X858" s="19">
        <f>IFERROR(IF(D858="Sell",(H858-P858),-(H858+P858)),0)</f>
        <v>-11312.43</v>
      </c>
      <c r="Y858" s="19">
        <f>X858/1000</f>
        <v>-11.312430000000001</v>
      </c>
    </row>
    <row r="859" spans="1:25" x14ac:dyDescent="0.25">
      <c r="A859" s="1">
        <v>45692</v>
      </c>
      <c r="B859" t="s">
        <v>1165</v>
      </c>
      <c r="C859" t="s">
        <v>17</v>
      </c>
      <c r="D859" t="s">
        <v>22</v>
      </c>
      <c r="E859">
        <v>75</v>
      </c>
      <c r="F859">
        <v>0</v>
      </c>
      <c r="G859">
        <v>61.25</v>
      </c>
      <c r="H859">
        <v>4593.75</v>
      </c>
      <c r="I859" t="s">
        <v>1170</v>
      </c>
      <c r="J859">
        <v>0</v>
      </c>
      <c r="K859">
        <v>1.63</v>
      </c>
      <c r="L859">
        <v>0.14000000000000001</v>
      </c>
      <c r="M859">
        <v>0</v>
      </c>
      <c r="N859">
        <v>20</v>
      </c>
      <c r="O859">
        <v>3.9</v>
      </c>
      <c r="P859">
        <v>25.67</v>
      </c>
      <c r="Q859" s="18">
        <f>YEAR(A859)</f>
        <v>2025</v>
      </c>
      <c r="R859" s="18">
        <f>MONTH(A859)</f>
        <v>2</v>
      </c>
      <c r="S859" s="18">
        <f>IF(R859&lt;4,Q859-1,Q859)</f>
        <v>2024</v>
      </c>
      <c r="T859" s="18">
        <f>IF(R859&lt;4,R859+9,R859-3)</f>
        <v>11</v>
      </c>
      <c r="U859" s="18">
        <f>IF(LEN(T859)=1,_xlfn.CONCAT(0,T859),T859)</f>
        <v>11</v>
      </c>
      <c r="V859" s="18" t="str">
        <f>_xlfn.CONCAT(S859,U859)</f>
        <v>202411</v>
      </c>
      <c r="W859" s="18" t="str">
        <f>_xlfn.CONCAT(TEXT(A859,"MMM"),"-",MID(Q859,3,2))</f>
        <v>Feb-25</v>
      </c>
      <c r="X859" s="19">
        <f>IFERROR(IF(D859="Sell",(H859-P859),-(H859+P859)),0)</f>
        <v>-4619.42</v>
      </c>
      <c r="Y859" s="19">
        <f>X859/1000</f>
        <v>-4.6194199999999999</v>
      </c>
    </row>
    <row r="860" spans="1:25" x14ac:dyDescent="0.25">
      <c r="A860" s="1">
        <v>45693</v>
      </c>
      <c r="B860" t="s">
        <v>1171</v>
      </c>
      <c r="C860" t="s">
        <v>17</v>
      </c>
      <c r="D860" t="s">
        <v>18</v>
      </c>
      <c r="E860">
        <v>375</v>
      </c>
      <c r="F860">
        <v>0</v>
      </c>
      <c r="G860">
        <v>93.25</v>
      </c>
      <c r="H860">
        <v>34968.75</v>
      </c>
      <c r="I860" t="s">
        <v>1172</v>
      </c>
      <c r="J860">
        <v>35</v>
      </c>
      <c r="K860">
        <v>12.42</v>
      </c>
      <c r="L860">
        <v>0</v>
      </c>
      <c r="M860">
        <v>0.03</v>
      </c>
      <c r="N860">
        <v>100</v>
      </c>
      <c r="O860">
        <v>20.239999999999998</v>
      </c>
      <c r="P860">
        <v>167.69</v>
      </c>
      <c r="Q860" s="18">
        <f>YEAR(A860)</f>
        <v>2025</v>
      </c>
      <c r="R860" s="18">
        <f>MONTH(A860)</f>
        <v>2</v>
      </c>
      <c r="S860" s="18">
        <f>IF(R860&lt;4,Q860-1,Q860)</f>
        <v>2024</v>
      </c>
      <c r="T860" s="18">
        <f>IF(R860&lt;4,R860+9,R860-3)</f>
        <v>11</v>
      </c>
      <c r="U860" s="18">
        <f>IF(LEN(T860)=1,_xlfn.CONCAT(0,T860),T860)</f>
        <v>11</v>
      </c>
      <c r="V860" s="18" t="str">
        <f>_xlfn.CONCAT(S860,U860)</f>
        <v>202411</v>
      </c>
      <c r="W860" s="18" t="str">
        <f>_xlfn.CONCAT(TEXT(A860,"MMM"),"-",MID(Q860,3,2))</f>
        <v>Feb-25</v>
      </c>
      <c r="X860" s="19">
        <f>IFERROR(IF(D860="Sell",(H860-P860),-(H860+P860)),0)</f>
        <v>34801.06</v>
      </c>
      <c r="Y860" s="19">
        <f>X860/1000</f>
        <v>34.80106</v>
      </c>
    </row>
    <row r="861" spans="1:25" x14ac:dyDescent="0.25">
      <c r="A861" s="1">
        <v>45693</v>
      </c>
      <c r="B861" t="s">
        <v>1171</v>
      </c>
      <c r="C861" t="s">
        <v>17</v>
      </c>
      <c r="D861" t="s">
        <v>22</v>
      </c>
      <c r="E861">
        <v>75</v>
      </c>
      <c r="F861">
        <v>0</v>
      </c>
      <c r="G861">
        <v>79.55</v>
      </c>
      <c r="H861">
        <v>5966.25</v>
      </c>
      <c r="I861" t="s">
        <v>1173</v>
      </c>
      <c r="J861">
        <v>0</v>
      </c>
      <c r="K861">
        <v>2.12</v>
      </c>
      <c r="L861">
        <v>0</v>
      </c>
      <c r="M861">
        <v>0.01</v>
      </c>
      <c r="N861">
        <v>20</v>
      </c>
      <c r="O861">
        <v>3.98</v>
      </c>
      <c r="P861">
        <v>26.11</v>
      </c>
      <c r="Q861" s="18">
        <f>YEAR(A861)</f>
        <v>2025</v>
      </c>
      <c r="R861" s="18">
        <f>MONTH(A861)</f>
        <v>2</v>
      </c>
      <c r="S861" s="18">
        <f>IF(R861&lt;4,Q861-1,Q861)</f>
        <v>2024</v>
      </c>
      <c r="T861" s="18">
        <f>IF(R861&lt;4,R861+9,R861-3)</f>
        <v>11</v>
      </c>
      <c r="U861" s="18">
        <f>IF(LEN(T861)=1,_xlfn.CONCAT(0,T861),T861)</f>
        <v>11</v>
      </c>
      <c r="V861" s="18" t="str">
        <f>_xlfn.CONCAT(S861,U861)</f>
        <v>202411</v>
      </c>
      <c r="W861" s="18" t="str">
        <f>_xlfn.CONCAT(TEXT(A861,"MMM"),"-",MID(Q861,3,2))</f>
        <v>Feb-25</v>
      </c>
      <c r="X861" s="19">
        <f>IFERROR(IF(D861="Sell",(H861-P861),-(H861+P861)),0)</f>
        <v>-5992.36</v>
      </c>
      <c r="Y861" s="19">
        <f>X861/1000</f>
        <v>-5.9923599999999997</v>
      </c>
    </row>
    <row r="862" spans="1:25" x14ac:dyDescent="0.25">
      <c r="A862" s="1">
        <v>45693</v>
      </c>
      <c r="B862" t="s">
        <v>1171</v>
      </c>
      <c r="C862" t="s">
        <v>17</v>
      </c>
      <c r="D862" t="s">
        <v>22</v>
      </c>
      <c r="E862">
        <v>75</v>
      </c>
      <c r="F862">
        <v>0</v>
      </c>
      <c r="G862">
        <v>91.65</v>
      </c>
      <c r="H862">
        <v>6873.75</v>
      </c>
      <c r="I862" t="s">
        <v>1174</v>
      </c>
      <c r="J862">
        <v>0</v>
      </c>
      <c r="K862">
        <v>2.44</v>
      </c>
      <c r="L862">
        <v>0</v>
      </c>
      <c r="M862">
        <v>0.01</v>
      </c>
      <c r="N862">
        <v>20</v>
      </c>
      <c r="O862">
        <v>4.04</v>
      </c>
      <c r="P862">
        <v>26.49</v>
      </c>
      <c r="Q862" s="18">
        <f>YEAR(A862)</f>
        <v>2025</v>
      </c>
      <c r="R862" s="18">
        <f>MONTH(A862)</f>
        <v>2</v>
      </c>
      <c r="S862" s="18">
        <f>IF(R862&lt;4,Q862-1,Q862)</f>
        <v>2024</v>
      </c>
      <c r="T862" s="18">
        <f>IF(R862&lt;4,R862+9,R862-3)</f>
        <v>11</v>
      </c>
      <c r="U862" s="18">
        <f>IF(LEN(T862)=1,_xlfn.CONCAT(0,T862),T862)</f>
        <v>11</v>
      </c>
      <c r="V862" s="18" t="str">
        <f>_xlfn.CONCAT(S862,U862)</f>
        <v>202411</v>
      </c>
      <c r="W862" s="18" t="str">
        <f>_xlfn.CONCAT(TEXT(A862,"MMM"),"-",MID(Q862,3,2))</f>
        <v>Feb-25</v>
      </c>
      <c r="X862" s="19">
        <f>IFERROR(IF(D862="Sell",(H862-P862),-(H862+P862)),0)</f>
        <v>-6900.24</v>
      </c>
      <c r="Y862" s="19">
        <f>X862/1000</f>
        <v>-6.9002400000000002</v>
      </c>
    </row>
    <row r="863" spans="1:25" x14ac:dyDescent="0.25">
      <c r="A863" s="1">
        <v>45693</v>
      </c>
      <c r="B863" t="s">
        <v>1171</v>
      </c>
      <c r="C863" t="s">
        <v>17</v>
      </c>
      <c r="D863" t="s">
        <v>22</v>
      </c>
      <c r="E863">
        <v>75</v>
      </c>
      <c r="F863">
        <v>0</v>
      </c>
      <c r="G863">
        <v>83</v>
      </c>
      <c r="H863">
        <v>6225</v>
      </c>
      <c r="I863" t="s">
        <v>1175</v>
      </c>
      <c r="J863">
        <v>0</v>
      </c>
      <c r="K863">
        <v>2.21</v>
      </c>
      <c r="L863">
        <v>0</v>
      </c>
      <c r="M863">
        <v>0.01</v>
      </c>
      <c r="N863">
        <v>20</v>
      </c>
      <c r="O863">
        <v>4</v>
      </c>
      <c r="P863">
        <v>26.22</v>
      </c>
      <c r="Q863" s="18">
        <f>YEAR(A863)</f>
        <v>2025</v>
      </c>
      <c r="R863" s="18">
        <f>MONTH(A863)</f>
        <v>2</v>
      </c>
      <c r="S863" s="18">
        <f>IF(R863&lt;4,Q863-1,Q863)</f>
        <v>2024</v>
      </c>
      <c r="T863" s="18">
        <f>IF(R863&lt;4,R863+9,R863-3)</f>
        <v>11</v>
      </c>
      <c r="U863" s="18">
        <f>IF(LEN(T863)=1,_xlfn.CONCAT(0,T863),T863)</f>
        <v>11</v>
      </c>
      <c r="V863" s="18" t="str">
        <f>_xlfn.CONCAT(S863,U863)</f>
        <v>202411</v>
      </c>
      <c r="W863" s="18" t="str">
        <f>_xlfn.CONCAT(TEXT(A863,"MMM"),"-",MID(Q863,3,2))</f>
        <v>Feb-25</v>
      </c>
      <c r="X863" s="19">
        <f>IFERROR(IF(D863="Sell",(H863-P863),-(H863+P863)),0)</f>
        <v>-6251.22</v>
      </c>
      <c r="Y863" s="19">
        <f>X863/1000</f>
        <v>-6.25122</v>
      </c>
    </row>
    <row r="864" spans="1:25" x14ac:dyDescent="0.25">
      <c r="A864" s="1">
        <v>45693</v>
      </c>
      <c r="B864" t="s">
        <v>1171</v>
      </c>
      <c r="C864" t="s">
        <v>17</v>
      </c>
      <c r="D864" t="s">
        <v>22</v>
      </c>
      <c r="E864">
        <v>75</v>
      </c>
      <c r="F864">
        <v>0</v>
      </c>
      <c r="G864">
        <v>92.25</v>
      </c>
      <c r="H864">
        <v>6918.75</v>
      </c>
      <c r="I864" t="s">
        <v>1176</v>
      </c>
      <c r="J864">
        <v>0</v>
      </c>
      <c r="K864">
        <v>2.46</v>
      </c>
      <c r="L864">
        <v>1</v>
      </c>
      <c r="M864">
        <v>0.01</v>
      </c>
      <c r="N864">
        <v>20</v>
      </c>
      <c r="O864">
        <v>4.04</v>
      </c>
      <c r="P864">
        <v>27.51</v>
      </c>
      <c r="Q864" s="18">
        <f>YEAR(A864)</f>
        <v>2025</v>
      </c>
      <c r="R864" s="18">
        <f>MONTH(A864)</f>
        <v>2</v>
      </c>
      <c r="S864" s="18">
        <f>IF(R864&lt;4,Q864-1,Q864)</f>
        <v>2024</v>
      </c>
      <c r="T864" s="18">
        <f>IF(R864&lt;4,R864+9,R864-3)</f>
        <v>11</v>
      </c>
      <c r="U864" s="18">
        <f>IF(LEN(T864)=1,_xlfn.CONCAT(0,T864),T864)</f>
        <v>11</v>
      </c>
      <c r="V864" s="18" t="str">
        <f>_xlfn.CONCAT(S864,U864)</f>
        <v>202411</v>
      </c>
      <c r="W864" s="18" t="str">
        <f>_xlfn.CONCAT(TEXT(A864,"MMM"),"-",MID(Q864,3,2))</f>
        <v>Feb-25</v>
      </c>
      <c r="X864" s="19">
        <f>IFERROR(IF(D864="Sell",(H864-P864),-(H864+P864)),0)</f>
        <v>-6946.26</v>
      </c>
      <c r="Y864" s="19">
        <f>X864/1000</f>
        <v>-6.9462600000000005</v>
      </c>
    </row>
    <row r="865" spans="1:25" x14ac:dyDescent="0.25">
      <c r="A865" s="1">
        <v>45693</v>
      </c>
      <c r="B865" t="s">
        <v>1171</v>
      </c>
      <c r="C865" t="s">
        <v>17</v>
      </c>
      <c r="D865" t="s">
        <v>22</v>
      </c>
      <c r="E865">
        <v>75</v>
      </c>
      <c r="F865">
        <v>0</v>
      </c>
      <c r="G865">
        <v>92</v>
      </c>
      <c r="H865">
        <v>6900</v>
      </c>
      <c r="I865" t="s">
        <v>1177</v>
      </c>
      <c r="J865">
        <v>0</v>
      </c>
      <c r="K865">
        <v>2.4500000000000002</v>
      </c>
      <c r="L865">
        <v>0</v>
      </c>
      <c r="M865">
        <v>0.01</v>
      </c>
      <c r="N865">
        <v>20</v>
      </c>
      <c r="O865">
        <v>4.04</v>
      </c>
      <c r="P865">
        <v>26.5</v>
      </c>
      <c r="Q865" s="18">
        <f>YEAR(A865)</f>
        <v>2025</v>
      </c>
      <c r="R865" s="18">
        <f>MONTH(A865)</f>
        <v>2</v>
      </c>
      <c r="S865" s="18">
        <f>IF(R865&lt;4,Q865-1,Q865)</f>
        <v>2024</v>
      </c>
      <c r="T865" s="18">
        <f>IF(R865&lt;4,R865+9,R865-3)</f>
        <v>11</v>
      </c>
      <c r="U865" s="18">
        <f>IF(LEN(T865)=1,_xlfn.CONCAT(0,T865),T865)</f>
        <v>11</v>
      </c>
      <c r="V865" s="18" t="str">
        <f>_xlfn.CONCAT(S865,U865)</f>
        <v>202411</v>
      </c>
      <c r="W865" s="18" t="str">
        <f>_xlfn.CONCAT(TEXT(A865,"MMM"),"-",MID(Q865,3,2))</f>
        <v>Feb-25</v>
      </c>
      <c r="X865" s="19">
        <f>IFERROR(IF(D865="Sell",(H865-P865),-(H865+P865)),0)</f>
        <v>-6926.5</v>
      </c>
      <c r="Y865" s="19">
        <f>X865/1000</f>
        <v>-6.9264999999999999</v>
      </c>
    </row>
    <row r="866" spans="1:25" x14ac:dyDescent="0.25">
      <c r="A866" s="1">
        <v>45694</v>
      </c>
      <c r="B866" t="s">
        <v>1178</v>
      </c>
      <c r="C866" t="s">
        <v>17</v>
      </c>
      <c r="D866" t="s">
        <v>18</v>
      </c>
      <c r="E866">
        <v>750</v>
      </c>
      <c r="F866">
        <v>0</v>
      </c>
      <c r="G866">
        <v>8</v>
      </c>
      <c r="H866">
        <v>6000</v>
      </c>
      <c r="I866" t="s">
        <v>1179</v>
      </c>
      <c r="J866">
        <v>6</v>
      </c>
      <c r="K866">
        <v>2.13</v>
      </c>
      <c r="L866">
        <v>0</v>
      </c>
      <c r="M866">
        <v>0</v>
      </c>
      <c r="N866">
        <v>200</v>
      </c>
      <c r="O866">
        <v>36.380000000000003</v>
      </c>
      <c r="P866">
        <v>244.51</v>
      </c>
      <c r="Q866" s="18">
        <f>YEAR(A866)</f>
        <v>2025</v>
      </c>
      <c r="R866" s="18">
        <f>MONTH(A866)</f>
        <v>2</v>
      </c>
      <c r="S866" s="18">
        <f>IF(R866&lt;4,Q866-1,Q866)</f>
        <v>2024</v>
      </c>
      <c r="T866" s="18">
        <f>IF(R866&lt;4,R866+9,R866-3)</f>
        <v>11</v>
      </c>
      <c r="U866" s="18">
        <f>IF(LEN(T866)=1,_xlfn.CONCAT(0,T866),T866)</f>
        <v>11</v>
      </c>
      <c r="V866" s="18" t="str">
        <f>_xlfn.CONCAT(S866,U866)</f>
        <v>202411</v>
      </c>
      <c r="W866" s="18" t="str">
        <f>_xlfn.CONCAT(TEXT(A866,"MMM"),"-",MID(Q866,3,2))</f>
        <v>Feb-25</v>
      </c>
      <c r="X866" s="19">
        <f>IFERROR(IF(D866="Sell",(H866-P866),-(H866+P866)),0)</f>
        <v>5755.49</v>
      </c>
      <c r="Y866" s="19">
        <f>X866/1000</f>
        <v>5.75549</v>
      </c>
    </row>
    <row r="867" spans="1:25" x14ac:dyDescent="0.25">
      <c r="A867" s="1">
        <v>45694</v>
      </c>
      <c r="B867" t="s">
        <v>1178</v>
      </c>
      <c r="C867" t="s">
        <v>17</v>
      </c>
      <c r="D867" t="s">
        <v>22</v>
      </c>
      <c r="E867">
        <v>750</v>
      </c>
      <c r="F867">
        <v>0</v>
      </c>
      <c r="G867">
        <v>13.7</v>
      </c>
      <c r="H867">
        <v>10275</v>
      </c>
      <c r="I867" t="s">
        <v>1180</v>
      </c>
      <c r="J867">
        <v>0</v>
      </c>
      <c r="K867">
        <v>3.65</v>
      </c>
      <c r="L867">
        <v>1</v>
      </c>
      <c r="M867">
        <v>0.01</v>
      </c>
      <c r="N867">
        <v>200</v>
      </c>
      <c r="O867">
        <v>36.659999999999997</v>
      </c>
      <c r="P867">
        <v>241.32</v>
      </c>
      <c r="Q867" s="18">
        <f>YEAR(A867)</f>
        <v>2025</v>
      </c>
      <c r="R867" s="18">
        <f>MONTH(A867)</f>
        <v>2</v>
      </c>
      <c r="S867" s="18">
        <f>IF(R867&lt;4,Q867-1,Q867)</f>
        <v>2024</v>
      </c>
      <c r="T867" s="18">
        <f>IF(R867&lt;4,R867+9,R867-3)</f>
        <v>11</v>
      </c>
      <c r="U867" s="18">
        <f>IF(LEN(T867)=1,_xlfn.CONCAT(0,T867),T867)</f>
        <v>11</v>
      </c>
      <c r="V867" s="18" t="str">
        <f>_xlfn.CONCAT(S867,U867)</f>
        <v>202411</v>
      </c>
      <c r="W867" s="18" t="str">
        <f>_xlfn.CONCAT(TEXT(A867,"MMM"),"-",MID(Q867,3,2))</f>
        <v>Feb-25</v>
      </c>
      <c r="X867" s="19">
        <f>IFERROR(IF(D867="Sell",(H867-P867),-(H867+P867)),0)</f>
        <v>-10516.32</v>
      </c>
      <c r="Y867" s="19">
        <f>X867/1000</f>
        <v>-10.51632</v>
      </c>
    </row>
    <row r="868" spans="1:25" x14ac:dyDescent="0.25">
      <c r="A868" s="1">
        <v>45694</v>
      </c>
      <c r="B868" t="s">
        <v>1178</v>
      </c>
      <c r="C868" t="s">
        <v>17</v>
      </c>
      <c r="D868" t="s">
        <v>18</v>
      </c>
      <c r="E868">
        <v>600</v>
      </c>
      <c r="F868">
        <v>0</v>
      </c>
      <c r="G868">
        <v>22.25</v>
      </c>
      <c r="H868">
        <v>13350</v>
      </c>
      <c r="I868" t="s">
        <v>1181</v>
      </c>
      <c r="J868">
        <v>13.01</v>
      </c>
      <c r="K868">
        <v>4.74</v>
      </c>
      <c r="L868">
        <v>0</v>
      </c>
      <c r="M868">
        <v>0.02</v>
      </c>
      <c r="N868">
        <v>160</v>
      </c>
      <c r="O868">
        <v>29.64</v>
      </c>
      <c r="P868">
        <v>207.41</v>
      </c>
      <c r="Q868" s="18">
        <f>YEAR(A868)</f>
        <v>2025</v>
      </c>
      <c r="R868" s="18">
        <f>MONTH(A868)</f>
        <v>2</v>
      </c>
      <c r="S868" s="18">
        <f>IF(R868&lt;4,Q868-1,Q868)</f>
        <v>2024</v>
      </c>
      <c r="T868" s="18">
        <f>IF(R868&lt;4,R868+9,R868-3)</f>
        <v>11</v>
      </c>
      <c r="U868" s="18">
        <f>IF(LEN(T868)=1,_xlfn.CONCAT(0,T868),T868)</f>
        <v>11</v>
      </c>
      <c r="V868" s="18" t="str">
        <f>_xlfn.CONCAT(S868,U868)</f>
        <v>202411</v>
      </c>
      <c r="W868" s="18" t="str">
        <f>_xlfn.CONCAT(TEXT(A868,"MMM"),"-",MID(Q868,3,2))</f>
        <v>Feb-25</v>
      </c>
      <c r="X868" s="19">
        <f>IFERROR(IF(D868="Sell",(H868-P868),-(H868+P868)),0)</f>
        <v>13142.59</v>
      </c>
      <c r="Y868" s="19">
        <f>X868/1000</f>
        <v>13.14259</v>
      </c>
    </row>
    <row r="869" spans="1:25" x14ac:dyDescent="0.25">
      <c r="A869" s="1">
        <v>45694</v>
      </c>
      <c r="B869" t="s">
        <v>1178</v>
      </c>
      <c r="C869" t="s">
        <v>17</v>
      </c>
      <c r="D869" t="s">
        <v>22</v>
      </c>
      <c r="E869">
        <v>300</v>
      </c>
      <c r="F869">
        <v>0</v>
      </c>
      <c r="G869">
        <v>26.25</v>
      </c>
      <c r="H869">
        <v>7875</v>
      </c>
      <c r="I869" t="s">
        <v>1182</v>
      </c>
      <c r="J869">
        <v>0</v>
      </c>
      <c r="K869">
        <v>2.8</v>
      </c>
      <c r="L869">
        <v>0</v>
      </c>
      <c r="M869">
        <v>0.01</v>
      </c>
      <c r="N869">
        <v>80</v>
      </c>
      <c r="O869">
        <v>14.9</v>
      </c>
      <c r="P869">
        <v>97.71</v>
      </c>
      <c r="Q869" s="18">
        <f>YEAR(A869)</f>
        <v>2025</v>
      </c>
      <c r="R869" s="18">
        <f>MONTH(A869)</f>
        <v>2</v>
      </c>
      <c r="S869" s="18">
        <f>IF(R869&lt;4,Q869-1,Q869)</f>
        <v>2024</v>
      </c>
      <c r="T869" s="18">
        <f>IF(R869&lt;4,R869+9,R869-3)</f>
        <v>11</v>
      </c>
      <c r="U869" s="18">
        <f>IF(LEN(T869)=1,_xlfn.CONCAT(0,T869),T869)</f>
        <v>11</v>
      </c>
      <c r="V869" s="18" t="str">
        <f>_xlfn.CONCAT(S869,U869)</f>
        <v>202411</v>
      </c>
      <c r="W869" s="18" t="str">
        <f>_xlfn.CONCAT(TEXT(A869,"MMM"),"-",MID(Q869,3,2))</f>
        <v>Feb-25</v>
      </c>
      <c r="X869" s="19">
        <f>IFERROR(IF(D869="Sell",(H869-P869),-(H869+P869)),0)</f>
        <v>-7972.71</v>
      </c>
      <c r="Y869" s="19">
        <f>X869/1000</f>
        <v>-7.9727100000000002</v>
      </c>
    </row>
    <row r="870" spans="1:25" x14ac:dyDescent="0.25">
      <c r="A870" s="1">
        <v>45694</v>
      </c>
      <c r="B870" t="s">
        <v>1178</v>
      </c>
      <c r="C870" t="s">
        <v>17</v>
      </c>
      <c r="D870" t="s">
        <v>22</v>
      </c>
      <c r="E870">
        <v>300</v>
      </c>
      <c r="F870">
        <v>0</v>
      </c>
      <c r="G870">
        <v>31.5</v>
      </c>
      <c r="H870">
        <v>9450</v>
      </c>
      <c r="I870" t="s">
        <v>1183</v>
      </c>
      <c r="J870">
        <v>0</v>
      </c>
      <c r="K870">
        <v>3.36</v>
      </c>
      <c r="L870">
        <v>0</v>
      </c>
      <c r="M870">
        <v>0</v>
      </c>
      <c r="N870">
        <v>80</v>
      </c>
      <c r="O870">
        <v>15.02</v>
      </c>
      <c r="P870">
        <v>98.38</v>
      </c>
      <c r="Q870" s="18">
        <f>YEAR(A870)</f>
        <v>2025</v>
      </c>
      <c r="R870" s="18">
        <f>MONTH(A870)</f>
        <v>2</v>
      </c>
      <c r="S870" s="18">
        <f>IF(R870&lt;4,Q870-1,Q870)</f>
        <v>2024</v>
      </c>
      <c r="T870" s="18">
        <f>IF(R870&lt;4,R870+9,R870-3)</f>
        <v>11</v>
      </c>
      <c r="U870" s="18">
        <f>IF(LEN(T870)=1,_xlfn.CONCAT(0,T870),T870)</f>
        <v>11</v>
      </c>
      <c r="V870" s="18" t="str">
        <f>_xlfn.CONCAT(S870,U870)</f>
        <v>202411</v>
      </c>
      <c r="W870" s="18" t="str">
        <f>_xlfn.CONCAT(TEXT(A870,"MMM"),"-",MID(Q870,3,2))</f>
        <v>Feb-25</v>
      </c>
      <c r="X870" s="19">
        <f>IFERROR(IF(D870="Sell",(H870-P870),-(H870+P870)),0)</f>
        <v>-9548.3799999999992</v>
      </c>
      <c r="Y870" s="19">
        <f>X870/1000</f>
        <v>-9.5483799999999999</v>
      </c>
    </row>
    <row r="871" spans="1:25" x14ac:dyDescent="0.25">
      <c r="A871" s="1">
        <v>45695</v>
      </c>
      <c r="B871" t="s">
        <v>1186</v>
      </c>
      <c r="C871" t="s">
        <v>17</v>
      </c>
      <c r="D871" t="s">
        <v>18</v>
      </c>
      <c r="E871">
        <v>150</v>
      </c>
      <c r="F871">
        <v>0</v>
      </c>
      <c r="G871">
        <v>62</v>
      </c>
      <c r="H871">
        <v>9300</v>
      </c>
      <c r="I871" t="s">
        <v>1187</v>
      </c>
      <c r="J871">
        <v>9.3000000000000007</v>
      </c>
      <c r="K871">
        <v>3.3</v>
      </c>
      <c r="L871">
        <v>0</v>
      </c>
      <c r="M871">
        <v>0</v>
      </c>
      <c r="N871">
        <v>40</v>
      </c>
      <c r="O871">
        <v>7.8</v>
      </c>
      <c r="P871">
        <v>60.4</v>
      </c>
      <c r="Q871" s="18">
        <f>YEAR(A871)</f>
        <v>2025</v>
      </c>
      <c r="R871" s="18">
        <f>MONTH(A871)</f>
        <v>2</v>
      </c>
      <c r="S871" s="18">
        <f>IF(R871&lt;4,Q871-1,Q871)</f>
        <v>2024</v>
      </c>
      <c r="T871" s="18">
        <f>IF(R871&lt;4,R871+9,R871-3)</f>
        <v>11</v>
      </c>
      <c r="U871" s="18">
        <f>IF(LEN(T871)=1,_xlfn.CONCAT(0,T871),T871)</f>
        <v>11</v>
      </c>
      <c r="V871" s="18" t="str">
        <f>_xlfn.CONCAT(S871,U871)</f>
        <v>202411</v>
      </c>
      <c r="W871" s="18" t="str">
        <f>_xlfn.CONCAT(TEXT(A871,"MMM"),"-",MID(Q871,3,2))</f>
        <v>Feb-25</v>
      </c>
      <c r="X871" s="19">
        <f>IFERROR(IF(D871="Sell",(H871-P871),-(H871+P871)),0)</f>
        <v>9239.6</v>
      </c>
      <c r="Y871" s="19">
        <f>X871/1000</f>
        <v>9.2396000000000011</v>
      </c>
    </row>
    <row r="872" spans="1:25" x14ac:dyDescent="0.25">
      <c r="A872" s="1">
        <v>45695</v>
      </c>
      <c r="B872" t="s">
        <v>1186</v>
      </c>
      <c r="C872" t="s">
        <v>17</v>
      </c>
      <c r="D872" t="s">
        <v>22</v>
      </c>
      <c r="E872">
        <v>75</v>
      </c>
      <c r="F872">
        <v>0</v>
      </c>
      <c r="G872">
        <v>71.900000000000006</v>
      </c>
      <c r="H872">
        <v>5392.5</v>
      </c>
      <c r="I872" t="s">
        <v>1188</v>
      </c>
      <c r="J872">
        <v>0</v>
      </c>
      <c r="K872">
        <v>1.92</v>
      </c>
      <c r="L872">
        <v>0</v>
      </c>
      <c r="M872">
        <v>0.01</v>
      </c>
      <c r="N872">
        <v>20</v>
      </c>
      <c r="O872">
        <v>3.94</v>
      </c>
      <c r="P872">
        <v>25.87</v>
      </c>
      <c r="Q872" s="18">
        <f>YEAR(A872)</f>
        <v>2025</v>
      </c>
      <c r="R872" s="18">
        <f>MONTH(A872)</f>
        <v>2</v>
      </c>
      <c r="S872" s="18">
        <f>IF(R872&lt;4,Q872-1,Q872)</f>
        <v>2024</v>
      </c>
      <c r="T872" s="18">
        <f>IF(R872&lt;4,R872+9,R872-3)</f>
        <v>11</v>
      </c>
      <c r="U872" s="18">
        <f>IF(LEN(T872)=1,_xlfn.CONCAT(0,T872),T872)</f>
        <v>11</v>
      </c>
      <c r="V872" s="18" t="str">
        <f>_xlfn.CONCAT(S872,U872)</f>
        <v>202411</v>
      </c>
      <c r="W872" s="18" t="str">
        <f>_xlfn.CONCAT(TEXT(A872,"MMM"),"-",MID(Q872,3,2))</f>
        <v>Feb-25</v>
      </c>
      <c r="X872" s="19">
        <f>IFERROR(IF(D872="Sell",(H872-P872),-(H872+P872)),0)</f>
        <v>-5418.37</v>
      </c>
      <c r="Y872" s="19">
        <f>X872/1000</f>
        <v>-5.4183699999999995</v>
      </c>
    </row>
    <row r="873" spans="1:25" x14ac:dyDescent="0.25">
      <c r="A873" s="1">
        <v>45695</v>
      </c>
      <c r="B873" t="s">
        <v>1186</v>
      </c>
      <c r="C873" t="s">
        <v>17</v>
      </c>
      <c r="D873" t="s">
        <v>22</v>
      </c>
      <c r="E873">
        <v>75</v>
      </c>
      <c r="F873">
        <v>0</v>
      </c>
      <c r="G873">
        <v>92.1</v>
      </c>
      <c r="H873">
        <v>6907.5</v>
      </c>
      <c r="I873" t="s">
        <v>1189</v>
      </c>
      <c r="J873">
        <v>0</v>
      </c>
      <c r="K873">
        <v>2.4500000000000002</v>
      </c>
      <c r="L873">
        <v>0</v>
      </c>
      <c r="M873">
        <v>0.01</v>
      </c>
      <c r="N873">
        <v>20</v>
      </c>
      <c r="O873">
        <v>4.04</v>
      </c>
      <c r="P873">
        <v>26.5</v>
      </c>
      <c r="Q873" s="18">
        <f>YEAR(A873)</f>
        <v>2025</v>
      </c>
      <c r="R873" s="18">
        <f>MONTH(A873)</f>
        <v>2</v>
      </c>
      <c r="S873" s="18">
        <f>IF(R873&lt;4,Q873-1,Q873)</f>
        <v>2024</v>
      </c>
      <c r="T873" s="18">
        <f>IF(R873&lt;4,R873+9,R873-3)</f>
        <v>11</v>
      </c>
      <c r="U873" s="18">
        <f>IF(LEN(T873)=1,_xlfn.CONCAT(0,T873),T873)</f>
        <v>11</v>
      </c>
      <c r="V873" s="18" t="str">
        <f>_xlfn.CONCAT(S873,U873)</f>
        <v>202411</v>
      </c>
      <c r="W873" s="18" t="str">
        <f>_xlfn.CONCAT(TEXT(A873,"MMM"),"-",MID(Q873,3,2))</f>
        <v>Feb-25</v>
      </c>
      <c r="X873" s="19">
        <f>IFERROR(IF(D873="Sell",(H873-P873),-(H873+P873)),0)</f>
        <v>-6934</v>
      </c>
      <c r="Y873" s="19">
        <f>X873/1000</f>
        <v>-6.9340000000000002</v>
      </c>
    </row>
    <row r="874" spans="1:25" x14ac:dyDescent="0.25">
      <c r="A874" s="1">
        <v>45695</v>
      </c>
      <c r="B874" t="s">
        <v>1190</v>
      </c>
      <c r="C874" t="s">
        <v>17</v>
      </c>
      <c r="D874" t="s">
        <v>18</v>
      </c>
      <c r="E874">
        <v>150</v>
      </c>
      <c r="F874">
        <v>0</v>
      </c>
      <c r="G874">
        <v>116.25</v>
      </c>
      <c r="H874">
        <v>17437.5</v>
      </c>
      <c r="I874" t="s">
        <v>1191</v>
      </c>
      <c r="J874">
        <v>17.440000000000001</v>
      </c>
      <c r="K874">
        <v>6.2</v>
      </c>
      <c r="L874">
        <v>0</v>
      </c>
      <c r="M874">
        <v>0.02</v>
      </c>
      <c r="N874">
        <v>40</v>
      </c>
      <c r="O874">
        <v>8.32</v>
      </c>
      <c r="P874">
        <v>71.98</v>
      </c>
      <c r="Q874" s="18">
        <f>YEAR(A874)</f>
        <v>2025</v>
      </c>
      <c r="R874" s="18">
        <f>MONTH(A874)</f>
        <v>2</v>
      </c>
      <c r="S874" s="18">
        <f>IF(R874&lt;4,Q874-1,Q874)</f>
        <v>2024</v>
      </c>
      <c r="T874" s="18">
        <f>IF(R874&lt;4,R874+9,R874-3)</f>
        <v>11</v>
      </c>
      <c r="U874" s="18">
        <f>IF(LEN(T874)=1,_xlfn.CONCAT(0,T874),T874)</f>
        <v>11</v>
      </c>
      <c r="V874" s="18" t="str">
        <f>_xlfn.CONCAT(S874,U874)</f>
        <v>202411</v>
      </c>
      <c r="W874" s="18" t="str">
        <f>_xlfn.CONCAT(TEXT(A874,"MMM"),"-",MID(Q874,3,2))</f>
        <v>Feb-25</v>
      </c>
      <c r="X874" s="19">
        <f>IFERROR(IF(D874="Sell",(H874-P874),-(H874+P874)),0)</f>
        <v>17365.52</v>
      </c>
      <c r="Y874" s="19">
        <f>X874/1000</f>
        <v>17.36552</v>
      </c>
    </row>
    <row r="875" spans="1:25" x14ac:dyDescent="0.25">
      <c r="A875" s="1">
        <v>45695</v>
      </c>
      <c r="B875" t="s">
        <v>1190</v>
      </c>
      <c r="C875" t="s">
        <v>17</v>
      </c>
      <c r="D875" t="s">
        <v>22</v>
      </c>
      <c r="E875">
        <v>150</v>
      </c>
      <c r="F875">
        <v>0</v>
      </c>
      <c r="G875">
        <v>96</v>
      </c>
      <c r="H875">
        <v>14400</v>
      </c>
      <c r="I875" t="s">
        <v>1192</v>
      </c>
      <c r="J875">
        <v>0</v>
      </c>
      <c r="K875">
        <v>5.12</v>
      </c>
      <c r="L875">
        <v>0.43</v>
      </c>
      <c r="M875">
        <v>0.02</v>
      </c>
      <c r="N875">
        <v>40</v>
      </c>
      <c r="O875">
        <v>8.1199999999999992</v>
      </c>
      <c r="P875">
        <v>53.69</v>
      </c>
      <c r="Q875" s="18">
        <f>YEAR(A875)</f>
        <v>2025</v>
      </c>
      <c r="R875" s="18">
        <f>MONTH(A875)</f>
        <v>2</v>
      </c>
      <c r="S875" s="18">
        <f>IF(R875&lt;4,Q875-1,Q875)</f>
        <v>2024</v>
      </c>
      <c r="T875" s="18">
        <f>IF(R875&lt;4,R875+9,R875-3)</f>
        <v>11</v>
      </c>
      <c r="U875" s="18">
        <f>IF(LEN(T875)=1,_xlfn.CONCAT(0,T875),T875)</f>
        <v>11</v>
      </c>
      <c r="V875" s="18" t="str">
        <f>_xlfn.CONCAT(S875,U875)</f>
        <v>202411</v>
      </c>
      <c r="W875" s="18" t="str">
        <f>_xlfn.CONCAT(TEXT(A875,"MMM"),"-",MID(Q875,3,2))</f>
        <v>Feb-25</v>
      </c>
      <c r="X875" s="19">
        <f>IFERROR(IF(D875="Sell",(H875-P875),-(H875+P875)),0)</f>
        <v>-14453.69</v>
      </c>
      <c r="Y875" s="19">
        <f>X875/1000</f>
        <v>-14.45369</v>
      </c>
    </row>
    <row r="876" spans="1:25" x14ac:dyDescent="0.25">
      <c r="A876" s="1">
        <v>45695</v>
      </c>
      <c r="B876" t="s">
        <v>1186</v>
      </c>
      <c r="C876" t="s">
        <v>17</v>
      </c>
      <c r="D876" t="s">
        <v>18</v>
      </c>
      <c r="E876">
        <v>150</v>
      </c>
      <c r="F876">
        <v>0</v>
      </c>
      <c r="G876">
        <v>120</v>
      </c>
      <c r="H876">
        <v>18000</v>
      </c>
      <c r="I876" t="s">
        <v>1193</v>
      </c>
      <c r="J876">
        <v>18</v>
      </c>
      <c r="K876">
        <v>6.4</v>
      </c>
      <c r="L876">
        <v>0</v>
      </c>
      <c r="M876">
        <v>0.02</v>
      </c>
      <c r="N876">
        <v>40</v>
      </c>
      <c r="O876">
        <v>8.36</v>
      </c>
      <c r="P876">
        <v>72.78</v>
      </c>
      <c r="Q876" s="18">
        <f>YEAR(A876)</f>
        <v>2025</v>
      </c>
      <c r="R876" s="18">
        <f>MONTH(A876)</f>
        <v>2</v>
      </c>
      <c r="S876" s="18">
        <f>IF(R876&lt;4,Q876-1,Q876)</f>
        <v>2024</v>
      </c>
      <c r="T876" s="18">
        <f>IF(R876&lt;4,R876+9,R876-3)</f>
        <v>11</v>
      </c>
      <c r="U876" s="18">
        <f>IF(LEN(T876)=1,_xlfn.CONCAT(0,T876),T876)</f>
        <v>11</v>
      </c>
      <c r="V876" s="18" t="str">
        <f>_xlfn.CONCAT(S876,U876)</f>
        <v>202411</v>
      </c>
      <c r="W876" s="18" t="str">
        <f>_xlfn.CONCAT(TEXT(A876,"MMM"),"-",MID(Q876,3,2))</f>
        <v>Feb-25</v>
      </c>
      <c r="X876" s="19">
        <f>IFERROR(IF(D876="Sell",(H876-P876),-(H876+P876)),0)</f>
        <v>17927.22</v>
      </c>
      <c r="Y876" s="19">
        <f>X876/1000</f>
        <v>17.927220000000002</v>
      </c>
    </row>
    <row r="877" spans="1:25" x14ac:dyDescent="0.25">
      <c r="A877" s="1">
        <v>45695</v>
      </c>
      <c r="B877" t="s">
        <v>1186</v>
      </c>
      <c r="C877" t="s">
        <v>17</v>
      </c>
      <c r="D877" t="s">
        <v>22</v>
      </c>
      <c r="E877">
        <v>150</v>
      </c>
      <c r="F877">
        <v>0</v>
      </c>
      <c r="G877">
        <v>133</v>
      </c>
      <c r="H877">
        <v>19950</v>
      </c>
      <c r="I877" t="s">
        <v>1194</v>
      </c>
      <c r="J877">
        <v>0</v>
      </c>
      <c r="K877">
        <v>7.09</v>
      </c>
      <c r="L877">
        <v>1.57</v>
      </c>
      <c r="M877">
        <v>0.02</v>
      </c>
      <c r="N877">
        <v>40</v>
      </c>
      <c r="O877">
        <v>8.48</v>
      </c>
      <c r="P877">
        <v>57.16</v>
      </c>
      <c r="Q877" s="18">
        <f>YEAR(A877)</f>
        <v>2025</v>
      </c>
      <c r="R877" s="18">
        <f>MONTH(A877)</f>
        <v>2</v>
      </c>
      <c r="S877" s="18">
        <f>IF(R877&lt;4,Q877-1,Q877)</f>
        <v>2024</v>
      </c>
      <c r="T877" s="18">
        <f>IF(R877&lt;4,R877+9,R877-3)</f>
        <v>11</v>
      </c>
      <c r="U877" s="18">
        <f>IF(LEN(T877)=1,_xlfn.CONCAT(0,T877),T877)</f>
        <v>11</v>
      </c>
      <c r="V877" s="18" t="str">
        <f>_xlfn.CONCAT(S877,U877)</f>
        <v>202411</v>
      </c>
      <c r="W877" s="18" t="str">
        <f>_xlfn.CONCAT(TEXT(A877,"MMM"),"-",MID(Q877,3,2))</f>
        <v>Feb-25</v>
      </c>
      <c r="X877" s="19">
        <f>IFERROR(IF(D877="Sell",(H877-P877),-(H877+P877)),0)</f>
        <v>-20007.16</v>
      </c>
      <c r="Y877" s="19">
        <f>X877/1000</f>
        <v>-20.007159999999999</v>
      </c>
    </row>
    <row r="878" spans="1:25" x14ac:dyDescent="0.25">
      <c r="A878" s="1">
        <v>45695</v>
      </c>
      <c r="B878" t="s">
        <v>1186</v>
      </c>
      <c r="C878" t="s">
        <v>17</v>
      </c>
      <c r="D878" t="s">
        <v>18</v>
      </c>
      <c r="E878">
        <v>75</v>
      </c>
      <c r="F878">
        <v>0</v>
      </c>
      <c r="G878">
        <v>127.7</v>
      </c>
      <c r="H878">
        <v>9577.5</v>
      </c>
      <c r="I878" t="s">
        <v>1195</v>
      </c>
      <c r="J878">
        <v>9.26</v>
      </c>
      <c r="K878">
        <v>3.4</v>
      </c>
      <c r="L878">
        <v>0</v>
      </c>
      <c r="M878">
        <v>0.01</v>
      </c>
      <c r="N878">
        <v>20</v>
      </c>
      <c r="O878">
        <v>4.22</v>
      </c>
      <c r="P878">
        <v>36.89</v>
      </c>
      <c r="Q878" s="18">
        <f>YEAR(A878)</f>
        <v>2025</v>
      </c>
      <c r="R878" s="18">
        <f>MONTH(A878)</f>
        <v>2</v>
      </c>
      <c r="S878" s="18">
        <f>IF(R878&lt;4,Q878-1,Q878)</f>
        <v>2024</v>
      </c>
      <c r="T878" s="18">
        <f>IF(R878&lt;4,R878+9,R878-3)</f>
        <v>11</v>
      </c>
      <c r="U878" s="18">
        <f>IF(LEN(T878)=1,_xlfn.CONCAT(0,T878),T878)</f>
        <v>11</v>
      </c>
      <c r="V878" s="18" t="str">
        <f>_xlfn.CONCAT(S878,U878)</f>
        <v>202411</v>
      </c>
      <c r="W878" s="18" t="str">
        <f>_xlfn.CONCAT(TEXT(A878,"MMM"),"-",MID(Q878,3,2))</f>
        <v>Feb-25</v>
      </c>
      <c r="X878" s="19">
        <f>IFERROR(IF(D878="Sell",(H878-P878),-(H878+P878)),0)</f>
        <v>9540.61</v>
      </c>
      <c r="Y878" s="19">
        <f>X878/1000</f>
        <v>9.5406100000000009</v>
      </c>
    </row>
    <row r="879" spans="1:25" x14ac:dyDescent="0.25">
      <c r="A879" s="1">
        <v>45695</v>
      </c>
      <c r="B879" t="s">
        <v>1186</v>
      </c>
      <c r="C879" t="s">
        <v>17</v>
      </c>
      <c r="D879" t="s">
        <v>22</v>
      </c>
      <c r="E879">
        <v>75</v>
      </c>
      <c r="F879">
        <v>0</v>
      </c>
      <c r="G879">
        <v>132.25</v>
      </c>
      <c r="H879">
        <v>9918.75</v>
      </c>
      <c r="I879" t="s">
        <v>1196</v>
      </c>
      <c r="J879">
        <v>0</v>
      </c>
      <c r="K879">
        <v>3.52</v>
      </c>
      <c r="L879">
        <v>0</v>
      </c>
      <c r="M879">
        <v>0.01</v>
      </c>
      <c r="N879">
        <v>20</v>
      </c>
      <c r="O879">
        <v>4.24</v>
      </c>
      <c r="P879">
        <v>27.77</v>
      </c>
      <c r="Q879" s="18">
        <f>YEAR(A879)</f>
        <v>2025</v>
      </c>
      <c r="R879" s="18">
        <f>MONTH(A879)</f>
        <v>2</v>
      </c>
      <c r="S879" s="18">
        <f>IF(R879&lt;4,Q879-1,Q879)</f>
        <v>2024</v>
      </c>
      <c r="T879" s="18">
        <f>IF(R879&lt;4,R879+9,R879-3)</f>
        <v>11</v>
      </c>
      <c r="U879" s="18">
        <f>IF(LEN(T879)=1,_xlfn.CONCAT(0,T879),T879)</f>
        <v>11</v>
      </c>
      <c r="V879" s="18" t="str">
        <f>_xlfn.CONCAT(S879,U879)</f>
        <v>202411</v>
      </c>
      <c r="W879" s="18" t="str">
        <f>_xlfn.CONCAT(TEXT(A879,"MMM"),"-",MID(Q879,3,2))</f>
        <v>Feb-25</v>
      </c>
      <c r="X879" s="19">
        <f>IFERROR(IF(D879="Sell",(H879-P879),-(H879+P879)),0)</f>
        <v>-9946.52</v>
      </c>
      <c r="Y879" s="19">
        <f>X879/1000</f>
        <v>-9.9465199999999996</v>
      </c>
    </row>
    <row r="880" spans="1:25" x14ac:dyDescent="0.25">
      <c r="A880" s="1">
        <v>45699</v>
      </c>
      <c r="B880" t="s">
        <v>1197</v>
      </c>
      <c r="C880" t="s">
        <v>17</v>
      </c>
      <c r="D880" t="s">
        <v>18</v>
      </c>
      <c r="E880">
        <v>75</v>
      </c>
      <c r="F880">
        <v>0</v>
      </c>
      <c r="G880">
        <v>185.1</v>
      </c>
      <c r="H880">
        <v>13882.5</v>
      </c>
      <c r="I880" t="s">
        <v>1198</v>
      </c>
      <c r="J880">
        <v>14</v>
      </c>
      <c r="K880">
        <v>4.93</v>
      </c>
      <c r="L880">
        <v>0</v>
      </c>
      <c r="M880">
        <v>0.01</v>
      </c>
      <c r="N880">
        <v>20</v>
      </c>
      <c r="O880">
        <v>4.4800000000000004</v>
      </c>
      <c r="P880">
        <v>43.42</v>
      </c>
      <c r="Q880" s="18">
        <f>YEAR(A880)</f>
        <v>2025</v>
      </c>
      <c r="R880" s="18">
        <f>MONTH(A880)</f>
        <v>2</v>
      </c>
      <c r="S880" s="18">
        <f>IF(R880&lt;4,Q880-1,Q880)</f>
        <v>2024</v>
      </c>
      <c r="T880" s="18">
        <f>IF(R880&lt;4,R880+9,R880-3)</f>
        <v>11</v>
      </c>
      <c r="U880" s="18">
        <f>IF(LEN(T880)=1,_xlfn.CONCAT(0,T880),T880)</f>
        <v>11</v>
      </c>
      <c r="V880" s="18" t="str">
        <f>_xlfn.CONCAT(S880,U880)</f>
        <v>202411</v>
      </c>
      <c r="W880" s="18" t="str">
        <f>_xlfn.CONCAT(TEXT(A880,"MMM"),"-",MID(Q880,3,2))</f>
        <v>Feb-25</v>
      </c>
      <c r="X880" s="19">
        <f>IFERROR(IF(D880="Sell",(H880-P880),-(H880+P880)),0)</f>
        <v>13839.08</v>
      </c>
      <c r="Y880" s="19">
        <f>X880/1000</f>
        <v>13.839079999999999</v>
      </c>
    </row>
    <row r="881" spans="1:25" x14ac:dyDescent="0.25">
      <c r="A881" s="1">
        <v>45699</v>
      </c>
      <c r="B881" t="s">
        <v>1197</v>
      </c>
      <c r="C881" t="s">
        <v>17</v>
      </c>
      <c r="D881" t="s">
        <v>22</v>
      </c>
      <c r="E881">
        <v>75</v>
      </c>
      <c r="F881">
        <v>0</v>
      </c>
      <c r="G881">
        <v>62.5</v>
      </c>
      <c r="H881">
        <v>4687.5</v>
      </c>
      <c r="I881" t="s">
        <v>1199</v>
      </c>
      <c r="J881">
        <v>0</v>
      </c>
      <c r="K881">
        <v>1.67</v>
      </c>
      <c r="L881">
        <v>0</v>
      </c>
      <c r="M881">
        <v>0</v>
      </c>
      <c r="N881">
        <v>20</v>
      </c>
      <c r="O881">
        <v>3.9</v>
      </c>
      <c r="P881">
        <v>25.57</v>
      </c>
      <c r="Q881" s="18">
        <f>YEAR(A881)</f>
        <v>2025</v>
      </c>
      <c r="R881" s="18">
        <f>MONTH(A881)</f>
        <v>2</v>
      </c>
      <c r="S881" s="18">
        <f>IF(R881&lt;4,Q881-1,Q881)</f>
        <v>2024</v>
      </c>
      <c r="T881" s="18">
        <f>IF(R881&lt;4,R881+9,R881-3)</f>
        <v>11</v>
      </c>
      <c r="U881" s="18">
        <f>IF(LEN(T881)=1,_xlfn.CONCAT(0,T881),T881)</f>
        <v>11</v>
      </c>
      <c r="V881" s="18" t="str">
        <f>_xlfn.CONCAT(S881,U881)</f>
        <v>202411</v>
      </c>
      <c r="W881" s="18" t="str">
        <f>_xlfn.CONCAT(TEXT(A881,"MMM"),"-",MID(Q881,3,2))</f>
        <v>Feb-25</v>
      </c>
      <c r="X881" s="19">
        <f>IFERROR(IF(D881="Sell",(H881-P881),-(H881+P881)),0)</f>
        <v>-4713.07</v>
      </c>
      <c r="Y881" s="19">
        <f>X881/1000</f>
        <v>-4.7130700000000001</v>
      </c>
    </row>
    <row r="882" spans="1:25" x14ac:dyDescent="0.25">
      <c r="A882" s="1">
        <v>45700</v>
      </c>
      <c r="B882" t="s">
        <v>1200</v>
      </c>
      <c r="C882" t="s">
        <v>17</v>
      </c>
      <c r="D882" t="s">
        <v>22</v>
      </c>
      <c r="E882">
        <v>300</v>
      </c>
      <c r="F882">
        <v>0</v>
      </c>
      <c r="G882">
        <v>41.5</v>
      </c>
      <c r="H882">
        <v>12450</v>
      </c>
      <c r="I882" t="s">
        <v>1201</v>
      </c>
      <c r="J882">
        <v>0</v>
      </c>
      <c r="K882">
        <v>4.42</v>
      </c>
      <c r="L882">
        <v>0.18</v>
      </c>
      <c r="M882">
        <v>0.01</v>
      </c>
      <c r="N882">
        <v>80</v>
      </c>
      <c r="O882">
        <v>15.2</v>
      </c>
      <c r="P882">
        <v>99.81</v>
      </c>
      <c r="Q882" s="18">
        <f>YEAR(A882)</f>
        <v>2025</v>
      </c>
      <c r="R882" s="18">
        <f>MONTH(A882)</f>
        <v>2</v>
      </c>
      <c r="S882" s="18">
        <f>IF(R882&lt;4,Q882-1,Q882)</f>
        <v>2024</v>
      </c>
      <c r="T882" s="18">
        <f>IF(R882&lt;4,R882+9,R882-3)</f>
        <v>11</v>
      </c>
      <c r="U882" s="18">
        <f>IF(LEN(T882)=1,_xlfn.CONCAT(0,T882),T882)</f>
        <v>11</v>
      </c>
      <c r="V882" s="18" t="str">
        <f>_xlfn.CONCAT(S882,U882)</f>
        <v>202411</v>
      </c>
      <c r="W882" s="18" t="str">
        <f>_xlfn.CONCAT(TEXT(A882,"MMM"),"-",MID(Q882,3,2))</f>
        <v>Feb-25</v>
      </c>
      <c r="X882" s="19">
        <f>IFERROR(IF(D882="Sell",(H882-P882),-(H882+P882)),0)</f>
        <v>-12549.81</v>
      </c>
      <c r="Y882" s="19">
        <f>X882/1000</f>
        <v>-12.549809999999999</v>
      </c>
    </row>
    <row r="883" spans="1:25" x14ac:dyDescent="0.25">
      <c r="A883" s="1">
        <v>45700</v>
      </c>
      <c r="B883" t="s">
        <v>1202</v>
      </c>
      <c r="C883" t="s">
        <v>17</v>
      </c>
      <c r="D883" t="s">
        <v>18</v>
      </c>
      <c r="E883">
        <v>150</v>
      </c>
      <c r="F883">
        <v>0</v>
      </c>
      <c r="G883">
        <v>35</v>
      </c>
      <c r="H883">
        <v>5250</v>
      </c>
      <c r="I883" t="s">
        <v>1203</v>
      </c>
      <c r="J883">
        <v>5.26</v>
      </c>
      <c r="K883">
        <v>1.86</v>
      </c>
      <c r="L883">
        <v>0</v>
      </c>
      <c r="M883">
        <v>0</v>
      </c>
      <c r="N883">
        <v>40</v>
      </c>
      <c r="O883">
        <v>7.52</v>
      </c>
      <c r="P883">
        <v>54.64</v>
      </c>
      <c r="Q883" s="18">
        <f>YEAR(A883)</f>
        <v>2025</v>
      </c>
      <c r="R883" s="18">
        <f>MONTH(A883)</f>
        <v>2</v>
      </c>
      <c r="S883" s="18">
        <f>IF(R883&lt;4,Q883-1,Q883)</f>
        <v>2024</v>
      </c>
      <c r="T883" s="18">
        <f>IF(R883&lt;4,R883+9,R883-3)</f>
        <v>11</v>
      </c>
      <c r="U883" s="18">
        <f>IF(LEN(T883)=1,_xlfn.CONCAT(0,T883),T883)</f>
        <v>11</v>
      </c>
      <c r="V883" s="18" t="str">
        <f>_xlfn.CONCAT(S883,U883)</f>
        <v>202411</v>
      </c>
      <c r="W883" s="18" t="str">
        <f>_xlfn.CONCAT(TEXT(A883,"MMM"),"-",MID(Q883,3,2))</f>
        <v>Feb-25</v>
      </c>
      <c r="X883" s="19">
        <f>IFERROR(IF(D883="Sell",(H883-P883),-(H883+P883)),0)</f>
        <v>5195.3599999999997</v>
      </c>
      <c r="Y883" s="19">
        <f>X883/1000</f>
        <v>5.19536</v>
      </c>
    </row>
    <row r="884" spans="1:25" x14ac:dyDescent="0.25">
      <c r="A884" s="1">
        <v>45700</v>
      </c>
      <c r="B884" t="s">
        <v>1202</v>
      </c>
      <c r="C884" t="s">
        <v>17</v>
      </c>
      <c r="D884" t="s">
        <v>22</v>
      </c>
      <c r="E884">
        <v>75</v>
      </c>
      <c r="F884">
        <v>0</v>
      </c>
      <c r="G884">
        <v>65</v>
      </c>
      <c r="H884">
        <v>4875</v>
      </c>
      <c r="I884" t="s">
        <v>1204</v>
      </c>
      <c r="J884">
        <v>0</v>
      </c>
      <c r="K884">
        <v>1.73</v>
      </c>
      <c r="L884">
        <v>0</v>
      </c>
      <c r="M884">
        <v>0</v>
      </c>
      <c r="N884">
        <v>20</v>
      </c>
      <c r="O884">
        <v>3.92</v>
      </c>
      <c r="P884">
        <v>25.65</v>
      </c>
      <c r="Q884" s="18">
        <f>YEAR(A884)</f>
        <v>2025</v>
      </c>
      <c r="R884" s="18">
        <f>MONTH(A884)</f>
        <v>2</v>
      </c>
      <c r="S884" s="18">
        <f>IF(R884&lt;4,Q884-1,Q884)</f>
        <v>2024</v>
      </c>
      <c r="T884" s="18">
        <f>IF(R884&lt;4,R884+9,R884-3)</f>
        <v>11</v>
      </c>
      <c r="U884" s="18">
        <f>IF(LEN(T884)=1,_xlfn.CONCAT(0,T884),T884)</f>
        <v>11</v>
      </c>
      <c r="V884" s="18" t="str">
        <f>_xlfn.CONCAT(S884,U884)</f>
        <v>202411</v>
      </c>
      <c r="W884" s="18" t="str">
        <f>_xlfn.CONCAT(TEXT(A884,"MMM"),"-",MID(Q884,3,2))</f>
        <v>Feb-25</v>
      </c>
      <c r="X884" s="19">
        <f>IFERROR(IF(D884="Sell",(H884-P884),-(H884+P884)),0)</f>
        <v>-4900.6499999999996</v>
      </c>
      <c r="Y884" s="19">
        <f>X884/1000</f>
        <v>-4.9006499999999997</v>
      </c>
    </row>
    <row r="885" spans="1:25" x14ac:dyDescent="0.25">
      <c r="A885" s="1">
        <v>45700</v>
      </c>
      <c r="B885" t="s">
        <v>1205</v>
      </c>
      <c r="C885" t="s">
        <v>17</v>
      </c>
      <c r="D885" t="s">
        <v>18</v>
      </c>
      <c r="E885">
        <v>75</v>
      </c>
      <c r="F885">
        <v>0</v>
      </c>
      <c r="G885">
        <v>120.35</v>
      </c>
      <c r="H885">
        <v>9026.25</v>
      </c>
      <c r="I885" t="s">
        <v>1206</v>
      </c>
      <c r="J885">
        <v>9.0299999999999994</v>
      </c>
      <c r="K885">
        <v>3.21</v>
      </c>
      <c r="L885">
        <v>0</v>
      </c>
      <c r="M885">
        <v>0.01</v>
      </c>
      <c r="N885">
        <v>20</v>
      </c>
      <c r="O885">
        <v>4.18</v>
      </c>
      <c r="P885">
        <v>36.43</v>
      </c>
      <c r="Q885" s="18">
        <f>YEAR(A885)</f>
        <v>2025</v>
      </c>
      <c r="R885" s="18">
        <f>MONTH(A885)</f>
        <v>2</v>
      </c>
      <c r="S885" s="18">
        <f>IF(R885&lt;4,Q885-1,Q885)</f>
        <v>2024</v>
      </c>
      <c r="T885" s="18">
        <f>IF(R885&lt;4,R885+9,R885-3)</f>
        <v>11</v>
      </c>
      <c r="U885" s="18">
        <f>IF(LEN(T885)=1,_xlfn.CONCAT(0,T885),T885)</f>
        <v>11</v>
      </c>
      <c r="V885" s="18" t="str">
        <f>_xlfn.CONCAT(S885,U885)</f>
        <v>202411</v>
      </c>
      <c r="W885" s="18" t="str">
        <f>_xlfn.CONCAT(TEXT(A885,"MMM"),"-",MID(Q885,3,2))</f>
        <v>Feb-25</v>
      </c>
      <c r="X885" s="19">
        <f>IFERROR(IF(D885="Sell",(H885-P885),-(H885+P885)),0)</f>
        <v>8989.82</v>
      </c>
      <c r="Y885" s="19">
        <f>X885/1000</f>
        <v>8.9898199999999999</v>
      </c>
    </row>
    <row r="886" spans="1:25" x14ac:dyDescent="0.25">
      <c r="A886" s="1">
        <v>45700</v>
      </c>
      <c r="B886" t="s">
        <v>1205</v>
      </c>
      <c r="C886" t="s">
        <v>17</v>
      </c>
      <c r="D886" t="s">
        <v>22</v>
      </c>
      <c r="E886">
        <v>75</v>
      </c>
      <c r="F886">
        <v>0</v>
      </c>
      <c r="G886">
        <v>95.5</v>
      </c>
      <c r="H886">
        <v>7162.5</v>
      </c>
      <c r="I886" t="s">
        <v>1207</v>
      </c>
      <c r="J886">
        <v>0</v>
      </c>
      <c r="K886">
        <v>2.54</v>
      </c>
      <c r="L886">
        <v>0.21</v>
      </c>
      <c r="M886">
        <v>0.01</v>
      </c>
      <c r="N886">
        <v>20</v>
      </c>
      <c r="O886">
        <v>4.0599999999999996</v>
      </c>
      <c r="P886">
        <v>26.82</v>
      </c>
      <c r="Q886" s="18">
        <f>YEAR(A886)</f>
        <v>2025</v>
      </c>
      <c r="R886" s="18">
        <f>MONTH(A886)</f>
        <v>2</v>
      </c>
      <c r="S886" s="18">
        <f>IF(R886&lt;4,Q886-1,Q886)</f>
        <v>2024</v>
      </c>
      <c r="T886" s="18">
        <f>IF(R886&lt;4,R886+9,R886-3)</f>
        <v>11</v>
      </c>
      <c r="U886" s="18">
        <f>IF(LEN(T886)=1,_xlfn.CONCAT(0,T886),T886)</f>
        <v>11</v>
      </c>
      <c r="V886" s="18" t="str">
        <f>_xlfn.CONCAT(S886,U886)</f>
        <v>202411</v>
      </c>
      <c r="W886" s="18" t="str">
        <f>_xlfn.CONCAT(TEXT(A886,"MMM"),"-",MID(Q886,3,2))</f>
        <v>Feb-25</v>
      </c>
      <c r="X886" s="19">
        <f>IFERROR(IF(D886="Sell",(H886-P886),-(H886+P886)),0)</f>
        <v>-7189.32</v>
      </c>
      <c r="Y886" s="19">
        <f>X886/1000</f>
        <v>-7.1893199999999995</v>
      </c>
    </row>
    <row r="887" spans="1:25" x14ac:dyDescent="0.25">
      <c r="A887" s="1">
        <v>45700</v>
      </c>
      <c r="B887" t="s">
        <v>1202</v>
      </c>
      <c r="C887" t="s">
        <v>17</v>
      </c>
      <c r="D887" t="s">
        <v>22</v>
      </c>
      <c r="E887">
        <v>75</v>
      </c>
      <c r="F887">
        <v>0</v>
      </c>
      <c r="G887">
        <v>101.25</v>
      </c>
      <c r="H887">
        <v>7593.75</v>
      </c>
      <c r="I887" t="s">
        <v>1208</v>
      </c>
      <c r="J887">
        <v>0</v>
      </c>
      <c r="K887">
        <v>2.7</v>
      </c>
      <c r="L887">
        <v>0.37</v>
      </c>
      <c r="M887">
        <v>0.01</v>
      </c>
      <c r="N887">
        <v>20</v>
      </c>
      <c r="O887">
        <v>4.08</v>
      </c>
      <c r="P887">
        <v>27.16</v>
      </c>
      <c r="Q887" s="18">
        <f>YEAR(A887)</f>
        <v>2025</v>
      </c>
      <c r="R887" s="18">
        <f>MONTH(A887)</f>
        <v>2</v>
      </c>
      <c r="S887" s="18">
        <f>IF(R887&lt;4,Q887-1,Q887)</f>
        <v>2024</v>
      </c>
      <c r="T887" s="18">
        <f>IF(R887&lt;4,R887+9,R887-3)</f>
        <v>11</v>
      </c>
      <c r="U887" s="18">
        <f>IF(LEN(T887)=1,_xlfn.CONCAT(0,T887),T887)</f>
        <v>11</v>
      </c>
      <c r="V887" s="18" t="str">
        <f>_xlfn.CONCAT(S887,U887)</f>
        <v>202411</v>
      </c>
      <c r="W887" s="18" t="str">
        <f>_xlfn.CONCAT(TEXT(A887,"MMM"),"-",MID(Q887,3,2))</f>
        <v>Feb-25</v>
      </c>
      <c r="X887" s="19">
        <f>IFERROR(IF(D887="Sell",(H887-P887),-(H887+P887)),0)</f>
        <v>-7620.91</v>
      </c>
      <c r="Y887" s="19">
        <f>X887/1000</f>
        <v>-7.6209100000000003</v>
      </c>
    </row>
    <row r="888" spans="1:25" x14ac:dyDescent="0.25">
      <c r="A888" s="1">
        <v>45700</v>
      </c>
      <c r="B888" t="s">
        <v>1209</v>
      </c>
      <c r="C888" t="s">
        <v>17</v>
      </c>
      <c r="D888" t="s">
        <v>18</v>
      </c>
      <c r="E888">
        <v>75</v>
      </c>
      <c r="F888">
        <v>0</v>
      </c>
      <c r="G888">
        <v>127</v>
      </c>
      <c r="H888">
        <v>9525</v>
      </c>
      <c r="I888" t="s">
        <v>1210</v>
      </c>
      <c r="J888">
        <v>9.7200000000000006</v>
      </c>
      <c r="K888">
        <v>3.38</v>
      </c>
      <c r="L888">
        <v>0</v>
      </c>
      <c r="M888">
        <v>0.01</v>
      </c>
      <c r="N888">
        <v>20</v>
      </c>
      <c r="O888">
        <v>4.22</v>
      </c>
      <c r="P888">
        <v>37.33</v>
      </c>
      <c r="Q888" s="18">
        <f>YEAR(A888)</f>
        <v>2025</v>
      </c>
      <c r="R888" s="18">
        <f>MONTH(A888)</f>
        <v>2</v>
      </c>
      <c r="S888" s="18">
        <f>IF(R888&lt;4,Q888-1,Q888)</f>
        <v>2024</v>
      </c>
      <c r="T888" s="18">
        <f>IF(R888&lt;4,R888+9,R888-3)</f>
        <v>11</v>
      </c>
      <c r="U888" s="18">
        <f>IF(LEN(T888)=1,_xlfn.CONCAT(0,T888),T888)</f>
        <v>11</v>
      </c>
      <c r="V888" s="18" t="str">
        <f>_xlfn.CONCAT(S888,U888)</f>
        <v>202411</v>
      </c>
      <c r="W888" s="18" t="str">
        <f>_xlfn.CONCAT(TEXT(A888,"MMM"),"-",MID(Q888,3,2))</f>
        <v>Feb-25</v>
      </c>
      <c r="X888" s="19">
        <f>IFERROR(IF(D888="Sell",(H888-P888),-(H888+P888)),0)</f>
        <v>9487.67</v>
      </c>
      <c r="Y888" s="19">
        <f>X888/1000</f>
        <v>9.4876699999999996</v>
      </c>
    </row>
    <row r="889" spans="1:25" x14ac:dyDescent="0.25">
      <c r="A889" s="1">
        <v>45700</v>
      </c>
      <c r="B889" t="s">
        <v>1209</v>
      </c>
      <c r="C889" t="s">
        <v>17</v>
      </c>
      <c r="D889" t="s">
        <v>22</v>
      </c>
      <c r="E889">
        <v>75</v>
      </c>
      <c r="F889">
        <v>0</v>
      </c>
      <c r="G889">
        <v>107.15</v>
      </c>
      <c r="H889">
        <v>8036.25</v>
      </c>
      <c r="I889" t="s">
        <v>1211</v>
      </c>
      <c r="J889">
        <v>0</v>
      </c>
      <c r="K889">
        <v>2.86</v>
      </c>
      <c r="L889">
        <v>0.24</v>
      </c>
      <c r="M889">
        <v>0.01</v>
      </c>
      <c r="N889">
        <v>20</v>
      </c>
      <c r="O889">
        <v>4.12</v>
      </c>
      <c r="P889">
        <v>27.23</v>
      </c>
      <c r="Q889" s="18">
        <f>YEAR(A889)</f>
        <v>2025</v>
      </c>
      <c r="R889" s="18">
        <f>MONTH(A889)</f>
        <v>2</v>
      </c>
      <c r="S889" s="18">
        <f>IF(R889&lt;4,Q889-1,Q889)</f>
        <v>2024</v>
      </c>
      <c r="T889" s="18">
        <f>IF(R889&lt;4,R889+9,R889-3)</f>
        <v>11</v>
      </c>
      <c r="U889" s="18">
        <f>IF(LEN(T889)=1,_xlfn.CONCAT(0,T889),T889)</f>
        <v>11</v>
      </c>
      <c r="V889" s="18" t="str">
        <f>_xlfn.CONCAT(S889,U889)</f>
        <v>202411</v>
      </c>
      <c r="W889" s="18" t="str">
        <f>_xlfn.CONCAT(TEXT(A889,"MMM"),"-",MID(Q889,3,2))</f>
        <v>Feb-25</v>
      </c>
      <c r="X889" s="19">
        <f>IFERROR(IF(D889="Sell",(H889-P889),-(H889+P889)),0)</f>
        <v>-8063.48</v>
      </c>
      <c r="Y889" s="19">
        <f>X889/1000</f>
        <v>-8.0634800000000002</v>
      </c>
    </row>
    <row r="890" spans="1:25" x14ac:dyDescent="0.25">
      <c r="A890" s="1">
        <v>45701</v>
      </c>
      <c r="B890" t="s">
        <v>1200</v>
      </c>
      <c r="C890" t="s">
        <v>17</v>
      </c>
      <c r="D890" t="s">
        <v>18</v>
      </c>
      <c r="E890">
        <v>300</v>
      </c>
      <c r="F890">
        <v>0</v>
      </c>
      <c r="G890">
        <v>3.9</v>
      </c>
      <c r="H890">
        <v>1170</v>
      </c>
      <c r="I890" t="s">
        <v>1212</v>
      </c>
      <c r="J890">
        <v>1</v>
      </c>
      <c r="K890">
        <v>0.42</v>
      </c>
      <c r="L890">
        <v>0</v>
      </c>
      <c r="M890">
        <v>0</v>
      </c>
      <c r="N890">
        <v>80</v>
      </c>
      <c r="O890">
        <v>14.48</v>
      </c>
      <c r="P890">
        <v>95.9</v>
      </c>
      <c r="Q890" s="18">
        <f>YEAR(A890)</f>
        <v>2025</v>
      </c>
      <c r="R890" s="18">
        <f>MONTH(A890)</f>
        <v>2</v>
      </c>
      <c r="S890" s="18">
        <f>IF(R890&lt;4,Q890-1,Q890)</f>
        <v>2024</v>
      </c>
      <c r="T890" s="18">
        <f>IF(R890&lt;4,R890+9,R890-3)</f>
        <v>11</v>
      </c>
      <c r="U890" s="18">
        <f>IF(LEN(T890)=1,_xlfn.CONCAT(0,T890),T890)</f>
        <v>11</v>
      </c>
      <c r="V890" s="18" t="str">
        <f>_xlfn.CONCAT(S890,U890)</f>
        <v>202411</v>
      </c>
      <c r="W890" s="18" t="str">
        <f>_xlfn.CONCAT(TEXT(A890,"MMM"),"-",MID(Q890,3,2))</f>
        <v>Feb-25</v>
      </c>
      <c r="X890" s="19">
        <f>IFERROR(IF(D890="Sell",(H890-P890),-(H890+P890)),0)</f>
        <v>1074.0999999999999</v>
      </c>
      <c r="Y890" s="19">
        <f>X890/1000</f>
        <v>1.0740999999999998</v>
      </c>
    </row>
    <row r="891" spans="1:25" x14ac:dyDescent="0.25">
      <c r="A891" s="1">
        <v>45705</v>
      </c>
      <c r="B891" t="s">
        <v>1213</v>
      </c>
      <c r="C891" t="s">
        <v>17</v>
      </c>
      <c r="D891" t="s">
        <v>18</v>
      </c>
      <c r="E891">
        <v>150</v>
      </c>
      <c r="F891">
        <v>0</v>
      </c>
      <c r="G891">
        <v>147.25</v>
      </c>
      <c r="H891">
        <v>22087.5</v>
      </c>
      <c r="I891" t="s">
        <v>1214</v>
      </c>
      <c r="J891">
        <v>22.09</v>
      </c>
      <c r="K891">
        <v>7.85</v>
      </c>
      <c r="L891">
        <v>0</v>
      </c>
      <c r="M891">
        <v>0.02</v>
      </c>
      <c r="N891">
        <v>40</v>
      </c>
      <c r="O891">
        <v>8.6199999999999992</v>
      </c>
      <c r="P891">
        <v>78.58</v>
      </c>
      <c r="Q891" s="18">
        <f>YEAR(A891)</f>
        <v>2025</v>
      </c>
      <c r="R891" s="18">
        <f>MONTH(A891)</f>
        <v>2</v>
      </c>
      <c r="S891" s="18">
        <f>IF(R891&lt;4,Q891-1,Q891)</f>
        <v>2024</v>
      </c>
      <c r="T891" s="18">
        <f>IF(R891&lt;4,R891+9,R891-3)</f>
        <v>11</v>
      </c>
      <c r="U891" s="18">
        <f>IF(LEN(T891)=1,_xlfn.CONCAT(0,T891),T891)</f>
        <v>11</v>
      </c>
      <c r="V891" s="18" t="str">
        <f>_xlfn.CONCAT(S891,U891)</f>
        <v>202411</v>
      </c>
      <c r="W891" s="18" t="str">
        <f>_xlfn.CONCAT(TEXT(A891,"MMM"),"-",MID(Q891,3,2))</f>
        <v>Feb-25</v>
      </c>
      <c r="X891" s="19">
        <f>IFERROR(IF(D891="Sell",(H891-P891),-(H891+P891)),0)</f>
        <v>22008.92</v>
      </c>
      <c r="Y891" s="19">
        <f>X891/1000</f>
        <v>22.00892</v>
      </c>
    </row>
    <row r="892" spans="1:25" x14ac:dyDescent="0.25">
      <c r="A892" s="1">
        <v>45705</v>
      </c>
      <c r="B892" t="s">
        <v>1213</v>
      </c>
      <c r="C892" t="s">
        <v>17</v>
      </c>
      <c r="D892" t="s">
        <v>22</v>
      </c>
      <c r="E892">
        <v>150</v>
      </c>
      <c r="F892">
        <v>0</v>
      </c>
      <c r="G892">
        <v>142</v>
      </c>
      <c r="H892">
        <v>21300</v>
      </c>
      <c r="I892" t="s">
        <v>1215</v>
      </c>
      <c r="J892">
        <v>0</v>
      </c>
      <c r="K892">
        <v>7.57</v>
      </c>
      <c r="L892">
        <v>0</v>
      </c>
      <c r="M892">
        <v>0.02</v>
      </c>
      <c r="N892">
        <v>40</v>
      </c>
      <c r="O892">
        <v>8.56</v>
      </c>
      <c r="P892">
        <v>56.15</v>
      </c>
      <c r="Q892" s="18">
        <f>YEAR(A892)</f>
        <v>2025</v>
      </c>
      <c r="R892" s="18">
        <f>MONTH(A892)</f>
        <v>2</v>
      </c>
      <c r="S892" s="18">
        <f>IF(R892&lt;4,Q892-1,Q892)</f>
        <v>2024</v>
      </c>
      <c r="T892" s="18">
        <f>IF(R892&lt;4,R892+9,R892-3)</f>
        <v>11</v>
      </c>
      <c r="U892" s="18">
        <f>IF(LEN(T892)=1,_xlfn.CONCAT(0,T892),T892)</f>
        <v>11</v>
      </c>
      <c r="V892" s="18" t="str">
        <f>_xlfn.CONCAT(S892,U892)</f>
        <v>202411</v>
      </c>
      <c r="W892" s="18" t="str">
        <f>_xlfn.CONCAT(TEXT(A892,"MMM"),"-",MID(Q892,3,2))</f>
        <v>Feb-25</v>
      </c>
      <c r="X892" s="19">
        <f>IFERROR(IF(D892="Sell",(H892-P892),-(H892+P892)),0)</f>
        <v>-21356.15</v>
      </c>
      <c r="Y892" s="19">
        <f>X892/1000</f>
        <v>-21.356150000000003</v>
      </c>
    </row>
    <row r="893" spans="1:25" x14ac:dyDescent="0.25">
      <c r="A893" s="1">
        <v>45705</v>
      </c>
      <c r="B893" t="s">
        <v>1213</v>
      </c>
      <c r="C893" t="s">
        <v>17</v>
      </c>
      <c r="D893" t="s">
        <v>18</v>
      </c>
      <c r="E893">
        <v>150</v>
      </c>
      <c r="F893">
        <v>0</v>
      </c>
      <c r="G893">
        <v>130</v>
      </c>
      <c r="H893">
        <v>19500</v>
      </c>
      <c r="I893" t="s">
        <v>1216</v>
      </c>
      <c r="J893">
        <v>19.5</v>
      </c>
      <c r="K893">
        <v>6.93</v>
      </c>
      <c r="L893">
        <v>0</v>
      </c>
      <c r="M893">
        <v>0.02</v>
      </c>
      <c r="N893">
        <v>40</v>
      </c>
      <c r="O893">
        <v>8.4600000000000009</v>
      </c>
      <c r="P893">
        <v>74.91</v>
      </c>
      <c r="Q893" s="18">
        <f>YEAR(A893)</f>
        <v>2025</v>
      </c>
      <c r="R893" s="18">
        <f>MONTH(A893)</f>
        <v>2</v>
      </c>
      <c r="S893" s="18">
        <f>IF(R893&lt;4,Q893-1,Q893)</f>
        <v>2024</v>
      </c>
      <c r="T893" s="18">
        <f>IF(R893&lt;4,R893+9,R893-3)</f>
        <v>11</v>
      </c>
      <c r="U893" s="18">
        <f>IF(LEN(T893)=1,_xlfn.CONCAT(0,T893),T893)</f>
        <v>11</v>
      </c>
      <c r="V893" s="18" t="str">
        <f>_xlfn.CONCAT(S893,U893)</f>
        <v>202411</v>
      </c>
      <c r="W893" s="18" t="str">
        <f>_xlfn.CONCAT(TEXT(A893,"MMM"),"-",MID(Q893,3,2))</f>
        <v>Feb-25</v>
      </c>
      <c r="X893" s="19">
        <f>IFERROR(IF(D893="Sell",(H893-P893),-(H893+P893)),0)</f>
        <v>19425.09</v>
      </c>
      <c r="Y893" s="19">
        <f>X893/1000</f>
        <v>19.425090000000001</v>
      </c>
    </row>
    <row r="894" spans="1:25" x14ac:dyDescent="0.25">
      <c r="A894" s="1">
        <v>45705</v>
      </c>
      <c r="B894" t="s">
        <v>1213</v>
      </c>
      <c r="C894" t="s">
        <v>17</v>
      </c>
      <c r="D894" t="s">
        <v>22</v>
      </c>
      <c r="E894">
        <v>150</v>
      </c>
      <c r="F894">
        <v>0</v>
      </c>
      <c r="G894">
        <v>132.25</v>
      </c>
      <c r="H894">
        <v>19837.5</v>
      </c>
      <c r="I894" t="s">
        <v>1217</v>
      </c>
      <c r="J894">
        <v>0</v>
      </c>
      <c r="K894">
        <v>7.05</v>
      </c>
      <c r="L894">
        <v>1.73</v>
      </c>
      <c r="M894">
        <v>0.02</v>
      </c>
      <c r="N894">
        <v>40</v>
      </c>
      <c r="O894">
        <v>8.48</v>
      </c>
      <c r="P894">
        <v>57.28</v>
      </c>
      <c r="Q894" s="18">
        <f>YEAR(A894)</f>
        <v>2025</v>
      </c>
      <c r="R894" s="18">
        <f>MONTH(A894)</f>
        <v>2</v>
      </c>
      <c r="S894" s="18">
        <f>IF(R894&lt;4,Q894-1,Q894)</f>
        <v>2024</v>
      </c>
      <c r="T894" s="18">
        <f>IF(R894&lt;4,R894+9,R894-3)</f>
        <v>11</v>
      </c>
      <c r="U894" s="18">
        <f>IF(LEN(T894)=1,_xlfn.CONCAT(0,T894),T894)</f>
        <v>11</v>
      </c>
      <c r="V894" s="18" t="str">
        <f>_xlfn.CONCAT(S894,U894)</f>
        <v>202411</v>
      </c>
      <c r="W894" s="18" t="str">
        <f>_xlfn.CONCAT(TEXT(A894,"MMM"),"-",MID(Q894,3,2))</f>
        <v>Feb-25</v>
      </c>
      <c r="X894" s="19">
        <f>IFERROR(IF(D894="Sell",(H894-P894),-(H894+P894)),0)</f>
        <v>-19894.78</v>
      </c>
      <c r="Y894" s="19">
        <f>X894/1000</f>
        <v>-19.894779999999997</v>
      </c>
    </row>
    <row r="895" spans="1:25" x14ac:dyDescent="0.25">
      <c r="A895" s="1">
        <v>45705</v>
      </c>
      <c r="B895" t="s">
        <v>1218</v>
      </c>
      <c r="C895" t="s">
        <v>17</v>
      </c>
      <c r="D895" t="s">
        <v>18</v>
      </c>
      <c r="E895">
        <v>75</v>
      </c>
      <c r="F895">
        <v>0</v>
      </c>
      <c r="G895">
        <v>179.25</v>
      </c>
      <c r="H895">
        <v>13443.75</v>
      </c>
      <c r="I895" t="s">
        <v>1219</v>
      </c>
      <c r="J895">
        <v>13.44</v>
      </c>
      <c r="K895">
        <v>4.78</v>
      </c>
      <c r="L895">
        <v>0</v>
      </c>
      <c r="M895">
        <v>0.01</v>
      </c>
      <c r="N895">
        <v>20</v>
      </c>
      <c r="O895">
        <v>4.46</v>
      </c>
      <c r="P895">
        <v>42.69</v>
      </c>
      <c r="Q895" s="18">
        <f>YEAR(A895)</f>
        <v>2025</v>
      </c>
      <c r="R895" s="18">
        <f>MONTH(A895)</f>
        <v>2</v>
      </c>
      <c r="S895" s="18">
        <f>IF(R895&lt;4,Q895-1,Q895)</f>
        <v>2024</v>
      </c>
      <c r="T895" s="18">
        <f>IF(R895&lt;4,R895+9,R895-3)</f>
        <v>11</v>
      </c>
      <c r="U895" s="18">
        <f>IF(LEN(T895)=1,_xlfn.CONCAT(0,T895),T895)</f>
        <v>11</v>
      </c>
      <c r="V895" s="18" t="str">
        <f>_xlfn.CONCAT(S895,U895)</f>
        <v>202411</v>
      </c>
      <c r="W895" s="18" t="str">
        <f>_xlfn.CONCAT(TEXT(A895,"MMM"),"-",MID(Q895,3,2))</f>
        <v>Feb-25</v>
      </c>
      <c r="X895" s="19">
        <f>IFERROR(IF(D895="Sell",(H895-P895),-(H895+P895)),0)</f>
        <v>13401.06</v>
      </c>
      <c r="Y895" s="19">
        <f>X895/1000</f>
        <v>13.401059999999999</v>
      </c>
    </row>
    <row r="896" spans="1:25" x14ac:dyDescent="0.25">
      <c r="A896" s="1">
        <v>45705</v>
      </c>
      <c r="B896" t="s">
        <v>1218</v>
      </c>
      <c r="C896" t="s">
        <v>17</v>
      </c>
      <c r="D896" t="s">
        <v>22</v>
      </c>
      <c r="E896">
        <v>75</v>
      </c>
      <c r="F896">
        <v>0</v>
      </c>
      <c r="G896">
        <v>156.65</v>
      </c>
      <c r="H896">
        <v>11748.75</v>
      </c>
      <c r="I896" t="s">
        <v>1220</v>
      </c>
      <c r="J896">
        <v>0</v>
      </c>
      <c r="K896">
        <v>4.17</v>
      </c>
      <c r="L896">
        <v>0.35</v>
      </c>
      <c r="M896">
        <v>0.01</v>
      </c>
      <c r="N896">
        <v>20</v>
      </c>
      <c r="O896">
        <v>4.3600000000000003</v>
      </c>
      <c r="P896">
        <v>28.89</v>
      </c>
      <c r="Q896" s="18">
        <f>YEAR(A896)</f>
        <v>2025</v>
      </c>
      <c r="R896" s="18">
        <f>MONTH(A896)</f>
        <v>2</v>
      </c>
      <c r="S896" s="18">
        <f>IF(R896&lt;4,Q896-1,Q896)</f>
        <v>2024</v>
      </c>
      <c r="T896" s="18">
        <f>IF(R896&lt;4,R896+9,R896-3)</f>
        <v>11</v>
      </c>
      <c r="U896" s="18">
        <f>IF(LEN(T896)=1,_xlfn.CONCAT(0,T896),T896)</f>
        <v>11</v>
      </c>
      <c r="V896" s="18" t="str">
        <f>_xlfn.CONCAT(S896,U896)</f>
        <v>202411</v>
      </c>
      <c r="W896" s="18" t="str">
        <f>_xlfn.CONCAT(TEXT(A896,"MMM"),"-",MID(Q896,3,2))</f>
        <v>Feb-25</v>
      </c>
      <c r="X896" s="19">
        <f>IFERROR(IF(D896="Sell",(H896-P896),-(H896+P896)),0)</f>
        <v>-11777.64</v>
      </c>
      <c r="Y896" s="19">
        <f>X896/1000</f>
        <v>-11.77764</v>
      </c>
    </row>
    <row r="897" spans="1:25" x14ac:dyDescent="0.25">
      <c r="A897" s="1">
        <v>45705</v>
      </c>
      <c r="B897" t="s">
        <v>1221</v>
      </c>
      <c r="C897" t="s">
        <v>17</v>
      </c>
      <c r="D897" t="s">
        <v>18</v>
      </c>
      <c r="E897">
        <v>75</v>
      </c>
      <c r="F897">
        <v>0</v>
      </c>
      <c r="G897">
        <v>159</v>
      </c>
      <c r="H897">
        <v>11925</v>
      </c>
      <c r="I897" t="s">
        <v>1222</v>
      </c>
      <c r="J897">
        <v>11.93</v>
      </c>
      <c r="K897">
        <v>4.24</v>
      </c>
      <c r="L897">
        <v>0</v>
      </c>
      <c r="M897">
        <v>0.01</v>
      </c>
      <c r="N897">
        <v>20</v>
      </c>
      <c r="O897">
        <v>4.3600000000000003</v>
      </c>
      <c r="P897">
        <v>40.54</v>
      </c>
      <c r="Q897" s="18">
        <f>YEAR(A897)</f>
        <v>2025</v>
      </c>
      <c r="R897" s="18">
        <f>MONTH(A897)</f>
        <v>2</v>
      </c>
      <c r="S897" s="18">
        <f>IF(R897&lt;4,Q897-1,Q897)</f>
        <v>2024</v>
      </c>
      <c r="T897" s="18">
        <f>IF(R897&lt;4,R897+9,R897-3)</f>
        <v>11</v>
      </c>
      <c r="U897" s="18">
        <f>IF(LEN(T897)=1,_xlfn.CONCAT(0,T897),T897)</f>
        <v>11</v>
      </c>
      <c r="V897" s="18" t="str">
        <f>_xlfn.CONCAT(S897,U897)</f>
        <v>202411</v>
      </c>
      <c r="W897" s="18" t="str">
        <f>_xlfn.CONCAT(TEXT(A897,"MMM"),"-",MID(Q897,3,2))</f>
        <v>Feb-25</v>
      </c>
      <c r="X897" s="19">
        <f>IFERROR(IF(D897="Sell",(H897-P897),-(H897+P897)),0)</f>
        <v>11884.46</v>
      </c>
      <c r="Y897" s="19">
        <f>X897/1000</f>
        <v>11.884459999999999</v>
      </c>
    </row>
    <row r="898" spans="1:25" x14ac:dyDescent="0.25">
      <c r="A898" s="1">
        <v>45705</v>
      </c>
      <c r="B898" t="s">
        <v>1221</v>
      </c>
      <c r="C898" t="s">
        <v>17</v>
      </c>
      <c r="D898" t="s">
        <v>22</v>
      </c>
      <c r="E898">
        <v>75</v>
      </c>
      <c r="F898">
        <v>0</v>
      </c>
      <c r="G898">
        <v>178.7</v>
      </c>
      <c r="H898">
        <v>13402.5</v>
      </c>
      <c r="I898" t="s">
        <v>1223</v>
      </c>
      <c r="J898">
        <v>0</v>
      </c>
      <c r="K898">
        <v>4.76</v>
      </c>
      <c r="L898">
        <v>0.4</v>
      </c>
      <c r="M898">
        <v>0.01</v>
      </c>
      <c r="N898">
        <v>20</v>
      </c>
      <c r="O898">
        <v>4.46</v>
      </c>
      <c r="P898">
        <v>29.63</v>
      </c>
      <c r="Q898" s="18">
        <f>YEAR(A898)</f>
        <v>2025</v>
      </c>
      <c r="R898" s="18">
        <f>MONTH(A898)</f>
        <v>2</v>
      </c>
      <c r="S898" s="18">
        <f>IF(R898&lt;4,Q898-1,Q898)</f>
        <v>2024</v>
      </c>
      <c r="T898" s="18">
        <f>IF(R898&lt;4,R898+9,R898-3)</f>
        <v>11</v>
      </c>
      <c r="U898" s="18">
        <f>IF(LEN(T898)=1,_xlfn.CONCAT(0,T898),T898)</f>
        <v>11</v>
      </c>
      <c r="V898" s="18" t="str">
        <f>_xlfn.CONCAT(S898,U898)</f>
        <v>202411</v>
      </c>
      <c r="W898" s="18" t="str">
        <f>_xlfn.CONCAT(TEXT(A898,"MMM"),"-",MID(Q898,3,2))</f>
        <v>Feb-25</v>
      </c>
      <c r="X898" s="19">
        <f>IFERROR(IF(D898="Sell",(H898-P898),-(H898+P898)),0)</f>
        <v>-13432.13</v>
      </c>
      <c r="Y898" s="19">
        <f>X898/1000</f>
        <v>-13.432129999999999</v>
      </c>
    </row>
    <row r="899" spans="1:25" x14ac:dyDescent="0.25">
      <c r="A899" s="1">
        <v>45705</v>
      </c>
      <c r="B899" t="s">
        <v>1224</v>
      </c>
      <c r="C899" t="s">
        <v>17</v>
      </c>
      <c r="D899" t="s">
        <v>18</v>
      </c>
      <c r="E899">
        <v>150</v>
      </c>
      <c r="F899">
        <v>0</v>
      </c>
      <c r="G899">
        <v>148.1</v>
      </c>
      <c r="H899">
        <v>22215</v>
      </c>
      <c r="I899" t="s">
        <v>1225</v>
      </c>
      <c r="J899">
        <v>22.56</v>
      </c>
      <c r="K899">
        <v>7.89</v>
      </c>
      <c r="L899">
        <v>0</v>
      </c>
      <c r="M899">
        <v>0.02</v>
      </c>
      <c r="N899">
        <v>40</v>
      </c>
      <c r="O899">
        <v>8.6199999999999992</v>
      </c>
      <c r="P899">
        <v>79.09</v>
      </c>
      <c r="Q899" s="18">
        <f>YEAR(A899)</f>
        <v>2025</v>
      </c>
      <c r="R899" s="18">
        <f>MONTH(A899)</f>
        <v>2</v>
      </c>
      <c r="S899" s="18">
        <f>IF(R899&lt;4,Q899-1,Q899)</f>
        <v>2024</v>
      </c>
      <c r="T899" s="18">
        <f>IF(R899&lt;4,R899+9,R899-3)</f>
        <v>11</v>
      </c>
      <c r="U899" s="18">
        <f>IF(LEN(T899)=1,_xlfn.CONCAT(0,T899),T899)</f>
        <v>11</v>
      </c>
      <c r="V899" s="18" t="str">
        <f>_xlfn.CONCAT(S899,U899)</f>
        <v>202411</v>
      </c>
      <c r="W899" s="18" t="str">
        <f>_xlfn.CONCAT(TEXT(A899,"MMM"),"-",MID(Q899,3,2))</f>
        <v>Feb-25</v>
      </c>
      <c r="X899" s="19">
        <f>IFERROR(IF(D899="Sell",(H899-P899),-(H899+P899)),0)</f>
        <v>22135.91</v>
      </c>
      <c r="Y899" s="19">
        <f>X899/1000</f>
        <v>22.135909999999999</v>
      </c>
    </row>
    <row r="900" spans="1:25" x14ac:dyDescent="0.25">
      <c r="A900" s="1">
        <v>45705</v>
      </c>
      <c r="B900" t="s">
        <v>1224</v>
      </c>
      <c r="C900" t="s">
        <v>17</v>
      </c>
      <c r="D900" t="s">
        <v>22</v>
      </c>
      <c r="E900">
        <v>150</v>
      </c>
      <c r="F900">
        <v>0</v>
      </c>
      <c r="G900">
        <v>128</v>
      </c>
      <c r="H900">
        <v>19200</v>
      </c>
      <c r="I900" t="s">
        <v>1226</v>
      </c>
      <c r="J900">
        <v>0</v>
      </c>
      <c r="K900">
        <v>6.82</v>
      </c>
      <c r="L900">
        <v>1.1299999999999999</v>
      </c>
      <c r="M900">
        <v>0.02</v>
      </c>
      <c r="N900">
        <v>40</v>
      </c>
      <c r="O900">
        <v>8.44</v>
      </c>
      <c r="P900">
        <v>56.41</v>
      </c>
      <c r="Q900" s="18">
        <f>YEAR(A900)</f>
        <v>2025</v>
      </c>
      <c r="R900" s="18">
        <f>MONTH(A900)</f>
        <v>2</v>
      </c>
      <c r="S900" s="18">
        <f>IF(R900&lt;4,Q900-1,Q900)</f>
        <v>2024</v>
      </c>
      <c r="T900" s="18">
        <f>IF(R900&lt;4,R900+9,R900-3)</f>
        <v>11</v>
      </c>
      <c r="U900" s="18">
        <f>IF(LEN(T900)=1,_xlfn.CONCAT(0,T900),T900)</f>
        <v>11</v>
      </c>
      <c r="V900" s="18" t="str">
        <f>_xlfn.CONCAT(S900,U900)</f>
        <v>202411</v>
      </c>
      <c r="W900" s="18" t="str">
        <f>_xlfn.CONCAT(TEXT(A900,"MMM"),"-",MID(Q900,3,2))</f>
        <v>Feb-25</v>
      </c>
      <c r="X900" s="19">
        <f>IFERROR(IF(D900="Sell",(H900-P900),-(H900+P900)),0)</f>
        <v>-19256.41</v>
      </c>
      <c r="Y900" s="19">
        <f>X900/1000</f>
        <v>-19.256409999999999</v>
      </c>
    </row>
    <row r="901" spans="1:25" x14ac:dyDescent="0.25">
      <c r="A901" s="1">
        <v>45705</v>
      </c>
      <c r="B901" t="s">
        <v>1224</v>
      </c>
      <c r="C901" t="s">
        <v>17</v>
      </c>
      <c r="D901" t="s">
        <v>18</v>
      </c>
      <c r="E901">
        <v>150</v>
      </c>
      <c r="F901">
        <v>0</v>
      </c>
      <c r="G901">
        <v>135.75</v>
      </c>
      <c r="H901">
        <v>20362.5</v>
      </c>
      <c r="I901" t="s">
        <v>1227</v>
      </c>
      <c r="J901">
        <v>20.36</v>
      </c>
      <c r="K901">
        <v>7.24</v>
      </c>
      <c r="L901">
        <v>0</v>
      </c>
      <c r="M901">
        <v>0.02</v>
      </c>
      <c r="N901">
        <v>40</v>
      </c>
      <c r="O901">
        <v>8.52</v>
      </c>
      <c r="P901">
        <v>76.14</v>
      </c>
      <c r="Q901" s="18">
        <f>YEAR(A901)</f>
        <v>2025</v>
      </c>
      <c r="R901" s="18">
        <f>MONTH(A901)</f>
        <v>2</v>
      </c>
      <c r="S901" s="18">
        <f>IF(R901&lt;4,Q901-1,Q901)</f>
        <v>2024</v>
      </c>
      <c r="T901" s="18">
        <f>IF(R901&lt;4,R901+9,R901-3)</f>
        <v>11</v>
      </c>
      <c r="U901" s="18">
        <f>IF(LEN(T901)=1,_xlfn.CONCAT(0,T901),T901)</f>
        <v>11</v>
      </c>
      <c r="V901" s="18" t="str">
        <f>_xlfn.CONCAT(S901,U901)</f>
        <v>202411</v>
      </c>
      <c r="W901" s="18" t="str">
        <f>_xlfn.CONCAT(TEXT(A901,"MMM"),"-",MID(Q901,3,2))</f>
        <v>Feb-25</v>
      </c>
      <c r="X901" s="19">
        <f>IFERROR(IF(D901="Sell",(H901-P901),-(H901+P901)),0)</f>
        <v>20286.36</v>
      </c>
      <c r="Y901" s="19">
        <f>X901/1000</f>
        <v>20.286360000000002</v>
      </c>
    </row>
    <row r="902" spans="1:25" x14ac:dyDescent="0.25">
      <c r="A902" s="1">
        <v>45705</v>
      </c>
      <c r="B902" t="s">
        <v>1224</v>
      </c>
      <c r="C902" t="s">
        <v>17</v>
      </c>
      <c r="D902" t="s">
        <v>22</v>
      </c>
      <c r="E902">
        <v>150</v>
      </c>
      <c r="F902">
        <v>0</v>
      </c>
      <c r="G902">
        <v>122.65</v>
      </c>
      <c r="H902">
        <v>18397.5</v>
      </c>
      <c r="I902" t="s">
        <v>1228</v>
      </c>
      <c r="J902">
        <v>0</v>
      </c>
      <c r="K902">
        <v>6.54</v>
      </c>
      <c r="L902">
        <v>0</v>
      </c>
      <c r="M902">
        <v>0.02</v>
      </c>
      <c r="N902">
        <v>40</v>
      </c>
      <c r="O902">
        <v>8.3800000000000008</v>
      </c>
      <c r="P902">
        <v>54.94</v>
      </c>
      <c r="Q902" s="18">
        <f>YEAR(A902)</f>
        <v>2025</v>
      </c>
      <c r="R902" s="18">
        <f>MONTH(A902)</f>
        <v>2</v>
      </c>
      <c r="S902" s="18">
        <f>IF(R902&lt;4,Q902-1,Q902)</f>
        <v>2024</v>
      </c>
      <c r="T902" s="18">
        <f>IF(R902&lt;4,R902+9,R902-3)</f>
        <v>11</v>
      </c>
      <c r="U902" s="18">
        <f>IF(LEN(T902)=1,_xlfn.CONCAT(0,T902),T902)</f>
        <v>11</v>
      </c>
      <c r="V902" s="18" t="str">
        <f>_xlfn.CONCAT(S902,U902)</f>
        <v>202411</v>
      </c>
      <c r="W902" s="18" t="str">
        <f>_xlfn.CONCAT(TEXT(A902,"MMM"),"-",MID(Q902,3,2))</f>
        <v>Feb-25</v>
      </c>
      <c r="X902" s="19">
        <f>IFERROR(IF(D902="Sell",(H902-P902),-(H902+P902)),0)</f>
        <v>-18452.439999999999</v>
      </c>
      <c r="Y902" s="19">
        <f>X902/1000</f>
        <v>-18.452439999999999</v>
      </c>
    </row>
    <row r="903" spans="1:25" x14ac:dyDescent="0.25">
      <c r="A903" s="1">
        <v>45705</v>
      </c>
      <c r="B903" t="s">
        <v>1229</v>
      </c>
      <c r="C903" t="s">
        <v>17</v>
      </c>
      <c r="D903" t="s">
        <v>18</v>
      </c>
      <c r="E903">
        <v>75</v>
      </c>
      <c r="F903">
        <v>0</v>
      </c>
      <c r="G903">
        <v>175</v>
      </c>
      <c r="H903">
        <v>13125</v>
      </c>
      <c r="I903" t="s">
        <v>1230</v>
      </c>
      <c r="J903">
        <v>13.13</v>
      </c>
      <c r="K903">
        <v>4.66</v>
      </c>
      <c r="L903">
        <v>0</v>
      </c>
      <c r="M903">
        <v>0.01</v>
      </c>
      <c r="N903">
        <v>20</v>
      </c>
      <c r="O903">
        <v>4.4400000000000004</v>
      </c>
      <c r="P903">
        <v>42.24</v>
      </c>
      <c r="Q903" s="18">
        <f>YEAR(A903)</f>
        <v>2025</v>
      </c>
      <c r="R903" s="18">
        <f>MONTH(A903)</f>
        <v>2</v>
      </c>
      <c r="S903" s="18">
        <f>IF(R903&lt;4,Q903-1,Q903)</f>
        <v>2024</v>
      </c>
      <c r="T903" s="18">
        <f>IF(R903&lt;4,R903+9,R903-3)</f>
        <v>11</v>
      </c>
      <c r="U903" s="18">
        <f>IF(LEN(T903)=1,_xlfn.CONCAT(0,T903),T903)</f>
        <v>11</v>
      </c>
      <c r="V903" s="18" t="str">
        <f>_xlfn.CONCAT(S903,U903)</f>
        <v>202411</v>
      </c>
      <c r="W903" s="18" t="str">
        <f>_xlfn.CONCAT(TEXT(A903,"MMM"),"-",MID(Q903,3,2))</f>
        <v>Feb-25</v>
      </c>
      <c r="X903" s="19">
        <f>IFERROR(IF(D903="Sell",(H903-P903),-(H903+P903)),0)</f>
        <v>13082.76</v>
      </c>
      <c r="Y903" s="19">
        <f>X903/1000</f>
        <v>13.08276</v>
      </c>
    </row>
    <row r="904" spans="1:25" x14ac:dyDescent="0.25">
      <c r="A904" s="1">
        <v>45705</v>
      </c>
      <c r="B904" t="s">
        <v>1229</v>
      </c>
      <c r="C904" t="s">
        <v>17</v>
      </c>
      <c r="D904" t="s">
        <v>22</v>
      </c>
      <c r="E904">
        <v>75</v>
      </c>
      <c r="F904">
        <v>0</v>
      </c>
      <c r="G904">
        <v>173.95</v>
      </c>
      <c r="H904">
        <v>13046.25</v>
      </c>
      <c r="I904" t="s">
        <v>1231</v>
      </c>
      <c r="J904">
        <v>0</v>
      </c>
      <c r="K904">
        <v>4.6399999999999997</v>
      </c>
      <c r="L904">
        <v>0.39</v>
      </c>
      <c r="M904">
        <v>0.01</v>
      </c>
      <c r="N904">
        <v>20</v>
      </c>
      <c r="O904">
        <v>4.4400000000000004</v>
      </c>
      <c r="P904">
        <v>29.48</v>
      </c>
      <c r="Q904" s="18">
        <f>YEAR(A904)</f>
        <v>2025</v>
      </c>
      <c r="R904" s="18">
        <f>MONTH(A904)</f>
        <v>2</v>
      </c>
      <c r="S904" s="18">
        <f>IF(R904&lt;4,Q904-1,Q904)</f>
        <v>2024</v>
      </c>
      <c r="T904" s="18">
        <f>IF(R904&lt;4,R904+9,R904-3)</f>
        <v>11</v>
      </c>
      <c r="U904" s="18">
        <f>IF(LEN(T904)=1,_xlfn.CONCAT(0,T904),T904)</f>
        <v>11</v>
      </c>
      <c r="V904" s="18" t="str">
        <f>_xlfn.CONCAT(S904,U904)</f>
        <v>202411</v>
      </c>
      <c r="W904" s="18" t="str">
        <f>_xlfn.CONCAT(TEXT(A904,"MMM"),"-",MID(Q904,3,2))</f>
        <v>Feb-25</v>
      </c>
      <c r="X904" s="19">
        <f>IFERROR(IF(D904="Sell",(H904-P904),-(H904+P904)),0)</f>
        <v>-13075.73</v>
      </c>
      <c r="Y904" s="19">
        <f>X904/1000</f>
        <v>-13.07573</v>
      </c>
    </row>
    <row r="905" spans="1:25" x14ac:dyDescent="0.25">
      <c r="A905" s="1">
        <v>45706</v>
      </c>
      <c r="B905" t="s">
        <v>1232</v>
      </c>
      <c r="C905" t="s">
        <v>17</v>
      </c>
      <c r="D905" t="s">
        <v>18</v>
      </c>
      <c r="E905">
        <v>225</v>
      </c>
      <c r="F905">
        <v>0</v>
      </c>
      <c r="G905">
        <v>121.35</v>
      </c>
      <c r="H905">
        <v>27303.75</v>
      </c>
      <c r="I905" t="s">
        <v>1233</v>
      </c>
      <c r="J905">
        <v>27.3</v>
      </c>
      <c r="K905">
        <v>9.6999999999999993</v>
      </c>
      <c r="L905">
        <v>0</v>
      </c>
      <c r="M905">
        <v>0.03</v>
      </c>
      <c r="N905">
        <v>60</v>
      </c>
      <c r="O905">
        <v>12.54</v>
      </c>
      <c r="P905">
        <v>109.57</v>
      </c>
      <c r="Q905" s="18">
        <f>YEAR(A905)</f>
        <v>2025</v>
      </c>
      <c r="R905" s="18">
        <f>MONTH(A905)</f>
        <v>2</v>
      </c>
      <c r="S905" s="18">
        <f>IF(R905&lt;4,Q905-1,Q905)</f>
        <v>2024</v>
      </c>
      <c r="T905" s="18">
        <f>IF(R905&lt;4,R905+9,R905-3)</f>
        <v>11</v>
      </c>
      <c r="U905" s="18">
        <f>IF(LEN(T905)=1,_xlfn.CONCAT(0,T905),T905)</f>
        <v>11</v>
      </c>
      <c r="V905" s="18" t="str">
        <f>_xlfn.CONCAT(S905,U905)</f>
        <v>202411</v>
      </c>
      <c r="W905" s="18" t="str">
        <f>_xlfn.CONCAT(TEXT(A905,"MMM"),"-",MID(Q905,3,2))</f>
        <v>Feb-25</v>
      </c>
      <c r="X905" s="19">
        <f>IFERROR(IF(D905="Sell",(H905-P905),-(H905+P905)),0)</f>
        <v>27194.18</v>
      </c>
      <c r="Y905" s="19">
        <f>X905/1000</f>
        <v>27.194179999999999</v>
      </c>
    </row>
    <row r="906" spans="1:25" x14ac:dyDescent="0.25">
      <c r="A906" s="1">
        <v>45706</v>
      </c>
      <c r="B906" t="s">
        <v>1232</v>
      </c>
      <c r="C906" t="s">
        <v>17</v>
      </c>
      <c r="D906" t="s">
        <v>22</v>
      </c>
      <c r="E906">
        <v>75</v>
      </c>
      <c r="F906">
        <v>0</v>
      </c>
      <c r="G906">
        <v>115</v>
      </c>
      <c r="H906">
        <v>8625</v>
      </c>
      <c r="I906" t="s">
        <v>1234</v>
      </c>
      <c r="J906">
        <v>0</v>
      </c>
      <c r="K906">
        <v>3.06</v>
      </c>
      <c r="L906">
        <v>0</v>
      </c>
      <c r="M906">
        <v>0.01</v>
      </c>
      <c r="N906">
        <v>20</v>
      </c>
      <c r="O906">
        <v>4.16</v>
      </c>
      <c r="P906">
        <v>27.23</v>
      </c>
      <c r="Q906" s="18">
        <f>YEAR(A906)</f>
        <v>2025</v>
      </c>
      <c r="R906" s="18">
        <f>MONTH(A906)</f>
        <v>2</v>
      </c>
      <c r="S906" s="18">
        <f>IF(R906&lt;4,Q906-1,Q906)</f>
        <v>2024</v>
      </c>
      <c r="T906" s="18">
        <f>IF(R906&lt;4,R906+9,R906-3)</f>
        <v>11</v>
      </c>
      <c r="U906" s="18">
        <f>IF(LEN(T906)=1,_xlfn.CONCAT(0,T906),T906)</f>
        <v>11</v>
      </c>
      <c r="V906" s="18" t="str">
        <f>_xlfn.CONCAT(S906,U906)</f>
        <v>202411</v>
      </c>
      <c r="W906" s="18" t="str">
        <f>_xlfn.CONCAT(TEXT(A906,"MMM"),"-",MID(Q906,3,2))</f>
        <v>Feb-25</v>
      </c>
      <c r="X906" s="19">
        <f>IFERROR(IF(D906="Sell",(H906-P906),-(H906+P906)),0)</f>
        <v>-8652.23</v>
      </c>
      <c r="Y906" s="19">
        <f>X906/1000</f>
        <v>-8.6522299999999994</v>
      </c>
    </row>
    <row r="907" spans="1:25" x14ac:dyDescent="0.25">
      <c r="A907" s="1">
        <v>45706</v>
      </c>
      <c r="B907" t="s">
        <v>1232</v>
      </c>
      <c r="C907" t="s">
        <v>17</v>
      </c>
      <c r="D907" t="s">
        <v>22</v>
      </c>
      <c r="E907">
        <v>75</v>
      </c>
      <c r="F907">
        <v>0</v>
      </c>
      <c r="G907">
        <v>119.25</v>
      </c>
      <c r="H907">
        <v>8943.75</v>
      </c>
      <c r="I907" t="s">
        <v>1235</v>
      </c>
      <c r="J907">
        <v>0</v>
      </c>
      <c r="K907">
        <v>3.18</v>
      </c>
      <c r="L907">
        <v>0</v>
      </c>
      <c r="M907">
        <v>0.01</v>
      </c>
      <c r="N907">
        <v>20</v>
      </c>
      <c r="O907">
        <v>4.18</v>
      </c>
      <c r="P907">
        <v>27.37</v>
      </c>
      <c r="Q907" s="18">
        <f>YEAR(A907)</f>
        <v>2025</v>
      </c>
      <c r="R907" s="18">
        <f>MONTH(A907)</f>
        <v>2</v>
      </c>
      <c r="S907" s="18">
        <f>IF(R907&lt;4,Q907-1,Q907)</f>
        <v>2024</v>
      </c>
      <c r="T907" s="18">
        <f>IF(R907&lt;4,R907+9,R907-3)</f>
        <v>11</v>
      </c>
      <c r="U907" s="18">
        <f>IF(LEN(T907)=1,_xlfn.CONCAT(0,T907),T907)</f>
        <v>11</v>
      </c>
      <c r="V907" s="18" t="str">
        <f>_xlfn.CONCAT(S907,U907)</f>
        <v>202411</v>
      </c>
      <c r="W907" s="18" t="str">
        <f>_xlfn.CONCAT(TEXT(A907,"MMM"),"-",MID(Q907,3,2))</f>
        <v>Feb-25</v>
      </c>
      <c r="X907" s="19">
        <f>IFERROR(IF(D907="Sell",(H907-P907),-(H907+P907)),0)</f>
        <v>-8971.1200000000008</v>
      </c>
      <c r="Y907" s="19">
        <f>X907/1000</f>
        <v>-8.9711200000000009</v>
      </c>
    </row>
    <row r="908" spans="1:25" x14ac:dyDescent="0.25">
      <c r="A908" s="1">
        <v>45706</v>
      </c>
      <c r="B908" t="s">
        <v>1232</v>
      </c>
      <c r="C908" t="s">
        <v>17</v>
      </c>
      <c r="D908" t="s">
        <v>22</v>
      </c>
      <c r="E908">
        <v>75</v>
      </c>
      <c r="F908">
        <v>0</v>
      </c>
      <c r="G908">
        <v>120</v>
      </c>
      <c r="H908">
        <v>9000</v>
      </c>
      <c r="I908" t="s">
        <v>1236</v>
      </c>
      <c r="J908">
        <v>0</v>
      </c>
      <c r="K908">
        <v>3.2</v>
      </c>
      <c r="L908">
        <v>0</v>
      </c>
      <c r="M908">
        <v>0.01</v>
      </c>
      <c r="N908">
        <v>20</v>
      </c>
      <c r="O908">
        <v>4.18</v>
      </c>
      <c r="P908">
        <v>27.39</v>
      </c>
      <c r="Q908" s="18">
        <f>YEAR(A908)</f>
        <v>2025</v>
      </c>
      <c r="R908" s="18">
        <f>MONTH(A908)</f>
        <v>2</v>
      </c>
      <c r="S908" s="18">
        <f>IF(R908&lt;4,Q908-1,Q908)</f>
        <v>2024</v>
      </c>
      <c r="T908" s="18">
        <f>IF(R908&lt;4,R908+9,R908-3)</f>
        <v>11</v>
      </c>
      <c r="U908" s="18">
        <f>IF(LEN(T908)=1,_xlfn.CONCAT(0,T908),T908)</f>
        <v>11</v>
      </c>
      <c r="V908" s="18" t="str">
        <f>_xlfn.CONCAT(S908,U908)</f>
        <v>202411</v>
      </c>
      <c r="W908" s="18" t="str">
        <f>_xlfn.CONCAT(TEXT(A908,"MMM"),"-",MID(Q908,3,2))</f>
        <v>Feb-25</v>
      </c>
      <c r="X908" s="19">
        <f>IFERROR(IF(D908="Sell",(H908-P908),-(H908+P908)),0)</f>
        <v>-9027.39</v>
      </c>
      <c r="Y908" s="19">
        <f>X908/1000</f>
        <v>-9.0273899999999987</v>
      </c>
    </row>
    <row r="909" spans="1:25" x14ac:dyDescent="0.25">
      <c r="A909" s="1">
        <v>45706</v>
      </c>
      <c r="B909" t="s">
        <v>1224</v>
      </c>
      <c r="C909" t="s">
        <v>17</v>
      </c>
      <c r="D909" t="s">
        <v>18</v>
      </c>
      <c r="E909">
        <v>150</v>
      </c>
      <c r="F909">
        <v>0</v>
      </c>
      <c r="G909">
        <v>129.1</v>
      </c>
      <c r="H909">
        <v>19365</v>
      </c>
      <c r="I909" t="s">
        <v>1237</v>
      </c>
      <c r="J909">
        <v>19.36</v>
      </c>
      <c r="K909">
        <v>6.88</v>
      </c>
      <c r="L909">
        <v>0</v>
      </c>
      <c r="M909">
        <v>0.02</v>
      </c>
      <c r="N909">
        <v>40</v>
      </c>
      <c r="O909">
        <v>8.44</v>
      </c>
      <c r="P909">
        <v>74.7</v>
      </c>
      <c r="Q909" s="18">
        <f>YEAR(A909)</f>
        <v>2025</v>
      </c>
      <c r="R909" s="18">
        <f>MONTH(A909)</f>
        <v>2</v>
      </c>
      <c r="S909" s="18">
        <f>IF(R909&lt;4,Q909-1,Q909)</f>
        <v>2024</v>
      </c>
      <c r="T909" s="18">
        <f>IF(R909&lt;4,R909+9,R909-3)</f>
        <v>11</v>
      </c>
      <c r="U909" s="18">
        <f>IF(LEN(T909)=1,_xlfn.CONCAT(0,T909),T909)</f>
        <v>11</v>
      </c>
      <c r="V909" s="18" t="str">
        <f>_xlfn.CONCAT(S909,U909)</f>
        <v>202411</v>
      </c>
      <c r="W909" s="18" t="str">
        <f>_xlfn.CONCAT(TEXT(A909,"MMM"),"-",MID(Q909,3,2))</f>
        <v>Feb-25</v>
      </c>
      <c r="X909" s="19">
        <f>IFERROR(IF(D909="Sell",(H909-P909),-(H909+P909)),0)</f>
        <v>19290.3</v>
      </c>
      <c r="Y909" s="19">
        <f>X909/1000</f>
        <v>19.290299999999998</v>
      </c>
    </row>
    <row r="910" spans="1:25" x14ac:dyDescent="0.25">
      <c r="A910" s="1">
        <v>45706</v>
      </c>
      <c r="B910" t="s">
        <v>1224</v>
      </c>
      <c r="C910" t="s">
        <v>17</v>
      </c>
      <c r="D910" t="s">
        <v>22</v>
      </c>
      <c r="E910">
        <v>75</v>
      </c>
      <c r="F910">
        <v>0</v>
      </c>
      <c r="G910">
        <v>133</v>
      </c>
      <c r="H910">
        <v>9975</v>
      </c>
      <c r="I910" t="s">
        <v>1238</v>
      </c>
      <c r="J910">
        <v>0</v>
      </c>
      <c r="K910">
        <v>3.54</v>
      </c>
      <c r="L910">
        <v>0.59</v>
      </c>
      <c r="M910">
        <v>0.01</v>
      </c>
      <c r="N910">
        <v>20</v>
      </c>
      <c r="O910">
        <v>4.24</v>
      </c>
      <c r="P910">
        <v>28.38</v>
      </c>
      <c r="Q910" s="18">
        <f>YEAR(A910)</f>
        <v>2025</v>
      </c>
      <c r="R910" s="18">
        <f>MONTH(A910)</f>
        <v>2</v>
      </c>
      <c r="S910" s="18">
        <f>IF(R910&lt;4,Q910-1,Q910)</f>
        <v>2024</v>
      </c>
      <c r="T910" s="18">
        <f>IF(R910&lt;4,R910+9,R910-3)</f>
        <v>11</v>
      </c>
      <c r="U910" s="18">
        <f>IF(LEN(T910)=1,_xlfn.CONCAT(0,T910),T910)</f>
        <v>11</v>
      </c>
      <c r="V910" s="18" t="str">
        <f>_xlfn.CONCAT(S910,U910)</f>
        <v>202411</v>
      </c>
      <c r="W910" s="18" t="str">
        <f>_xlfn.CONCAT(TEXT(A910,"MMM"),"-",MID(Q910,3,2))</f>
        <v>Feb-25</v>
      </c>
      <c r="X910" s="19">
        <f>IFERROR(IF(D910="Sell",(H910-P910),-(H910+P910)),0)</f>
        <v>-10003.379999999999</v>
      </c>
      <c r="Y910" s="19">
        <f>X910/1000</f>
        <v>-10.00338</v>
      </c>
    </row>
    <row r="911" spans="1:25" x14ac:dyDescent="0.25">
      <c r="A911" s="1">
        <v>45706</v>
      </c>
      <c r="B911" t="s">
        <v>1224</v>
      </c>
      <c r="C911" t="s">
        <v>17</v>
      </c>
      <c r="D911" t="s">
        <v>22</v>
      </c>
      <c r="E911">
        <v>75</v>
      </c>
      <c r="F911">
        <v>0</v>
      </c>
      <c r="G911">
        <v>131</v>
      </c>
      <c r="H911">
        <v>9825</v>
      </c>
      <c r="I911" t="s">
        <v>1239</v>
      </c>
      <c r="J911">
        <v>0</v>
      </c>
      <c r="K911">
        <v>3.49</v>
      </c>
      <c r="L911">
        <v>0</v>
      </c>
      <c r="M911">
        <v>0.01</v>
      </c>
      <c r="N911">
        <v>20</v>
      </c>
      <c r="O911">
        <v>4.24</v>
      </c>
      <c r="P911">
        <v>27.74</v>
      </c>
      <c r="Q911" s="18">
        <f>YEAR(A911)</f>
        <v>2025</v>
      </c>
      <c r="R911" s="18">
        <f>MONTH(A911)</f>
        <v>2</v>
      </c>
      <c r="S911" s="18">
        <f>IF(R911&lt;4,Q911-1,Q911)</f>
        <v>2024</v>
      </c>
      <c r="T911" s="18">
        <f>IF(R911&lt;4,R911+9,R911-3)</f>
        <v>11</v>
      </c>
      <c r="U911" s="18">
        <f>IF(LEN(T911)=1,_xlfn.CONCAT(0,T911),T911)</f>
        <v>11</v>
      </c>
      <c r="V911" s="18" t="str">
        <f>_xlfn.CONCAT(S911,U911)</f>
        <v>202411</v>
      </c>
      <c r="W911" s="18" t="str">
        <f>_xlfn.CONCAT(TEXT(A911,"MMM"),"-",MID(Q911,3,2))</f>
        <v>Feb-25</v>
      </c>
      <c r="X911" s="19">
        <f>IFERROR(IF(D911="Sell",(H911-P911),-(H911+P911)),0)</f>
        <v>-9852.74</v>
      </c>
      <c r="Y911" s="19">
        <f>X911/1000</f>
        <v>-9.8527399999999989</v>
      </c>
    </row>
    <row r="912" spans="1:25" x14ac:dyDescent="0.25">
      <c r="A912" s="1">
        <v>45706</v>
      </c>
      <c r="B912" t="s">
        <v>1240</v>
      </c>
      <c r="C912" t="s">
        <v>17</v>
      </c>
      <c r="D912" t="s">
        <v>18</v>
      </c>
      <c r="E912">
        <v>150</v>
      </c>
      <c r="F912">
        <v>0</v>
      </c>
      <c r="G912">
        <v>159.25</v>
      </c>
      <c r="H912">
        <v>23887.5</v>
      </c>
      <c r="I912" t="s">
        <v>1241</v>
      </c>
      <c r="J912">
        <v>23.89</v>
      </c>
      <c r="K912">
        <v>8.49</v>
      </c>
      <c r="L912">
        <v>0</v>
      </c>
      <c r="M912">
        <v>0.02</v>
      </c>
      <c r="N912">
        <v>40</v>
      </c>
      <c r="O912">
        <v>8.74</v>
      </c>
      <c r="P912">
        <v>81.14</v>
      </c>
      <c r="Q912" s="18">
        <f>YEAR(A912)</f>
        <v>2025</v>
      </c>
      <c r="R912" s="18">
        <f>MONTH(A912)</f>
        <v>2</v>
      </c>
      <c r="S912" s="18">
        <f>IF(R912&lt;4,Q912-1,Q912)</f>
        <v>2024</v>
      </c>
      <c r="T912" s="18">
        <f>IF(R912&lt;4,R912+9,R912-3)</f>
        <v>11</v>
      </c>
      <c r="U912" s="18">
        <f>IF(LEN(T912)=1,_xlfn.CONCAT(0,T912),T912)</f>
        <v>11</v>
      </c>
      <c r="V912" s="18" t="str">
        <f>_xlfn.CONCAT(S912,U912)</f>
        <v>202411</v>
      </c>
      <c r="W912" s="18" t="str">
        <f>_xlfn.CONCAT(TEXT(A912,"MMM"),"-",MID(Q912,3,2))</f>
        <v>Feb-25</v>
      </c>
      <c r="X912" s="19">
        <f>IFERROR(IF(D912="Sell",(H912-P912),-(H912+P912)),0)</f>
        <v>23806.36</v>
      </c>
      <c r="Y912" s="19">
        <f>X912/1000</f>
        <v>23.806360000000002</v>
      </c>
    </row>
    <row r="913" spans="1:25" x14ac:dyDescent="0.25">
      <c r="A913" s="1">
        <v>45706</v>
      </c>
      <c r="B913" t="s">
        <v>1240</v>
      </c>
      <c r="C913" t="s">
        <v>17</v>
      </c>
      <c r="D913" t="s">
        <v>22</v>
      </c>
      <c r="E913">
        <v>75</v>
      </c>
      <c r="F913">
        <v>0</v>
      </c>
      <c r="G913">
        <v>142.19999999999999</v>
      </c>
      <c r="H913">
        <v>10665</v>
      </c>
      <c r="I913" t="s">
        <v>1242</v>
      </c>
      <c r="J913">
        <v>0</v>
      </c>
      <c r="K913">
        <v>3.79</v>
      </c>
      <c r="L913">
        <v>0.65</v>
      </c>
      <c r="M913">
        <v>0.01</v>
      </c>
      <c r="N913">
        <v>20</v>
      </c>
      <c r="O913">
        <v>4.28</v>
      </c>
      <c r="P913">
        <v>28.73</v>
      </c>
      <c r="Q913" s="18">
        <f>YEAR(A913)</f>
        <v>2025</v>
      </c>
      <c r="R913" s="18">
        <f>MONTH(A913)</f>
        <v>2</v>
      </c>
      <c r="S913" s="18">
        <f>IF(R913&lt;4,Q913-1,Q913)</f>
        <v>2024</v>
      </c>
      <c r="T913" s="18">
        <f>IF(R913&lt;4,R913+9,R913-3)</f>
        <v>11</v>
      </c>
      <c r="U913" s="18">
        <f>IF(LEN(T913)=1,_xlfn.CONCAT(0,T913),T913)</f>
        <v>11</v>
      </c>
      <c r="V913" s="18" t="str">
        <f>_xlfn.CONCAT(S913,U913)</f>
        <v>202411</v>
      </c>
      <c r="W913" s="18" t="str">
        <f>_xlfn.CONCAT(TEXT(A913,"MMM"),"-",MID(Q913,3,2))</f>
        <v>Feb-25</v>
      </c>
      <c r="X913" s="19">
        <f>IFERROR(IF(D913="Sell",(H913-P913),-(H913+P913)),0)</f>
        <v>-10693.73</v>
      </c>
      <c r="Y913" s="19">
        <f>X913/1000</f>
        <v>-10.69373</v>
      </c>
    </row>
    <row r="914" spans="1:25" x14ac:dyDescent="0.25">
      <c r="A914" s="1">
        <v>45706</v>
      </c>
      <c r="B914" t="s">
        <v>1240</v>
      </c>
      <c r="C914" t="s">
        <v>17</v>
      </c>
      <c r="D914" t="s">
        <v>22</v>
      </c>
      <c r="E914">
        <v>75</v>
      </c>
      <c r="F914">
        <v>0</v>
      </c>
      <c r="G914">
        <v>145.55000000000001</v>
      </c>
      <c r="H914">
        <v>10916.25</v>
      </c>
      <c r="I914" t="s">
        <v>1243</v>
      </c>
      <c r="J914">
        <v>0</v>
      </c>
      <c r="K914">
        <v>3.88</v>
      </c>
      <c r="L914">
        <v>0</v>
      </c>
      <c r="M914">
        <v>0.01</v>
      </c>
      <c r="N914">
        <v>20</v>
      </c>
      <c r="O914">
        <v>4.3</v>
      </c>
      <c r="P914">
        <v>28.19</v>
      </c>
      <c r="Q914" s="18">
        <f>YEAR(A914)</f>
        <v>2025</v>
      </c>
      <c r="R914" s="18">
        <f>MONTH(A914)</f>
        <v>2</v>
      </c>
      <c r="S914" s="18">
        <f>IF(R914&lt;4,Q914-1,Q914)</f>
        <v>2024</v>
      </c>
      <c r="T914" s="18">
        <f>IF(R914&lt;4,R914+9,R914-3)</f>
        <v>11</v>
      </c>
      <c r="U914" s="18">
        <f>IF(LEN(T914)=1,_xlfn.CONCAT(0,T914),T914)</f>
        <v>11</v>
      </c>
      <c r="V914" s="18" t="str">
        <f>_xlfn.CONCAT(S914,U914)</f>
        <v>202411</v>
      </c>
      <c r="W914" s="18" t="str">
        <f>_xlfn.CONCAT(TEXT(A914,"MMM"),"-",MID(Q914,3,2))</f>
        <v>Feb-25</v>
      </c>
      <c r="X914" s="19">
        <f>IFERROR(IF(D914="Sell",(H914-P914),-(H914+P914)),0)</f>
        <v>-10944.44</v>
      </c>
      <c r="Y914" s="19">
        <f>X914/1000</f>
        <v>-10.94444</v>
      </c>
    </row>
    <row r="915" spans="1:25" x14ac:dyDescent="0.25">
      <c r="A915" s="1">
        <v>45706</v>
      </c>
      <c r="B915" t="s">
        <v>1244</v>
      </c>
      <c r="C915" t="s">
        <v>17</v>
      </c>
      <c r="D915" t="s">
        <v>18</v>
      </c>
      <c r="E915">
        <v>150</v>
      </c>
      <c r="F915">
        <v>0</v>
      </c>
      <c r="G915">
        <v>174.25</v>
      </c>
      <c r="H915">
        <v>26137.5</v>
      </c>
      <c r="I915" t="s">
        <v>1245</v>
      </c>
      <c r="J915">
        <v>26.14</v>
      </c>
      <c r="K915">
        <v>9.2799999999999994</v>
      </c>
      <c r="L915">
        <v>0</v>
      </c>
      <c r="M915">
        <v>0.02</v>
      </c>
      <c r="N915">
        <v>40</v>
      </c>
      <c r="O915">
        <v>8.8800000000000008</v>
      </c>
      <c r="P915">
        <v>84.32</v>
      </c>
      <c r="Q915" s="18">
        <f>YEAR(A915)</f>
        <v>2025</v>
      </c>
      <c r="R915" s="18">
        <f>MONTH(A915)</f>
        <v>2</v>
      </c>
      <c r="S915" s="18">
        <f>IF(R915&lt;4,Q915-1,Q915)</f>
        <v>2024</v>
      </c>
      <c r="T915" s="18">
        <f>IF(R915&lt;4,R915+9,R915-3)</f>
        <v>11</v>
      </c>
      <c r="U915" s="18">
        <f>IF(LEN(T915)=1,_xlfn.CONCAT(0,T915),T915)</f>
        <v>11</v>
      </c>
      <c r="V915" s="18" t="str">
        <f>_xlfn.CONCAT(S915,U915)</f>
        <v>202411</v>
      </c>
      <c r="W915" s="18" t="str">
        <f>_xlfn.CONCAT(TEXT(A915,"MMM"),"-",MID(Q915,3,2))</f>
        <v>Feb-25</v>
      </c>
      <c r="X915" s="19">
        <f>IFERROR(IF(D915="Sell",(H915-P915),-(H915+P915)),0)</f>
        <v>26053.18</v>
      </c>
      <c r="Y915" s="19">
        <f>X915/1000</f>
        <v>26.053180000000001</v>
      </c>
    </row>
    <row r="916" spans="1:25" x14ac:dyDescent="0.25">
      <c r="A916" s="1">
        <v>45706</v>
      </c>
      <c r="B916" t="s">
        <v>1244</v>
      </c>
      <c r="C916" t="s">
        <v>17</v>
      </c>
      <c r="D916" t="s">
        <v>22</v>
      </c>
      <c r="E916">
        <v>150</v>
      </c>
      <c r="F916">
        <v>0</v>
      </c>
      <c r="G916">
        <v>154.25</v>
      </c>
      <c r="H916">
        <v>23137.5</v>
      </c>
      <c r="I916" t="s">
        <v>1246</v>
      </c>
      <c r="J916">
        <v>0</v>
      </c>
      <c r="K916">
        <v>8.2200000000000006</v>
      </c>
      <c r="L916">
        <v>0.69</v>
      </c>
      <c r="M916">
        <v>0.02</v>
      </c>
      <c r="N916">
        <v>40</v>
      </c>
      <c r="O916">
        <v>8.68</v>
      </c>
      <c r="P916">
        <v>57.61</v>
      </c>
      <c r="Q916" s="18">
        <f>YEAR(A916)</f>
        <v>2025</v>
      </c>
      <c r="R916" s="18">
        <f>MONTH(A916)</f>
        <v>2</v>
      </c>
      <c r="S916" s="18">
        <f>IF(R916&lt;4,Q916-1,Q916)</f>
        <v>2024</v>
      </c>
      <c r="T916" s="18">
        <f>IF(R916&lt;4,R916+9,R916-3)</f>
        <v>11</v>
      </c>
      <c r="U916" s="18">
        <f>IF(LEN(T916)=1,_xlfn.CONCAT(0,T916),T916)</f>
        <v>11</v>
      </c>
      <c r="V916" s="18" t="str">
        <f>_xlfn.CONCAT(S916,U916)</f>
        <v>202411</v>
      </c>
      <c r="W916" s="18" t="str">
        <f>_xlfn.CONCAT(TEXT(A916,"MMM"),"-",MID(Q916,3,2))</f>
        <v>Feb-25</v>
      </c>
      <c r="X916" s="19">
        <f>IFERROR(IF(D916="Sell",(H916-P916),-(H916+P916)),0)</f>
        <v>-23195.11</v>
      </c>
      <c r="Y916" s="19">
        <f>X916/1000</f>
        <v>-23.19511</v>
      </c>
    </row>
    <row r="917" spans="1:25" x14ac:dyDescent="0.25">
      <c r="A917" s="1">
        <v>45706</v>
      </c>
      <c r="B917" t="s">
        <v>1232</v>
      </c>
      <c r="C917" t="s">
        <v>17</v>
      </c>
      <c r="D917" t="s">
        <v>18</v>
      </c>
      <c r="E917">
        <v>150</v>
      </c>
      <c r="F917">
        <v>0</v>
      </c>
      <c r="G917">
        <v>137</v>
      </c>
      <c r="H917">
        <v>20550</v>
      </c>
      <c r="I917" t="s">
        <v>1247</v>
      </c>
      <c r="J917">
        <v>20.69</v>
      </c>
      <c r="K917">
        <v>7.3</v>
      </c>
      <c r="L917">
        <v>0</v>
      </c>
      <c r="M917">
        <v>0.02</v>
      </c>
      <c r="N917">
        <v>40</v>
      </c>
      <c r="O917">
        <v>8.52</v>
      </c>
      <c r="P917">
        <v>76.53</v>
      </c>
      <c r="Q917" s="18">
        <f>YEAR(A917)</f>
        <v>2025</v>
      </c>
      <c r="R917" s="18">
        <f>MONTH(A917)</f>
        <v>2</v>
      </c>
      <c r="S917" s="18">
        <f>IF(R917&lt;4,Q917-1,Q917)</f>
        <v>2024</v>
      </c>
      <c r="T917" s="18">
        <f>IF(R917&lt;4,R917+9,R917-3)</f>
        <v>11</v>
      </c>
      <c r="U917" s="18">
        <f>IF(LEN(T917)=1,_xlfn.CONCAT(0,T917),T917)</f>
        <v>11</v>
      </c>
      <c r="V917" s="18" t="str">
        <f>_xlfn.CONCAT(S917,U917)</f>
        <v>202411</v>
      </c>
      <c r="W917" s="18" t="str">
        <f>_xlfn.CONCAT(TEXT(A917,"MMM"),"-",MID(Q917,3,2))</f>
        <v>Feb-25</v>
      </c>
      <c r="X917" s="19">
        <f>IFERROR(IF(D917="Sell",(H917-P917),-(H917+P917)),0)</f>
        <v>20473.47</v>
      </c>
      <c r="Y917" s="19">
        <f>X917/1000</f>
        <v>20.473470000000002</v>
      </c>
    </row>
    <row r="918" spans="1:25" x14ac:dyDescent="0.25">
      <c r="A918" s="1">
        <v>45706</v>
      </c>
      <c r="B918" t="s">
        <v>1232</v>
      </c>
      <c r="C918" t="s">
        <v>17</v>
      </c>
      <c r="D918" t="s">
        <v>22</v>
      </c>
      <c r="E918">
        <v>150</v>
      </c>
      <c r="F918">
        <v>0</v>
      </c>
      <c r="G918">
        <v>142.19999999999999</v>
      </c>
      <c r="H918">
        <v>21330</v>
      </c>
      <c r="I918" t="s">
        <v>1248</v>
      </c>
      <c r="J918">
        <v>0</v>
      </c>
      <c r="K918">
        <v>7.58</v>
      </c>
      <c r="L918">
        <v>0</v>
      </c>
      <c r="M918">
        <v>0.02</v>
      </c>
      <c r="N918">
        <v>40</v>
      </c>
      <c r="O918">
        <v>8.56</v>
      </c>
      <c r="P918">
        <v>56.16</v>
      </c>
      <c r="Q918" s="18">
        <f>YEAR(A918)</f>
        <v>2025</v>
      </c>
      <c r="R918" s="18">
        <f>MONTH(A918)</f>
        <v>2</v>
      </c>
      <c r="S918" s="18">
        <f>IF(R918&lt;4,Q918-1,Q918)</f>
        <v>2024</v>
      </c>
      <c r="T918" s="18">
        <f>IF(R918&lt;4,R918+9,R918-3)</f>
        <v>11</v>
      </c>
      <c r="U918" s="18">
        <f>IF(LEN(T918)=1,_xlfn.CONCAT(0,T918),T918)</f>
        <v>11</v>
      </c>
      <c r="V918" s="18" t="str">
        <f>_xlfn.CONCAT(S918,U918)</f>
        <v>202411</v>
      </c>
      <c r="W918" s="18" t="str">
        <f>_xlfn.CONCAT(TEXT(A918,"MMM"),"-",MID(Q918,3,2))</f>
        <v>Feb-25</v>
      </c>
      <c r="X918" s="19">
        <f>IFERROR(IF(D918="Sell",(H918-P918),-(H918+P918)),0)</f>
        <v>-21386.16</v>
      </c>
      <c r="Y918" s="19">
        <f>X918/1000</f>
        <v>-21.38616</v>
      </c>
    </row>
    <row r="919" spans="1:25" x14ac:dyDescent="0.25">
      <c r="A919" s="1">
        <v>45706</v>
      </c>
      <c r="B919" t="s">
        <v>1232</v>
      </c>
      <c r="C919" t="s">
        <v>17</v>
      </c>
      <c r="D919" t="s">
        <v>18</v>
      </c>
      <c r="E919">
        <v>150</v>
      </c>
      <c r="F919">
        <v>0</v>
      </c>
      <c r="G919">
        <v>137.44999999999999</v>
      </c>
      <c r="H919">
        <v>20617.5</v>
      </c>
      <c r="I919" t="s">
        <v>1249</v>
      </c>
      <c r="J919">
        <v>20.62</v>
      </c>
      <c r="K919">
        <v>7.32</v>
      </c>
      <c r="L919">
        <v>0</v>
      </c>
      <c r="M919">
        <v>0.02</v>
      </c>
      <c r="N919">
        <v>40</v>
      </c>
      <c r="O919">
        <v>8.52</v>
      </c>
      <c r="P919">
        <v>76.48</v>
      </c>
      <c r="Q919" s="18">
        <f>YEAR(A919)</f>
        <v>2025</v>
      </c>
      <c r="R919" s="18">
        <f>MONTH(A919)</f>
        <v>2</v>
      </c>
      <c r="S919" s="18">
        <f>IF(R919&lt;4,Q919-1,Q919)</f>
        <v>2024</v>
      </c>
      <c r="T919" s="18">
        <f>IF(R919&lt;4,R919+9,R919-3)</f>
        <v>11</v>
      </c>
      <c r="U919" s="18">
        <f>IF(LEN(T919)=1,_xlfn.CONCAT(0,T919),T919)</f>
        <v>11</v>
      </c>
      <c r="V919" s="18" t="str">
        <f>_xlfn.CONCAT(S919,U919)</f>
        <v>202411</v>
      </c>
      <c r="W919" s="18" t="str">
        <f>_xlfn.CONCAT(TEXT(A919,"MMM"),"-",MID(Q919,3,2))</f>
        <v>Feb-25</v>
      </c>
      <c r="X919" s="19">
        <f>IFERROR(IF(D919="Sell",(H919-P919),-(H919+P919)),0)</f>
        <v>20541.02</v>
      </c>
      <c r="Y919" s="19">
        <f>X919/1000</f>
        <v>20.54102</v>
      </c>
    </row>
    <row r="920" spans="1:25" x14ac:dyDescent="0.25">
      <c r="A920" s="1">
        <v>45706</v>
      </c>
      <c r="B920" t="s">
        <v>1232</v>
      </c>
      <c r="C920" t="s">
        <v>17</v>
      </c>
      <c r="D920" t="s">
        <v>22</v>
      </c>
      <c r="E920">
        <v>75</v>
      </c>
      <c r="F920">
        <v>0</v>
      </c>
      <c r="G920">
        <v>129.80000000000001</v>
      </c>
      <c r="H920">
        <v>9735</v>
      </c>
      <c r="I920" t="s">
        <v>1250</v>
      </c>
      <c r="J920">
        <v>0</v>
      </c>
      <c r="K920">
        <v>3.46</v>
      </c>
      <c r="L920">
        <v>2.0699999999999998</v>
      </c>
      <c r="M920">
        <v>0.01</v>
      </c>
      <c r="N920">
        <v>20</v>
      </c>
      <c r="O920">
        <v>4.22</v>
      </c>
      <c r="P920">
        <v>29.76</v>
      </c>
      <c r="Q920" s="18">
        <f>YEAR(A920)</f>
        <v>2025</v>
      </c>
      <c r="R920" s="18">
        <f>MONTH(A920)</f>
        <v>2</v>
      </c>
      <c r="S920" s="18">
        <f>IF(R920&lt;4,Q920-1,Q920)</f>
        <v>2024</v>
      </c>
      <c r="T920" s="18">
        <f>IF(R920&lt;4,R920+9,R920-3)</f>
        <v>11</v>
      </c>
      <c r="U920" s="18">
        <f>IF(LEN(T920)=1,_xlfn.CONCAT(0,T920),T920)</f>
        <v>11</v>
      </c>
      <c r="V920" s="18" t="str">
        <f>_xlfn.CONCAT(S920,U920)</f>
        <v>202411</v>
      </c>
      <c r="W920" s="18" t="str">
        <f>_xlfn.CONCAT(TEXT(A920,"MMM"),"-",MID(Q920,3,2))</f>
        <v>Feb-25</v>
      </c>
      <c r="X920" s="19">
        <f>IFERROR(IF(D920="Sell",(H920-P920),-(H920+P920)),0)</f>
        <v>-9764.76</v>
      </c>
      <c r="Y920" s="19">
        <f>X920/1000</f>
        <v>-9.7647600000000008</v>
      </c>
    </row>
    <row r="921" spans="1:25" x14ac:dyDescent="0.25">
      <c r="A921" s="1">
        <v>45706</v>
      </c>
      <c r="B921" t="s">
        <v>1232</v>
      </c>
      <c r="C921" t="s">
        <v>17</v>
      </c>
      <c r="D921" t="s">
        <v>22</v>
      </c>
      <c r="E921">
        <v>75</v>
      </c>
      <c r="F921">
        <v>0</v>
      </c>
      <c r="G921">
        <v>132.75</v>
      </c>
      <c r="H921">
        <v>9956.25</v>
      </c>
      <c r="I921" t="s">
        <v>1251</v>
      </c>
      <c r="J921">
        <v>0</v>
      </c>
      <c r="K921">
        <v>3.54</v>
      </c>
      <c r="L921">
        <v>0</v>
      </c>
      <c r="M921">
        <v>0.01</v>
      </c>
      <c r="N921">
        <v>20</v>
      </c>
      <c r="O921">
        <v>4.24</v>
      </c>
      <c r="P921">
        <v>27.79</v>
      </c>
      <c r="Q921" s="18">
        <f>YEAR(A921)</f>
        <v>2025</v>
      </c>
      <c r="R921" s="18">
        <f>MONTH(A921)</f>
        <v>2</v>
      </c>
      <c r="S921" s="18">
        <f>IF(R921&lt;4,Q921-1,Q921)</f>
        <v>2024</v>
      </c>
      <c r="T921" s="18">
        <f>IF(R921&lt;4,R921+9,R921-3)</f>
        <v>11</v>
      </c>
      <c r="U921" s="18">
        <f>IF(LEN(T921)=1,_xlfn.CONCAT(0,T921),T921)</f>
        <v>11</v>
      </c>
      <c r="V921" s="18" t="str">
        <f>_xlfn.CONCAT(S921,U921)</f>
        <v>202411</v>
      </c>
      <c r="W921" s="18" t="str">
        <f>_xlfn.CONCAT(TEXT(A921,"MMM"),"-",MID(Q921,3,2))</f>
        <v>Feb-25</v>
      </c>
      <c r="X921" s="19">
        <f>IFERROR(IF(D921="Sell",(H921-P921),-(H921+P921)),0)</f>
        <v>-9984.0400000000009</v>
      </c>
      <c r="Y921" s="19">
        <f>X921/1000</f>
        <v>-9.9840400000000002</v>
      </c>
    </row>
    <row r="922" spans="1:25" x14ac:dyDescent="0.25">
      <c r="A922" s="1">
        <v>45707</v>
      </c>
      <c r="B922" t="s">
        <v>1232</v>
      </c>
      <c r="C922" t="s">
        <v>17</v>
      </c>
      <c r="D922" t="s">
        <v>18</v>
      </c>
      <c r="E922">
        <v>150</v>
      </c>
      <c r="F922">
        <v>0</v>
      </c>
      <c r="G922">
        <v>129.25</v>
      </c>
      <c r="H922">
        <v>19387.5</v>
      </c>
      <c r="I922" t="s">
        <v>1252</v>
      </c>
      <c r="J922">
        <v>19.39</v>
      </c>
      <c r="K922">
        <v>6.89</v>
      </c>
      <c r="L922">
        <v>0</v>
      </c>
      <c r="M922">
        <v>0.02</v>
      </c>
      <c r="N922">
        <v>40</v>
      </c>
      <c r="O922">
        <v>8.44</v>
      </c>
      <c r="P922">
        <v>74.739999999999995</v>
      </c>
      <c r="Q922" s="18">
        <f>YEAR(A922)</f>
        <v>2025</v>
      </c>
      <c r="R922" s="18">
        <f>MONTH(A922)</f>
        <v>2</v>
      </c>
      <c r="S922" s="18">
        <f>IF(R922&lt;4,Q922-1,Q922)</f>
        <v>2024</v>
      </c>
      <c r="T922" s="18">
        <f>IF(R922&lt;4,R922+9,R922-3)</f>
        <v>11</v>
      </c>
      <c r="U922" s="18">
        <f>IF(LEN(T922)=1,_xlfn.CONCAT(0,T922),T922)</f>
        <v>11</v>
      </c>
      <c r="V922" s="18" t="str">
        <f>_xlfn.CONCAT(S922,U922)</f>
        <v>202411</v>
      </c>
      <c r="W922" s="18" t="str">
        <f>_xlfn.CONCAT(TEXT(A922,"MMM"),"-",MID(Q922,3,2))</f>
        <v>Feb-25</v>
      </c>
      <c r="X922" s="19">
        <f>IFERROR(IF(D922="Sell",(H922-P922),-(H922+P922)),0)</f>
        <v>19312.759999999998</v>
      </c>
      <c r="Y922" s="19">
        <f>X922/1000</f>
        <v>19.312759999999997</v>
      </c>
    </row>
    <row r="923" spans="1:25" x14ac:dyDescent="0.25">
      <c r="A923" s="1">
        <v>45707</v>
      </c>
      <c r="B923" t="s">
        <v>1232</v>
      </c>
      <c r="C923" t="s">
        <v>17</v>
      </c>
      <c r="D923" t="s">
        <v>22</v>
      </c>
      <c r="E923">
        <v>150</v>
      </c>
      <c r="F923">
        <v>0</v>
      </c>
      <c r="G923">
        <v>117</v>
      </c>
      <c r="H923">
        <v>17550</v>
      </c>
      <c r="I923" t="s">
        <v>1253</v>
      </c>
      <c r="J923">
        <v>0</v>
      </c>
      <c r="K923">
        <v>6.24</v>
      </c>
      <c r="L923">
        <v>0</v>
      </c>
      <c r="M923">
        <v>0.02</v>
      </c>
      <c r="N923">
        <v>40</v>
      </c>
      <c r="O923">
        <v>8.32</v>
      </c>
      <c r="P923">
        <v>54.58</v>
      </c>
      <c r="Q923" s="18">
        <f>YEAR(A923)</f>
        <v>2025</v>
      </c>
      <c r="R923" s="18">
        <f>MONTH(A923)</f>
        <v>2</v>
      </c>
      <c r="S923" s="18">
        <f>IF(R923&lt;4,Q923-1,Q923)</f>
        <v>2024</v>
      </c>
      <c r="T923" s="18">
        <f>IF(R923&lt;4,R923+9,R923-3)</f>
        <v>11</v>
      </c>
      <c r="U923" s="18">
        <f>IF(LEN(T923)=1,_xlfn.CONCAT(0,T923),T923)</f>
        <v>11</v>
      </c>
      <c r="V923" s="18" t="str">
        <f>_xlfn.CONCAT(S923,U923)</f>
        <v>202411</v>
      </c>
      <c r="W923" s="18" t="str">
        <f>_xlfn.CONCAT(TEXT(A923,"MMM"),"-",MID(Q923,3,2))</f>
        <v>Feb-25</v>
      </c>
      <c r="X923" s="19">
        <f>IFERROR(IF(D923="Sell",(H923-P923),-(H923+P923)),0)</f>
        <v>-17604.580000000002</v>
      </c>
      <c r="Y923" s="19">
        <f>X923/1000</f>
        <v>-17.604580000000002</v>
      </c>
    </row>
    <row r="924" spans="1:25" x14ac:dyDescent="0.25">
      <c r="A924" s="1">
        <v>45707</v>
      </c>
      <c r="B924" t="s">
        <v>1232</v>
      </c>
      <c r="C924" t="s">
        <v>17</v>
      </c>
      <c r="D924" t="s">
        <v>18</v>
      </c>
      <c r="E924">
        <v>225</v>
      </c>
      <c r="F924">
        <v>0</v>
      </c>
      <c r="G924">
        <v>115.9</v>
      </c>
      <c r="H924">
        <v>26077.5</v>
      </c>
      <c r="I924" t="s">
        <v>1254</v>
      </c>
      <c r="J924">
        <v>26.08</v>
      </c>
      <c r="K924">
        <v>9.27</v>
      </c>
      <c r="L924">
        <v>0</v>
      </c>
      <c r="M924">
        <v>0.03</v>
      </c>
      <c r="N924">
        <v>60</v>
      </c>
      <c r="O924">
        <v>12.48</v>
      </c>
      <c r="P924">
        <v>107.86</v>
      </c>
      <c r="Q924" s="18">
        <f>YEAR(A924)</f>
        <v>2025</v>
      </c>
      <c r="R924" s="18">
        <f>MONTH(A924)</f>
        <v>2</v>
      </c>
      <c r="S924" s="18">
        <f>IF(R924&lt;4,Q924-1,Q924)</f>
        <v>2024</v>
      </c>
      <c r="T924" s="18">
        <f>IF(R924&lt;4,R924+9,R924-3)</f>
        <v>11</v>
      </c>
      <c r="U924" s="18">
        <f>IF(LEN(T924)=1,_xlfn.CONCAT(0,T924),T924)</f>
        <v>11</v>
      </c>
      <c r="V924" s="18" t="str">
        <f>_xlfn.CONCAT(S924,U924)</f>
        <v>202411</v>
      </c>
      <c r="W924" s="18" t="str">
        <f>_xlfn.CONCAT(TEXT(A924,"MMM"),"-",MID(Q924,3,2))</f>
        <v>Feb-25</v>
      </c>
      <c r="X924" s="19">
        <f>IFERROR(IF(D924="Sell",(H924-P924),-(H924+P924)),0)</f>
        <v>25969.64</v>
      </c>
      <c r="Y924" s="19">
        <f>X924/1000</f>
        <v>25.969639999999998</v>
      </c>
    </row>
    <row r="925" spans="1:25" x14ac:dyDescent="0.25">
      <c r="A925" s="1">
        <v>45707</v>
      </c>
      <c r="B925" t="s">
        <v>1232</v>
      </c>
      <c r="C925" t="s">
        <v>17</v>
      </c>
      <c r="D925" t="s">
        <v>22</v>
      </c>
      <c r="E925">
        <v>225</v>
      </c>
      <c r="F925">
        <v>0</v>
      </c>
      <c r="G925">
        <v>110.25</v>
      </c>
      <c r="H925">
        <v>24806.25</v>
      </c>
      <c r="I925" t="s">
        <v>1255</v>
      </c>
      <c r="J925">
        <v>0</v>
      </c>
      <c r="K925">
        <v>8.82</v>
      </c>
      <c r="L925">
        <v>0</v>
      </c>
      <c r="M925">
        <v>0.03</v>
      </c>
      <c r="N925">
        <v>60</v>
      </c>
      <c r="O925">
        <v>12.4</v>
      </c>
      <c r="P925">
        <v>81.25</v>
      </c>
      <c r="Q925" s="18">
        <f>YEAR(A925)</f>
        <v>2025</v>
      </c>
      <c r="R925" s="18">
        <f>MONTH(A925)</f>
        <v>2</v>
      </c>
      <c r="S925" s="18">
        <f>IF(R925&lt;4,Q925-1,Q925)</f>
        <v>2024</v>
      </c>
      <c r="T925" s="18">
        <f>IF(R925&lt;4,R925+9,R925-3)</f>
        <v>11</v>
      </c>
      <c r="U925" s="18">
        <f>IF(LEN(T925)=1,_xlfn.CONCAT(0,T925),T925)</f>
        <v>11</v>
      </c>
      <c r="V925" s="18" t="str">
        <f>_xlfn.CONCAT(S925,U925)</f>
        <v>202411</v>
      </c>
      <c r="W925" s="18" t="str">
        <f>_xlfn.CONCAT(TEXT(A925,"MMM"),"-",MID(Q925,3,2))</f>
        <v>Feb-25</v>
      </c>
      <c r="X925" s="19">
        <f>IFERROR(IF(D925="Sell",(H925-P925),-(H925+P925)),0)</f>
        <v>-24887.5</v>
      </c>
      <c r="Y925" s="19">
        <f>X925/1000</f>
        <v>-24.887499999999999</v>
      </c>
    </row>
    <row r="926" spans="1:25" x14ac:dyDescent="0.25">
      <c r="A926" s="1">
        <v>45707</v>
      </c>
      <c r="B926" t="s">
        <v>1232</v>
      </c>
      <c r="C926" t="s">
        <v>17</v>
      </c>
      <c r="D926" t="s">
        <v>18</v>
      </c>
      <c r="E926">
        <v>225</v>
      </c>
      <c r="F926">
        <v>0</v>
      </c>
      <c r="G926">
        <v>107.35</v>
      </c>
      <c r="H926">
        <v>24153.75</v>
      </c>
      <c r="I926" t="s">
        <v>1256</v>
      </c>
      <c r="J926">
        <v>24.15</v>
      </c>
      <c r="K926">
        <v>8.58</v>
      </c>
      <c r="L926">
        <v>0</v>
      </c>
      <c r="M926">
        <v>0.02</v>
      </c>
      <c r="N926">
        <v>60</v>
      </c>
      <c r="O926">
        <v>12.34</v>
      </c>
      <c r="P926">
        <v>105.09</v>
      </c>
      <c r="Q926" s="18">
        <f>YEAR(A926)</f>
        <v>2025</v>
      </c>
      <c r="R926" s="18">
        <f>MONTH(A926)</f>
        <v>2</v>
      </c>
      <c r="S926" s="18">
        <f>IF(R926&lt;4,Q926-1,Q926)</f>
        <v>2024</v>
      </c>
      <c r="T926" s="18">
        <f>IF(R926&lt;4,R926+9,R926-3)</f>
        <v>11</v>
      </c>
      <c r="U926" s="18">
        <f>IF(LEN(T926)=1,_xlfn.CONCAT(0,T926),T926)</f>
        <v>11</v>
      </c>
      <c r="V926" s="18" t="str">
        <f>_xlfn.CONCAT(S926,U926)</f>
        <v>202411</v>
      </c>
      <c r="W926" s="18" t="str">
        <f>_xlfn.CONCAT(TEXT(A926,"MMM"),"-",MID(Q926,3,2))</f>
        <v>Feb-25</v>
      </c>
      <c r="X926" s="19">
        <f>IFERROR(IF(D926="Sell",(H926-P926),-(H926+P926)),0)</f>
        <v>24048.66</v>
      </c>
      <c r="Y926" s="19">
        <f>X926/1000</f>
        <v>24.048659999999998</v>
      </c>
    </row>
    <row r="927" spans="1:25" x14ac:dyDescent="0.25">
      <c r="A927" s="1">
        <v>45707</v>
      </c>
      <c r="B927" t="s">
        <v>1232</v>
      </c>
      <c r="C927" t="s">
        <v>17</v>
      </c>
      <c r="D927" t="s">
        <v>22</v>
      </c>
      <c r="E927">
        <v>75</v>
      </c>
      <c r="F927">
        <v>0</v>
      </c>
      <c r="G927">
        <v>112.55</v>
      </c>
      <c r="H927">
        <v>8441.25</v>
      </c>
      <c r="I927" t="s">
        <v>1257</v>
      </c>
      <c r="J927">
        <v>0</v>
      </c>
      <c r="K927">
        <v>3</v>
      </c>
      <c r="L927">
        <v>0</v>
      </c>
      <c r="M927">
        <v>0.01</v>
      </c>
      <c r="N927">
        <v>20</v>
      </c>
      <c r="O927">
        <v>4.1399999999999997</v>
      </c>
      <c r="P927">
        <v>27.15</v>
      </c>
      <c r="Q927" s="18">
        <f>YEAR(A927)</f>
        <v>2025</v>
      </c>
      <c r="R927" s="18">
        <f>MONTH(A927)</f>
        <v>2</v>
      </c>
      <c r="S927" s="18">
        <f>IF(R927&lt;4,Q927-1,Q927)</f>
        <v>2024</v>
      </c>
      <c r="T927" s="18">
        <f>IF(R927&lt;4,R927+9,R927-3)</f>
        <v>11</v>
      </c>
      <c r="U927" s="18">
        <f>IF(LEN(T927)=1,_xlfn.CONCAT(0,T927),T927)</f>
        <v>11</v>
      </c>
      <c r="V927" s="18" t="str">
        <f>_xlfn.CONCAT(S927,U927)</f>
        <v>202411</v>
      </c>
      <c r="W927" s="18" t="str">
        <f>_xlfn.CONCAT(TEXT(A927,"MMM"),"-",MID(Q927,3,2))</f>
        <v>Feb-25</v>
      </c>
      <c r="X927" s="19">
        <f>IFERROR(IF(D927="Sell",(H927-P927),-(H927+P927)),0)</f>
        <v>-8468.4</v>
      </c>
      <c r="Y927" s="19">
        <f>X927/1000</f>
        <v>-8.468399999999999</v>
      </c>
    </row>
    <row r="928" spans="1:25" x14ac:dyDescent="0.25">
      <c r="A928" s="1">
        <v>45707</v>
      </c>
      <c r="B928" t="s">
        <v>1232</v>
      </c>
      <c r="C928" t="s">
        <v>17</v>
      </c>
      <c r="D928" t="s">
        <v>22</v>
      </c>
      <c r="E928">
        <v>150</v>
      </c>
      <c r="F928">
        <v>0</v>
      </c>
      <c r="G928">
        <v>118.95</v>
      </c>
      <c r="H928">
        <v>17842.5</v>
      </c>
      <c r="I928" t="s">
        <v>1258</v>
      </c>
      <c r="J928">
        <v>0</v>
      </c>
      <c r="K928">
        <v>6.34</v>
      </c>
      <c r="L928">
        <v>1.83</v>
      </c>
      <c r="M928">
        <v>0.02</v>
      </c>
      <c r="N928">
        <v>40</v>
      </c>
      <c r="O928">
        <v>8.34</v>
      </c>
      <c r="P928">
        <v>56.53</v>
      </c>
      <c r="Q928" s="18">
        <f>YEAR(A928)</f>
        <v>2025</v>
      </c>
      <c r="R928" s="18">
        <f>MONTH(A928)</f>
        <v>2</v>
      </c>
      <c r="S928" s="18">
        <f>IF(R928&lt;4,Q928-1,Q928)</f>
        <v>2024</v>
      </c>
      <c r="T928" s="18">
        <f>IF(R928&lt;4,R928+9,R928-3)</f>
        <v>11</v>
      </c>
      <c r="U928" s="18">
        <f>IF(LEN(T928)=1,_xlfn.CONCAT(0,T928),T928)</f>
        <v>11</v>
      </c>
      <c r="V928" s="18" t="str">
        <f>_xlfn.CONCAT(S928,U928)</f>
        <v>202411</v>
      </c>
      <c r="W928" s="18" t="str">
        <f>_xlfn.CONCAT(TEXT(A928,"MMM"),"-",MID(Q928,3,2))</f>
        <v>Feb-25</v>
      </c>
      <c r="X928" s="19">
        <f>IFERROR(IF(D928="Sell",(H928-P928),-(H928+P928)),0)</f>
        <v>-17899.03</v>
      </c>
      <c r="Y928" s="19">
        <f>X928/1000</f>
        <v>-17.89903</v>
      </c>
    </row>
    <row r="929" spans="1:25" x14ac:dyDescent="0.25">
      <c r="A929" s="1">
        <v>45707</v>
      </c>
      <c r="B929" t="s">
        <v>1244</v>
      </c>
      <c r="C929" t="s">
        <v>17</v>
      </c>
      <c r="D929" t="s">
        <v>18</v>
      </c>
      <c r="E929">
        <v>225</v>
      </c>
      <c r="F929">
        <v>0</v>
      </c>
      <c r="G929">
        <v>90</v>
      </c>
      <c r="H929">
        <v>20250</v>
      </c>
      <c r="I929" t="s">
        <v>1259</v>
      </c>
      <c r="J929">
        <v>20.25</v>
      </c>
      <c r="K929">
        <v>7.19</v>
      </c>
      <c r="L929">
        <v>0</v>
      </c>
      <c r="M929">
        <v>0.02</v>
      </c>
      <c r="N929">
        <v>60</v>
      </c>
      <c r="O929">
        <v>12.1</v>
      </c>
      <c r="P929">
        <v>99.56</v>
      </c>
      <c r="Q929" s="18">
        <f>YEAR(A929)</f>
        <v>2025</v>
      </c>
      <c r="R929" s="18">
        <f>MONTH(A929)</f>
        <v>2</v>
      </c>
      <c r="S929" s="18">
        <f>IF(R929&lt;4,Q929-1,Q929)</f>
        <v>2024</v>
      </c>
      <c r="T929" s="18">
        <f>IF(R929&lt;4,R929+9,R929-3)</f>
        <v>11</v>
      </c>
      <c r="U929" s="18">
        <f>IF(LEN(T929)=1,_xlfn.CONCAT(0,T929),T929)</f>
        <v>11</v>
      </c>
      <c r="V929" s="18" t="str">
        <f>_xlfn.CONCAT(S929,U929)</f>
        <v>202411</v>
      </c>
      <c r="W929" s="18" t="str">
        <f>_xlfn.CONCAT(TEXT(A929,"MMM"),"-",MID(Q929,3,2))</f>
        <v>Feb-25</v>
      </c>
      <c r="X929" s="19">
        <f>IFERROR(IF(D929="Sell",(H929-P929),-(H929+P929)),0)</f>
        <v>20150.439999999999</v>
      </c>
      <c r="Y929" s="19">
        <f>X929/1000</f>
        <v>20.15044</v>
      </c>
    </row>
    <row r="930" spans="1:25" x14ac:dyDescent="0.25">
      <c r="A930" s="1">
        <v>45707</v>
      </c>
      <c r="B930" t="s">
        <v>1244</v>
      </c>
      <c r="C930" t="s">
        <v>17</v>
      </c>
      <c r="D930" t="s">
        <v>22</v>
      </c>
      <c r="E930">
        <v>225</v>
      </c>
      <c r="F930">
        <v>0</v>
      </c>
      <c r="G930">
        <v>94</v>
      </c>
      <c r="H930">
        <v>21150</v>
      </c>
      <c r="I930" t="s">
        <v>1260</v>
      </c>
      <c r="J930">
        <v>0</v>
      </c>
      <c r="K930">
        <v>7.51</v>
      </c>
      <c r="L930">
        <v>0.63</v>
      </c>
      <c r="M930">
        <v>0.02</v>
      </c>
      <c r="N930">
        <v>60</v>
      </c>
      <c r="O930">
        <v>12.16</v>
      </c>
      <c r="P930">
        <v>80.319999999999993</v>
      </c>
      <c r="Q930" s="18">
        <f>YEAR(A930)</f>
        <v>2025</v>
      </c>
      <c r="R930" s="18">
        <f>MONTH(A930)</f>
        <v>2</v>
      </c>
      <c r="S930" s="18">
        <f>IF(R930&lt;4,Q930-1,Q930)</f>
        <v>2024</v>
      </c>
      <c r="T930" s="18">
        <f>IF(R930&lt;4,R930+9,R930-3)</f>
        <v>11</v>
      </c>
      <c r="U930" s="18">
        <f>IF(LEN(T930)=1,_xlfn.CONCAT(0,T930),T930)</f>
        <v>11</v>
      </c>
      <c r="V930" s="18" t="str">
        <f>_xlfn.CONCAT(S930,U930)</f>
        <v>202411</v>
      </c>
      <c r="W930" s="18" t="str">
        <f>_xlfn.CONCAT(TEXT(A930,"MMM"),"-",MID(Q930,3,2))</f>
        <v>Feb-25</v>
      </c>
      <c r="X930" s="19">
        <f>IFERROR(IF(D930="Sell",(H930-P930),-(H930+P930)),0)</f>
        <v>-21230.32</v>
      </c>
      <c r="Y930" s="19">
        <f>X930/1000</f>
        <v>-21.230319999999999</v>
      </c>
    </row>
    <row r="931" spans="1:25" x14ac:dyDescent="0.25">
      <c r="A931" s="1">
        <v>45707</v>
      </c>
      <c r="B931" t="s">
        <v>1221</v>
      </c>
      <c r="C931" t="s">
        <v>17</v>
      </c>
      <c r="D931" t="s">
        <v>18</v>
      </c>
      <c r="E931">
        <v>150</v>
      </c>
      <c r="F931">
        <v>0</v>
      </c>
      <c r="G931">
        <v>139</v>
      </c>
      <c r="H931">
        <v>20850</v>
      </c>
      <c r="I931" t="s">
        <v>1261</v>
      </c>
      <c r="J931">
        <v>21.13</v>
      </c>
      <c r="K931">
        <v>7.41</v>
      </c>
      <c r="L931">
        <v>0</v>
      </c>
      <c r="M931">
        <v>0.02</v>
      </c>
      <c r="N931">
        <v>40</v>
      </c>
      <c r="O931">
        <v>8.5399999999999991</v>
      </c>
      <c r="P931">
        <v>77.099999999999994</v>
      </c>
      <c r="Q931" s="18">
        <f>YEAR(A931)</f>
        <v>2025</v>
      </c>
      <c r="R931" s="18">
        <f>MONTH(A931)</f>
        <v>2</v>
      </c>
      <c r="S931" s="18">
        <f>IF(R931&lt;4,Q931-1,Q931)</f>
        <v>2024</v>
      </c>
      <c r="T931" s="18">
        <f>IF(R931&lt;4,R931+9,R931-3)</f>
        <v>11</v>
      </c>
      <c r="U931" s="18">
        <f>IF(LEN(T931)=1,_xlfn.CONCAT(0,T931),T931)</f>
        <v>11</v>
      </c>
      <c r="V931" s="18" t="str">
        <f>_xlfn.CONCAT(S931,U931)</f>
        <v>202411</v>
      </c>
      <c r="W931" s="18" t="str">
        <f>_xlfn.CONCAT(TEXT(A931,"MMM"),"-",MID(Q931,3,2))</f>
        <v>Feb-25</v>
      </c>
      <c r="X931" s="19">
        <f>IFERROR(IF(D931="Sell",(H931-P931),-(H931+P931)),0)</f>
        <v>20772.900000000001</v>
      </c>
      <c r="Y931" s="19">
        <f>X931/1000</f>
        <v>20.7729</v>
      </c>
    </row>
    <row r="932" spans="1:25" x14ac:dyDescent="0.25">
      <c r="A932" s="1">
        <v>45707</v>
      </c>
      <c r="B932" t="s">
        <v>1221</v>
      </c>
      <c r="C932" t="s">
        <v>17</v>
      </c>
      <c r="D932" t="s">
        <v>22</v>
      </c>
      <c r="E932">
        <v>150</v>
      </c>
      <c r="F932">
        <v>0</v>
      </c>
      <c r="G932">
        <v>120.55</v>
      </c>
      <c r="H932">
        <v>18082.5</v>
      </c>
      <c r="I932" t="s">
        <v>1262</v>
      </c>
      <c r="J932">
        <v>0</v>
      </c>
      <c r="K932">
        <v>6.42</v>
      </c>
      <c r="L932">
        <v>0.54</v>
      </c>
      <c r="M932">
        <v>0.02</v>
      </c>
      <c r="N932">
        <v>40</v>
      </c>
      <c r="O932">
        <v>8.36</v>
      </c>
      <c r="P932">
        <v>55.34</v>
      </c>
      <c r="Q932" s="18">
        <f>YEAR(A932)</f>
        <v>2025</v>
      </c>
      <c r="R932" s="18">
        <f>MONTH(A932)</f>
        <v>2</v>
      </c>
      <c r="S932" s="18">
        <f>IF(R932&lt;4,Q932-1,Q932)</f>
        <v>2024</v>
      </c>
      <c r="T932" s="18">
        <f>IF(R932&lt;4,R932+9,R932-3)</f>
        <v>11</v>
      </c>
      <c r="U932" s="18">
        <f>IF(LEN(T932)=1,_xlfn.CONCAT(0,T932),T932)</f>
        <v>11</v>
      </c>
      <c r="V932" s="18" t="str">
        <f>_xlfn.CONCAT(S932,U932)</f>
        <v>202411</v>
      </c>
      <c r="W932" s="18" t="str">
        <f>_xlfn.CONCAT(TEXT(A932,"MMM"),"-",MID(Q932,3,2))</f>
        <v>Feb-25</v>
      </c>
      <c r="X932" s="19">
        <f>IFERROR(IF(D932="Sell",(H932-P932),-(H932+P932)),0)</f>
        <v>-18137.84</v>
      </c>
      <c r="Y932" s="19">
        <f>X932/1000</f>
        <v>-18.137840000000001</v>
      </c>
    </row>
    <row r="933" spans="1:25" x14ac:dyDescent="0.25">
      <c r="A933" s="1">
        <v>45708</v>
      </c>
      <c r="B933" t="s">
        <v>1224</v>
      </c>
      <c r="C933" t="s">
        <v>17</v>
      </c>
      <c r="D933" t="s">
        <v>18</v>
      </c>
      <c r="E933">
        <v>675</v>
      </c>
      <c r="F933">
        <v>0</v>
      </c>
      <c r="G933">
        <v>14.1</v>
      </c>
      <c r="H933">
        <v>9517.5</v>
      </c>
      <c r="I933" t="s">
        <v>1263</v>
      </c>
      <c r="J933">
        <v>9.52</v>
      </c>
      <c r="K933">
        <v>3.38</v>
      </c>
      <c r="L933">
        <v>0</v>
      </c>
      <c r="M933">
        <v>0.01</v>
      </c>
      <c r="N933">
        <v>180</v>
      </c>
      <c r="O933">
        <v>33.020000000000003</v>
      </c>
      <c r="P933">
        <v>225.93</v>
      </c>
      <c r="Q933" s="18">
        <f>YEAR(A933)</f>
        <v>2025</v>
      </c>
      <c r="R933" s="18">
        <f>MONTH(A933)</f>
        <v>2</v>
      </c>
      <c r="S933" s="18">
        <f>IF(R933&lt;4,Q933-1,Q933)</f>
        <v>2024</v>
      </c>
      <c r="T933" s="18">
        <f>IF(R933&lt;4,R933+9,R933-3)</f>
        <v>11</v>
      </c>
      <c r="U933" s="18">
        <f>IF(LEN(T933)=1,_xlfn.CONCAT(0,T933),T933)</f>
        <v>11</v>
      </c>
      <c r="V933" s="18" t="str">
        <f>_xlfn.CONCAT(S933,U933)</f>
        <v>202411</v>
      </c>
      <c r="W933" s="18" t="str">
        <f>_xlfn.CONCAT(TEXT(A933,"MMM"),"-",MID(Q933,3,2))</f>
        <v>Feb-25</v>
      </c>
      <c r="X933" s="19">
        <f>IFERROR(IF(D933="Sell",(H933-P933),-(H933+P933)),0)</f>
        <v>9291.57</v>
      </c>
      <c r="Y933" s="19">
        <f>X933/1000</f>
        <v>9.2915700000000001</v>
      </c>
    </row>
    <row r="934" spans="1:25" x14ac:dyDescent="0.25">
      <c r="A934" s="1">
        <v>45708</v>
      </c>
      <c r="B934" t="s">
        <v>1224</v>
      </c>
      <c r="C934" t="s">
        <v>17</v>
      </c>
      <c r="D934" t="s">
        <v>22</v>
      </c>
      <c r="E934">
        <v>675</v>
      </c>
      <c r="F934">
        <v>0</v>
      </c>
      <c r="G934">
        <v>20.05</v>
      </c>
      <c r="H934">
        <v>13533.75</v>
      </c>
      <c r="I934" t="s">
        <v>1264</v>
      </c>
      <c r="J934">
        <v>0</v>
      </c>
      <c r="K934">
        <v>4.8</v>
      </c>
      <c r="L934">
        <v>1.08</v>
      </c>
      <c r="M934">
        <v>0.01</v>
      </c>
      <c r="N934">
        <v>180</v>
      </c>
      <c r="O934">
        <v>33.28</v>
      </c>
      <c r="P934">
        <v>219.17</v>
      </c>
      <c r="Q934" s="18">
        <f>YEAR(A934)</f>
        <v>2025</v>
      </c>
      <c r="R934" s="18">
        <f>MONTH(A934)</f>
        <v>2</v>
      </c>
      <c r="S934" s="18">
        <f>IF(R934&lt;4,Q934-1,Q934)</f>
        <v>2024</v>
      </c>
      <c r="T934" s="18">
        <f>IF(R934&lt;4,R934+9,R934-3)</f>
        <v>11</v>
      </c>
      <c r="U934" s="18">
        <f>IF(LEN(T934)=1,_xlfn.CONCAT(0,T934),T934)</f>
        <v>11</v>
      </c>
      <c r="V934" s="18" t="str">
        <f>_xlfn.CONCAT(S934,U934)</f>
        <v>202411</v>
      </c>
      <c r="W934" s="18" t="str">
        <f>_xlfn.CONCAT(TEXT(A934,"MMM"),"-",MID(Q934,3,2))</f>
        <v>Feb-25</v>
      </c>
      <c r="X934" s="19">
        <f>IFERROR(IF(D934="Sell",(H934-P934),-(H934+P934)),0)</f>
        <v>-13752.92</v>
      </c>
      <c r="Y934" s="19">
        <f>X934/1000</f>
        <v>-13.75292</v>
      </c>
    </row>
    <row r="935" spans="1:25" x14ac:dyDescent="0.25">
      <c r="A935" s="1">
        <v>45708</v>
      </c>
      <c r="B935" t="s">
        <v>1224</v>
      </c>
      <c r="C935" t="s">
        <v>17</v>
      </c>
      <c r="D935" t="s">
        <v>18</v>
      </c>
      <c r="E935">
        <v>750</v>
      </c>
      <c r="F935">
        <v>0</v>
      </c>
      <c r="G935">
        <v>16</v>
      </c>
      <c r="H935">
        <v>12000</v>
      </c>
      <c r="I935" t="s">
        <v>1265</v>
      </c>
      <c r="J935">
        <v>12</v>
      </c>
      <c r="K935">
        <v>4.2699999999999996</v>
      </c>
      <c r="L935">
        <v>0</v>
      </c>
      <c r="M935">
        <v>0</v>
      </c>
      <c r="N935">
        <v>200</v>
      </c>
      <c r="O935">
        <v>36.799999999999997</v>
      </c>
      <c r="P935">
        <v>253.07</v>
      </c>
      <c r="Q935" s="18">
        <f>YEAR(A935)</f>
        <v>2025</v>
      </c>
      <c r="R935" s="18">
        <f>MONTH(A935)</f>
        <v>2</v>
      </c>
      <c r="S935" s="18">
        <f>IF(R935&lt;4,Q935-1,Q935)</f>
        <v>2024</v>
      </c>
      <c r="T935" s="18">
        <f>IF(R935&lt;4,R935+9,R935-3)</f>
        <v>11</v>
      </c>
      <c r="U935" s="18">
        <f>IF(LEN(T935)=1,_xlfn.CONCAT(0,T935),T935)</f>
        <v>11</v>
      </c>
      <c r="V935" s="18" t="str">
        <f>_xlfn.CONCAT(S935,U935)</f>
        <v>202411</v>
      </c>
      <c r="W935" s="18" t="str">
        <f>_xlfn.CONCAT(TEXT(A935,"MMM"),"-",MID(Q935,3,2))</f>
        <v>Feb-25</v>
      </c>
      <c r="X935" s="19">
        <f>IFERROR(IF(D935="Sell",(H935-P935),-(H935+P935)),0)</f>
        <v>11746.93</v>
      </c>
      <c r="Y935" s="19">
        <f>X935/1000</f>
        <v>11.746930000000001</v>
      </c>
    </row>
    <row r="936" spans="1:25" x14ac:dyDescent="0.25">
      <c r="A936" s="1">
        <v>45708</v>
      </c>
      <c r="B936" t="s">
        <v>1224</v>
      </c>
      <c r="C936" t="s">
        <v>17</v>
      </c>
      <c r="D936" t="s">
        <v>22</v>
      </c>
      <c r="E936">
        <v>750</v>
      </c>
      <c r="F936">
        <v>0</v>
      </c>
      <c r="G936">
        <v>30.18</v>
      </c>
      <c r="H936">
        <v>22631.25</v>
      </c>
      <c r="I936" t="s">
        <v>1266</v>
      </c>
      <c r="J936">
        <v>0</v>
      </c>
      <c r="K936">
        <v>8.0299999999999994</v>
      </c>
      <c r="L936">
        <v>0</v>
      </c>
      <c r="M936">
        <v>0.01</v>
      </c>
      <c r="N936">
        <v>200</v>
      </c>
      <c r="O936">
        <v>37.42</v>
      </c>
      <c r="P936">
        <v>245.46</v>
      </c>
      <c r="Q936" s="18">
        <f>YEAR(A936)</f>
        <v>2025</v>
      </c>
      <c r="R936" s="18">
        <f>MONTH(A936)</f>
        <v>2</v>
      </c>
      <c r="S936" s="18">
        <f>IF(R936&lt;4,Q936-1,Q936)</f>
        <v>2024</v>
      </c>
      <c r="T936" s="18">
        <f>IF(R936&lt;4,R936+9,R936-3)</f>
        <v>11</v>
      </c>
      <c r="U936" s="18">
        <f>IF(LEN(T936)=1,_xlfn.CONCAT(0,T936),T936)</f>
        <v>11</v>
      </c>
      <c r="V936" s="18" t="str">
        <f>_xlfn.CONCAT(S936,U936)</f>
        <v>202411</v>
      </c>
      <c r="W936" s="18" t="str">
        <f>_xlfn.CONCAT(TEXT(A936,"MMM"),"-",MID(Q936,3,2))</f>
        <v>Feb-25</v>
      </c>
      <c r="X936" s="19">
        <f>IFERROR(IF(D936="Sell",(H936-P936),-(H936+P936)),0)</f>
        <v>-22876.71</v>
      </c>
      <c r="Y936" s="19">
        <f>X936/1000</f>
        <v>-22.876709999999999</v>
      </c>
    </row>
    <row r="937" spans="1:25" x14ac:dyDescent="0.25">
      <c r="A937" s="1">
        <v>45708</v>
      </c>
      <c r="B937" t="s">
        <v>1240</v>
      </c>
      <c r="C937" t="s">
        <v>17</v>
      </c>
      <c r="D937" t="s">
        <v>18</v>
      </c>
      <c r="E937">
        <v>375</v>
      </c>
      <c r="F937">
        <v>0</v>
      </c>
      <c r="G937">
        <v>62</v>
      </c>
      <c r="H937">
        <v>23250</v>
      </c>
      <c r="I937" t="s">
        <v>1267</v>
      </c>
      <c r="J937">
        <v>23.48</v>
      </c>
      <c r="K937">
        <v>8.25</v>
      </c>
      <c r="L937">
        <v>0</v>
      </c>
      <c r="M937">
        <v>0</v>
      </c>
      <c r="N937">
        <v>100</v>
      </c>
      <c r="O937">
        <v>19.5</v>
      </c>
      <c r="P937">
        <v>151.22999999999999</v>
      </c>
      <c r="Q937" s="18">
        <f>YEAR(A937)</f>
        <v>2025</v>
      </c>
      <c r="R937" s="18">
        <f>MONTH(A937)</f>
        <v>2</v>
      </c>
      <c r="S937" s="18">
        <f>IF(R937&lt;4,Q937-1,Q937)</f>
        <v>2024</v>
      </c>
      <c r="T937" s="18">
        <f>IF(R937&lt;4,R937+9,R937-3)</f>
        <v>11</v>
      </c>
      <c r="U937" s="18">
        <f>IF(LEN(T937)=1,_xlfn.CONCAT(0,T937),T937)</f>
        <v>11</v>
      </c>
      <c r="V937" s="18" t="str">
        <f>_xlfn.CONCAT(S937,U937)</f>
        <v>202411</v>
      </c>
      <c r="W937" s="18" t="str">
        <f>_xlfn.CONCAT(TEXT(A937,"MMM"),"-",MID(Q937,3,2))</f>
        <v>Feb-25</v>
      </c>
      <c r="X937" s="19">
        <f>IFERROR(IF(D937="Sell",(H937-P937),-(H937+P937)),0)</f>
        <v>23098.77</v>
      </c>
      <c r="Y937" s="19">
        <f>X937/1000</f>
        <v>23.098770000000002</v>
      </c>
    </row>
    <row r="938" spans="1:25" x14ac:dyDescent="0.25">
      <c r="A938" s="1">
        <v>45708</v>
      </c>
      <c r="B938" t="s">
        <v>1240</v>
      </c>
      <c r="C938" t="s">
        <v>17</v>
      </c>
      <c r="D938" t="s">
        <v>22</v>
      </c>
      <c r="E938">
        <v>75</v>
      </c>
      <c r="F938">
        <v>0</v>
      </c>
      <c r="G938">
        <v>50.8</v>
      </c>
      <c r="H938">
        <v>3810</v>
      </c>
      <c r="I938" t="s">
        <v>1268</v>
      </c>
      <c r="J938">
        <v>0</v>
      </c>
      <c r="K938">
        <v>1.35</v>
      </c>
      <c r="L938">
        <v>0</v>
      </c>
      <c r="M938">
        <v>0</v>
      </c>
      <c r="N938">
        <v>20</v>
      </c>
      <c r="O938">
        <v>3.84</v>
      </c>
      <c r="P938">
        <v>25.19</v>
      </c>
      <c r="Q938" s="18">
        <f>YEAR(A938)</f>
        <v>2025</v>
      </c>
      <c r="R938" s="18">
        <f>MONTH(A938)</f>
        <v>2</v>
      </c>
      <c r="S938" s="18">
        <f>IF(R938&lt;4,Q938-1,Q938)</f>
        <v>2024</v>
      </c>
      <c r="T938" s="18">
        <f>IF(R938&lt;4,R938+9,R938-3)</f>
        <v>11</v>
      </c>
      <c r="U938" s="18">
        <f>IF(LEN(T938)=1,_xlfn.CONCAT(0,T938),T938)</f>
        <v>11</v>
      </c>
      <c r="V938" s="18" t="str">
        <f>_xlfn.CONCAT(S938,U938)</f>
        <v>202411</v>
      </c>
      <c r="W938" s="18" t="str">
        <f>_xlfn.CONCAT(TEXT(A938,"MMM"),"-",MID(Q938,3,2))</f>
        <v>Feb-25</v>
      </c>
      <c r="X938" s="19">
        <f>IFERROR(IF(D938="Sell",(H938-P938),-(H938+P938)),0)</f>
        <v>-3835.19</v>
      </c>
      <c r="Y938" s="19">
        <f>X938/1000</f>
        <v>-3.8351899999999999</v>
      </c>
    </row>
    <row r="939" spans="1:25" x14ac:dyDescent="0.25">
      <c r="A939" s="1">
        <v>45708</v>
      </c>
      <c r="B939" t="s">
        <v>1240</v>
      </c>
      <c r="C939" t="s">
        <v>17</v>
      </c>
      <c r="D939" t="s">
        <v>22</v>
      </c>
      <c r="E939">
        <v>75</v>
      </c>
      <c r="F939">
        <v>0</v>
      </c>
      <c r="G939">
        <v>83.6</v>
      </c>
      <c r="H939">
        <v>6270</v>
      </c>
      <c r="I939" t="s">
        <v>1269</v>
      </c>
      <c r="J939">
        <v>0</v>
      </c>
      <c r="K939">
        <v>2.23</v>
      </c>
      <c r="L939">
        <v>0</v>
      </c>
      <c r="M939">
        <v>0.01</v>
      </c>
      <c r="N939">
        <v>20</v>
      </c>
      <c r="O939">
        <v>4</v>
      </c>
      <c r="P939">
        <v>26.24</v>
      </c>
      <c r="Q939" s="18">
        <f>YEAR(A939)</f>
        <v>2025</v>
      </c>
      <c r="R939" s="18">
        <f>MONTH(A939)</f>
        <v>2</v>
      </c>
      <c r="S939" s="18">
        <f>IF(R939&lt;4,Q939-1,Q939)</f>
        <v>2024</v>
      </c>
      <c r="T939" s="18">
        <f>IF(R939&lt;4,R939+9,R939-3)</f>
        <v>11</v>
      </c>
      <c r="U939" s="18">
        <f>IF(LEN(T939)=1,_xlfn.CONCAT(0,T939),T939)</f>
        <v>11</v>
      </c>
      <c r="V939" s="18" t="str">
        <f>_xlfn.CONCAT(S939,U939)</f>
        <v>202411</v>
      </c>
      <c r="W939" s="18" t="str">
        <f>_xlfn.CONCAT(TEXT(A939,"MMM"),"-",MID(Q939,3,2))</f>
        <v>Feb-25</v>
      </c>
      <c r="X939" s="19">
        <f>IFERROR(IF(D939="Sell",(H939-P939),-(H939+P939)),0)</f>
        <v>-6296.24</v>
      </c>
      <c r="Y939" s="19">
        <f>X939/1000</f>
        <v>-6.2962400000000001</v>
      </c>
    </row>
    <row r="940" spans="1:25" x14ac:dyDescent="0.25">
      <c r="A940" s="1">
        <v>45708</v>
      </c>
      <c r="B940" t="s">
        <v>1240</v>
      </c>
      <c r="C940" t="s">
        <v>17</v>
      </c>
      <c r="D940" t="s">
        <v>22</v>
      </c>
      <c r="E940">
        <v>225</v>
      </c>
      <c r="F940">
        <v>0</v>
      </c>
      <c r="G940">
        <v>91</v>
      </c>
      <c r="H940">
        <v>20475</v>
      </c>
      <c r="I940" t="s">
        <v>1270</v>
      </c>
      <c r="J940">
        <v>0</v>
      </c>
      <c r="K940">
        <v>7.27</v>
      </c>
      <c r="L940">
        <v>0.92</v>
      </c>
      <c r="M940">
        <v>0.02</v>
      </c>
      <c r="N940">
        <v>60</v>
      </c>
      <c r="O940">
        <v>12.12</v>
      </c>
      <c r="P940">
        <v>80.33</v>
      </c>
      <c r="Q940" s="18">
        <f>YEAR(A940)</f>
        <v>2025</v>
      </c>
      <c r="R940" s="18">
        <f>MONTH(A940)</f>
        <v>2</v>
      </c>
      <c r="S940" s="18">
        <f>IF(R940&lt;4,Q940-1,Q940)</f>
        <v>2024</v>
      </c>
      <c r="T940" s="18">
        <f>IF(R940&lt;4,R940+9,R940-3)</f>
        <v>11</v>
      </c>
      <c r="U940" s="18">
        <f>IF(LEN(T940)=1,_xlfn.CONCAT(0,T940),T940)</f>
        <v>11</v>
      </c>
      <c r="V940" s="18" t="str">
        <f>_xlfn.CONCAT(S940,U940)</f>
        <v>202411</v>
      </c>
      <c r="W940" s="18" t="str">
        <f>_xlfn.CONCAT(TEXT(A940,"MMM"),"-",MID(Q940,3,2))</f>
        <v>Feb-25</v>
      </c>
      <c r="X940" s="19">
        <f>IFERROR(IF(D940="Sell",(H940-P940),-(H940+P940)),0)</f>
        <v>-20555.330000000002</v>
      </c>
      <c r="Y940" s="19">
        <f>X940/1000</f>
        <v>-20.555330000000001</v>
      </c>
    </row>
    <row r="941" spans="1:25" x14ac:dyDescent="0.25">
      <c r="A941" s="1">
        <v>45713</v>
      </c>
      <c r="B941" t="s">
        <v>1271</v>
      </c>
      <c r="C941" t="s">
        <v>17</v>
      </c>
      <c r="D941" t="s">
        <v>18</v>
      </c>
      <c r="E941">
        <v>75</v>
      </c>
      <c r="F941">
        <v>0</v>
      </c>
      <c r="G941">
        <v>50.25</v>
      </c>
      <c r="H941">
        <v>3768.75</v>
      </c>
      <c r="I941" t="s">
        <v>1272</v>
      </c>
      <c r="J941">
        <v>3.88</v>
      </c>
      <c r="K941">
        <v>1.34</v>
      </c>
      <c r="L941">
        <v>0</v>
      </c>
      <c r="M941">
        <v>0</v>
      </c>
      <c r="N941">
        <v>29</v>
      </c>
      <c r="O941">
        <v>5.46</v>
      </c>
      <c r="P941">
        <v>39.68</v>
      </c>
      <c r="Q941" s="18">
        <f>YEAR(A941)</f>
        <v>2025</v>
      </c>
      <c r="R941" s="18">
        <f>MONTH(A941)</f>
        <v>2</v>
      </c>
      <c r="S941" s="18">
        <f>IF(R941&lt;4,Q941-1,Q941)</f>
        <v>2024</v>
      </c>
      <c r="T941" s="18">
        <f>IF(R941&lt;4,R941+9,R941-3)</f>
        <v>11</v>
      </c>
      <c r="U941" s="18">
        <f>IF(LEN(T941)=1,_xlfn.CONCAT(0,T941),T941)</f>
        <v>11</v>
      </c>
      <c r="V941" s="18" t="str">
        <f>_xlfn.CONCAT(S941,U941)</f>
        <v>202411</v>
      </c>
      <c r="W941" s="18" t="str">
        <f>_xlfn.CONCAT(TEXT(A941,"MMM"),"-",MID(Q941,3,2))</f>
        <v>Feb-25</v>
      </c>
      <c r="X941" s="19">
        <f>IFERROR(IF(D941="Sell",(H941-P941),-(H941+P941)),0)</f>
        <v>3729.07</v>
      </c>
      <c r="Y941" s="19">
        <f>X941/1000</f>
        <v>3.7290700000000001</v>
      </c>
    </row>
    <row r="942" spans="1:25" x14ac:dyDescent="0.25">
      <c r="A942" s="1">
        <v>45713</v>
      </c>
      <c r="B942" t="s">
        <v>1271</v>
      </c>
      <c r="C942" t="s">
        <v>17</v>
      </c>
      <c r="D942" t="s">
        <v>22</v>
      </c>
      <c r="E942">
        <v>75</v>
      </c>
      <c r="F942">
        <v>0</v>
      </c>
      <c r="G942">
        <v>68.25</v>
      </c>
      <c r="H942">
        <v>5118.75</v>
      </c>
      <c r="I942" t="s">
        <v>1273</v>
      </c>
      <c r="J942">
        <v>0</v>
      </c>
      <c r="K942">
        <v>1.82</v>
      </c>
      <c r="L942">
        <v>0</v>
      </c>
      <c r="M942">
        <v>0.01</v>
      </c>
      <c r="N942">
        <v>29</v>
      </c>
      <c r="O942">
        <v>5.54</v>
      </c>
      <c r="P942">
        <v>36.369999999999997</v>
      </c>
      <c r="Q942" s="18">
        <f>YEAR(A942)</f>
        <v>2025</v>
      </c>
      <c r="R942" s="18">
        <f>MONTH(A942)</f>
        <v>2</v>
      </c>
      <c r="S942" s="18">
        <f>IF(R942&lt;4,Q942-1,Q942)</f>
        <v>2024</v>
      </c>
      <c r="T942" s="18">
        <f>IF(R942&lt;4,R942+9,R942-3)</f>
        <v>11</v>
      </c>
      <c r="U942" s="18">
        <f>IF(LEN(T942)=1,_xlfn.CONCAT(0,T942),T942)</f>
        <v>11</v>
      </c>
      <c r="V942" s="18" t="str">
        <f>_xlfn.CONCAT(S942,U942)</f>
        <v>202411</v>
      </c>
      <c r="W942" s="18" t="str">
        <f>_xlfn.CONCAT(TEXT(A942,"MMM"),"-",MID(Q942,3,2))</f>
        <v>Feb-25</v>
      </c>
      <c r="X942" s="19">
        <f>IFERROR(IF(D942="Sell",(H942-P942),-(H942+P942)),0)</f>
        <v>-5155.12</v>
      </c>
      <c r="Y942" s="19">
        <f>X942/1000</f>
        <v>-5.1551200000000001</v>
      </c>
    </row>
    <row r="943" spans="1:25" x14ac:dyDescent="0.25">
      <c r="A943" s="1">
        <v>45713</v>
      </c>
      <c r="B943" t="s">
        <v>1274</v>
      </c>
      <c r="C943" t="s">
        <v>17</v>
      </c>
      <c r="D943" t="s">
        <v>18</v>
      </c>
      <c r="E943">
        <v>75</v>
      </c>
      <c r="F943">
        <v>0</v>
      </c>
      <c r="G943">
        <v>68.25</v>
      </c>
      <c r="H943">
        <v>5118.75</v>
      </c>
      <c r="I943" t="s">
        <v>1275</v>
      </c>
      <c r="J943">
        <v>5.12</v>
      </c>
      <c r="K943">
        <v>1.82</v>
      </c>
      <c r="L943">
        <v>0</v>
      </c>
      <c r="M943">
        <v>0.01</v>
      </c>
      <c r="N943">
        <v>29</v>
      </c>
      <c r="O943">
        <v>5.54</v>
      </c>
      <c r="P943">
        <v>41.49</v>
      </c>
      <c r="Q943" s="18">
        <f>YEAR(A943)</f>
        <v>2025</v>
      </c>
      <c r="R943" s="18">
        <f>MONTH(A943)</f>
        <v>2</v>
      </c>
      <c r="S943" s="18">
        <f>IF(R943&lt;4,Q943-1,Q943)</f>
        <v>2024</v>
      </c>
      <c r="T943" s="18">
        <f>IF(R943&lt;4,R943+9,R943-3)</f>
        <v>11</v>
      </c>
      <c r="U943" s="18">
        <f>IF(LEN(T943)=1,_xlfn.CONCAT(0,T943),T943)</f>
        <v>11</v>
      </c>
      <c r="V943" s="18" t="str">
        <f>_xlfn.CONCAT(S943,U943)</f>
        <v>202411</v>
      </c>
      <c r="W943" s="18" t="str">
        <f>_xlfn.CONCAT(TEXT(A943,"MMM"),"-",MID(Q943,3,2))</f>
        <v>Feb-25</v>
      </c>
      <c r="X943" s="19">
        <f>IFERROR(IF(D943="Sell",(H943-P943),-(H943+P943)),0)</f>
        <v>5077.26</v>
      </c>
      <c r="Y943" s="19">
        <f>X943/1000</f>
        <v>5.0772599999999999</v>
      </c>
    </row>
    <row r="944" spans="1:25" x14ac:dyDescent="0.25">
      <c r="A944" s="1">
        <v>45713</v>
      </c>
      <c r="B944" t="s">
        <v>1274</v>
      </c>
      <c r="C944" t="s">
        <v>17</v>
      </c>
      <c r="D944" t="s">
        <v>22</v>
      </c>
      <c r="E944">
        <v>75</v>
      </c>
      <c r="F944">
        <v>0</v>
      </c>
      <c r="G944">
        <v>70</v>
      </c>
      <c r="H944">
        <v>5250</v>
      </c>
      <c r="I944" t="s">
        <v>1276</v>
      </c>
      <c r="J944">
        <v>0</v>
      </c>
      <c r="K944">
        <v>1.87</v>
      </c>
      <c r="L944">
        <v>0</v>
      </c>
      <c r="M944">
        <v>0.01</v>
      </c>
      <c r="N944">
        <v>29</v>
      </c>
      <c r="O944">
        <v>5.56</v>
      </c>
      <c r="P944">
        <v>36.44</v>
      </c>
      <c r="Q944" s="18">
        <f>YEAR(A944)</f>
        <v>2025</v>
      </c>
      <c r="R944" s="18">
        <f>MONTH(A944)</f>
        <v>2</v>
      </c>
      <c r="S944" s="18">
        <f>IF(R944&lt;4,Q944-1,Q944)</f>
        <v>2024</v>
      </c>
      <c r="T944" s="18">
        <f>IF(R944&lt;4,R944+9,R944-3)</f>
        <v>11</v>
      </c>
      <c r="U944" s="18">
        <f>IF(LEN(T944)=1,_xlfn.CONCAT(0,T944),T944)</f>
        <v>11</v>
      </c>
      <c r="V944" s="18" t="str">
        <f>_xlfn.CONCAT(S944,U944)</f>
        <v>202411</v>
      </c>
      <c r="W944" s="18" t="str">
        <f>_xlfn.CONCAT(TEXT(A944,"MMM"),"-",MID(Q944,3,2))</f>
        <v>Feb-25</v>
      </c>
      <c r="X944" s="19">
        <f>IFERROR(IF(D944="Sell",(H944-P944),-(H944+P944)),0)</f>
        <v>-5286.44</v>
      </c>
      <c r="Y944" s="19">
        <f>X944/1000</f>
        <v>-5.2864399999999998</v>
      </c>
    </row>
    <row r="945" spans="1:25" x14ac:dyDescent="0.25">
      <c r="A945" s="1">
        <v>45715</v>
      </c>
      <c r="B945" t="s">
        <v>1408</v>
      </c>
      <c r="C945" t="s">
        <v>17</v>
      </c>
      <c r="D945" t="s">
        <v>18</v>
      </c>
      <c r="E945">
        <v>750</v>
      </c>
      <c r="F945">
        <v>0</v>
      </c>
      <c r="G945">
        <v>24.25</v>
      </c>
      <c r="H945">
        <v>18187.5</v>
      </c>
      <c r="I945" t="s">
        <v>1409</v>
      </c>
      <c r="J945">
        <v>18</v>
      </c>
      <c r="K945">
        <v>6.46</v>
      </c>
      <c r="L945">
        <v>0</v>
      </c>
      <c r="M945">
        <v>0.01</v>
      </c>
      <c r="N945">
        <v>290</v>
      </c>
      <c r="O945">
        <v>53.38</v>
      </c>
      <c r="P945">
        <v>367.85</v>
      </c>
      <c r="Q945" s="18">
        <f>YEAR(A945)</f>
        <v>2025</v>
      </c>
      <c r="R945" s="18">
        <f>MONTH(A945)</f>
        <v>2</v>
      </c>
      <c r="S945" s="18">
        <f>IF(R945&lt;4,Q945-1,Q945)</f>
        <v>2024</v>
      </c>
      <c r="T945" s="18">
        <f>IF(R945&lt;4,R945+9,R945-3)</f>
        <v>11</v>
      </c>
      <c r="U945" s="18">
        <f>IF(LEN(T945)=1,_xlfn.CONCAT(0,T945),T945)</f>
        <v>11</v>
      </c>
      <c r="V945" s="18" t="str">
        <f>_xlfn.CONCAT(S945,U945)</f>
        <v>202411</v>
      </c>
      <c r="W945" s="18" t="str">
        <f>_xlfn.CONCAT(TEXT(A945,"MMM"),"-",MID(Q945,3,2))</f>
        <v>Feb-25</v>
      </c>
      <c r="X945" s="19">
        <f>IFERROR(IF(D945="Sell",(H945-P945),-(H945+P945)),0)</f>
        <v>17819.650000000001</v>
      </c>
      <c r="Y945" s="19">
        <f>X945/1000</f>
        <v>17.819650000000003</v>
      </c>
    </row>
    <row r="946" spans="1:25" x14ac:dyDescent="0.25">
      <c r="A946" s="1">
        <v>45715</v>
      </c>
      <c r="B946" t="s">
        <v>1408</v>
      </c>
      <c r="C946" t="s">
        <v>17</v>
      </c>
      <c r="D946" t="s">
        <v>22</v>
      </c>
      <c r="E946">
        <v>150</v>
      </c>
      <c r="F946">
        <v>0</v>
      </c>
      <c r="G946">
        <v>15.25</v>
      </c>
      <c r="H946">
        <v>2287.5</v>
      </c>
      <c r="I946" t="s">
        <v>1410</v>
      </c>
      <c r="J946">
        <v>0</v>
      </c>
      <c r="K946">
        <v>0.81</v>
      </c>
      <c r="L946">
        <v>0</v>
      </c>
      <c r="M946">
        <v>0</v>
      </c>
      <c r="N946">
        <v>58</v>
      </c>
      <c r="O946">
        <v>10.58</v>
      </c>
      <c r="P946">
        <v>69.39</v>
      </c>
      <c r="Q946" s="18">
        <f>YEAR(A946)</f>
        <v>2025</v>
      </c>
      <c r="R946" s="18">
        <f>MONTH(A946)</f>
        <v>2</v>
      </c>
      <c r="S946" s="18">
        <f>IF(R946&lt;4,Q946-1,Q946)</f>
        <v>2024</v>
      </c>
      <c r="T946" s="18">
        <f>IF(R946&lt;4,R946+9,R946-3)</f>
        <v>11</v>
      </c>
      <c r="U946" s="18">
        <f>IF(LEN(T946)=1,_xlfn.CONCAT(0,T946),T946)</f>
        <v>11</v>
      </c>
      <c r="V946" s="18" t="str">
        <f>_xlfn.CONCAT(S946,U946)</f>
        <v>202411</v>
      </c>
      <c r="W946" s="18" t="str">
        <f>_xlfn.CONCAT(TEXT(A946,"MMM"),"-",MID(Q946,3,2))</f>
        <v>Feb-25</v>
      </c>
      <c r="X946" s="19">
        <f>IFERROR(IF(D946="Sell",(H946-P946),-(H946+P946)),0)</f>
        <v>-2356.89</v>
      </c>
      <c r="Y946" s="19">
        <f>X946/1000</f>
        <v>-2.3568899999999999</v>
      </c>
    </row>
    <row r="947" spans="1:25" x14ac:dyDescent="0.25">
      <c r="A947" s="1">
        <v>45715</v>
      </c>
      <c r="B947" t="s">
        <v>1408</v>
      </c>
      <c r="C947" t="s">
        <v>17</v>
      </c>
      <c r="D947" t="s">
        <v>22</v>
      </c>
      <c r="E947">
        <v>150</v>
      </c>
      <c r="F947">
        <v>0</v>
      </c>
      <c r="G947">
        <v>17.05</v>
      </c>
      <c r="H947">
        <v>2557.5</v>
      </c>
      <c r="I947" t="s">
        <v>1411</v>
      </c>
      <c r="J947">
        <v>0</v>
      </c>
      <c r="K947">
        <v>0.91</v>
      </c>
      <c r="L947">
        <v>0</v>
      </c>
      <c r="M947">
        <v>0</v>
      </c>
      <c r="N947">
        <v>58</v>
      </c>
      <c r="O947">
        <v>10.6</v>
      </c>
      <c r="P947">
        <v>69.510000000000005</v>
      </c>
      <c r="Q947" s="18">
        <f>YEAR(A947)</f>
        <v>2025</v>
      </c>
      <c r="R947" s="18">
        <f>MONTH(A947)</f>
        <v>2</v>
      </c>
      <c r="S947" s="18">
        <f>IF(R947&lt;4,Q947-1,Q947)</f>
        <v>2024</v>
      </c>
      <c r="T947" s="18">
        <f>IF(R947&lt;4,R947+9,R947-3)</f>
        <v>11</v>
      </c>
      <c r="U947" s="18">
        <f>IF(LEN(T947)=1,_xlfn.CONCAT(0,T947),T947)</f>
        <v>11</v>
      </c>
      <c r="V947" s="18" t="str">
        <f>_xlfn.CONCAT(S947,U947)</f>
        <v>202411</v>
      </c>
      <c r="W947" s="18" t="str">
        <f>_xlfn.CONCAT(TEXT(A947,"MMM"),"-",MID(Q947,3,2))</f>
        <v>Feb-25</v>
      </c>
      <c r="X947" s="19">
        <f>IFERROR(IF(D947="Sell",(H947-P947),-(H947+P947)),0)</f>
        <v>-2627.01</v>
      </c>
      <c r="Y947" s="19">
        <f>X947/1000</f>
        <v>-2.6270100000000003</v>
      </c>
    </row>
    <row r="948" spans="1:25" x14ac:dyDescent="0.25">
      <c r="A948" s="1">
        <v>45715</v>
      </c>
      <c r="B948" t="s">
        <v>1408</v>
      </c>
      <c r="C948" t="s">
        <v>17</v>
      </c>
      <c r="D948" t="s">
        <v>22</v>
      </c>
      <c r="E948">
        <v>150</v>
      </c>
      <c r="F948">
        <v>0</v>
      </c>
      <c r="G948">
        <v>20.149999999999999</v>
      </c>
      <c r="H948">
        <v>3022.5</v>
      </c>
      <c r="I948" t="s">
        <v>1412</v>
      </c>
      <c r="J948">
        <v>0</v>
      </c>
      <c r="K948">
        <v>1.08</v>
      </c>
      <c r="L948">
        <v>0</v>
      </c>
      <c r="M948">
        <v>0</v>
      </c>
      <c r="N948">
        <v>58</v>
      </c>
      <c r="O948">
        <v>10.64</v>
      </c>
      <c r="P948">
        <v>69.72</v>
      </c>
      <c r="Q948" s="18">
        <f>YEAR(A948)</f>
        <v>2025</v>
      </c>
      <c r="R948" s="18">
        <f>MONTH(A948)</f>
        <v>2</v>
      </c>
      <c r="S948" s="18">
        <f>IF(R948&lt;4,Q948-1,Q948)</f>
        <v>2024</v>
      </c>
      <c r="T948" s="18">
        <f>IF(R948&lt;4,R948+9,R948-3)</f>
        <v>11</v>
      </c>
      <c r="U948" s="18">
        <f>IF(LEN(T948)=1,_xlfn.CONCAT(0,T948),T948)</f>
        <v>11</v>
      </c>
      <c r="V948" s="18" t="str">
        <f>_xlfn.CONCAT(S948,U948)</f>
        <v>202411</v>
      </c>
      <c r="W948" s="18" t="str">
        <f>_xlfn.CONCAT(TEXT(A948,"MMM"),"-",MID(Q948,3,2))</f>
        <v>Feb-25</v>
      </c>
      <c r="X948" s="19">
        <f>IFERROR(IF(D948="Sell",(H948-P948),-(H948+P948)),0)</f>
        <v>-3092.22</v>
      </c>
      <c r="Y948" s="19">
        <f>X948/1000</f>
        <v>-3.0922199999999997</v>
      </c>
    </row>
    <row r="949" spans="1:25" x14ac:dyDescent="0.25">
      <c r="A949" s="1">
        <v>45715</v>
      </c>
      <c r="B949" t="s">
        <v>1408</v>
      </c>
      <c r="C949" t="s">
        <v>17</v>
      </c>
      <c r="D949" t="s">
        <v>22</v>
      </c>
      <c r="E949">
        <v>75</v>
      </c>
      <c r="F949">
        <v>0</v>
      </c>
      <c r="G949">
        <v>24.25</v>
      </c>
      <c r="H949">
        <v>1818.75</v>
      </c>
      <c r="I949" t="s">
        <v>1413</v>
      </c>
      <c r="J949">
        <v>0</v>
      </c>
      <c r="K949">
        <v>0.65</v>
      </c>
      <c r="L949">
        <v>0</v>
      </c>
      <c r="M949">
        <v>0</v>
      </c>
      <c r="N949">
        <v>29</v>
      </c>
      <c r="O949">
        <v>5.34</v>
      </c>
      <c r="P949">
        <v>34.99</v>
      </c>
      <c r="Q949" s="18">
        <f>YEAR(A949)</f>
        <v>2025</v>
      </c>
      <c r="R949" s="18">
        <f>MONTH(A949)</f>
        <v>2</v>
      </c>
      <c r="S949" s="18">
        <f>IF(R949&lt;4,Q949-1,Q949)</f>
        <v>2024</v>
      </c>
      <c r="T949" s="18">
        <f>IF(R949&lt;4,R949+9,R949-3)</f>
        <v>11</v>
      </c>
      <c r="U949" s="18">
        <f>IF(LEN(T949)=1,_xlfn.CONCAT(0,T949),T949)</f>
        <v>11</v>
      </c>
      <c r="V949" s="18" t="str">
        <f>_xlfn.CONCAT(S949,U949)</f>
        <v>202411</v>
      </c>
      <c r="W949" s="18" t="str">
        <f>_xlfn.CONCAT(TEXT(A949,"MMM"),"-",MID(Q949,3,2))</f>
        <v>Feb-25</v>
      </c>
      <c r="X949" s="19">
        <f>IFERROR(IF(D949="Sell",(H949-P949),-(H949+P949)),0)</f>
        <v>-1853.74</v>
      </c>
      <c r="Y949" s="19">
        <f>X949/1000</f>
        <v>-1.8537399999999999</v>
      </c>
    </row>
    <row r="950" spans="1:25" x14ac:dyDescent="0.25">
      <c r="A950" s="1">
        <v>45715</v>
      </c>
      <c r="B950" t="s">
        <v>1408</v>
      </c>
      <c r="C950" t="s">
        <v>17</v>
      </c>
      <c r="D950" t="s">
        <v>22</v>
      </c>
      <c r="E950">
        <v>75</v>
      </c>
      <c r="F950">
        <v>0</v>
      </c>
      <c r="G950">
        <v>24.25</v>
      </c>
      <c r="H950">
        <v>1818.75</v>
      </c>
      <c r="I950" t="s">
        <v>1414</v>
      </c>
      <c r="J950">
        <v>0</v>
      </c>
      <c r="K950">
        <v>0.65</v>
      </c>
      <c r="L950">
        <v>0</v>
      </c>
      <c r="M950">
        <v>0</v>
      </c>
      <c r="N950">
        <v>29</v>
      </c>
      <c r="O950">
        <v>5.34</v>
      </c>
      <c r="P950">
        <v>34.99</v>
      </c>
      <c r="Q950" s="18">
        <f>YEAR(A950)</f>
        <v>2025</v>
      </c>
      <c r="R950" s="18">
        <f>MONTH(A950)</f>
        <v>2</v>
      </c>
      <c r="S950" s="18">
        <f>IF(R950&lt;4,Q950-1,Q950)</f>
        <v>2024</v>
      </c>
      <c r="T950" s="18">
        <f>IF(R950&lt;4,R950+9,R950-3)</f>
        <v>11</v>
      </c>
      <c r="U950" s="18">
        <f>IF(LEN(T950)=1,_xlfn.CONCAT(0,T950),T950)</f>
        <v>11</v>
      </c>
      <c r="V950" s="18" t="str">
        <f>_xlfn.CONCAT(S950,U950)</f>
        <v>202411</v>
      </c>
      <c r="W950" s="18" t="str">
        <f>_xlfn.CONCAT(TEXT(A950,"MMM"),"-",MID(Q950,3,2))</f>
        <v>Feb-25</v>
      </c>
      <c r="X950" s="19">
        <f>IFERROR(IF(D950="Sell",(H950-P950),-(H950+P950)),0)</f>
        <v>-1853.74</v>
      </c>
      <c r="Y950" s="19">
        <f>X950/1000</f>
        <v>-1.8537399999999999</v>
      </c>
    </row>
    <row r="951" spans="1:25" x14ac:dyDescent="0.25">
      <c r="A951" s="1">
        <v>45715</v>
      </c>
      <c r="B951" t="s">
        <v>1408</v>
      </c>
      <c r="C951" t="s">
        <v>17</v>
      </c>
      <c r="D951" t="s">
        <v>22</v>
      </c>
      <c r="E951">
        <v>75</v>
      </c>
      <c r="F951">
        <v>0</v>
      </c>
      <c r="G951">
        <v>24.15</v>
      </c>
      <c r="H951">
        <v>1811.25</v>
      </c>
      <c r="I951" t="s">
        <v>1415</v>
      </c>
      <c r="J951">
        <v>0</v>
      </c>
      <c r="K951">
        <v>0.64</v>
      </c>
      <c r="L951">
        <v>0</v>
      </c>
      <c r="M951">
        <v>0</v>
      </c>
      <c r="N951">
        <v>29</v>
      </c>
      <c r="O951">
        <v>5.34</v>
      </c>
      <c r="P951">
        <v>34.979999999999997</v>
      </c>
      <c r="Q951" s="18">
        <f>YEAR(A951)</f>
        <v>2025</v>
      </c>
      <c r="R951" s="18">
        <f>MONTH(A951)</f>
        <v>2</v>
      </c>
      <c r="S951" s="18">
        <f>IF(R951&lt;4,Q951-1,Q951)</f>
        <v>2024</v>
      </c>
      <c r="T951" s="18">
        <f>IF(R951&lt;4,R951+9,R951-3)</f>
        <v>11</v>
      </c>
      <c r="U951" s="18">
        <f>IF(LEN(T951)=1,_xlfn.CONCAT(0,T951),T951)</f>
        <v>11</v>
      </c>
      <c r="V951" s="18" t="str">
        <f>_xlfn.CONCAT(S951,U951)</f>
        <v>202411</v>
      </c>
      <c r="W951" s="18" t="str">
        <f>_xlfn.CONCAT(TEXT(A951,"MMM"),"-",MID(Q951,3,2))</f>
        <v>Feb-25</v>
      </c>
      <c r="X951" s="19">
        <f>IFERROR(IF(D951="Sell",(H951-P951),-(H951+P951)),0)</f>
        <v>-1846.23</v>
      </c>
      <c r="Y951" s="19">
        <f>X951/1000</f>
        <v>-1.84623</v>
      </c>
    </row>
    <row r="952" spans="1:25" x14ac:dyDescent="0.25">
      <c r="A952" s="1">
        <v>45715</v>
      </c>
      <c r="B952" t="s">
        <v>1408</v>
      </c>
      <c r="C952" t="s">
        <v>17</v>
      </c>
      <c r="D952" t="s">
        <v>22</v>
      </c>
      <c r="E952">
        <v>75</v>
      </c>
      <c r="F952">
        <v>0</v>
      </c>
      <c r="G952">
        <v>25</v>
      </c>
      <c r="H952">
        <v>1875</v>
      </c>
      <c r="I952" t="s">
        <v>1416</v>
      </c>
      <c r="J952">
        <v>0</v>
      </c>
      <c r="K952">
        <v>0.67</v>
      </c>
      <c r="L952">
        <v>0</v>
      </c>
      <c r="M952">
        <v>0</v>
      </c>
      <c r="N952">
        <v>29</v>
      </c>
      <c r="O952">
        <v>5.34</v>
      </c>
      <c r="P952">
        <v>35.01</v>
      </c>
      <c r="Q952" s="18">
        <f>YEAR(A952)</f>
        <v>2025</v>
      </c>
      <c r="R952" s="18">
        <f>MONTH(A952)</f>
        <v>2</v>
      </c>
      <c r="S952" s="18">
        <f>IF(R952&lt;4,Q952-1,Q952)</f>
        <v>2024</v>
      </c>
      <c r="T952" s="18">
        <f>IF(R952&lt;4,R952+9,R952-3)</f>
        <v>11</v>
      </c>
      <c r="U952" s="18">
        <f>IF(LEN(T952)=1,_xlfn.CONCAT(0,T952),T952)</f>
        <v>11</v>
      </c>
      <c r="V952" s="18" t="str">
        <f>_xlfn.CONCAT(S952,U952)</f>
        <v>202411</v>
      </c>
      <c r="W952" s="18" t="str">
        <f>_xlfn.CONCAT(TEXT(A952,"MMM"),"-",MID(Q952,3,2))</f>
        <v>Feb-25</v>
      </c>
      <c r="X952" s="19">
        <f>IFERROR(IF(D952="Sell",(H952-P952),-(H952+P952)),0)</f>
        <v>-1910.01</v>
      </c>
      <c r="Y952" s="19">
        <f>X952/1000</f>
        <v>-1.91001</v>
      </c>
    </row>
    <row r="953" spans="1:25" x14ac:dyDescent="0.25">
      <c r="A953" s="1">
        <v>45716</v>
      </c>
      <c r="B953" t="s">
        <v>1396</v>
      </c>
      <c r="C953" t="s">
        <v>17</v>
      </c>
      <c r="D953" t="s">
        <v>18</v>
      </c>
      <c r="E953">
        <v>450</v>
      </c>
      <c r="F953">
        <v>0</v>
      </c>
      <c r="G953">
        <v>90</v>
      </c>
      <c r="H953">
        <v>40500</v>
      </c>
      <c r="I953" t="s">
        <v>1397</v>
      </c>
      <c r="J953">
        <v>40.5</v>
      </c>
      <c r="K953">
        <v>14.39</v>
      </c>
      <c r="L953">
        <v>0</v>
      </c>
      <c r="M953">
        <v>0.04</v>
      </c>
      <c r="N953">
        <v>174</v>
      </c>
      <c r="O953">
        <v>33.92</v>
      </c>
      <c r="P953">
        <v>262.85000000000002</v>
      </c>
      <c r="Q953" s="18">
        <f>YEAR(A953)</f>
        <v>2025</v>
      </c>
      <c r="R953" s="18">
        <f>MONTH(A953)</f>
        <v>2</v>
      </c>
      <c r="S953" s="18">
        <f>IF(R953&lt;4,Q953-1,Q953)</f>
        <v>2024</v>
      </c>
      <c r="T953" s="18">
        <f>IF(R953&lt;4,R953+9,R953-3)</f>
        <v>11</v>
      </c>
      <c r="U953" s="18">
        <f>IF(LEN(T953)=1,_xlfn.CONCAT(0,T953),T953)</f>
        <v>11</v>
      </c>
      <c r="V953" s="18" t="str">
        <f>_xlfn.CONCAT(S953,U953)</f>
        <v>202411</v>
      </c>
      <c r="W953" s="18" t="str">
        <f>_xlfn.CONCAT(TEXT(A953,"MMM"),"-",MID(Q953,3,2))</f>
        <v>Feb-25</v>
      </c>
      <c r="X953" s="19">
        <f>IFERROR(IF(D953="Sell",(H953-P953),-(H953+P953)),0)</f>
        <v>40237.15</v>
      </c>
      <c r="Y953" s="19">
        <f>X953/1000</f>
        <v>40.23715</v>
      </c>
    </row>
    <row r="954" spans="1:25" x14ac:dyDescent="0.25">
      <c r="A954" s="1">
        <v>45716</v>
      </c>
      <c r="B954" t="s">
        <v>1396</v>
      </c>
      <c r="C954" t="s">
        <v>17</v>
      </c>
      <c r="D954" t="s">
        <v>22</v>
      </c>
      <c r="E954">
        <v>450</v>
      </c>
      <c r="F954">
        <v>0</v>
      </c>
      <c r="G954">
        <v>107.95</v>
      </c>
      <c r="H954">
        <v>48577.5</v>
      </c>
      <c r="I954" t="s">
        <v>1398</v>
      </c>
      <c r="J954">
        <v>0</v>
      </c>
      <c r="K954">
        <v>17.28</v>
      </c>
      <c r="L954">
        <v>0</v>
      </c>
      <c r="M954">
        <v>0.06</v>
      </c>
      <c r="N954">
        <v>174</v>
      </c>
      <c r="O954">
        <v>34.44</v>
      </c>
      <c r="P954">
        <v>225.78</v>
      </c>
      <c r="Q954" s="18">
        <f>YEAR(A954)</f>
        <v>2025</v>
      </c>
      <c r="R954" s="18">
        <f>MONTH(A954)</f>
        <v>2</v>
      </c>
      <c r="S954" s="18">
        <f>IF(R954&lt;4,Q954-1,Q954)</f>
        <v>2024</v>
      </c>
      <c r="T954" s="18">
        <f>IF(R954&lt;4,R954+9,R954-3)</f>
        <v>11</v>
      </c>
      <c r="U954" s="18">
        <f>IF(LEN(T954)=1,_xlfn.CONCAT(0,T954),T954)</f>
        <v>11</v>
      </c>
      <c r="V954" s="18" t="str">
        <f>_xlfn.CONCAT(S954,U954)</f>
        <v>202411</v>
      </c>
      <c r="W954" s="18" t="str">
        <f>_xlfn.CONCAT(TEXT(A954,"MMM"),"-",MID(Q954,3,2))</f>
        <v>Feb-25</v>
      </c>
      <c r="X954" s="19">
        <f>IFERROR(IF(D954="Sell",(H954-P954),-(H954+P954)),0)</f>
        <v>-48803.28</v>
      </c>
      <c r="Y954" s="19">
        <f>X954/1000</f>
        <v>-48.803280000000001</v>
      </c>
    </row>
    <row r="955" spans="1:25" x14ac:dyDescent="0.25">
      <c r="A955" s="1">
        <v>45716</v>
      </c>
      <c r="B955" t="s">
        <v>1387</v>
      </c>
      <c r="C955" t="s">
        <v>17</v>
      </c>
      <c r="D955" t="s">
        <v>18</v>
      </c>
      <c r="E955">
        <v>300</v>
      </c>
      <c r="F955">
        <v>0</v>
      </c>
      <c r="G955">
        <v>169.25</v>
      </c>
      <c r="H955">
        <v>50775</v>
      </c>
      <c r="I955" t="s">
        <v>1399</v>
      </c>
      <c r="J955">
        <v>50.65</v>
      </c>
      <c r="K955">
        <v>18.04</v>
      </c>
      <c r="L955">
        <v>0</v>
      </c>
      <c r="M955">
        <v>0.05</v>
      </c>
      <c r="N955">
        <v>116</v>
      </c>
      <c r="O955">
        <v>24.14</v>
      </c>
      <c r="P955">
        <v>208.88</v>
      </c>
      <c r="Q955" s="18">
        <f>YEAR(A955)</f>
        <v>2025</v>
      </c>
      <c r="R955" s="18">
        <f>MONTH(A955)</f>
        <v>2</v>
      </c>
      <c r="S955" s="18">
        <f>IF(R955&lt;4,Q955-1,Q955)</f>
        <v>2024</v>
      </c>
      <c r="T955" s="18">
        <f>IF(R955&lt;4,R955+9,R955-3)</f>
        <v>11</v>
      </c>
      <c r="U955" s="18">
        <f>IF(LEN(T955)=1,_xlfn.CONCAT(0,T955),T955)</f>
        <v>11</v>
      </c>
      <c r="V955" s="18" t="str">
        <f>_xlfn.CONCAT(S955,U955)</f>
        <v>202411</v>
      </c>
      <c r="W955" s="18" t="str">
        <f>_xlfn.CONCAT(TEXT(A955,"MMM"),"-",MID(Q955,3,2))</f>
        <v>Feb-25</v>
      </c>
      <c r="X955" s="19">
        <f>IFERROR(IF(D955="Sell",(H955-P955),-(H955+P955)),0)</f>
        <v>50566.12</v>
      </c>
      <c r="Y955" s="19">
        <f>X955/1000</f>
        <v>50.566120000000005</v>
      </c>
    </row>
    <row r="956" spans="1:25" x14ac:dyDescent="0.25">
      <c r="A956" s="1">
        <v>45716</v>
      </c>
      <c r="B956" t="s">
        <v>1387</v>
      </c>
      <c r="C956" t="s">
        <v>17</v>
      </c>
      <c r="D956" t="s">
        <v>22</v>
      </c>
      <c r="E956">
        <v>300</v>
      </c>
      <c r="F956">
        <v>0</v>
      </c>
      <c r="G956">
        <v>148.71</v>
      </c>
      <c r="H956">
        <v>44613.75</v>
      </c>
      <c r="I956" t="s">
        <v>1400</v>
      </c>
      <c r="J956">
        <v>0</v>
      </c>
      <c r="K956">
        <v>15.85</v>
      </c>
      <c r="L956">
        <v>2.34</v>
      </c>
      <c r="M956">
        <v>0.04</v>
      </c>
      <c r="N956">
        <v>116</v>
      </c>
      <c r="O956">
        <v>23.74</v>
      </c>
      <c r="P956">
        <v>157.97</v>
      </c>
      <c r="Q956" s="18">
        <f>YEAR(A956)</f>
        <v>2025</v>
      </c>
      <c r="R956" s="18">
        <f>MONTH(A956)</f>
        <v>2</v>
      </c>
      <c r="S956" s="18">
        <f>IF(R956&lt;4,Q956-1,Q956)</f>
        <v>2024</v>
      </c>
      <c r="T956" s="18">
        <f>IF(R956&lt;4,R956+9,R956-3)</f>
        <v>11</v>
      </c>
      <c r="U956" s="18">
        <f>IF(LEN(T956)=1,_xlfn.CONCAT(0,T956),T956)</f>
        <v>11</v>
      </c>
      <c r="V956" s="18" t="str">
        <f>_xlfn.CONCAT(S956,U956)</f>
        <v>202411</v>
      </c>
      <c r="W956" s="18" t="str">
        <f>_xlfn.CONCAT(TEXT(A956,"MMM"),"-",MID(Q956,3,2))</f>
        <v>Feb-25</v>
      </c>
      <c r="X956" s="19">
        <f>IFERROR(IF(D956="Sell",(H956-P956),-(H956+P956)),0)</f>
        <v>-44771.72</v>
      </c>
      <c r="Y956" s="19">
        <f>X956/1000</f>
        <v>-44.771720000000002</v>
      </c>
    </row>
    <row r="957" spans="1:25" x14ac:dyDescent="0.25">
      <c r="A957" s="1">
        <v>45716</v>
      </c>
      <c r="B957" t="s">
        <v>1396</v>
      </c>
      <c r="C957" t="s">
        <v>17</v>
      </c>
      <c r="D957" t="s">
        <v>18</v>
      </c>
      <c r="E957">
        <v>300</v>
      </c>
      <c r="F957">
        <v>0</v>
      </c>
      <c r="G957">
        <v>127.25</v>
      </c>
      <c r="H957">
        <v>38175</v>
      </c>
      <c r="I957" t="s">
        <v>1401</v>
      </c>
      <c r="J957">
        <v>38.18</v>
      </c>
      <c r="K957">
        <v>13.56</v>
      </c>
      <c r="L957">
        <v>0</v>
      </c>
      <c r="M957">
        <v>0.04</v>
      </c>
      <c r="N957">
        <v>116</v>
      </c>
      <c r="O957">
        <v>23.32</v>
      </c>
      <c r="P957">
        <v>191.1</v>
      </c>
      <c r="Q957" s="18">
        <f>YEAR(A957)</f>
        <v>2025</v>
      </c>
      <c r="R957" s="18">
        <f>MONTH(A957)</f>
        <v>2</v>
      </c>
      <c r="S957" s="18">
        <f>IF(R957&lt;4,Q957-1,Q957)</f>
        <v>2024</v>
      </c>
      <c r="T957" s="18">
        <f>IF(R957&lt;4,R957+9,R957-3)</f>
        <v>11</v>
      </c>
      <c r="U957" s="18">
        <f>IF(LEN(T957)=1,_xlfn.CONCAT(0,T957),T957)</f>
        <v>11</v>
      </c>
      <c r="V957" s="18" t="str">
        <f>_xlfn.CONCAT(S957,U957)</f>
        <v>202411</v>
      </c>
      <c r="W957" s="18" t="str">
        <f>_xlfn.CONCAT(TEXT(A957,"MMM"),"-",MID(Q957,3,2))</f>
        <v>Feb-25</v>
      </c>
      <c r="X957" s="19">
        <f>IFERROR(IF(D957="Sell",(H957-P957),-(H957+P957)),0)</f>
        <v>37983.9</v>
      </c>
      <c r="Y957" s="19">
        <f>X957/1000</f>
        <v>37.983899999999998</v>
      </c>
    </row>
    <row r="958" spans="1:25" x14ac:dyDescent="0.25">
      <c r="A958" s="1">
        <v>45716</v>
      </c>
      <c r="B958" t="s">
        <v>1396</v>
      </c>
      <c r="C958" t="s">
        <v>17</v>
      </c>
      <c r="D958" t="s">
        <v>22</v>
      </c>
      <c r="E958">
        <v>300</v>
      </c>
      <c r="F958">
        <v>0</v>
      </c>
      <c r="G958">
        <v>126.25</v>
      </c>
      <c r="H958">
        <v>37875</v>
      </c>
      <c r="I958" t="s">
        <v>1402</v>
      </c>
      <c r="J958">
        <v>0</v>
      </c>
      <c r="K958">
        <v>13.46</v>
      </c>
      <c r="L958">
        <v>0</v>
      </c>
      <c r="M958">
        <v>0.04</v>
      </c>
      <c r="N958">
        <v>116</v>
      </c>
      <c r="O958">
        <v>23.32</v>
      </c>
      <c r="P958">
        <v>152.82</v>
      </c>
      <c r="Q958" s="18">
        <f>YEAR(A958)</f>
        <v>2025</v>
      </c>
      <c r="R958" s="18">
        <f>MONTH(A958)</f>
        <v>2</v>
      </c>
      <c r="S958" s="18">
        <f>IF(R958&lt;4,Q958-1,Q958)</f>
        <v>2024</v>
      </c>
      <c r="T958" s="18">
        <f>IF(R958&lt;4,R958+9,R958-3)</f>
        <v>11</v>
      </c>
      <c r="U958" s="18">
        <f>IF(LEN(T958)=1,_xlfn.CONCAT(0,T958),T958)</f>
        <v>11</v>
      </c>
      <c r="V958" s="18" t="str">
        <f>_xlfn.CONCAT(S958,U958)</f>
        <v>202411</v>
      </c>
      <c r="W958" s="18" t="str">
        <f>_xlfn.CONCAT(TEXT(A958,"MMM"),"-",MID(Q958,3,2))</f>
        <v>Feb-25</v>
      </c>
      <c r="X958" s="19">
        <f>IFERROR(IF(D958="Sell",(H958-P958),-(H958+P958)),0)</f>
        <v>-38027.82</v>
      </c>
      <c r="Y958" s="19">
        <f>X958/1000</f>
        <v>-38.027819999999998</v>
      </c>
    </row>
    <row r="959" spans="1:25" x14ac:dyDescent="0.25">
      <c r="A959" s="1">
        <v>45716</v>
      </c>
      <c r="B959" t="s">
        <v>1387</v>
      </c>
      <c r="C959" t="s">
        <v>17</v>
      </c>
      <c r="D959" t="s">
        <v>18</v>
      </c>
      <c r="E959">
        <v>300</v>
      </c>
      <c r="F959">
        <v>0</v>
      </c>
      <c r="G959">
        <v>122.25</v>
      </c>
      <c r="H959">
        <v>36675</v>
      </c>
      <c r="I959" t="s">
        <v>1403</v>
      </c>
      <c r="J959">
        <v>36.68</v>
      </c>
      <c r="K959">
        <v>13.03</v>
      </c>
      <c r="L959">
        <v>0</v>
      </c>
      <c r="M959">
        <v>0.04</v>
      </c>
      <c r="N959">
        <v>116</v>
      </c>
      <c r="O959">
        <v>23.22</v>
      </c>
      <c r="P959">
        <v>188.97</v>
      </c>
      <c r="Q959" s="18">
        <f>YEAR(A959)</f>
        <v>2025</v>
      </c>
      <c r="R959" s="18">
        <f>MONTH(A959)</f>
        <v>2</v>
      </c>
      <c r="S959" s="18">
        <f>IF(R959&lt;4,Q959-1,Q959)</f>
        <v>2024</v>
      </c>
      <c r="T959" s="18">
        <f>IF(R959&lt;4,R959+9,R959-3)</f>
        <v>11</v>
      </c>
      <c r="U959" s="18">
        <f>IF(LEN(T959)=1,_xlfn.CONCAT(0,T959),T959)</f>
        <v>11</v>
      </c>
      <c r="V959" s="18" t="str">
        <f>_xlfn.CONCAT(S959,U959)</f>
        <v>202411</v>
      </c>
      <c r="W959" s="18" t="str">
        <f>_xlfn.CONCAT(TEXT(A959,"MMM"),"-",MID(Q959,3,2))</f>
        <v>Feb-25</v>
      </c>
      <c r="X959" s="19">
        <f>IFERROR(IF(D959="Sell",(H959-P959),-(H959+P959)),0)</f>
        <v>36486.03</v>
      </c>
      <c r="Y959" s="19">
        <f>X959/1000</f>
        <v>36.48603</v>
      </c>
    </row>
    <row r="960" spans="1:25" x14ac:dyDescent="0.25">
      <c r="A960" s="1">
        <v>45716</v>
      </c>
      <c r="B960" t="s">
        <v>1387</v>
      </c>
      <c r="C960" t="s">
        <v>17</v>
      </c>
      <c r="D960" t="s">
        <v>22</v>
      </c>
      <c r="E960">
        <v>300</v>
      </c>
      <c r="F960">
        <v>0</v>
      </c>
      <c r="G960">
        <v>111.78</v>
      </c>
      <c r="H960">
        <v>33532.5</v>
      </c>
      <c r="I960" t="s">
        <v>1404</v>
      </c>
      <c r="J960">
        <v>0</v>
      </c>
      <c r="K960">
        <v>11.92</v>
      </c>
      <c r="L960">
        <v>0</v>
      </c>
      <c r="M960">
        <v>0.04</v>
      </c>
      <c r="N960">
        <v>116</v>
      </c>
      <c r="O960">
        <v>23.04</v>
      </c>
      <c r="P960">
        <v>151</v>
      </c>
      <c r="Q960" s="18">
        <f>YEAR(A960)</f>
        <v>2025</v>
      </c>
      <c r="R960" s="18">
        <f>MONTH(A960)</f>
        <v>2</v>
      </c>
      <c r="S960" s="18">
        <f>IF(R960&lt;4,Q960-1,Q960)</f>
        <v>2024</v>
      </c>
      <c r="T960" s="18">
        <f>IF(R960&lt;4,R960+9,R960-3)</f>
        <v>11</v>
      </c>
      <c r="U960" s="18">
        <f>IF(LEN(T960)=1,_xlfn.CONCAT(0,T960),T960)</f>
        <v>11</v>
      </c>
      <c r="V960" s="18" t="str">
        <f>_xlfn.CONCAT(S960,U960)</f>
        <v>202411</v>
      </c>
      <c r="W960" s="18" t="str">
        <f>_xlfn.CONCAT(TEXT(A960,"MMM"),"-",MID(Q960,3,2))</f>
        <v>Feb-25</v>
      </c>
      <c r="X960" s="19">
        <f>IFERROR(IF(D960="Sell",(H960-P960),-(H960+P960)),0)</f>
        <v>-33683.5</v>
      </c>
      <c r="Y960" s="19">
        <f>X960/1000</f>
        <v>-33.683500000000002</v>
      </c>
    </row>
    <row r="961" spans="1:25" x14ac:dyDescent="0.25">
      <c r="A961" s="1">
        <v>45716</v>
      </c>
      <c r="B961" t="s">
        <v>1396</v>
      </c>
      <c r="C961" t="s">
        <v>17</v>
      </c>
      <c r="D961" t="s">
        <v>18</v>
      </c>
      <c r="E961">
        <v>375</v>
      </c>
      <c r="F961">
        <v>0</v>
      </c>
      <c r="G961">
        <v>128</v>
      </c>
      <c r="H961">
        <v>48000</v>
      </c>
      <c r="I961" t="s">
        <v>1405</v>
      </c>
      <c r="J961">
        <v>48</v>
      </c>
      <c r="K961">
        <v>17.05</v>
      </c>
      <c r="L961">
        <v>0</v>
      </c>
      <c r="M961">
        <v>0.05</v>
      </c>
      <c r="N961">
        <v>145</v>
      </c>
      <c r="O961">
        <v>29.18</v>
      </c>
      <c r="P961">
        <v>239.28</v>
      </c>
      <c r="Q961" s="18">
        <f>YEAR(A961)</f>
        <v>2025</v>
      </c>
      <c r="R961" s="18">
        <f>MONTH(A961)</f>
        <v>2</v>
      </c>
      <c r="S961" s="18">
        <f>IF(R961&lt;4,Q961-1,Q961)</f>
        <v>2024</v>
      </c>
      <c r="T961" s="18">
        <f>IF(R961&lt;4,R961+9,R961-3)</f>
        <v>11</v>
      </c>
      <c r="U961" s="18">
        <f>IF(LEN(T961)=1,_xlfn.CONCAT(0,T961),T961)</f>
        <v>11</v>
      </c>
      <c r="V961" s="18" t="str">
        <f>_xlfn.CONCAT(S961,U961)</f>
        <v>202411</v>
      </c>
      <c r="W961" s="18" t="str">
        <f>_xlfn.CONCAT(TEXT(A961,"MMM"),"-",MID(Q961,3,2))</f>
        <v>Feb-25</v>
      </c>
      <c r="X961" s="19">
        <f>IFERROR(IF(D961="Sell",(H961-P961),-(H961+P961)),0)</f>
        <v>47760.72</v>
      </c>
      <c r="Y961" s="19">
        <f>X961/1000</f>
        <v>47.760719999999999</v>
      </c>
    </row>
    <row r="962" spans="1:25" x14ac:dyDescent="0.25">
      <c r="A962" s="1">
        <v>45716</v>
      </c>
      <c r="B962" t="s">
        <v>1396</v>
      </c>
      <c r="C962" t="s">
        <v>17</v>
      </c>
      <c r="D962" t="s">
        <v>22</v>
      </c>
      <c r="E962">
        <v>300</v>
      </c>
      <c r="F962">
        <v>0</v>
      </c>
      <c r="G962">
        <v>145.25</v>
      </c>
      <c r="H962">
        <v>43575</v>
      </c>
      <c r="I962" t="s">
        <v>1406</v>
      </c>
      <c r="J962">
        <v>0</v>
      </c>
      <c r="K962">
        <v>15.48</v>
      </c>
      <c r="L962">
        <v>4.66</v>
      </c>
      <c r="M962">
        <v>0.04</v>
      </c>
      <c r="N962">
        <v>116</v>
      </c>
      <c r="O962">
        <v>23.68</v>
      </c>
      <c r="P962">
        <v>159.86000000000001</v>
      </c>
      <c r="Q962" s="18">
        <f>YEAR(A962)</f>
        <v>2025</v>
      </c>
      <c r="R962" s="18">
        <f>MONTH(A962)</f>
        <v>2</v>
      </c>
      <c r="S962" s="18">
        <f>IF(R962&lt;4,Q962-1,Q962)</f>
        <v>2024</v>
      </c>
      <c r="T962" s="18">
        <f>IF(R962&lt;4,R962+9,R962-3)</f>
        <v>11</v>
      </c>
      <c r="U962" s="18">
        <f>IF(LEN(T962)=1,_xlfn.CONCAT(0,T962),T962)</f>
        <v>11</v>
      </c>
      <c r="V962" s="18" t="str">
        <f>_xlfn.CONCAT(S962,U962)</f>
        <v>202411</v>
      </c>
      <c r="W962" s="18" t="str">
        <f>_xlfn.CONCAT(TEXT(A962,"MMM"),"-",MID(Q962,3,2))</f>
        <v>Feb-25</v>
      </c>
      <c r="X962" s="19">
        <f>IFERROR(IF(D962="Sell",(H962-P962),-(H962+P962)),0)</f>
        <v>-43734.86</v>
      </c>
      <c r="Y962" s="19">
        <f>X962/1000</f>
        <v>-43.734859999999998</v>
      </c>
    </row>
    <row r="963" spans="1:25" x14ac:dyDescent="0.25">
      <c r="A963" s="1">
        <v>45716</v>
      </c>
      <c r="B963" t="s">
        <v>1396</v>
      </c>
      <c r="C963" t="s">
        <v>17</v>
      </c>
      <c r="D963" t="s">
        <v>22</v>
      </c>
      <c r="E963">
        <v>75</v>
      </c>
      <c r="F963">
        <v>0</v>
      </c>
      <c r="G963">
        <v>205.2</v>
      </c>
      <c r="H963">
        <v>15390</v>
      </c>
      <c r="I963" t="s">
        <v>1407</v>
      </c>
      <c r="J963">
        <v>0</v>
      </c>
      <c r="K963">
        <v>5.47</v>
      </c>
      <c r="L963">
        <v>0</v>
      </c>
      <c r="M963">
        <v>0.02</v>
      </c>
      <c r="N963">
        <v>29</v>
      </c>
      <c r="O963">
        <v>6.2</v>
      </c>
      <c r="P963">
        <v>40.69</v>
      </c>
      <c r="Q963" s="18">
        <f>YEAR(A963)</f>
        <v>2025</v>
      </c>
      <c r="R963" s="18">
        <f>MONTH(A963)</f>
        <v>2</v>
      </c>
      <c r="S963" s="18">
        <f>IF(R963&lt;4,Q963-1,Q963)</f>
        <v>2024</v>
      </c>
      <c r="T963" s="18">
        <f>IF(R963&lt;4,R963+9,R963-3)</f>
        <v>11</v>
      </c>
      <c r="U963" s="18">
        <f>IF(LEN(T963)=1,_xlfn.CONCAT(0,T963),T963)</f>
        <v>11</v>
      </c>
      <c r="V963" s="18" t="str">
        <f>_xlfn.CONCAT(S963,U963)</f>
        <v>202411</v>
      </c>
      <c r="W963" s="18" t="str">
        <f>_xlfn.CONCAT(TEXT(A963,"MMM"),"-",MID(Q963,3,2))</f>
        <v>Feb-25</v>
      </c>
      <c r="X963" s="19">
        <f>IFERROR(IF(D963="Sell",(H963-P963),-(H963+P963)),0)</f>
        <v>-15430.69</v>
      </c>
      <c r="Y963" s="19">
        <f>X963/1000</f>
        <v>-15.43069</v>
      </c>
    </row>
    <row r="964" spans="1:25" x14ac:dyDescent="0.25">
      <c r="A964" s="1">
        <v>45719</v>
      </c>
      <c r="B964" t="s">
        <v>1387</v>
      </c>
      <c r="C964" t="s">
        <v>17</v>
      </c>
      <c r="D964" t="s">
        <v>18</v>
      </c>
      <c r="E964">
        <v>75</v>
      </c>
      <c r="F964">
        <v>0</v>
      </c>
      <c r="G964">
        <v>174.25</v>
      </c>
      <c r="H964">
        <v>13068.75</v>
      </c>
      <c r="I964" t="s">
        <v>1388</v>
      </c>
      <c r="J964">
        <v>13.07</v>
      </c>
      <c r="K964">
        <v>4.6399999999999997</v>
      </c>
      <c r="L964">
        <v>0</v>
      </c>
      <c r="M964">
        <v>0.01</v>
      </c>
      <c r="N964">
        <v>29</v>
      </c>
      <c r="O964">
        <v>6.06</v>
      </c>
      <c r="P964">
        <v>52.78</v>
      </c>
      <c r="Q964" s="18">
        <f>YEAR(A964)</f>
        <v>2025</v>
      </c>
      <c r="R964" s="18">
        <f>MONTH(A964)</f>
        <v>3</v>
      </c>
      <c r="S964" s="18">
        <f>IF(R964&lt;4,Q964-1,Q964)</f>
        <v>2024</v>
      </c>
      <c r="T964" s="18">
        <f>IF(R964&lt;4,R964+9,R964-3)</f>
        <v>12</v>
      </c>
      <c r="U964" s="18">
        <f>IF(LEN(T964)=1,_xlfn.CONCAT(0,T964),T964)</f>
        <v>12</v>
      </c>
      <c r="V964" s="18" t="str">
        <f>_xlfn.CONCAT(S964,U964)</f>
        <v>202412</v>
      </c>
      <c r="W964" s="18" t="str">
        <f>_xlfn.CONCAT(TEXT(A964,"MMM"),"-",MID(Q964,3,2))</f>
        <v>Mar-25</v>
      </c>
      <c r="X964" s="19">
        <f>IFERROR(IF(D964="Sell",(H964-P964),-(H964+P964)),0)</f>
        <v>13015.97</v>
      </c>
      <c r="Y964" s="19">
        <f>X964/1000</f>
        <v>13.015969999999999</v>
      </c>
    </row>
    <row r="965" spans="1:25" x14ac:dyDescent="0.25">
      <c r="A965" s="1">
        <v>45719</v>
      </c>
      <c r="B965" t="s">
        <v>1387</v>
      </c>
      <c r="C965" t="s">
        <v>17</v>
      </c>
      <c r="D965" t="s">
        <v>22</v>
      </c>
      <c r="E965">
        <v>75</v>
      </c>
      <c r="F965">
        <v>0</v>
      </c>
      <c r="G965">
        <v>152.5</v>
      </c>
      <c r="H965">
        <v>11437.5</v>
      </c>
      <c r="I965" t="s">
        <v>1389</v>
      </c>
      <c r="J965">
        <v>0</v>
      </c>
      <c r="K965">
        <v>4.0599999999999996</v>
      </c>
      <c r="L965">
        <v>0.34</v>
      </c>
      <c r="M965">
        <v>0.01</v>
      </c>
      <c r="N965">
        <v>29</v>
      </c>
      <c r="O965">
        <v>5.96</v>
      </c>
      <c r="P965">
        <v>39.369999999999997</v>
      </c>
      <c r="Q965" s="18">
        <f>YEAR(A965)</f>
        <v>2025</v>
      </c>
      <c r="R965" s="18">
        <f>MONTH(A965)</f>
        <v>3</v>
      </c>
      <c r="S965" s="18">
        <f>IF(R965&lt;4,Q965-1,Q965)</f>
        <v>2024</v>
      </c>
      <c r="T965" s="18">
        <f>IF(R965&lt;4,R965+9,R965-3)</f>
        <v>12</v>
      </c>
      <c r="U965" s="18">
        <f>IF(LEN(T965)=1,_xlfn.CONCAT(0,T965),T965)</f>
        <v>12</v>
      </c>
      <c r="V965" s="18" t="str">
        <f>_xlfn.CONCAT(S965,U965)</f>
        <v>202412</v>
      </c>
      <c r="W965" s="18" t="str">
        <f>_xlfn.CONCAT(TEXT(A965,"MMM"),"-",MID(Q965,3,2))</f>
        <v>Mar-25</v>
      </c>
      <c r="X965" s="19">
        <f>IFERROR(IF(D965="Sell",(H965-P965),-(H965+P965)),0)</f>
        <v>-11476.87</v>
      </c>
      <c r="Y965" s="19">
        <f>X965/1000</f>
        <v>-11.476870000000002</v>
      </c>
    </row>
    <row r="966" spans="1:25" x14ac:dyDescent="0.25">
      <c r="A966" s="1">
        <v>45719</v>
      </c>
      <c r="B966" t="s">
        <v>1384</v>
      </c>
      <c r="C966" t="s">
        <v>17</v>
      </c>
      <c r="D966" t="s">
        <v>18</v>
      </c>
      <c r="E966">
        <v>300</v>
      </c>
      <c r="F966">
        <v>0</v>
      </c>
      <c r="G966">
        <v>51.25</v>
      </c>
      <c r="H966">
        <v>15375</v>
      </c>
      <c r="I966" t="s">
        <v>1390</v>
      </c>
      <c r="J966">
        <v>15.43</v>
      </c>
      <c r="K966">
        <v>5.46</v>
      </c>
      <c r="L966">
        <v>0</v>
      </c>
      <c r="M966">
        <v>0.02</v>
      </c>
      <c r="N966">
        <v>116</v>
      </c>
      <c r="O966">
        <v>21.86</v>
      </c>
      <c r="P966">
        <v>158.77000000000001</v>
      </c>
      <c r="Q966" s="18">
        <f>YEAR(A966)</f>
        <v>2025</v>
      </c>
      <c r="R966" s="18">
        <f>MONTH(A966)</f>
        <v>3</v>
      </c>
      <c r="S966" s="18">
        <f>IF(R966&lt;4,Q966-1,Q966)</f>
        <v>2024</v>
      </c>
      <c r="T966" s="18">
        <f>IF(R966&lt;4,R966+9,R966-3)</f>
        <v>12</v>
      </c>
      <c r="U966" s="18">
        <f>IF(LEN(T966)=1,_xlfn.CONCAT(0,T966),T966)</f>
        <v>12</v>
      </c>
      <c r="V966" s="18" t="str">
        <f>_xlfn.CONCAT(S966,U966)</f>
        <v>202412</v>
      </c>
      <c r="W966" s="18" t="str">
        <f>_xlfn.CONCAT(TEXT(A966,"MMM"),"-",MID(Q966,3,2))</f>
        <v>Mar-25</v>
      </c>
      <c r="X966" s="19">
        <f>IFERROR(IF(D966="Sell",(H966-P966),-(H966+P966)),0)</f>
        <v>15216.23</v>
      </c>
      <c r="Y966" s="19">
        <f>X966/1000</f>
        <v>15.216229999999999</v>
      </c>
    </row>
    <row r="967" spans="1:25" x14ac:dyDescent="0.25">
      <c r="A967" s="1">
        <v>45719</v>
      </c>
      <c r="B967" t="s">
        <v>1384</v>
      </c>
      <c r="C967" t="s">
        <v>17</v>
      </c>
      <c r="D967" t="s">
        <v>22</v>
      </c>
      <c r="E967">
        <v>300</v>
      </c>
      <c r="F967">
        <v>0</v>
      </c>
      <c r="G967">
        <v>53.2</v>
      </c>
      <c r="H967">
        <v>15960</v>
      </c>
      <c r="I967" t="s">
        <v>1391</v>
      </c>
      <c r="J967">
        <v>0</v>
      </c>
      <c r="K967">
        <v>5.67</v>
      </c>
      <c r="L967">
        <v>0.66</v>
      </c>
      <c r="M967">
        <v>0.02</v>
      </c>
      <c r="N967">
        <v>116</v>
      </c>
      <c r="O967">
        <v>21.9</v>
      </c>
      <c r="P967">
        <v>144.25</v>
      </c>
      <c r="Q967" s="18">
        <f>YEAR(A967)</f>
        <v>2025</v>
      </c>
      <c r="R967" s="18">
        <f>MONTH(A967)</f>
        <v>3</v>
      </c>
      <c r="S967" s="18">
        <f>IF(R967&lt;4,Q967-1,Q967)</f>
        <v>2024</v>
      </c>
      <c r="T967" s="18">
        <f>IF(R967&lt;4,R967+9,R967-3)</f>
        <v>12</v>
      </c>
      <c r="U967" s="18">
        <f>IF(LEN(T967)=1,_xlfn.CONCAT(0,T967),T967)</f>
        <v>12</v>
      </c>
      <c r="V967" s="18" t="str">
        <f>_xlfn.CONCAT(S967,U967)</f>
        <v>202412</v>
      </c>
      <c r="W967" s="18" t="str">
        <f>_xlfn.CONCAT(TEXT(A967,"MMM"),"-",MID(Q967,3,2))</f>
        <v>Mar-25</v>
      </c>
      <c r="X967" s="19">
        <f>IFERROR(IF(D967="Sell",(H967-P967),-(H967+P967)),0)</f>
        <v>-16104.25</v>
      </c>
      <c r="Y967" s="19">
        <f>X967/1000</f>
        <v>-16.10425</v>
      </c>
    </row>
    <row r="968" spans="1:25" x14ac:dyDescent="0.25">
      <c r="A968" s="1">
        <v>45719</v>
      </c>
      <c r="B968" t="s">
        <v>1384</v>
      </c>
      <c r="C968" t="s">
        <v>17</v>
      </c>
      <c r="D968" t="s">
        <v>18</v>
      </c>
      <c r="E968">
        <v>225</v>
      </c>
      <c r="F968">
        <v>0</v>
      </c>
      <c r="G968">
        <v>60</v>
      </c>
      <c r="H968">
        <v>13500</v>
      </c>
      <c r="I968" t="s">
        <v>1392</v>
      </c>
      <c r="J968">
        <v>13.5</v>
      </c>
      <c r="K968">
        <v>4.8</v>
      </c>
      <c r="L968">
        <v>0</v>
      </c>
      <c r="M968">
        <v>0.01</v>
      </c>
      <c r="N968">
        <v>87</v>
      </c>
      <c r="O968">
        <v>16.52</v>
      </c>
      <c r="P968">
        <v>121.83</v>
      </c>
      <c r="Q968" s="18">
        <f>YEAR(A968)</f>
        <v>2025</v>
      </c>
      <c r="R968" s="18">
        <f>MONTH(A968)</f>
        <v>3</v>
      </c>
      <c r="S968" s="18">
        <f>IF(R968&lt;4,Q968-1,Q968)</f>
        <v>2024</v>
      </c>
      <c r="T968" s="18">
        <f>IF(R968&lt;4,R968+9,R968-3)</f>
        <v>12</v>
      </c>
      <c r="U968" s="18">
        <f>IF(LEN(T968)=1,_xlfn.CONCAT(0,T968),T968)</f>
        <v>12</v>
      </c>
      <c r="V968" s="18" t="str">
        <f>_xlfn.CONCAT(S968,U968)</f>
        <v>202412</v>
      </c>
      <c r="W968" s="18" t="str">
        <f>_xlfn.CONCAT(TEXT(A968,"MMM"),"-",MID(Q968,3,2))</f>
        <v>Mar-25</v>
      </c>
      <c r="X968" s="19">
        <f>IFERROR(IF(D968="Sell",(H968-P968),-(H968+P968)),0)</f>
        <v>13378.17</v>
      </c>
      <c r="Y968" s="19">
        <f>X968/1000</f>
        <v>13.378170000000001</v>
      </c>
    </row>
    <row r="969" spans="1:25" x14ac:dyDescent="0.25">
      <c r="A969" s="1">
        <v>45719</v>
      </c>
      <c r="B969" t="s">
        <v>1384</v>
      </c>
      <c r="C969" t="s">
        <v>17</v>
      </c>
      <c r="D969" t="s">
        <v>22</v>
      </c>
      <c r="E969">
        <v>75</v>
      </c>
      <c r="F969">
        <v>0</v>
      </c>
      <c r="G969">
        <v>65.25</v>
      </c>
      <c r="H969">
        <v>4893.75</v>
      </c>
      <c r="I969" t="s">
        <v>1393</v>
      </c>
      <c r="J969">
        <v>0</v>
      </c>
      <c r="K969">
        <v>1.74</v>
      </c>
      <c r="L969">
        <v>0</v>
      </c>
      <c r="M969">
        <v>0</v>
      </c>
      <c r="N969">
        <v>29</v>
      </c>
      <c r="O969">
        <v>5.54</v>
      </c>
      <c r="P969">
        <v>36.28</v>
      </c>
      <c r="Q969" s="18">
        <f>YEAR(A969)</f>
        <v>2025</v>
      </c>
      <c r="R969" s="18">
        <f>MONTH(A969)</f>
        <v>3</v>
      </c>
      <c r="S969" s="18">
        <f>IF(R969&lt;4,Q969-1,Q969)</f>
        <v>2024</v>
      </c>
      <c r="T969" s="18">
        <f>IF(R969&lt;4,R969+9,R969-3)</f>
        <v>12</v>
      </c>
      <c r="U969" s="18">
        <f>IF(LEN(T969)=1,_xlfn.CONCAT(0,T969),T969)</f>
        <v>12</v>
      </c>
      <c r="V969" s="18" t="str">
        <f>_xlfn.CONCAT(S969,U969)</f>
        <v>202412</v>
      </c>
      <c r="W969" s="18" t="str">
        <f>_xlfn.CONCAT(TEXT(A969,"MMM"),"-",MID(Q969,3,2))</f>
        <v>Mar-25</v>
      </c>
      <c r="X969" s="19">
        <f>IFERROR(IF(D969="Sell",(H969-P969),-(H969+P969)),0)</f>
        <v>-4930.03</v>
      </c>
      <c r="Y969" s="19">
        <f>X969/1000</f>
        <v>-4.9300299999999995</v>
      </c>
    </row>
    <row r="970" spans="1:25" x14ac:dyDescent="0.25">
      <c r="A970" s="1">
        <v>45719</v>
      </c>
      <c r="B970" t="s">
        <v>1384</v>
      </c>
      <c r="C970" t="s">
        <v>17</v>
      </c>
      <c r="D970" t="s">
        <v>22</v>
      </c>
      <c r="E970">
        <v>75</v>
      </c>
      <c r="F970">
        <v>0</v>
      </c>
      <c r="G970">
        <v>63.35</v>
      </c>
      <c r="H970">
        <v>4751.25</v>
      </c>
      <c r="I970" t="s">
        <v>1394</v>
      </c>
      <c r="J970">
        <v>0</v>
      </c>
      <c r="K970">
        <v>1.69</v>
      </c>
      <c r="L970">
        <v>0</v>
      </c>
      <c r="M970">
        <v>0</v>
      </c>
      <c r="N970">
        <v>29</v>
      </c>
      <c r="O970">
        <v>5.52</v>
      </c>
      <c r="P970">
        <v>36.21</v>
      </c>
      <c r="Q970" s="18">
        <f>YEAR(A970)</f>
        <v>2025</v>
      </c>
      <c r="R970" s="18">
        <f>MONTH(A970)</f>
        <v>3</v>
      </c>
      <c r="S970" s="18">
        <f>IF(R970&lt;4,Q970-1,Q970)</f>
        <v>2024</v>
      </c>
      <c r="T970" s="18">
        <f>IF(R970&lt;4,R970+9,R970-3)</f>
        <v>12</v>
      </c>
      <c r="U970" s="18">
        <f>IF(LEN(T970)=1,_xlfn.CONCAT(0,T970),T970)</f>
        <v>12</v>
      </c>
      <c r="V970" s="18" t="str">
        <f>_xlfn.CONCAT(S970,U970)</f>
        <v>202412</v>
      </c>
      <c r="W970" s="18" t="str">
        <f>_xlfn.CONCAT(TEXT(A970,"MMM"),"-",MID(Q970,3,2))</f>
        <v>Mar-25</v>
      </c>
      <c r="X970" s="19">
        <f>IFERROR(IF(D970="Sell",(H970-P970),-(H970+P970)),0)</f>
        <v>-4787.46</v>
      </c>
      <c r="Y970" s="19">
        <f>X970/1000</f>
        <v>-4.7874600000000003</v>
      </c>
    </row>
    <row r="971" spans="1:25" x14ac:dyDescent="0.25">
      <c r="A971" s="1">
        <v>45719</v>
      </c>
      <c r="B971" t="s">
        <v>1384</v>
      </c>
      <c r="C971" t="s">
        <v>17</v>
      </c>
      <c r="D971" t="s">
        <v>22</v>
      </c>
      <c r="E971">
        <v>75</v>
      </c>
      <c r="F971">
        <v>0</v>
      </c>
      <c r="G971">
        <v>109.6</v>
      </c>
      <c r="H971">
        <v>8220</v>
      </c>
      <c r="I971" t="s">
        <v>1395</v>
      </c>
      <c r="J971">
        <v>0</v>
      </c>
      <c r="K971">
        <v>2.92</v>
      </c>
      <c r="L971">
        <v>0</v>
      </c>
      <c r="M971">
        <v>0.01</v>
      </c>
      <c r="N971">
        <v>29</v>
      </c>
      <c r="O971">
        <v>5.74</v>
      </c>
      <c r="P971">
        <v>37.67</v>
      </c>
      <c r="Q971" s="18">
        <f>YEAR(A971)</f>
        <v>2025</v>
      </c>
      <c r="R971" s="18">
        <f>MONTH(A971)</f>
        <v>3</v>
      </c>
      <c r="S971" s="18">
        <f>IF(R971&lt;4,Q971-1,Q971)</f>
        <v>2024</v>
      </c>
      <c r="T971" s="18">
        <f>IF(R971&lt;4,R971+9,R971-3)</f>
        <v>12</v>
      </c>
      <c r="U971" s="18">
        <f>IF(LEN(T971)=1,_xlfn.CONCAT(0,T971),T971)</f>
        <v>12</v>
      </c>
      <c r="V971" s="18" t="str">
        <f>_xlfn.CONCAT(S971,U971)</f>
        <v>202412</v>
      </c>
      <c r="W971" s="18" t="str">
        <f>_xlfn.CONCAT(TEXT(A971,"MMM"),"-",MID(Q971,3,2))</f>
        <v>Mar-25</v>
      </c>
      <c r="X971" s="19">
        <f>IFERROR(IF(D971="Sell",(H971-P971),-(H971+P971)),0)</f>
        <v>-8257.67</v>
      </c>
      <c r="Y971" s="19">
        <f>X971/1000</f>
        <v>-8.257670000000001</v>
      </c>
    </row>
    <row r="972" spans="1:25" x14ac:dyDescent="0.25">
      <c r="A972" s="1">
        <v>45720</v>
      </c>
      <c r="B972" t="s">
        <v>1380</v>
      </c>
      <c r="C972" t="s">
        <v>17</v>
      </c>
      <c r="D972" t="s">
        <v>18</v>
      </c>
      <c r="E972">
        <v>225</v>
      </c>
      <c r="F972">
        <v>0</v>
      </c>
      <c r="G972">
        <v>81.2</v>
      </c>
      <c r="H972">
        <v>18270</v>
      </c>
      <c r="I972" t="s">
        <v>1381</v>
      </c>
      <c r="J972">
        <v>18.32</v>
      </c>
      <c r="K972">
        <v>6.49</v>
      </c>
      <c r="L972">
        <v>0</v>
      </c>
      <c r="M972">
        <v>0.02</v>
      </c>
      <c r="N972">
        <v>87</v>
      </c>
      <c r="O972">
        <v>16.84</v>
      </c>
      <c r="P972">
        <v>128.66999999999999</v>
      </c>
      <c r="Q972" s="18">
        <f>YEAR(A972)</f>
        <v>2025</v>
      </c>
      <c r="R972" s="18">
        <f>MONTH(A972)</f>
        <v>3</v>
      </c>
      <c r="S972" s="18">
        <f>IF(R972&lt;4,Q972-1,Q972)</f>
        <v>2024</v>
      </c>
      <c r="T972" s="18">
        <f>IF(R972&lt;4,R972+9,R972-3)</f>
        <v>12</v>
      </c>
      <c r="U972" s="18">
        <f>IF(LEN(T972)=1,_xlfn.CONCAT(0,T972),T972)</f>
        <v>12</v>
      </c>
      <c r="V972" s="18" t="str">
        <f>_xlfn.CONCAT(S972,U972)</f>
        <v>202412</v>
      </c>
      <c r="W972" s="18" t="str">
        <f>_xlfn.CONCAT(TEXT(A972,"MMM"),"-",MID(Q972,3,2))</f>
        <v>Mar-25</v>
      </c>
      <c r="X972" s="19">
        <f>IFERROR(IF(D972="Sell",(H972-P972),-(H972+P972)),0)</f>
        <v>18141.330000000002</v>
      </c>
      <c r="Y972" s="19">
        <f>X972/1000</f>
        <v>18.141330000000004</v>
      </c>
    </row>
    <row r="973" spans="1:25" x14ac:dyDescent="0.25">
      <c r="A973" s="1">
        <v>45720</v>
      </c>
      <c r="B973" t="s">
        <v>1380</v>
      </c>
      <c r="C973" t="s">
        <v>17</v>
      </c>
      <c r="D973" t="s">
        <v>22</v>
      </c>
      <c r="E973">
        <v>150</v>
      </c>
      <c r="F973">
        <v>0</v>
      </c>
      <c r="G973">
        <v>77.05</v>
      </c>
      <c r="H973">
        <v>11557.5</v>
      </c>
      <c r="I973" t="s">
        <v>1382</v>
      </c>
      <c r="J973">
        <v>0</v>
      </c>
      <c r="K973">
        <v>4.0999999999999996</v>
      </c>
      <c r="L973">
        <v>0.72</v>
      </c>
      <c r="M973">
        <v>0.02</v>
      </c>
      <c r="N973">
        <v>58</v>
      </c>
      <c r="O973">
        <v>11.2</v>
      </c>
      <c r="P973">
        <v>74.040000000000006</v>
      </c>
      <c r="Q973" s="18">
        <f>YEAR(A973)</f>
        <v>2025</v>
      </c>
      <c r="R973" s="18">
        <f>MONTH(A973)</f>
        <v>3</v>
      </c>
      <c r="S973" s="18">
        <f>IF(R973&lt;4,Q973-1,Q973)</f>
        <v>2024</v>
      </c>
      <c r="T973" s="18">
        <f>IF(R973&lt;4,R973+9,R973-3)</f>
        <v>12</v>
      </c>
      <c r="U973" s="18">
        <f>IF(LEN(T973)=1,_xlfn.CONCAT(0,T973),T973)</f>
        <v>12</v>
      </c>
      <c r="V973" s="18" t="str">
        <f>_xlfn.CONCAT(S973,U973)</f>
        <v>202412</v>
      </c>
      <c r="W973" s="18" t="str">
        <f>_xlfn.CONCAT(TEXT(A973,"MMM"),"-",MID(Q973,3,2))</f>
        <v>Mar-25</v>
      </c>
      <c r="X973" s="19">
        <f>IFERROR(IF(D973="Sell",(H973-P973),-(H973+P973)),0)</f>
        <v>-11631.54</v>
      </c>
      <c r="Y973" s="19">
        <f>X973/1000</f>
        <v>-11.631540000000001</v>
      </c>
    </row>
    <row r="974" spans="1:25" x14ac:dyDescent="0.25">
      <c r="A974" s="1">
        <v>45720</v>
      </c>
      <c r="B974" t="s">
        <v>1380</v>
      </c>
      <c r="C974" t="s">
        <v>17</v>
      </c>
      <c r="D974" t="s">
        <v>22</v>
      </c>
      <c r="E974">
        <v>75</v>
      </c>
      <c r="F974">
        <v>0</v>
      </c>
      <c r="G974">
        <v>76</v>
      </c>
      <c r="H974">
        <v>5700</v>
      </c>
      <c r="I974" t="s">
        <v>1383</v>
      </c>
      <c r="J974">
        <v>0</v>
      </c>
      <c r="K974">
        <v>2.0299999999999998</v>
      </c>
      <c r="L974">
        <v>0</v>
      </c>
      <c r="M974">
        <v>0.01</v>
      </c>
      <c r="N974">
        <v>29</v>
      </c>
      <c r="O974">
        <v>5.58</v>
      </c>
      <c r="P974">
        <v>36.619999999999997</v>
      </c>
      <c r="Q974" s="18">
        <f>YEAR(A974)</f>
        <v>2025</v>
      </c>
      <c r="R974" s="18">
        <f>MONTH(A974)</f>
        <v>3</v>
      </c>
      <c r="S974" s="18">
        <f>IF(R974&lt;4,Q974-1,Q974)</f>
        <v>2024</v>
      </c>
      <c r="T974" s="18">
        <f>IF(R974&lt;4,R974+9,R974-3)</f>
        <v>12</v>
      </c>
      <c r="U974" s="18">
        <f>IF(LEN(T974)=1,_xlfn.CONCAT(0,T974),T974)</f>
        <v>12</v>
      </c>
      <c r="V974" s="18" t="str">
        <f>_xlfn.CONCAT(S974,U974)</f>
        <v>202412</v>
      </c>
      <c r="W974" s="18" t="str">
        <f>_xlfn.CONCAT(TEXT(A974,"MMM"),"-",MID(Q974,3,2))</f>
        <v>Mar-25</v>
      </c>
      <c r="X974" s="19">
        <f>IFERROR(IF(D974="Sell",(H974-P974),-(H974+P974)),0)</f>
        <v>-5736.62</v>
      </c>
      <c r="Y974" s="19">
        <f>X974/1000</f>
        <v>-5.7366200000000003</v>
      </c>
    </row>
    <row r="975" spans="1:25" x14ac:dyDescent="0.25">
      <c r="A975" s="1">
        <v>45720</v>
      </c>
      <c r="B975" t="s">
        <v>1384</v>
      </c>
      <c r="C975" t="s">
        <v>17</v>
      </c>
      <c r="D975" t="s">
        <v>18</v>
      </c>
      <c r="E975">
        <v>300</v>
      </c>
      <c r="F975">
        <v>0</v>
      </c>
      <c r="G975">
        <v>42.25</v>
      </c>
      <c r="H975">
        <v>12675</v>
      </c>
      <c r="I975" t="s">
        <v>1385</v>
      </c>
      <c r="J975">
        <v>12.68</v>
      </c>
      <c r="K975">
        <v>4.51</v>
      </c>
      <c r="L975">
        <v>0</v>
      </c>
      <c r="M975">
        <v>0.01</v>
      </c>
      <c r="N975">
        <v>116</v>
      </c>
      <c r="O975">
        <v>21.68</v>
      </c>
      <c r="P975">
        <v>154.88</v>
      </c>
      <c r="Q975" s="18">
        <f>YEAR(A975)</f>
        <v>2025</v>
      </c>
      <c r="R975" s="18">
        <f>MONTH(A975)</f>
        <v>3</v>
      </c>
      <c r="S975" s="18">
        <f>IF(R975&lt;4,Q975-1,Q975)</f>
        <v>2024</v>
      </c>
      <c r="T975" s="18">
        <f>IF(R975&lt;4,R975+9,R975-3)</f>
        <v>12</v>
      </c>
      <c r="U975" s="18">
        <f>IF(LEN(T975)=1,_xlfn.CONCAT(0,T975),T975)</f>
        <v>12</v>
      </c>
      <c r="V975" s="18" t="str">
        <f>_xlfn.CONCAT(S975,U975)</f>
        <v>202412</v>
      </c>
      <c r="W975" s="18" t="str">
        <f>_xlfn.CONCAT(TEXT(A975,"MMM"),"-",MID(Q975,3,2))</f>
        <v>Mar-25</v>
      </c>
      <c r="X975" s="19">
        <f>IFERROR(IF(D975="Sell",(H975-P975),-(H975+P975)),0)</f>
        <v>12520.12</v>
      </c>
      <c r="Y975" s="19">
        <f>X975/1000</f>
        <v>12.52012</v>
      </c>
    </row>
    <row r="976" spans="1:25" x14ac:dyDescent="0.25">
      <c r="A976" s="1">
        <v>45720</v>
      </c>
      <c r="B976" t="s">
        <v>1384</v>
      </c>
      <c r="C976" t="s">
        <v>17</v>
      </c>
      <c r="D976" t="s">
        <v>22</v>
      </c>
      <c r="E976">
        <v>300</v>
      </c>
      <c r="F976">
        <v>0</v>
      </c>
      <c r="G976">
        <v>31.25</v>
      </c>
      <c r="H976">
        <v>9375</v>
      </c>
      <c r="I976" t="s">
        <v>1386</v>
      </c>
      <c r="J976">
        <v>0</v>
      </c>
      <c r="K976">
        <v>3.33</v>
      </c>
      <c r="L976">
        <v>0.28000000000000003</v>
      </c>
      <c r="M976">
        <v>0.01</v>
      </c>
      <c r="N976">
        <v>116</v>
      </c>
      <c r="O976">
        <v>21.48</v>
      </c>
      <c r="P976">
        <v>141.1</v>
      </c>
      <c r="Q976" s="18">
        <f>YEAR(A976)</f>
        <v>2025</v>
      </c>
      <c r="R976" s="18">
        <f>MONTH(A976)</f>
        <v>3</v>
      </c>
      <c r="S976" s="18">
        <f>IF(R976&lt;4,Q976-1,Q976)</f>
        <v>2024</v>
      </c>
      <c r="T976" s="18">
        <f>IF(R976&lt;4,R976+9,R976-3)</f>
        <v>12</v>
      </c>
      <c r="U976" s="18">
        <f>IF(LEN(T976)=1,_xlfn.CONCAT(0,T976),T976)</f>
        <v>12</v>
      </c>
      <c r="V976" s="18" t="str">
        <f>_xlfn.CONCAT(S976,U976)</f>
        <v>202412</v>
      </c>
      <c r="W976" s="18" t="str">
        <f>_xlfn.CONCAT(TEXT(A976,"MMM"),"-",MID(Q976,3,2))</f>
        <v>Mar-25</v>
      </c>
      <c r="X976" s="19">
        <f>IFERROR(IF(D976="Sell",(H976-P976),-(H976+P976)),0)</f>
        <v>-9516.1</v>
      </c>
      <c r="Y976" s="19">
        <f>X976/1000</f>
        <v>-9.5160999999999998</v>
      </c>
    </row>
    <row r="977" spans="1:25" x14ac:dyDescent="0.25">
      <c r="A977" s="1">
        <v>45722</v>
      </c>
      <c r="B977" t="s">
        <v>1374</v>
      </c>
      <c r="C977" t="s">
        <v>17</v>
      </c>
      <c r="D977" t="s">
        <v>18</v>
      </c>
      <c r="E977">
        <v>375</v>
      </c>
      <c r="F977">
        <v>0</v>
      </c>
      <c r="G977">
        <v>24.25</v>
      </c>
      <c r="H977">
        <v>9093.75</v>
      </c>
      <c r="I977" t="s">
        <v>1375</v>
      </c>
      <c r="J977">
        <v>9.09</v>
      </c>
      <c r="K977">
        <v>3.23</v>
      </c>
      <c r="L977">
        <v>0</v>
      </c>
      <c r="M977">
        <v>0.01</v>
      </c>
      <c r="N977">
        <v>145</v>
      </c>
      <c r="O977">
        <v>26.68</v>
      </c>
      <c r="P977">
        <v>184.01</v>
      </c>
      <c r="Q977" s="18">
        <f>YEAR(A977)</f>
        <v>2025</v>
      </c>
      <c r="R977" s="18">
        <f>MONTH(A977)</f>
        <v>3</v>
      </c>
      <c r="S977" s="18">
        <f>IF(R977&lt;4,Q977-1,Q977)</f>
        <v>2024</v>
      </c>
      <c r="T977" s="18">
        <f>IF(R977&lt;4,R977+9,R977-3)</f>
        <v>12</v>
      </c>
      <c r="U977" s="18">
        <f>IF(LEN(T977)=1,_xlfn.CONCAT(0,T977),T977)</f>
        <v>12</v>
      </c>
      <c r="V977" s="18" t="str">
        <f>_xlfn.CONCAT(S977,U977)</f>
        <v>202412</v>
      </c>
      <c r="W977" s="18" t="str">
        <f>_xlfn.CONCAT(TEXT(A977,"MMM"),"-",MID(Q977,3,2))</f>
        <v>Mar-25</v>
      </c>
      <c r="X977" s="19">
        <f>IFERROR(IF(D977="Sell",(H977-P977),-(H977+P977)),0)</f>
        <v>8909.74</v>
      </c>
      <c r="Y977" s="19">
        <f>X977/1000</f>
        <v>8.9097399999999993</v>
      </c>
    </row>
    <row r="978" spans="1:25" x14ac:dyDescent="0.25">
      <c r="A978" s="1">
        <v>45722</v>
      </c>
      <c r="B978" t="s">
        <v>1374</v>
      </c>
      <c r="C978" t="s">
        <v>17</v>
      </c>
      <c r="D978" t="s">
        <v>22</v>
      </c>
      <c r="E978">
        <v>375</v>
      </c>
      <c r="F978">
        <v>0</v>
      </c>
      <c r="G978">
        <v>13.25</v>
      </c>
      <c r="H978">
        <v>4968.75</v>
      </c>
      <c r="I978" t="s">
        <v>1376</v>
      </c>
      <c r="J978">
        <v>0</v>
      </c>
      <c r="K978">
        <v>1.77</v>
      </c>
      <c r="L978">
        <v>0</v>
      </c>
      <c r="M978">
        <v>0</v>
      </c>
      <c r="N978">
        <v>145</v>
      </c>
      <c r="O978">
        <v>26.42</v>
      </c>
      <c r="P978">
        <v>173.19</v>
      </c>
      <c r="Q978" s="18">
        <f>YEAR(A978)</f>
        <v>2025</v>
      </c>
      <c r="R978" s="18">
        <f>MONTH(A978)</f>
        <v>3</v>
      </c>
      <c r="S978" s="18">
        <f>IF(R978&lt;4,Q978-1,Q978)</f>
        <v>2024</v>
      </c>
      <c r="T978" s="18">
        <f>IF(R978&lt;4,R978+9,R978-3)</f>
        <v>12</v>
      </c>
      <c r="U978" s="18">
        <f>IF(LEN(T978)=1,_xlfn.CONCAT(0,T978),T978)</f>
        <v>12</v>
      </c>
      <c r="V978" s="18" t="str">
        <f>_xlfn.CONCAT(S978,U978)</f>
        <v>202412</v>
      </c>
      <c r="W978" s="18" t="str">
        <f>_xlfn.CONCAT(TEXT(A978,"MMM"),"-",MID(Q978,3,2))</f>
        <v>Mar-25</v>
      </c>
      <c r="X978" s="19">
        <f>IFERROR(IF(D978="Sell",(H978-P978),-(H978+P978)),0)</f>
        <v>-5141.9399999999996</v>
      </c>
      <c r="Y978" s="19">
        <f>X978/1000</f>
        <v>-5.14194</v>
      </c>
    </row>
    <row r="979" spans="1:25" x14ac:dyDescent="0.25">
      <c r="A979" s="1">
        <v>45722</v>
      </c>
      <c r="B979" t="s">
        <v>1377</v>
      </c>
      <c r="C979" t="s">
        <v>17</v>
      </c>
      <c r="D979" t="s">
        <v>18</v>
      </c>
      <c r="E979">
        <v>375</v>
      </c>
      <c r="F979">
        <v>0</v>
      </c>
      <c r="G979">
        <v>23.73</v>
      </c>
      <c r="H979">
        <v>8898.75</v>
      </c>
      <c r="I979" t="s">
        <v>1378</v>
      </c>
      <c r="J979">
        <v>8.91</v>
      </c>
      <c r="K979">
        <v>3.16</v>
      </c>
      <c r="L979">
        <v>0</v>
      </c>
      <c r="M979">
        <v>0</v>
      </c>
      <c r="N979">
        <v>145</v>
      </c>
      <c r="O979">
        <v>26.66</v>
      </c>
      <c r="P979">
        <v>183.73</v>
      </c>
      <c r="Q979" s="18">
        <f>YEAR(A979)</f>
        <v>2025</v>
      </c>
      <c r="R979" s="18">
        <f>MONTH(A979)</f>
        <v>3</v>
      </c>
      <c r="S979" s="18">
        <f>IF(R979&lt;4,Q979-1,Q979)</f>
        <v>2024</v>
      </c>
      <c r="T979" s="18">
        <f>IF(R979&lt;4,R979+9,R979-3)</f>
        <v>12</v>
      </c>
      <c r="U979" s="18">
        <f>IF(LEN(T979)=1,_xlfn.CONCAT(0,T979),T979)</f>
        <v>12</v>
      </c>
      <c r="V979" s="18" t="str">
        <f>_xlfn.CONCAT(S979,U979)</f>
        <v>202412</v>
      </c>
      <c r="W979" s="18" t="str">
        <f>_xlfn.CONCAT(TEXT(A979,"MMM"),"-",MID(Q979,3,2))</f>
        <v>Mar-25</v>
      </c>
      <c r="X979" s="19">
        <f>IFERROR(IF(D979="Sell",(H979-P979),-(H979+P979)),0)</f>
        <v>8715.02</v>
      </c>
      <c r="Y979" s="19">
        <f>X979/1000</f>
        <v>8.7150200000000009</v>
      </c>
    </row>
    <row r="980" spans="1:25" x14ac:dyDescent="0.25">
      <c r="A980" s="1">
        <v>45722</v>
      </c>
      <c r="B980" t="s">
        <v>1377</v>
      </c>
      <c r="C980" t="s">
        <v>17</v>
      </c>
      <c r="D980" t="s">
        <v>22</v>
      </c>
      <c r="E980">
        <v>375</v>
      </c>
      <c r="F980">
        <v>0</v>
      </c>
      <c r="G980">
        <v>11.15</v>
      </c>
      <c r="H980">
        <v>4181.25</v>
      </c>
      <c r="I980" t="s">
        <v>1379</v>
      </c>
      <c r="J980">
        <v>0</v>
      </c>
      <c r="K980">
        <v>1.49</v>
      </c>
      <c r="L980">
        <v>0</v>
      </c>
      <c r="M980">
        <v>0</v>
      </c>
      <c r="N980">
        <v>145</v>
      </c>
      <c r="O980">
        <v>26.36</v>
      </c>
      <c r="P980">
        <v>172.85</v>
      </c>
      <c r="Q980" s="18">
        <f>YEAR(A980)</f>
        <v>2025</v>
      </c>
      <c r="R980" s="18">
        <f>MONTH(A980)</f>
        <v>3</v>
      </c>
      <c r="S980" s="18">
        <f>IF(R980&lt;4,Q980-1,Q980)</f>
        <v>2024</v>
      </c>
      <c r="T980" s="18">
        <f>IF(R980&lt;4,R980+9,R980-3)</f>
        <v>12</v>
      </c>
      <c r="U980" s="18">
        <f>IF(LEN(T980)=1,_xlfn.CONCAT(0,T980),T980)</f>
        <v>12</v>
      </c>
      <c r="V980" s="18" t="str">
        <f>_xlfn.CONCAT(S980,U980)</f>
        <v>202412</v>
      </c>
      <c r="W980" s="18" t="str">
        <f>_xlfn.CONCAT(TEXT(A980,"MMM"),"-",MID(Q980,3,2))</f>
        <v>Mar-25</v>
      </c>
      <c r="X980" s="19">
        <f>IFERROR(IF(D980="Sell",(H980-P980),-(H980+P980)),0)</f>
        <v>-4354.1000000000004</v>
      </c>
      <c r="Y980" s="19">
        <f>X980/1000</f>
        <v>-4.3541000000000007</v>
      </c>
    </row>
    <row r="981" spans="1:25" x14ac:dyDescent="0.25">
      <c r="A981" s="1">
        <v>45723</v>
      </c>
      <c r="B981" t="s">
        <v>1357</v>
      </c>
      <c r="C981" t="s">
        <v>17</v>
      </c>
      <c r="D981" t="s">
        <v>18</v>
      </c>
      <c r="E981">
        <v>150</v>
      </c>
      <c r="F981">
        <v>0</v>
      </c>
      <c r="G981">
        <v>90.3</v>
      </c>
      <c r="H981">
        <v>13545</v>
      </c>
      <c r="I981" t="s">
        <v>1358</v>
      </c>
      <c r="J981">
        <v>13.55</v>
      </c>
      <c r="K981">
        <v>4.8099999999999996</v>
      </c>
      <c r="L981">
        <v>0</v>
      </c>
      <c r="M981">
        <v>0.01</v>
      </c>
      <c r="N981">
        <v>58</v>
      </c>
      <c r="O981">
        <v>11.3</v>
      </c>
      <c r="P981">
        <v>87.67</v>
      </c>
      <c r="Q981" s="18">
        <f>YEAR(A981)</f>
        <v>2025</v>
      </c>
      <c r="R981" s="18">
        <f>MONTH(A981)</f>
        <v>3</v>
      </c>
      <c r="S981" s="18">
        <f>IF(R981&lt;4,Q981-1,Q981)</f>
        <v>2024</v>
      </c>
      <c r="T981" s="18">
        <f>IF(R981&lt;4,R981+9,R981-3)</f>
        <v>12</v>
      </c>
      <c r="U981" s="18">
        <f>IF(LEN(T981)=1,_xlfn.CONCAT(0,T981),T981)</f>
        <v>12</v>
      </c>
      <c r="V981" s="18" t="str">
        <f>_xlfn.CONCAT(S981,U981)</f>
        <v>202412</v>
      </c>
      <c r="W981" s="18" t="str">
        <f>_xlfn.CONCAT(TEXT(A981,"MMM"),"-",MID(Q981,3,2))</f>
        <v>Mar-25</v>
      </c>
      <c r="X981" s="19">
        <f>IFERROR(IF(D981="Sell",(H981-P981),-(H981+P981)),0)</f>
        <v>13457.33</v>
      </c>
      <c r="Y981" s="19">
        <f>X981/1000</f>
        <v>13.457330000000001</v>
      </c>
    </row>
    <row r="982" spans="1:25" x14ac:dyDescent="0.25">
      <c r="A982" s="1">
        <v>45723</v>
      </c>
      <c r="B982" t="s">
        <v>1357</v>
      </c>
      <c r="C982" t="s">
        <v>17</v>
      </c>
      <c r="D982" t="s">
        <v>22</v>
      </c>
      <c r="E982">
        <v>150</v>
      </c>
      <c r="F982">
        <v>0</v>
      </c>
      <c r="G982">
        <v>87.65</v>
      </c>
      <c r="H982">
        <v>13147.5</v>
      </c>
      <c r="I982" t="s">
        <v>1359</v>
      </c>
      <c r="J982">
        <v>0</v>
      </c>
      <c r="K982">
        <v>4.67</v>
      </c>
      <c r="L982">
        <v>1.55</v>
      </c>
      <c r="M982">
        <v>0.01</v>
      </c>
      <c r="N982">
        <v>58</v>
      </c>
      <c r="O982">
        <v>11.28</v>
      </c>
      <c r="P982">
        <v>75.510000000000005</v>
      </c>
      <c r="Q982" s="18">
        <f>YEAR(A982)</f>
        <v>2025</v>
      </c>
      <c r="R982" s="18">
        <f>MONTH(A982)</f>
        <v>3</v>
      </c>
      <c r="S982" s="18">
        <f>IF(R982&lt;4,Q982-1,Q982)</f>
        <v>2024</v>
      </c>
      <c r="T982" s="18">
        <f>IF(R982&lt;4,R982+9,R982-3)</f>
        <v>12</v>
      </c>
      <c r="U982" s="18">
        <f>IF(LEN(T982)=1,_xlfn.CONCAT(0,T982),T982)</f>
        <v>12</v>
      </c>
      <c r="V982" s="18" t="str">
        <f>_xlfn.CONCAT(S982,U982)</f>
        <v>202412</v>
      </c>
      <c r="W982" s="18" t="str">
        <f>_xlfn.CONCAT(TEXT(A982,"MMM"),"-",MID(Q982,3,2))</f>
        <v>Mar-25</v>
      </c>
      <c r="X982" s="19">
        <f>IFERROR(IF(D982="Sell",(H982-P982),-(H982+P982)),0)</f>
        <v>-13223.01</v>
      </c>
      <c r="Y982" s="19">
        <f>X982/1000</f>
        <v>-13.22301</v>
      </c>
    </row>
    <row r="983" spans="1:25" x14ac:dyDescent="0.25">
      <c r="A983" s="1">
        <v>45723</v>
      </c>
      <c r="B983" t="s">
        <v>1357</v>
      </c>
      <c r="C983" t="s">
        <v>17</v>
      </c>
      <c r="D983" t="s">
        <v>18</v>
      </c>
      <c r="E983">
        <v>150</v>
      </c>
      <c r="F983">
        <v>0</v>
      </c>
      <c r="G983">
        <v>78.5</v>
      </c>
      <c r="H983">
        <v>11775</v>
      </c>
      <c r="I983" t="s">
        <v>1360</v>
      </c>
      <c r="J983">
        <v>11.78</v>
      </c>
      <c r="K983">
        <v>4.18</v>
      </c>
      <c r="L983">
        <v>0</v>
      </c>
      <c r="M983">
        <v>0.01</v>
      </c>
      <c r="N983">
        <v>58</v>
      </c>
      <c r="O983">
        <v>11.2</v>
      </c>
      <c r="P983">
        <v>85.17</v>
      </c>
      <c r="Q983" s="18">
        <f>YEAR(A983)</f>
        <v>2025</v>
      </c>
      <c r="R983" s="18">
        <f>MONTH(A983)</f>
        <v>3</v>
      </c>
      <c r="S983" s="18">
        <f>IF(R983&lt;4,Q983-1,Q983)</f>
        <v>2024</v>
      </c>
      <c r="T983" s="18">
        <f>IF(R983&lt;4,R983+9,R983-3)</f>
        <v>12</v>
      </c>
      <c r="U983" s="18">
        <f>IF(LEN(T983)=1,_xlfn.CONCAT(0,T983),T983)</f>
        <v>12</v>
      </c>
      <c r="V983" s="18" t="str">
        <f>_xlfn.CONCAT(S983,U983)</f>
        <v>202412</v>
      </c>
      <c r="W983" s="18" t="str">
        <f>_xlfn.CONCAT(TEXT(A983,"MMM"),"-",MID(Q983,3,2))</f>
        <v>Mar-25</v>
      </c>
      <c r="X983" s="19">
        <f>IFERROR(IF(D983="Sell",(H983-P983),-(H983+P983)),0)</f>
        <v>11689.83</v>
      </c>
      <c r="Y983" s="19">
        <f>X983/1000</f>
        <v>11.689830000000001</v>
      </c>
    </row>
    <row r="984" spans="1:25" x14ac:dyDescent="0.25">
      <c r="A984" s="1">
        <v>45723</v>
      </c>
      <c r="B984" t="s">
        <v>1357</v>
      </c>
      <c r="C984" t="s">
        <v>17</v>
      </c>
      <c r="D984" t="s">
        <v>22</v>
      </c>
      <c r="E984">
        <v>75</v>
      </c>
      <c r="F984">
        <v>0</v>
      </c>
      <c r="G984">
        <v>103.35</v>
      </c>
      <c r="H984">
        <v>7751.25</v>
      </c>
      <c r="I984" t="s">
        <v>1361</v>
      </c>
      <c r="J984">
        <v>0</v>
      </c>
      <c r="K984">
        <v>2.75</v>
      </c>
      <c r="L984">
        <v>0</v>
      </c>
      <c r="M984">
        <v>0.01</v>
      </c>
      <c r="N984">
        <v>29</v>
      </c>
      <c r="O984">
        <v>5.72</v>
      </c>
      <c r="P984">
        <v>37.479999999999997</v>
      </c>
      <c r="Q984" s="18">
        <f>YEAR(A984)</f>
        <v>2025</v>
      </c>
      <c r="R984" s="18">
        <f>MONTH(A984)</f>
        <v>3</v>
      </c>
      <c r="S984" s="18">
        <f>IF(R984&lt;4,Q984-1,Q984)</f>
        <v>2024</v>
      </c>
      <c r="T984" s="18">
        <f>IF(R984&lt;4,R984+9,R984-3)</f>
        <v>12</v>
      </c>
      <c r="U984" s="18">
        <f>IF(LEN(T984)=1,_xlfn.CONCAT(0,T984),T984)</f>
        <v>12</v>
      </c>
      <c r="V984" s="18" t="str">
        <f>_xlfn.CONCAT(S984,U984)</f>
        <v>202412</v>
      </c>
      <c r="W984" s="18" t="str">
        <f>_xlfn.CONCAT(TEXT(A984,"MMM"),"-",MID(Q984,3,2))</f>
        <v>Mar-25</v>
      </c>
      <c r="X984" s="19">
        <f>IFERROR(IF(D984="Sell",(H984-P984),-(H984+P984)),0)</f>
        <v>-7788.73</v>
      </c>
      <c r="Y984" s="19">
        <f>X984/1000</f>
        <v>-7.7887299999999993</v>
      </c>
    </row>
    <row r="985" spans="1:25" x14ac:dyDescent="0.25">
      <c r="A985" s="1">
        <v>45723</v>
      </c>
      <c r="B985" t="s">
        <v>1357</v>
      </c>
      <c r="C985" t="s">
        <v>17</v>
      </c>
      <c r="D985" t="s">
        <v>22</v>
      </c>
      <c r="E985">
        <v>75</v>
      </c>
      <c r="F985">
        <v>0</v>
      </c>
      <c r="G985">
        <v>102</v>
      </c>
      <c r="H985">
        <v>7650</v>
      </c>
      <c r="I985" t="s">
        <v>1362</v>
      </c>
      <c r="J985">
        <v>0</v>
      </c>
      <c r="K985">
        <v>2.72</v>
      </c>
      <c r="L985">
        <v>0</v>
      </c>
      <c r="M985">
        <v>0.01</v>
      </c>
      <c r="N985">
        <v>29</v>
      </c>
      <c r="O985">
        <v>5.72</v>
      </c>
      <c r="P985">
        <v>37.450000000000003</v>
      </c>
      <c r="Q985" s="18">
        <f>YEAR(A985)</f>
        <v>2025</v>
      </c>
      <c r="R985" s="18">
        <f>MONTH(A985)</f>
        <v>3</v>
      </c>
      <c r="S985" s="18">
        <f>IF(R985&lt;4,Q985-1,Q985)</f>
        <v>2024</v>
      </c>
      <c r="T985" s="18">
        <f>IF(R985&lt;4,R985+9,R985-3)</f>
        <v>12</v>
      </c>
      <c r="U985" s="18">
        <f>IF(LEN(T985)=1,_xlfn.CONCAT(0,T985),T985)</f>
        <v>12</v>
      </c>
      <c r="V985" s="18" t="str">
        <f>_xlfn.CONCAT(S985,U985)</f>
        <v>202412</v>
      </c>
      <c r="W985" s="18" t="str">
        <f>_xlfn.CONCAT(TEXT(A985,"MMM"),"-",MID(Q985,3,2))</f>
        <v>Mar-25</v>
      </c>
      <c r="X985" s="19">
        <f>IFERROR(IF(D985="Sell",(H985-P985),-(H985+P985)),0)</f>
        <v>-7687.45</v>
      </c>
      <c r="Y985" s="19">
        <f>X985/1000</f>
        <v>-7.6874500000000001</v>
      </c>
    </row>
    <row r="986" spans="1:25" x14ac:dyDescent="0.25">
      <c r="A986" s="1">
        <v>45723</v>
      </c>
      <c r="B986" t="s">
        <v>1357</v>
      </c>
      <c r="C986" t="s">
        <v>17</v>
      </c>
      <c r="D986" t="s">
        <v>18</v>
      </c>
      <c r="E986">
        <v>75</v>
      </c>
      <c r="F986">
        <v>0</v>
      </c>
      <c r="G986">
        <v>105.7</v>
      </c>
      <c r="H986">
        <v>7927.5</v>
      </c>
      <c r="I986" t="s">
        <v>1363</v>
      </c>
      <c r="J986">
        <v>7.93</v>
      </c>
      <c r="K986">
        <v>2.82</v>
      </c>
      <c r="L986">
        <v>0</v>
      </c>
      <c r="M986">
        <v>0.01</v>
      </c>
      <c r="N986">
        <v>29</v>
      </c>
      <c r="O986">
        <v>5.72</v>
      </c>
      <c r="P986">
        <v>45.48</v>
      </c>
      <c r="Q986" s="18">
        <f>YEAR(A986)</f>
        <v>2025</v>
      </c>
      <c r="R986" s="18">
        <f>MONTH(A986)</f>
        <v>3</v>
      </c>
      <c r="S986" s="18">
        <f>IF(R986&lt;4,Q986-1,Q986)</f>
        <v>2024</v>
      </c>
      <c r="T986" s="18">
        <f>IF(R986&lt;4,R986+9,R986-3)</f>
        <v>12</v>
      </c>
      <c r="U986" s="18">
        <f>IF(LEN(T986)=1,_xlfn.CONCAT(0,T986),T986)</f>
        <v>12</v>
      </c>
      <c r="V986" s="18" t="str">
        <f>_xlfn.CONCAT(S986,U986)</f>
        <v>202412</v>
      </c>
      <c r="W986" s="18" t="str">
        <f>_xlfn.CONCAT(TEXT(A986,"MMM"),"-",MID(Q986,3,2))</f>
        <v>Mar-25</v>
      </c>
      <c r="X986" s="19">
        <f>IFERROR(IF(D986="Sell",(H986-P986),-(H986+P986)),0)</f>
        <v>7882.02</v>
      </c>
      <c r="Y986" s="19">
        <f>X986/1000</f>
        <v>7.8820200000000007</v>
      </c>
    </row>
    <row r="987" spans="1:25" x14ac:dyDescent="0.25">
      <c r="A987" s="1">
        <v>45723</v>
      </c>
      <c r="B987" t="s">
        <v>1357</v>
      </c>
      <c r="C987" t="s">
        <v>17</v>
      </c>
      <c r="D987" t="s">
        <v>22</v>
      </c>
      <c r="E987">
        <v>75</v>
      </c>
      <c r="F987">
        <v>0</v>
      </c>
      <c r="G987">
        <v>110.05</v>
      </c>
      <c r="H987">
        <v>8253.75</v>
      </c>
      <c r="I987" t="s">
        <v>1364</v>
      </c>
      <c r="J987">
        <v>0</v>
      </c>
      <c r="K987">
        <v>2.93</v>
      </c>
      <c r="L987">
        <v>0</v>
      </c>
      <c r="M987">
        <v>0.01</v>
      </c>
      <c r="N987">
        <v>29</v>
      </c>
      <c r="O987">
        <v>5.74</v>
      </c>
      <c r="P987">
        <v>37.68</v>
      </c>
      <c r="Q987" s="18">
        <f>YEAR(A987)</f>
        <v>2025</v>
      </c>
      <c r="R987" s="18">
        <f>MONTH(A987)</f>
        <v>3</v>
      </c>
      <c r="S987" s="18">
        <f>IF(R987&lt;4,Q987-1,Q987)</f>
        <v>2024</v>
      </c>
      <c r="T987" s="18">
        <f>IF(R987&lt;4,R987+9,R987-3)</f>
        <v>12</v>
      </c>
      <c r="U987" s="18">
        <f>IF(LEN(T987)=1,_xlfn.CONCAT(0,T987),T987)</f>
        <v>12</v>
      </c>
      <c r="V987" s="18" t="str">
        <f>_xlfn.CONCAT(S987,U987)</f>
        <v>202412</v>
      </c>
      <c r="W987" s="18" t="str">
        <f>_xlfn.CONCAT(TEXT(A987,"MMM"),"-",MID(Q987,3,2))</f>
        <v>Mar-25</v>
      </c>
      <c r="X987" s="19">
        <f>IFERROR(IF(D987="Sell",(H987-P987),-(H987+P987)),0)</f>
        <v>-8291.43</v>
      </c>
      <c r="Y987" s="19">
        <f>X987/1000</f>
        <v>-8.2914300000000001</v>
      </c>
    </row>
    <row r="988" spans="1:25" x14ac:dyDescent="0.25">
      <c r="A988" s="1">
        <v>45723</v>
      </c>
      <c r="B988" t="s">
        <v>1353</v>
      </c>
      <c r="C988" t="s">
        <v>17</v>
      </c>
      <c r="D988" t="s">
        <v>18</v>
      </c>
      <c r="E988">
        <v>150</v>
      </c>
      <c r="F988">
        <v>0</v>
      </c>
      <c r="G988">
        <v>54.68</v>
      </c>
      <c r="H988">
        <v>8201.25</v>
      </c>
      <c r="I988" t="s">
        <v>1365</v>
      </c>
      <c r="J988">
        <v>8</v>
      </c>
      <c r="K988">
        <v>2.92</v>
      </c>
      <c r="L988">
        <v>0</v>
      </c>
      <c r="M988">
        <v>0</v>
      </c>
      <c r="N988">
        <v>58</v>
      </c>
      <c r="O988">
        <v>10.96</v>
      </c>
      <c r="P988">
        <v>79.88</v>
      </c>
      <c r="Q988" s="18">
        <f>YEAR(A988)</f>
        <v>2025</v>
      </c>
      <c r="R988" s="18">
        <f>MONTH(A988)</f>
        <v>3</v>
      </c>
      <c r="S988" s="18">
        <f>IF(R988&lt;4,Q988-1,Q988)</f>
        <v>2024</v>
      </c>
      <c r="T988" s="18">
        <f>IF(R988&lt;4,R988+9,R988-3)</f>
        <v>12</v>
      </c>
      <c r="U988" s="18">
        <f>IF(LEN(T988)=1,_xlfn.CONCAT(0,T988),T988)</f>
        <v>12</v>
      </c>
      <c r="V988" s="18" t="str">
        <f>_xlfn.CONCAT(S988,U988)</f>
        <v>202412</v>
      </c>
      <c r="W988" s="18" t="str">
        <f>_xlfn.CONCAT(TEXT(A988,"MMM"),"-",MID(Q988,3,2))</f>
        <v>Mar-25</v>
      </c>
      <c r="X988" s="19">
        <f>IFERROR(IF(D988="Sell",(H988-P988),-(H988+P988)),0)</f>
        <v>8121.37</v>
      </c>
      <c r="Y988" s="19">
        <f>X988/1000</f>
        <v>8.1213700000000006</v>
      </c>
    </row>
    <row r="989" spans="1:25" x14ac:dyDescent="0.25">
      <c r="A989" s="1">
        <v>45723</v>
      </c>
      <c r="B989" t="s">
        <v>1353</v>
      </c>
      <c r="C989" t="s">
        <v>17</v>
      </c>
      <c r="D989" t="s">
        <v>22</v>
      </c>
      <c r="E989">
        <v>150</v>
      </c>
      <c r="F989">
        <v>0</v>
      </c>
      <c r="G989">
        <v>58.8</v>
      </c>
      <c r="H989">
        <v>8820</v>
      </c>
      <c r="I989" t="s">
        <v>1366</v>
      </c>
      <c r="J989">
        <v>0</v>
      </c>
      <c r="K989">
        <v>3.13</v>
      </c>
      <c r="L989">
        <v>0.45</v>
      </c>
      <c r="M989">
        <v>0.01</v>
      </c>
      <c r="N989">
        <v>58</v>
      </c>
      <c r="O989">
        <v>11</v>
      </c>
      <c r="P989">
        <v>72.59</v>
      </c>
      <c r="Q989" s="18">
        <f>YEAR(A989)</f>
        <v>2025</v>
      </c>
      <c r="R989" s="18">
        <f>MONTH(A989)</f>
        <v>3</v>
      </c>
      <c r="S989" s="18">
        <f>IF(R989&lt;4,Q989-1,Q989)</f>
        <v>2024</v>
      </c>
      <c r="T989" s="18">
        <f>IF(R989&lt;4,R989+9,R989-3)</f>
        <v>12</v>
      </c>
      <c r="U989" s="18">
        <f>IF(LEN(T989)=1,_xlfn.CONCAT(0,T989),T989)</f>
        <v>12</v>
      </c>
      <c r="V989" s="18" t="str">
        <f>_xlfn.CONCAT(S989,U989)</f>
        <v>202412</v>
      </c>
      <c r="W989" s="18" t="str">
        <f>_xlfn.CONCAT(TEXT(A989,"MMM"),"-",MID(Q989,3,2))</f>
        <v>Mar-25</v>
      </c>
      <c r="X989" s="19">
        <f>IFERROR(IF(D989="Sell",(H989-P989),-(H989+P989)),0)</f>
        <v>-8892.59</v>
      </c>
      <c r="Y989" s="19">
        <f>X989/1000</f>
        <v>-8.8925900000000002</v>
      </c>
    </row>
    <row r="990" spans="1:25" x14ac:dyDescent="0.25">
      <c r="A990" s="1">
        <v>45723</v>
      </c>
      <c r="B990" t="s">
        <v>1357</v>
      </c>
      <c r="C990" t="s">
        <v>17</v>
      </c>
      <c r="D990" t="s">
        <v>18</v>
      </c>
      <c r="E990">
        <v>150</v>
      </c>
      <c r="F990">
        <v>0</v>
      </c>
      <c r="G990">
        <v>98.75</v>
      </c>
      <c r="H990">
        <v>14812.5</v>
      </c>
      <c r="I990" t="s">
        <v>1367</v>
      </c>
      <c r="J990">
        <v>14.81</v>
      </c>
      <c r="K990">
        <v>5.26</v>
      </c>
      <c r="L990">
        <v>0</v>
      </c>
      <c r="M990">
        <v>0.01</v>
      </c>
      <c r="N990">
        <v>58</v>
      </c>
      <c r="O990">
        <v>11.38</v>
      </c>
      <c r="P990">
        <v>89.46</v>
      </c>
      <c r="Q990" s="18">
        <f>YEAR(A990)</f>
        <v>2025</v>
      </c>
      <c r="R990" s="18">
        <f>MONTH(A990)</f>
        <v>3</v>
      </c>
      <c r="S990" s="18">
        <f>IF(R990&lt;4,Q990-1,Q990)</f>
        <v>2024</v>
      </c>
      <c r="T990" s="18">
        <f>IF(R990&lt;4,R990+9,R990-3)</f>
        <v>12</v>
      </c>
      <c r="U990" s="18">
        <f>IF(LEN(T990)=1,_xlfn.CONCAT(0,T990),T990)</f>
        <v>12</v>
      </c>
      <c r="V990" s="18" t="str">
        <f>_xlfn.CONCAT(S990,U990)</f>
        <v>202412</v>
      </c>
      <c r="W990" s="18" t="str">
        <f>_xlfn.CONCAT(TEXT(A990,"MMM"),"-",MID(Q990,3,2))</f>
        <v>Mar-25</v>
      </c>
      <c r="X990" s="19">
        <f>IFERROR(IF(D990="Sell",(H990-P990),-(H990+P990)),0)</f>
        <v>14723.04</v>
      </c>
      <c r="Y990" s="19">
        <f>X990/1000</f>
        <v>14.723040000000001</v>
      </c>
    </row>
    <row r="991" spans="1:25" x14ac:dyDescent="0.25">
      <c r="A991" s="1">
        <v>45723</v>
      </c>
      <c r="B991" t="s">
        <v>1357</v>
      </c>
      <c r="C991" t="s">
        <v>17</v>
      </c>
      <c r="D991" t="s">
        <v>22</v>
      </c>
      <c r="E991">
        <v>75</v>
      </c>
      <c r="F991">
        <v>0</v>
      </c>
      <c r="G991">
        <v>81.400000000000006</v>
      </c>
      <c r="H991">
        <v>6105</v>
      </c>
      <c r="I991" t="s">
        <v>1368</v>
      </c>
      <c r="J991">
        <v>0</v>
      </c>
      <c r="K991">
        <v>2.17</v>
      </c>
      <c r="L991">
        <v>0</v>
      </c>
      <c r="M991">
        <v>0.01</v>
      </c>
      <c r="N991">
        <v>29</v>
      </c>
      <c r="O991">
        <v>5.62</v>
      </c>
      <c r="P991">
        <v>36.799999999999997</v>
      </c>
      <c r="Q991" s="18">
        <f>YEAR(A991)</f>
        <v>2025</v>
      </c>
      <c r="R991" s="18">
        <f>MONTH(A991)</f>
        <v>3</v>
      </c>
      <c r="S991" s="18">
        <f>IF(R991&lt;4,Q991-1,Q991)</f>
        <v>2024</v>
      </c>
      <c r="T991" s="18">
        <f>IF(R991&lt;4,R991+9,R991-3)</f>
        <v>12</v>
      </c>
      <c r="U991" s="18">
        <f>IF(LEN(T991)=1,_xlfn.CONCAT(0,T991),T991)</f>
        <v>12</v>
      </c>
      <c r="V991" s="18" t="str">
        <f>_xlfn.CONCAT(S991,U991)</f>
        <v>202412</v>
      </c>
      <c r="W991" s="18" t="str">
        <f>_xlfn.CONCAT(TEXT(A991,"MMM"),"-",MID(Q991,3,2))</f>
        <v>Mar-25</v>
      </c>
      <c r="X991" s="19">
        <f>IFERROR(IF(D991="Sell",(H991-P991),-(H991+P991)),0)</f>
        <v>-6141.8</v>
      </c>
      <c r="Y991" s="19">
        <f>X991/1000</f>
        <v>-6.1417999999999999</v>
      </c>
    </row>
    <row r="992" spans="1:25" x14ac:dyDescent="0.25">
      <c r="A992" s="1">
        <v>45723</v>
      </c>
      <c r="B992" t="s">
        <v>1353</v>
      </c>
      <c r="C992" t="s">
        <v>17</v>
      </c>
      <c r="D992" t="s">
        <v>18</v>
      </c>
      <c r="E992">
        <v>75</v>
      </c>
      <c r="F992">
        <v>0</v>
      </c>
      <c r="G992">
        <v>70.400000000000006</v>
      </c>
      <c r="H992">
        <v>5280</v>
      </c>
      <c r="I992" t="s">
        <v>1369</v>
      </c>
      <c r="J992">
        <v>5.28</v>
      </c>
      <c r="K992">
        <v>1.88</v>
      </c>
      <c r="L992">
        <v>0</v>
      </c>
      <c r="M992">
        <v>0.01</v>
      </c>
      <c r="N992">
        <v>29</v>
      </c>
      <c r="O992">
        <v>5.56</v>
      </c>
      <c r="P992">
        <v>41.73</v>
      </c>
      <c r="Q992" s="18">
        <f>YEAR(A992)</f>
        <v>2025</v>
      </c>
      <c r="R992" s="18">
        <f>MONTH(A992)</f>
        <v>3</v>
      </c>
      <c r="S992" s="18">
        <f>IF(R992&lt;4,Q992-1,Q992)</f>
        <v>2024</v>
      </c>
      <c r="T992" s="18">
        <f>IF(R992&lt;4,R992+9,R992-3)</f>
        <v>12</v>
      </c>
      <c r="U992" s="18">
        <f>IF(LEN(T992)=1,_xlfn.CONCAT(0,T992),T992)</f>
        <v>12</v>
      </c>
      <c r="V992" s="18" t="str">
        <f>_xlfn.CONCAT(S992,U992)</f>
        <v>202412</v>
      </c>
      <c r="W992" s="18" t="str">
        <f>_xlfn.CONCAT(TEXT(A992,"MMM"),"-",MID(Q992,3,2))</f>
        <v>Mar-25</v>
      </c>
      <c r="X992" s="19">
        <f>IFERROR(IF(D992="Sell",(H992-P992),-(H992+P992)),0)</f>
        <v>5238.2700000000004</v>
      </c>
      <c r="Y992" s="19">
        <f>X992/1000</f>
        <v>5.2382700000000009</v>
      </c>
    </row>
    <row r="993" spans="1:25" x14ac:dyDescent="0.25">
      <c r="A993" s="1">
        <v>45723</v>
      </c>
      <c r="B993" t="s">
        <v>1357</v>
      </c>
      <c r="C993" t="s">
        <v>17</v>
      </c>
      <c r="D993" t="s">
        <v>22</v>
      </c>
      <c r="E993">
        <v>75</v>
      </c>
      <c r="F993">
        <v>0</v>
      </c>
      <c r="G993">
        <v>81.25</v>
      </c>
      <c r="H993">
        <v>6093.75</v>
      </c>
      <c r="I993" t="s">
        <v>1370</v>
      </c>
      <c r="J993">
        <v>0</v>
      </c>
      <c r="K993">
        <v>2.17</v>
      </c>
      <c r="L993">
        <v>0</v>
      </c>
      <c r="M993">
        <v>0.01</v>
      </c>
      <c r="N993">
        <v>29</v>
      </c>
      <c r="O993">
        <v>5.62</v>
      </c>
      <c r="P993">
        <v>36.799999999999997</v>
      </c>
      <c r="Q993" s="18">
        <f>YEAR(A993)</f>
        <v>2025</v>
      </c>
      <c r="R993" s="18">
        <f>MONTH(A993)</f>
        <v>3</v>
      </c>
      <c r="S993" s="18">
        <f>IF(R993&lt;4,Q993-1,Q993)</f>
        <v>2024</v>
      </c>
      <c r="T993" s="18">
        <f>IF(R993&lt;4,R993+9,R993-3)</f>
        <v>12</v>
      </c>
      <c r="U993" s="18">
        <f>IF(LEN(T993)=1,_xlfn.CONCAT(0,T993),T993)</f>
        <v>12</v>
      </c>
      <c r="V993" s="18" t="str">
        <f>_xlfn.CONCAT(S993,U993)</f>
        <v>202412</v>
      </c>
      <c r="W993" s="18" t="str">
        <f>_xlfn.CONCAT(TEXT(A993,"MMM"),"-",MID(Q993,3,2))</f>
        <v>Mar-25</v>
      </c>
      <c r="X993" s="19">
        <f>IFERROR(IF(D993="Sell",(H993-P993),-(H993+P993)),0)</f>
        <v>-6130.55</v>
      </c>
      <c r="Y993" s="19">
        <f>X993/1000</f>
        <v>-6.1305500000000004</v>
      </c>
    </row>
    <row r="994" spans="1:25" x14ac:dyDescent="0.25">
      <c r="A994" s="1">
        <v>45723</v>
      </c>
      <c r="B994" t="s">
        <v>1357</v>
      </c>
      <c r="C994" t="s">
        <v>17</v>
      </c>
      <c r="D994" t="s">
        <v>18</v>
      </c>
      <c r="E994">
        <v>75</v>
      </c>
      <c r="F994">
        <v>0</v>
      </c>
      <c r="G994">
        <v>75.5</v>
      </c>
      <c r="H994">
        <v>5662.5</v>
      </c>
      <c r="I994" t="s">
        <v>1371</v>
      </c>
      <c r="J994">
        <v>5.66</v>
      </c>
      <c r="K994">
        <v>2.0099999999999998</v>
      </c>
      <c r="L994">
        <v>0</v>
      </c>
      <c r="M994">
        <v>0.01</v>
      </c>
      <c r="N994">
        <v>29</v>
      </c>
      <c r="O994">
        <v>5.58</v>
      </c>
      <c r="P994">
        <v>42.26</v>
      </c>
      <c r="Q994" s="18">
        <f>YEAR(A994)</f>
        <v>2025</v>
      </c>
      <c r="R994" s="18">
        <f>MONTH(A994)</f>
        <v>3</v>
      </c>
      <c r="S994" s="18">
        <f>IF(R994&lt;4,Q994-1,Q994)</f>
        <v>2024</v>
      </c>
      <c r="T994" s="18">
        <f>IF(R994&lt;4,R994+9,R994-3)</f>
        <v>12</v>
      </c>
      <c r="U994" s="18">
        <f>IF(LEN(T994)=1,_xlfn.CONCAT(0,T994),T994)</f>
        <v>12</v>
      </c>
      <c r="V994" s="18" t="str">
        <f>_xlfn.CONCAT(S994,U994)</f>
        <v>202412</v>
      </c>
      <c r="W994" s="18" t="str">
        <f>_xlfn.CONCAT(TEXT(A994,"MMM"),"-",MID(Q994,3,2))</f>
        <v>Mar-25</v>
      </c>
      <c r="X994" s="19">
        <f>IFERROR(IF(D994="Sell",(H994-P994),-(H994+P994)),0)</f>
        <v>5620.24</v>
      </c>
      <c r="Y994" s="19">
        <f>X994/1000</f>
        <v>5.6202399999999999</v>
      </c>
    </row>
    <row r="995" spans="1:25" x14ac:dyDescent="0.25">
      <c r="A995" s="1">
        <v>45723</v>
      </c>
      <c r="B995" t="s">
        <v>1353</v>
      </c>
      <c r="C995" t="s">
        <v>17</v>
      </c>
      <c r="D995" t="s">
        <v>22</v>
      </c>
      <c r="E995">
        <v>75</v>
      </c>
      <c r="F995">
        <v>0</v>
      </c>
      <c r="G995">
        <v>81</v>
      </c>
      <c r="H995">
        <v>6075</v>
      </c>
      <c r="I995" t="s">
        <v>1372</v>
      </c>
      <c r="J995">
        <v>0</v>
      </c>
      <c r="K995">
        <v>2.16</v>
      </c>
      <c r="L995">
        <v>0</v>
      </c>
      <c r="M995">
        <v>0.01</v>
      </c>
      <c r="N995">
        <v>29</v>
      </c>
      <c r="O995">
        <v>5.62</v>
      </c>
      <c r="P995">
        <v>36.79</v>
      </c>
      <c r="Q995" s="18">
        <f>YEAR(A995)</f>
        <v>2025</v>
      </c>
      <c r="R995" s="18">
        <f>MONTH(A995)</f>
        <v>3</v>
      </c>
      <c r="S995" s="18">
        <f>IF(R995&lt;4,Q995-1,Q995)</f>
        <v>2024</v>
      </c>
      <c r="T995" s="18">
        <f>IF(R995&lt;4,R995+9,R995-3)</f>
        <v>12</v>
      </c>
      <c r="U995" s="18">
        <f>IF(LEN(T995)=1,_xlfn.CONCAT(0,T995),T995)</f>
        <v>12</v>
      </c>
      <c r="V995" s="18" t="str">
        <f>_xlfn.CONCAT(S995,U995)</f>
        <v>202412</v>
      </c>
      <c r="W995" s="18" t="str">
        <f>_xlfn.CONCAT(TEXT(A995,"MMM"),"-",MID(Q995,3,2))</f>
        <v>Mar-25</v>
      </c>
      <c r="X995" s="19">
        <f>IFERROR(IF(D995="Sell",(H995-P995),-(H995+P995)),0)</f>
        <v>-6111.79</v>
      </c>
      <c r="Y995" s="19">
        <f>X995/1000</f>
        <v>-6.1117900000000001</v>
      </c>
    </row>
    <row r="996" spans="1:25" x14ac:dyDescent="0.25">
      <c r="A996" s="1">
        <v>45723</v>
      </c>
      <c r="B996" t="s">
        <v>1357</v>
      </c>
      <c r="C996" t="s">
        <v>17</v>
      </c>
      <c r="D996" t="s">
        <v>22</v>
      </c>
      <c r="E996">
        <v>75</v>
      </c>
      <c r="F996">
        <v>0</v>
      </c>
      <c r="G996">
        <v>89.5</v>
      </c>
      <c r="H996">
        <v>6712.5</v>
      </c>
      <c r="I996" t="s">
        <v>1373</v>
      </c>
      <c r="J996">
        <v>0</v>
      </c>
      <c r="K996">
        <v>2.38</v>
      </c>
      <c r="L996">
        <v>0</v>
      </c>
      <c r="M996">
        <v>0.01</v>
      </c>
      <c r="N996">
        <v>29</v>
      </c>
      <c r="O996">
        <v>5.66</v>
      </c>
      <c r="P996">
        <v>37.049999999999997</v>
      </c>
      <c r="Q996" s="18">
        <f>YEAR(A996)</f>
        <v>2025</v>
      </c>
      <c r="R996" s="18">
        <f>MONTH(A996)</f>
        <v>3</v>
      </c>
      <c r="S996" s="18">
        <f>IF(R996&lt;4,Q996-1,Q996)</f>
        <v>2024</v>
      </c>
      <c r="T996" s="18">
        <f>IF(R996&lt;4,R996+9,R996-3)</f>
        <v>12</v>
      </c>
      <c r="U996" s="18">
        <f>IF(LEN(T996)=1,_xlfn.CONCAT(0,T996),T996)</f>
        <v>12</v>
      </c>
      <c r="V996" s="18" t="str">
        <f>_xlfn.CONCAT(S996,U996)</f>
        <v>202412</v>
      </c>
      <c r="W996" s="18" t="str">
        <f>_xlfn.CONCAT(TEXT(A996,"MMM"),"-",MID(Q996,3,2))</f>
        <v>Mar-25</v>
      </c>
      <c r="X996" s="19">
        <f>IFERROR(IF(D996="Sell",(H996-P996),-(H996+P996)),0)</f>
        <v>-6749.55</v>
      </c>
      <c r="Y996" s="19">
        <f>X996/1000</f>
        <v>-6.7495500000000002</v>
      </c>
    </row>
    <row r="997" spans="1:25" x14ac:dyDescent="0.25">
      <c r="A997" s="1">
        <v>45727</v>
      </c>
      <c r="B997" t="s">
        <v>1351</v>
      </c>
      <c r="C997" t="s">
        <v>17</v>
      </c>
      <c r="D997" t="s">
        <v>22</v>
      </c>
      <c r="E997">
        <v>75</v>
      </c>
      <c r="F997">
        <v>0</v>
      </c>
      <c r="G997">
        <v>127.15</v>
      </c>
      <c r="H997">
        <v>9536.25</v>
      </c>
      <c r="I997" t="s">
        <v>1356</v>
      </c>
      <c r="J997">
        <v>0</v>
      </c>
      <c r="K997">
        <v>3.39</v>
      </c>
      <c r="L997">
        <v>0</v>
      </c>
      <c r="M997">
        <v>0.01</v>
      </c>
      <c r="N997">
        <v>29</v>
      </c>
      <c r="O997">
        <v>5.84</v>
      </c>
      <c r="P997">
        <v>38.24</v>
      </c>
      <c r="Q997" s="18">
        <f>YEAR(A997)</f>
        <v>2025</v>
      </c>
      <c r="R997" s="18">
        <f>MONTH(A997)</f>
        <v>3</v>
      </c>
      <c r="S997" s="18">
        <f>IF(R997&lt;4,Q997-1,Q997)</f>
        <v>2024</v>
      </c>
      <c r="T997" s="18">
        <f>IF(R997&lt;4,R997+9,R997-3)</f>
        <v>12</v>
      </c>
      <c r="U997" s="18">
        <f>IF(LEN(T997)=1,_xlfn.CONCAT(0,T997),T997)</f>
        <v>12</v>
      </c>
      <c r="V997" s="18" t="str">
        <f>_xlfn.CONCAT(S997,U997)</f>
        <v>202412</v>
      </c>
      <c r="W997" s="18" t="str">
        <f>_xlfn.CONCAT(TEXT(A997,"MMM"),"-",MID(Q997,3,2))</f>
        <v>Mar-25</v>
      </c>
      <c r="X997" s="19">
        <f>IFERROR(IF(D997="Sell",(H997-P997),-(H997+P997)),0)</f>
        <v>-9574.49</v>
      </c>
      <c r="Y997" s="19">
        <f>X997/1000</f>
        <v>-9.5744899999999991</v>
      </c>
    </row>
    <row r="998" spans="1:25" x14ac:dyDescent="0.25">
      <c r="A998" s="1">
        <v>45728</v>
      </c>
      <c r="B998" t="s">
        <v>1348</v>
      </c>
      <c r="C998" t="s">
        <v>17</v>
      </c>
      <c r="D998" t="s">
        <v>18</v>
      </c>
      <c r="E998">
        <v>300</v>
      </c>
      <c r="F998">
        <v>0</v>
      </c>
      <c r="G998">
        <v>72.25</v>
      </c>
      <c r="H998">
        <v>21675</v>
      </c>
      <c r="I998" t="s">
        <v>1349</v>
      </c>
      <c r="J998">
        <v>21.68</v>
      </c>
      <c r="K998">
        <v>7.72</v>
      </c>
      <c r="L998">
        <v>0</v>
      </c>
      <c r="M998">
        <v>0.04</v>
      </c>
      <c r="N998">
        <v>116</v>
      </c>
      <c r="O998">
        <v>22.24</v>
      </c>
      <c r="P998">
        <v>167.68</v>
      </c>
      <c r="Q998" s="18">
        <f>YEAR(A998)</f>
        <v>2025</v>
      </c>
      <c r="R998" s="18">
        <f>MONTH(A998)</f>
        <v>3</v>
      </c>
      <c r="S998" s="18">
        <f>IF(R998&lt;4,Q998-1,Q998)</f>
        <v>2024</v>
      </c>
      <c r="T998" s="18">
        <f>IF(R998&lt;4,R998+9,R998-3)</f>
        <v>12</v>
      </c>
      <c r="U998" s="18">
        <f>IF(LEN(T998)=1,_xlfn.CONCAT(0,T998),T998)</f>
        <v>12</v>
      </c>
      <c r="V998" s="18" t="str">
        <f>_xlfn.CONCAT(S998,U998)</f>
        <v>202412</v>
      </c>
      <c r="W998" s="18" t="str">
        <f>_xlfn.CONCAT(TEXT(A998,"MMM"),"-",MID(Q998,3,2))</f>
        <v>Mar-25</v>
      </c>
      <c r="X998" s="19">
        <f>IFERROR(IF(D998="Sell",(H998-P998),-(H998+P998)),0)</f>
        <v>21507.32</v>
      </c>
      <c r="Y998" s="19">
        <f>X998/1000</f>
        <v>21.50732</v>
      </c>
    </row>
    <row r="999" spans="1:25" x14ac:dyDescent="0.25">
      <c r="A999" s="1">
        <v>45728</v>
      </c>
      <c r="B999" t="s">
        <v>1348</v>
      </c>
      <c r="C999" t="s">
        <v>17</v>
      </c>
      <c r="D999" t="s">
        <v>22</v>
      </c>
      <c r="E999">
        <v>300</v>
      </c>
      <c r="F999">
        <v>0</v>
      </c>
      <c r="G999">
        <v>79.5</v>
      </c>
      <c r="H999">
        <v>23850</v>
      </c>
      <c r="I999" t="s">
        <v>1350</v>
      </c>
      <c r="J999">
        <v>0</v>
      </c>
      <c r="K999">
        <v>8.4700000000000006</v>
      </c>
      <c r="L999">
        <v>0.72</v>
      </c>
      <c r="M999">
        <v>0.02</v>
      </c>
      <c r="N999">
        <v>116</v>
      </c>
      <c r="O999">
        <v>22.4</v>
      </c>
      <c r="P999">
        <v>147.61000000000001</v>
      </c>
      <c r="Q999" s="18">
        <f>YEAR(A999)</f>
        <v>2025</v>
      </c>
      <c r="R999" s="18">
        <f>MONTH(A999)</f>
        <v>3</v>
      </c>
      <c r="S999" s="18">
        <f>IF(R999&lt;4,Q999-1,Q999)</f>
        <v>2024</v>
      </c>
      <c r="T999" s="18">
        <f>IF(R999&lt;4,R999+9,R999-3)</f>
        <v>12</v>
      </c>
      <c r="U999" s="18">
        <f>IF(LEN(T999)=1,_xlfn.CONCAT(0,T999),T999)</f>
        <v>12</v>
      </c>
      <c r="V999" s="18" t="str">
        <f>_xlfn.CONCAT(S999,U999)</f>
        <v>202412</v>
      </c>
      <c r="W999" s="18" t="str">
        <f>_xlfn.CONCAT(TEXT(A999,"MMM"),"-",MID(Q999,3,2))</f>
        <v>Mar-25</v>
      </c>
      <c r="X999" s="19">
        <f>IFERROR(IF(D999="Sell",(H999-P999),-(H999+P999)),0)</f>
        <v>-23997.61</v>
      </c>
      <c r="Y999" s="19">
        <f>X999/1000</f>
        <v>-23.997610000000002</v>
      </c>
    </row>
    <row r="1000" spans="1:25" x14ac:dyDescent="0.25">
      <c r="A1000" s="1">
        <v>45728</v>
      </c>
      <c r="B1000" t="s">
        <v>1351</v>
      </c>
      <c r="C1000" t="s">
        <v>17</v>
      </c>
      <c r="D1000" t="s">
        <v>18</v>
      </c>
      <c r="E1000">
        <v>75</v>
      </c>
      <c r="F1000">
        <v>0</v>
      </c>
      <c r="G1000">
        <v>147.25</v>
      </c>
      <c r="H1000">
        <v>11043.75</v>
      </c>
      <c r="I1000" t="s">
        <v>1352</v>
      </c>
      <c r="J1000">
        <v>11.04</v>
      </c>
      <c r="K1000">
        <v>3.92</v>
      </c>
      <c r="L1000">
        <v>0</v>
      </c>
      <c r="M1000">
        <v>0.01</v>
      </c>
      <c r="N1000">
        <v>29</v>
      </c>
      <c r="O1000">
        <v>5.92</v>
      </c>
      <c r="P1000">
        <v>49.89</v>
      </c>
      <c r="Q1000" s="18">
        <f>YEAR(A1000)</f>
        <v>2025</v>
      </c>
      <c r="R1000" s="18">
        <f>MONTH(A1000)</f>
        <v>3</v>
      </c>
      <c r="S1000" s="18">
        <f>IF(R1000&lt;4,Q1000-1,Q1000)</f>
        <v>2024</v>
      </c>
      <c r="T1000" s="18">
        <f>IF(R1000&lt;4,R1000+9,R1000-3)</f>
        <v>12</v>
      </c>
      <c r="U1000" s="18">
        <f>IF(LEN(T1000)=1,_xlfn.CONCAT(0,T1000),T1000)</f>
        <v>12</v>
      </c>
      <c r="V1000" s="18" t="str">
        <f>_xlfn.CONCAT(S1000,U1000)</f>
        <v>202412</v>
      </c>
      <c r="W1000" s="18" t="str">
        <f>_xlfn.CONCAT(TEXT(A1000,"MMM"),"-",MID(Q1000,3,2))</f>
        <v>Mar-25</v>
      </c>
      <c r="X1000" s="19">
        <f>IFERROR(IF(D1000="Sell",(H1000-P1000),-(H1000+P1000)),0)</f>
        <v>10993.86</v>
      </c>
      <c r="Y1000" s="19">
        <f>X1000/1000</f>
        <v>10.99386</v>
      </c>
    </row>
    <row r="1001" spans="1:25" x14ac:dyDescent="0.25">
      <c r="A1001" s="1">
        <v>45728</v>
      </c>
      <c r="B1001" t="s">
        <v>1353</v>
      </c>
      <c r="C1001" t="s">
        <v>17</v>
      </c>
      <c r="D1001" t="s">
        <v>18</v>
      </c>
      <c r="E1001">
        <v>525</v>
      </c>
      <c r="F1001">
        <v>0</v>
      </c>
      <c r="G1001">
        <v>59.25</v>
      </c>
      <c r="H1001">
        <v>31106.25</v>
      </c>
      <c r="I1001" t="s">
        <v>1354</v>
      </c>
      <c r="J1001">
        <v>31.28</v>
      </c>
      <c r="K1001">
        <v>11.05</v>
      </c>
      <c r="L1001">
        <v>0</v>
      </c>
      <c r="M1001">
        <v>0.03</v>
      </c>
      <c r="N1001">
        <v>203</v>
      </c>
      <c r="O1001">
        <v>38.54</v>
      </c>
      <c r="P1001">
        <v>283.89999999999998</v>
      </c>
      <c r="Q1001" s="18">
        <f>YEAR(A1001)</f>
        <v>2025</v>
      </c>
      <c r="R1001" s="18">
        <f>MONTH(A1001)</f>
        <v>3</v>
      </c>
      <c r="S1001" s="18">
        <f>IF(R1001&lt;4,Q1001-1,Q1001)</f>
        <v>2024</v>
      </c>
      <c r="T1001" s="18">
        <f>IF(R1001&lt;4,R1001+9,R1001-3)</f>
        <v>12</v>
      </c>
      <c r="U1001" s="18">
        <f>IF(LEN(T1001)=1,_xlfn.CONCAT(0,T1001),T1001)</f>
        <v>12</v>
      </c>
      <c r="V1001" s="18" t="str">
        <f>_xlfn.CONCAT(S1001,U1001)</f>
        <v>202412</v>
      </c>
      <c r="W1001" s="18" t="str">
        <f>_xlfn.CONCAT(TEXT(A1001,"MMM"),"-",MID(Q1001,3,2))</f>
        <v>Mar-25</v>
      </c>
      <c r="X1001" s="19">
        <f>IFERROR(IF(D1001="Sell",(H1001-P1001),-(H1001+P1001)),0)</f>
        <v>30822.35</v>
      </c>
      <c r="Y1001" s="19">
        <f>X1001/1000</f>
        <v>30.82235</v>
      </c>
    </row>
    <row r="1002" spans="1:25" x14ac:dyDescent="0.25">
      <c r="A1002" s="1">
        <v>45728</v>
      </c>
      <c r="B1002" t="s">
        <v>1353</v>
      </c>
      <c r="C1002" t="s">
        <v>17</v>
      </c>
      <c r="D1002" t="s">
        <v>22</v>
      </c>
      <c r="E1002">
        <v>525</v>
      </c>
      <c r="F1002">
        <v>0</v>
      </c>
      <c r="G1002">
        <v>50.25</v>
      </c>
      <c r="H1002">
        <v>26381.25</v>
      </c>
      <c r="I1002" t="s">
        <v>1355</v>
      </c>
      <c r="J1002">
        <v>0</v>
      </c>
      <c r="K1002">
        <v>9.3699999999999992</v>
      </c>
      <c r="L1002">
        <v>1.28</v>
      </c>
      <c r="M1002">
        <v>0.02</v>
      </c>
      <c r="N1002">
        <v>203</v>
      </c>
      <c r="O1002">
        <v>38.22</v>
      </c>
      <c r="P1002">
        <v>251.89</v>
      </c>
      <c r="Q1002" s="18">
        <f>YEAR(A1002)</f>
        <v>2025</v>
      </c>
      <c r="R1002" s="18">
        <f>MONTH(A1002)</f>
        <v>3</v>
      </c>
      <c r="S1002" s="18">
        <f>IF(R1002&lt;4,Q1002-1,Q1002)</f>
        <v>2024</v>
      </c>
      <c r="T1002" s="18">
        <f>IF(R1002&lt;4,R1002+9,R1002-3)</f>
        <v>12</v>
      </c>
      <c r="U1002" s="18">
        <f>IF(LEN(T1002)=1,_xlfn.CONCAT(0,T1002),T1002)</f>
        <v>12</v>
      </c>
      <c r="V1002" s="18" t="str">
        <f>_xlfn.CONCAT(S1002,U1002)</f>
        <v>202412</v>
      </c>
      <c r="W1002" s="18" t="str">
        <f>_xlfn.CONCAT(TEXT(A1002,"MMM"),"-",MID(Q1002,3,2))</f>
        <v>Mar-25</v>
      </c>
      <c r="X1002" s="19">
        <f>IFERROR(IF(D1002="Sell",(H1002-P1002),-(H1002+P1002)),0)</f>
        <v>-26633.14</v>
      </c>
      <c r="Y1002" s="19">
        <f>X1002/1000</f>
        <v>-26.633140000000001</v>
      </c>
    </row>
    <row r="1003" spans="1:25" x14ac:dyDescent="0.25">
      <c r="A1003" s="1">
        <v>45733</v>
      </c>
      <c r="B1003" t="s">
        <v>1343</v>
      </c>
      <c r="C1003" t="s">
        <v>17</v>
      </c>
      <c r="D1003" t="s">
        <v>18</v>
      </c>
      <c r="E1003">
        <v>75</v>
      </c>
      <c r="F1003">
        <v>0</v>
      </c>
      <c r="G1003">
        <v>101.75</v>
      </c>
      <c r="H1003">
        <v>7631.25</v>
      </c>
      <c r="I1003" t="s">
        <v>1344</v>
      </c>
      <c r="J1003">
        <v>7.63</v>
      </c>
      <c r="K1003">
        <v>2.71</v>
      </c>
      <c r="L1003">
        <v>0</v>
      </c>
      <c r="M1003">
        <v>0.01</v>
      </c>
      <c r="N1003">
        <v>29</v>
      </c>
      <c r="O1003">
        <v>5.7</v>
      </c>
      <c r="P1003">
        <v>45.05</v>
      </c>
      <c r="Q1003" s="18">
        <f>YEAR(A1003)</f>
        <v>2025</v>
      </c>
      <c r="R1003" s="18">
        <f>MONTH(A1003)</f>
        <v>3</v>
      </c>
      <c r="S1003" s="18">
        <f>IF(R1003&lt;4,Q1003-1,Q1003)</f>
        <v>2024</v>
      </c>
      <c r="T1003" s="18">
        <f>IF(R1003&lt;4,R1003+9,R1003-3)</f>
        <v>12</v>
      </c>
      <c r="U1003" s="18">
        <f>IF(LEN(T1003)=1,_xlfn.CONCAT(0,T1003),T1003)</f>
        <v>12</v>
      </c>
      <c r="V1003" s="18" t="str">
        <f>_xlfn.CONCAT(S1003,U1003)</f>
        <v>202412</v>
      </c>
      <c r="W1003" s="18" t="str">
        <f>_xlfn.CONCAT(TEXT(A1003,"MMM"),"-",MID(Q1003,3,2))</f>
        <v>Mar-25</v>
      </c>
      <c r="X1003" s="19">
        <f>IFERROR(IF(D1003="Sell",(H1003-P1003),-(H1003+P1003)),0)</f>
        <v>7586.2</v>
      </c>
      <c r="Y1003" s="19">
        <f>X1003/1000</f>
        <v>7.5861999999999998</v>
      </c>
    </row>
    <row r="1004" spans="1:25" x14ac:dyDescent="0.25">
      <c r="A1004" s="1">
        <v>45733</v>
      </c>
      <c r="B1004" t="s">
        <v>1343</v>
      </c>
      <c r="C1004" t="s">
        <v>17</v>
      </c>
      <c r="D1004" t="s">
        <v>22</v>
      </c>
      <c r="E1004">
        <v>75</v>
      </c>
      <c r="F1004">
        <v>0</v>
      </c>
      <c r="G1004">
        <v>104.55</v>
      </c>
      <c r="H1004">
        <v>7841.25</v>
      </c>
      <c r="I1004" t="s">
        <v>1345</v>
      </c>
      <c r="J1004">
        <v>0</v>
      </c>
      <c r="K1004">
        <v>2.79</v>
      </c>
      <c r="L1004">
        <v>0</v>
      </c>
      <c r="M1004">
        <v>0.01</v>
      </c>
      <c r="N1004">
        <v>29</v>
      </c>
      <c r="O1004">
        <v>5.72</v>
      </c>
      <c r="P1004">
        <v>37.520000000000003</v>
      </c>
      <c r="Q1004" s="18">
        <f>YEAR(A1004)</f>
        <v>2025</v>
      </c>
      <c r="R1004" s="18">
        <f>MONTH(A1004)</f>
        <v>3</v>
      </c>
      <c r="S1004" s="18">
        <f>IF(R1004&lt;4,Q1004-1,Q1004)</f>
        <v>2024</v>
      </c>
      <c r="T1004" s="18">
        <f>IF(R1004&lt;4,R1004+9,R1004-3)</f>
        <v>12</v>
      </c>
      <c r="U1004" s="18">
        <f>IF(LEN(T1004)=1,_xlfn.CONCAT(0,T1004),T1004)</f>
        <v>12</v>
      </c>
      <c r="V1004" s="18" t="str">
        <f>_xlfn.CONCAT(S1004,U1004)</f>
        <v>202412</v>
      </c>
      <c r="W1004" s="18" t="str">
        <f>_xlfn.CONCAT(TEXT(A1004,"MMM"),"-",MID(Q1004,3,2))</f>
        <v>Mar-25</v>
      </c>
      <c r="X1004" s="19">
        <f>IFERROR(IF(D1004="Sell",(H1004-P1004),-(H1004+P1004)),0)</f>
        <v>-7878.77</v>
      </c>
      <c r="Y1004" s="19">
        <f>X1004/1000</f>
        <v>-7.8787700000000003</v>
      </c>
    </row>
    <row r="1005" spans="1:25" x14ac:dyDescent="0.25">
      <c r="A1005" s="1">
        <v>45733</v>
      </c>
      <c r="B1005" t="s">
        <v>1343</v>
      </c>
      <c r="C1005" t="s">
        <v>17</v>
      </c>
      <c r="D1005" t="s">
        <v>18</v>
      </c>
      <c r="E1005">
        <v>75</v>
      </c>
      <c r="F1005">
        <v>0</v>
      </c>
      <c r="G1005">
        <v>105.25</v>
      </c>
      <c r="H1005">
        <v>7893.75</v>
      </c>
      <c r="I1005" t="s">
        <v>1346</v>
      </c>
      <c r="J1005">
        <v>8.3699999999999992</v>
      </c>
      <c r="K1005">
        <v>2.8</v>
      </c>
      <c r="L1005">
        <v>0</v>
      </c>
      <c r="M1005">
        <v>0.01</v>
      </c>
      <c r="N1005">
        <v>29</v>
      </c>
      <c r="O1005">
        <v>5.72</v>
      </c>
      <c r="P1005">
        <v>45.9</v>
      </c>
      <c r="Q1005" s="18">
        <f>YEAR(A1005)</f>
        <v>2025</v>
      </c>
      <c r="R1005" s="18">
        <f>MONTH(A1005)</f>
        <v>3</v>
      </c>
      <c r="S1005" s="18">
        <f>IF(R1005&lt;4,Q1005-1,Q1005)</f>
        <v>2024</v>
      </c>
      <c r="T1005" s="18">
        <f>IF(R1005&lt;4,R1005+9,R1005-3)</f>
        <v>12</v>
      </c>
      <c r="U1005" s="18">
        <f>IF(LEN(T1005)=1,_xlfn.CONCAT(0,T1005),T1005)</f>
        <v>12</v>
      </c>
      <c r="V1005" s="18" t="str">
        <f>_xlfn.CONCAT(S1005,U1005)</f>
        <v>202412</v>
      </c>
      <c r="W1005" s="18" t="str">
        <f>_xlfn.CONCAT(TEXT(A1005,"MMM"),"-",MID(Q1005,3,2))</f>
        <v>Mar-25</v>
      </c>
      <c r="X1005" s="19">
        <f>IFERROR(IF(D1005="Sell",(H1005-P1005),-(H1005+P1005)),0)</f>
        <v>7847.85</v>
      </c>
      <c r="Y1005" s="19">
        <f>X1005/1000</f>
        <v>7.8478500000000002</v>
      </c>
    </row>
    <row r="1006" spans="1:25" x14ac:dyDescent="0.25">
      <c r="A1006" s="1">
        <v>45733</v>
      </c>
      <c r="B1006" t="s">
        <v>1343</v>
      </c>
      <c r="C1006" t="s">
        <v>17</v>
      </c>
      <c r="D1006" t="s">
        <v>22</v>
      </c>
      <c r="E1006">
        <v>75</v>
      </c>
      <c r="F1006">
        <v>0</v>
      </c>
      <c r="G1006">
        <v>102.85</v>
      </c>
      <c r="H1006">
        <v>7713.75</v>
      </c>
      <c r="I1006" t="s">
        <v>1347</v>
      </c>
      <c r="J1006">
        <v>0</v>
      </c>
      <c r="K1006">
        <v>2.74</v>
      </c>
      <c r="L1006">
        <v>0</v>
      </c>
      <c r="M1006">
        <v>0.01</v>
      </c>
      <c r="N1006">
        <v>29</v>
      </c>
      <c r="O1006">
        <v>5.72</v>
      </c>
      <c r="P1006">
        <v>37.47</v>
      </c>
      <c r="Q1006" s="18">
        <f>YEAR(A1006)</f>
        <v>2025</v>
      </c>
      <c r="R1006" s="18">
        <f>MONTH(A1006)</f>
        <v>3</v>
      </c>
      <c r="S1006" s="18">
        <f>IF(R1006&lt;4,Q1006-1,Q1006)</f>
        <v>2024</v>
      </c>
      <c r="T1006" s="18">
        <f>IF(R1006&lt;4,R1006+9,R1006-3)</f>
        <v>12</v>
      </c>
      <c r="U1006" s="18">
        <f>IF(LEN(T1006)=1,_xlfn.CONCAT(0,T1006),T1006)</f>
        <v>12</v>
      </c>
      <c r="V1006" s="18" t="str">
        <f>_xlfn.CONCAT(S1006,U1006)</f>
        <v>202412</v>
      </c>
      <c r="W1006" s="18" t="str">
        <f>_xlfn.CONCAT(TEXT(A1006,"MMM"),"-",MID(Q1006,3,2))</f>
        <v>Mar-25</v>
      </c>
      <c r="X1006" s="19">
        <f>IFERROR(IF(D1006="Sell",(H1006-P1006),-(H1006+P1006)),0)</f>
        <v>-7751.22</v>
      </c>
      <c r="Y1006" s="19">
        <f>X1006/1000</f>
        <v>-7.75122</v>
      </c>
    </row>
    <row r="1007" spans="1:25" x14ac:dyDescent="0.25">
      <c r="A1007" s="1">
        <v>45735</v>
      </c>
      <c r="B1007" t="s">
        <v>1340</v>
      </c>
      <c r="C1007" t="s">
        <v>17</v>
      </c>
      <c r="D1007" t="s">
        <v>18</v>
      </c>
      <c r="E1007">
        <v>75</v>
      </c>
      <c r="F1007">
        <v>0</v>
      </c>
      <c r="G1007">
        <v>76.25</v>
      </c>
      <c r="H1007">
        <v>5718.75</v>
      </c>
      <c r="I1007" t="s">
        <v>1341</v>
      </c>
      <c r="J1007">
        <v>6</v>
      </c>
      <c r="K1007">
        <v>2.0299999999999998</v>
      </c>
      <c r="L1007">
        <v>0</v>
      </c>
      <c r="M1007">
        <v>0.01</v>
      </c>
      <c r="N1007">
        <v>29</v>
      </c>
      <c r="O1007">
        <v>5.58</v>
      </c>
      <c r="P1007">
        <v>42.62</v>
      </c>
      <c r="Q1007" s="18">
        <f>YEAR(A1007)</f>
        <v>2025</v>
      </c>
      <c r="R1007" s="18">
        <f>MONTH(A1007)</f>
        <v>3</v>
      </c>
      <c r="S1007" s="18">
        <f>IF(R1007&lt;4,Q1007-1,Q1007)</f>
        <v>2024</v>
      </c>
      <c r="T1007" s="18">
        <f>IF(R1007&lt;4,R1007+9,R1007-3)</f>
        <v>12</v>
      </c>
      <c r="U1007" s="18">
        <f>IF(LEN(T1007)=1,_xlfn.CONCAT(0,T1007),T1007)</f>
        <v>12</v>
      </c>
      <c r="V1007" s="18" t="str">
        <f>_xlfn.CONCAT(S1007,U1007)</f>
        <v>202412</v>
      </c>
      <c r="W1007" s="18" t="str">
        <f>_xlfn.CONCAT(TEXT(A1007,"MMM"),"-",MID(Q1007,3,2))</f>
        <v>Mar-25</v>
      </c>
      <c r="X1007" s="19">
        <f>IFERROR(IF(D1007="Sell",(H1007-P1007),-(H1007+P1007)),0)</f>
        <v>5676.13</v>
      </c>
      <c r="Y1007" s="19">
        <f>X1007/1000</f>
        <v>5.6761299999999997</v>
      </c>
    </row>
    <row r="1008" spans="1:25" x14ac:dyDescent="0.25">
      <c r="A1008" s="1">
        <v>45735</v>
      </c>
      <c r="B1008" t="s">
        <v>1340</v>
      </c>
      <c r="C1008" t="s">
        <v>17</v>
      </c>
      <c r="D1008" t="s">
        <v>22</v>
      </c>
      <c r="E1008">
        <v>75</v>
      </c>
      <c r="F1008">
        <v>0</v>
      </c>
      <c r="G1008">
        <v>65.7</v>
      </c>
      <c r="H1008">
        <v>4927.5</v>
      </c>
      <c r="I1008" t="s">
        <v>1342</v>
      </c>
      <c r="J1008">
        <v>0</v>
      </c>
      <c r="K1008">
        <v>1.75</v>
      </c>
      <c r="L1008">
        <v>0</v>
      </c>
      <c r="M1008">
        <v>0</v>
      </c>
      <c r="N1008">
        <v>29</v>
      </c>
      <c r="O1008">
        <v>5.54</v>
      </c>
      <c r="P1008">
        <v>36.29</v>
      </c>
      <c r="Q1008" s="18">
        <f>YEAR(A1008)</f>
        <v>2025</v>
      </c>
      <c r="R1008" s="18">
        <f>MONTH(A1008)</f>
        <v>3</v>
      </c>
      <c r="S1008" s="18">
        <f>IF(R1008&lt;4,Q1008-1,Q1008)</f>
        <v>2024</v>
      </c>
      <c r="T1008" s="18">
        <f>IF(R1008&lt;4,R1008+9,R1008-3)</f>
        <v>12</v>
      </c>
      <c r="U1008" s="18">
        <f>IF(LEN(T1008)=1,_xlfn.CONCAT(0,T1008),T1008)</f>
        <v>12</v>
      </c>
      <c r="V1008" s="18" t="str">
        <f>_xlfn.CONCAT(S1008,U1008)</f>
        <v>202412</v>
      </c>
      <c r="W1008" s="18" t="str">
        <f>_xlfn.CONCAT(TEXT(A1008,"MMM"),"-",MID(Q1008,3,2))</f>
        <v>Mar-25</v>
      </c>
      <c r="X1008" s="19">
        <f>IFERROR(IF(D1008="Sell",(H1008-P1008),-(H1008+P1008)),0)</f>
        <v>-4963.79</v>
      </c>
      <c r="Y1008" s="19">
        <f>X1008/1000</f>
        <v>-4.9637900000000004</v>
      </c>
    </row>
    <row r="1009" spans="1:25" x14ac:dyDescent="0.25">
      <c r="A1009" s="1">
        <v>45736</v>
      </c>
      <c r="B1009" t="s">
        <v>1336</v>
      </c>
      <c r="C1009" t="s">
        <v>17</v>
      </c>
      <c r="D1009" t="s">
        <v>18</v>
      </c>
      <c r="E1009">
        <v>300</v>
      </c>
      <c r="F1009">
        <v>0</v>
      </c>
      <c r="G1009">
        <v>26.75</v>
      </c>
      <c r="H1009">
        <v>8025</v>
      </c>
      <c r="I1009" t="s">
        <v>1337</v>
      </c>
      <c r="J1009">
        <v>8</v>
      </c>
      <c r="K1009">
        <v>2.85</v>
      </c>
      <c r="L1009">
        <v>0</v>
      </c>
      <c r="M1009">
        <v>0.01</v>
      </c>
      <c r="N1009">
        <v>116</v>
      </c>
      <c r="O1009">
        <v>21.4</v>
      </c>
      <c r="P1009">
        <v>148.26</v>
      </c>
      <c r="Q1009" s="18">
        <f>YEAR(A1009)</f>
        <v>2025</v>
      </c>
      <c r="R1009" s="18">
        <f>MONTH(A1009)</f>
        <v>3</v>
      </c>
      <c r="S1009" s="18">
        <f>IF(R1009&lt;4,Q1009-1,Q1009)</f>
        <v>2024</v>
      </c>
      <c r="T1009" s="18">
        <f>IF(R1009&lt;4,R1009+9,R1009-3)</f>
        <v>12</v>
      </c>
      <c r="U1009" s="18">
        <f>IF(LEN(T1009)=1,_xlfn.CONCAT(0,T1009),T1009)</f>
        <v>12</v>
      </c>
      <c r="V1009" s="18" t="str">
        <f>_xlfn.CONCAT(S1009,U1009)</f>
        <v>202412</v>
      </c>
      <c r="W1009" s="18" t="str">
        <f>_xlfn.CONCAT(TEXT(A1009,"MMM"),"-",MID(Q1009,3,2))</f>
        <v>Mar-25</v>
      </c>
      <c r="X1009" s="19">
        <f>IFERROR(IF(D1009="Sell",(H1009-P1009),-(H1009+P1009)),0)</f>
        <v>7876.74</v>
      </c>
      <c r="Y1009" s="19">
        <f>X1009/1000</f>
        <v>7.8767399999999999</v>
      </c>
    </row>
    <row r="1010" spans="1:25" x14ac:dyDescent="0.25">
      <c r="A1010" s="1">
        <v>45736</v>
      </c>
      <c r="B1010" t="s">
        <v>1336</v>
      </c>
      <c r="C1010" t="s">
        <v>17</v>
      </c>
      <c r="D1010" t="s">
        <v>22</v>
      </c>
      <c r="E1010">
        <v>75</v>
      </c>
      <c r="F1010">
        <v>0</v>
      </c>
      <c r="G1010">
        <v>14.15</v>
      </c>
      <c r="H1010">
        <v>1061.25</v>
      </c>
      <c r="I1010" t="s">
        <v>1338</v>
      </c>
      <c r="J1010">
        <v>0</v>
      </c>
      <c r="K1010">
        <v>0.38</v>
      </c>
      <c r="L1010">
        <v>0</v>
      </c>
      <c r="M1010">
        <v>0</v>
      </c>
      <c r="N1010">
        <v>29</v>
      </c>
      <c r="O1010">
        <v>5.28</v>
      </c>
      <c r="P1010">
        <v>34.659999999999997</v>
      </c>
      <c r="Q1010" s="18">
        <f>YEAR(A1010)</f>
        <v>2025</v>
      </c>
      <c r="R1010" s="18">
        <f>MONTH(A1010)</f>
        <v>3</v>
      </c>
      <c r="S1010" s="18">
        <f>IF(R1010&lt;4,Q1010-1,Q1010)</f>
        <v>2024</v>
      </c>
      <c r="T1010" s="18">
        <f>IF(R1010&lt;4,R1010+9,R1010-3)</f>
        <v>12</v>
      </c>
      <c r="U1010" s="18">
        <f>IF(LEN(T1010)=1,_xlfn.CONCAT(0,T1010),T1010)</f>
        <v>12</v>
      </c>
      <c r="V1010" s="18" t="str">
        <f>_xlfn.CONCAT(S1010,U1010)</f>
        <v>202412</v>
      </c>
      <c r="W1010" s="18" t="str">
        <f>_xlfn.CONCAT(TEXT(A1010,"MMM"),"-",MID(Q1010,3,2))</f>
        <v>Mar-25</v>
      </c>
      <c r="X1010" s="19">
        <f>IFERROR(IF(D1010="Sell",(H1010-P1010),-(H1010+P1010)),0)</f>
        <v>-1095.9100000000001</v>
      </c>
      <c r="Y1010" s="19">
        <f>X1010/1000</f>
        <v>-1.0959100000000002</v>
      </c>
    </row>
    <row r="1011" spans="1:25" x14ac:dyDescent="0.25">
      <c r="A1011" s="1">
        <v>45736</v>
      </c>
      <c r="B1011" t="s">
        <v>1336</v>
      </c>
      <c r="C1011" t="s">
        <v>17</v>
      </c>
      <c r="D1011" t="s">
        <v>22</v>
      </c>
      <c r="E1011">
        <v>225</v>
      </c>
      <c r="F1011">
        <v>0</v>
      </c>
      <c r="G1011">
        <v>17.25</v>
      </c>
      <c r="H1011">
        <v>3881.25</v>
      </c>
      <c r="I1011" t="s">
        <v>1339</v>
      </c>
      <c r="J1011">
        <v>0</v>
      </c>
      <c r="K1011">
        <v>1.38</v>
      </c>
      <c r="L1011">
        <v>0</v>
      </c>
      <c r="M1011">
        <v>0</v>
      </c>
      <c r="N1011">
        <v>87</v>
      </c>
      <c r="O1011">
        <v>15.9</v>
      </c>
      <c r="P1011">
        <v>104.28</v>
      </c>
      <c r="Q1011" s="18">
        <f>YEAR(A1011)</f>
        <v>2025</v>
      </c>
      <c r="R1011" s="18">
        <f>MONTH(A1011)</f>
        <v>3</v>
      </c>
      <c r="S1011" s="18">
        <f>IF(R1011&lt;4,Q1011-1,Q1011)</f>
        <v>2024</v>
      </c>
      <c r="T1011" s="18">
        <f>IF(R1011&lt;4,R1011+9,R1011-3)</f>
        <v>12</v>
      </c>
      <c r="U1011" s="18">
        <f>IF(LEN(T1011)=1,_xlfn.CONCAT(0,T1011),T1011)</f>
        <v>12</v>
      </c>
      <c r="V1011" s="18" t="str">
        <f>_xlfn.CONCAT(S1011,U1011)</f>
        <v>202412</v>
      </c>
      <c r="W1011" s="18" t="str">
        <f>_xlfn.CONCAT(TEXT(A1011,"MMM"),"-",MID(Q1011,3,2))</f>
        <v>Mar-25</v>
      </c>
      <c r="X1011" s="19">
        <f>IFERROR(IF(D1011="Sell",(H1011-P1011),-(H1011+P1011)),0)</f>
        <v>-3985.53</v>
      </c>
      <c r="Y1011" s="19">
        <f>X1011/1000</f>
        <v>-3.9855300000000002</v>
      </c>
    </row>
    <row r="1012" spans="1:25" x14ac:dyDescent="0.25">
      <c r="A1012" s="1">
        <v>45742</v>
      </c>
      <c r="B1012" t="s">
        <v>1330</v>
      </c>
      <c r="C1012" t="s">
        <v>17</v>
      </c>
      <c r="D1012" t="s">
        <v>18</v>
      </c>
      <c r="E1012">
        <v>75</v>
      </c>
      <c r="F1012">
        <v>0</v>
      </c>
      <c r="G1012">
        <v>49.25</v>
      </c>
      <c r="H1012">
        <v>3693.75</v>
      </c>
      <c r="I1012" t="s">
        <v>1331</v>
      </c>
      <c r="J1012">
        <v>3.96</v>
      </c>
      <c r="K1012">
        <v>1.31</v>
      </c>
      <c r="L1012">
        <v>0</v>
      </c>
      <c r="M1012">
        <v>0</v>
      </c>
      <c r="N1012">
        <v>29</v>
      </c>
      <c r="O1012">
        <v>5.46</v>
      </c>
      <c r="P1012">
        <v>39.729999999999997</v>
      </c>
      <c r="Q1012" s="18">
        <f>YEAR(A1012)</f>
        <v>2025</v>
      </c>
      <c r="R1012" s="18">
        <f>MONTH(A1012)</f>
        <v>3</v>
      </c>
      <c r="S1012" s="18">
        <f>IF(R1012&lt;4,Q1012-1,Q1012)</f>
        <v>2024</v>
      </c>
      <c r="T1012" s="18">
        <f>IF(R1012&lt;4,R1012+9,R1012-3)</f>
        <v>12</v>
      </c>
      <c r="U1012" s="18">
        <f>IF(LEN(T1012)=1,_xlfn.CONCAT(0,T1012),T1012)</f>
        <v>12</v>
      </c>
      <c r="V1012" s="18" t="str">
        <f>_xlfn.CONCAT(S1012,U1012)</f>
        <v>202412</v>
      </c>
      <c r="W1012" s="18" t="str">
        <f>_xlfn.CONCAT(TEXT(A1012,"MMM"),"-",MID(Q1012,3,2))</f>
        <v>Mar-25</v>
      </c>
      <c r="X1012" s="19">
        <f>IFERROR(IF(D1012="Sell",(H1012-P1012),-(H1012+P1012)),0)</f>
        <v>3654.02</v>
      </c>
      <c r="Y1012" s="19">
        <f>X1012/1000</f>
        <v>3.65402</v>
      </c>
    </row>
    <row r="1013" spans="1:25" x14ac:dyDescent="0.25">
      <c r="A1013" s="1">
        <v>45742</v>
      </c>
      <c r="B1013" t="s">
        <v>1330</v>
      </c>
      <c r="C1013" t="s">
        <v>17</v>
      </c>
      <c r="D1013" t="s">
        <v>22</v>
      </c>
      <c r="E1013">
        <v>75</v>
      </c>
      <c r="F1013">
        <v>0</v>
      </c>
      <c r="G1013">
        <v>41.1</v>
      </c>
      <c r="H1013">
        <v>3082.5</v>
      </c>
      <c r="I1013" t="s">
        <v>1332</v>
      </c>
      <c r="J1013">
        <v>0</v>
      </c>
      <c r="K1013">
        <v>1.1000000000000001</v>
      </c>
      <c r="L1013">
        <v>0</v>
      </c>
      <c r="M1013">
        <v>0</v>
      </c>
      <c r="N1013">
        <v>29</v>
      </c>
      <c r="O1013">
        <v>5.42</v>
      </c>
      <c r="P1013">
        <v>35.520000000000003</v>
      </c>
      <c r="Q1013" s="18">
        <f>YEAR(A1013)</f>
        <v>2025</v>
      </c>
      <c r="R1013" s="18">
        <f>MONTH(A1013)</f>
        <v>3</v>
      </c>
      <c r="S1013" s="18">
        <f>IF(R1013&lt;4,Q1013-1,Q1013)</f>
        <v>2024</v>
      </c>
      <c r="T1013" s="18">
        <f>IF(R1013&lt;4,R1013+9,R1013-3)</f>
        <v>12</v>
      </c>
      <c r="U1013" s="18">
        <f>IF(LEN(T1013)=1,_xlfn.CONCAT(0,T1013),T1013)</f>
        <v>12</v>
      </c>
      <c r="V1013" s="18" t="str">
        <f>_xlfn.CONCAT(S1013,U1013)</f>
        <v>202412</v>
      </c>
      <c r="W1013" s="18" t="str">
        <f>_xlfn.CONCAT(TEXT(A1013,"MMM"),"-",MID(Q1013,3,2))</f>
        <v>Mar-25</v>
      </c>
      <c r="X1013" s="19">
        <f>IFERROR(IF(D1013="Sell",(H1013-P1013),-(H1013+P1013)),0)</f>
        <v>-3118.02</v>
      </c>
      <c r="Y1013" s="19">
        <f>X1013/1000</f>
        <v>-3.11802</v>
      </c>
    </row>
    <row r="1014" spans="1:25" x14ac:dyDescent="0.25">
      <c r="A1014" s="1">
        <v>45742</v>
      </c>
      <c r="B1014" t="s">
        <v>1333</v>
      </c>
      <c r="C1014" t="s">
        <v>17</v>
      </c>
      <c r="D1014" t="s">
        <v>18</v>
      </c>
      <c r="E1014">
        <v>75</v>
      </c>
      <c r="F1014">
        <v>0</v>
      </c>
      <c r="G1014">
        <v>107.25</v>
      </c>
      <c r="H1014">
        <v>8043.75</v>
      </c>
      <c r="I1014" t="s">
        <v>1334</v>
      </c>
      <c r="J1014">
        <v>8.0399999999999991</v>
      </c>
      <c r="K1014">
        <v>2.86</v>
      </c>
      <c r="L1014">
        <v>0</v>
      </c>
      <c r="M1014">
        <v>0.01</v>
      </c>
      <c r="N1014">
        <v>29</v>
      </c>
      <c r="O1014">
        <v>5.74</v>
      </c>
      <c r="P1014">
        <v>45.65</v>
      </c>
      <c r="Q1014" s="18">
        <f>YEAR(A1014)</f>
        <v>2025</v>
      </c>
      <c r="R1014" s="18">
        <f>MONTH(A1014)</f>
        <v>3</v>
      </c>
      <c r="S1014" s="18">
        <f>IF(R1014&lt;4,Q1014-1,Q1014)</f>
        <v>2024</v>
      </c>
      <c r="T1014" s="18">
        <f>IF(R1014&lt;4,R1014+9,R1014-3)</f>
        <v>12</v>
      </c>
      <c r="U1014" s="18">
        <f>IF(LEN(T1014)=1,_xlfn.CONCAT(0,T1014),T1014)</f>
        <v>12</v>
      </c>
      <c r="V1014" s="18" t="str">
        <f>_xlfn.CONCAT(S1014,U1014)</f>
        <v>202412</v>
      </c>
      <c r="W1014" s="18" t="str">
        <f>_xlfn.CONCAT(TEXT(A1014,"MMM"),"-",MID(Q1014,3,2))</f>
        <v>Mar-25</v>
      </c>
      <c r="X1014" s="19">
        <f>IFERROR(IF(D1014="Sell",(H1014-P1014),-(H1014+P1014)),0)</f>
        <v>7998.1</v>
      </c>
      <c r="Y1014" s="19">
        <f>X1014/1000</f>
        <v>7.9981</v>
      </c>
    </row>
    <row r="1015" spans="1:25" x14ac:dyDescent="0.25">
      <c r="A1015" s="1">
        <v>45742</v>
      </c>
      <c r="B1015" t="s">
        <v>1333</v>
      </c>
      <c r="C1015" t="s">
        <v>17</v>
      </c>
      <c r="D1015" t="s">
        <v>22</v>
      </c>
      <c r="E1015">
        <v>75</v>
      </c>
      <c r="F1015">
        <v>0</v>
      </c>
      <c r="G1015">
        <v>87.9</v>
      </c>
      <c r="H1015">
        <v>6592.5</v>
      </c>
      <c r="I1015" t="s">
        <v>1335</v>
      </c>
      <c r="J1015">
        <v>0</v>
      </c>
      <c r="K1015">
        <v>2.34</v>
      </c>
      <c r="L1015">
        <v>0</v>
      </c>
      <c r="M1015">
        <v>0.01</v>
      </c>
      <c r="N1015">
        <v>29</v>
      </c>
      <c r="O1015">
        <v>5.64</v>
      </c>
      <c r="P1015">
        <v>36.99</v>
      </c>
      <c r="Q1015" s="18">
        <f>YEAR(A1015)</f>
        <v>2025</v>
      </c>
      <c r="R1015" s="18">
        <f>MONTH(A1015)</f>
        <v>3</v>
      </c>
      <c r="S1015" s="18">
        <f>IF(R1015&lt;4,Q1015-1,Q1015)</f>
        <v>2024</v>
      </c>
      <c r="T1015" s="18">
        <f>IF(R1015&lt;4,R1015+9,R1015-3)</f>
        <v>12</v>
      </c>
      <c r="U1015" s="18">
        <f>IF(LEN(T1015)=1,_xlfn.CONCAT(0,T1015),T1015)</f>
        <v>12</v>
      </c>
      <c r="V1015" s="18" t="str">
        <f>_xlfn.CONCAT(S1015,U1015)</f>
        <v>202412</v>
      </c>
      <c r="W1015" s="18" t="str">
        <f>_xlfn.CONCAT(TEXT(A1015,"MMM"),"-",MID(Q1015,3,2))</f>
        <v>Mar-25</v>
      </c>
      <c r="X1015" s="19">
        <f>IFERROR(IF(D1015="Sell",(H1015-P1015),-(H1015+P1015)),0)</f>
        <v>-6629.49</v>
      </c>
      <c r="Y1015" s="19">
        <f>X1015/1000</f>
        <v>-6.6294899999999997</v>
      </c>
    </row>
    <row r="1016" spans="1:25" x14ac:dyDescent="0.25">
      <c r="A1016" s="1">
        <v>45743</v>
      </c>
      <c r="B1016" t="s">
        <v>1323</v>
      </c>
      <c r="C1016" t="s">
        <v>17</v>
      </c>
      <c r="D1016" t="s">
        <v>18</v>
      </c>
      <c r="E1016">
        <v>525</v>
      </c>
      <c r="F1016">
        <v>0</v>
      </c>
      <c r="G1016">
        <v>5.25</v>
      </c>
      <c r="H1016">
        <v>2756.25</v>
      </c>
      <c r="I1016" t="s">
        <v>1324</v>
      </c>
      <c r="J1016">
        <v>2.76</v>
      </c>
      <c r="K1016">
        <v>0.98</v>
      </c>
      <c r="L1016">
        <v>0</v>
      </c>
      <c r="M1016">
        <v>0</v>
      </c>
      <c r="N1016">
        <v>203</v>
      </c>
      <c r="O1016">
        <v>36.72</v>
      </c>
      <c r="P1016">
        <v>243.46</v>
      </c>
      <c r="Q1016" s="18">
        <f>YEAR(A1016)</f>
        <v>2025</v>
      </c>
      <c r="R1016" s="18">
        <f>MONTH(A1016)</f>
        <v>3</v>
      </c>
      <c r="S1016" s="18">
        <f>IF(R1016&lt;4,Q1016-1,Q1016)</f>
        <v>2024</v>
      </c>
      <c r="T1016" s="18">
        <f>IF(R1016&lt;4,R1016+9,R1016-3)</f>
        <v>12</v>
      </c>
      <c r="U1016" s="18">
        <f>IF(LEN(T1016)=1,_xlfn.CONCAT(0,T1016),T1016)</f>
        <v>12</v>
      </c>
      <c r="V1016" s="18" t="str">
        <f>_xlfn.CONCAT(S1016,U1016)</f>
        <v>202412</v>
      </c>
      <c r="W1016" s="18" t="str">
        <f>_xlfn.CONCAT(TEXT(A1016,"MMM"),"-",MID(Q1016,3,2))</f>
        <v>Mar-25</v>
      </c>
      <c r="X1016" s="19">
        <f>IFERROR(IF(D1016="Sell",(H1016-P1016),-(H1016+P1016)),0)</f>
        <v>2512.79</v>
      </c>
      <c r="Y1016" s="19">
        <f>X1016/1000</f>
        <v>2.5127899999999999</v>
      </c>
    </row>
    <row r="1017" spans="1:25" x14ac:dyDescent="0.25">
      <c r="A1017" s="1">
        <v>45743</v>
      </c>
      <c r="B1017" t="s">
        <v>1323</v>
      </c>
      <c r="C1017" t="s">
        <v>17</v>
      </c>
      <c r="D1017" t="s">
        <v>22</v>
      </c>
      <c r="E1017">
        <v>75</v>
      </c>
      <c r="F1017">
        <v>0</v>
      </c>
      <c r="G1017">
        <v>15.15</v>
      </c>
      <c r="H1017">
        <v>1136.25</v>
      </c>
      <c r="I1017" t="s">
        <v>1325</v>
      </c>
      <c r="J1017">
        <v>0</v>
      </c>
      <c r="K1017">
        <v>0.4</v>
      </c>
      <c r="L1017">
        <v>0</v>
      </c>
      <c r="M1017">
        <v>0</v>
      </c>
      <c r="N1017">
        <v>29</v>
      </c>
      <c r="O1017">
        <v>5.3</v>
      </c>
      <c r="P1017">
        <v>34.700000000000003</v>
      </c>
      <c r="Q1017" s="18">
        <f>YEAR(A1017)</f>
        <v>2025</v>
      </c>
      <c r="R1017" s="18">
        <f>MONTH(A1017)</f>
        <v>3</v>
      </c>
      <c r="S1017" s="18">
        <f>IF(R1017&lt;4,Q1017-1,Q1017)</f>
        <v>2024</v>
      </c>
      <c r="T1017" s="18">
        <f>IF(R1017&lt;4,R1017+9,R1017-3)</f>
        <v>12</v>
      </c>
      <c r="U1017" s="18">
        <f>IF(LEN(T1017)=1,_xlfn.CONCAT(0,T1017),T1017)</f>
        <v>12</v>
      </c>
      <c r="V1017" s="18" t="str">
        <f>_xlfn.CONCAT(S1017,U1017)</f>
        <v>202412</v>
      </c>
      <c r="W1017" s="18" t="str">
        <f>_xlfn.CONCAT(TEXT(A1017,"MMM"),"-",MID(Q1017,3,2))</f>
        <v>Mar-25</v>
      </c>
      <c r="X1017" s="19">
        <f>IFERROR(IF(D1017="Sell",(H1017-P1017),-(H1017+P1017)),0)</f>
        <v>-1170.95</v>
      </c>
      <c r="Y1017" s="19">
        <f>X1017/1000</f>
        <v>-1.1709499999999999</v>
      </c>
    </row>
    <row r="1018" spans="1:25" x14ac:dyDescent="0.25">
      <c r="A1018" s="1">
        <v>45743</v>
      </c>
      <c r="B1018" t="s">
        <v>1323</v>
      </c>
      <c r="C1018" t="s">
        <v>17</v>
      </c>
      <c r="D1018" t="s">
        <v>22</v>
      </c>
      <c r="E1018">
        <v>450</v>
      </c>
      <c r="F1018">
        <v>0</v>
      </c>
      <c r="G1018">
        <v>16.600000000000001</v>
      </c>
      <c r="H1018">
        <v>7470</v>
      </c>
      <c r="I1018" t="s">
        <v>1326</v>
      </c>
      <c r="J1018">
        <v>0</v>
      </c>
      <c r="K1018">
        <v>2.65</v>
      </c>
      <c r="L1018">
        <v>0</v>
      </c>
      <c r="M1018">
        <v>0.01</v>
      </c>
      <c r="N1018">
        <v>174</v>
      </c>
      <c r="O1018">
        <v>31.8</v>
      </c>
      <c r="P1018">
        <v>208.46</v>
      </c>
      <c r="Q1018" s="18">
        <f>YEAR(A1018)</f>
        <v>2025</v>
      </c>
      <c r="R1018" s="18">
        <f>MONTH(A1018)</f>
        <v>3</v>
      </c>
      <c r="S1018" s="18">
        <f>IF(R1018&lt;4,Q1018-1,Q1018)</f>
        <v>2024</v>
      </c>
      <c r="T1018" s="18">
        <f>IF(R1018&lt;4,R1018+9,R1018-3)</f>
        <v>12</v>
      </c>
      <c r="U1018" s="18">
        <f>IF(LEN(T1018)=1,_xlfn.CONCAT(0,T1018),T1018)</f>
        <v>12</v>
      </c>
      <c r="V1018" s="18" t="str">
        <f>_xlfn.CONCAT(S1018,U1018)</f>
        <v>202412</v>
      </c>
      <c r="W1018" s="18" t="str">
        <f>_xlfn.CONCAT(TEXT(A1018,"MMM"),"-",MID(Q1018,3,2))</f>
        <v>Mar-25</v>
      </c>
      <c r="X1018" s="19">
        <f>IFERROR(IF(D1018="Sell",(H1018-P1018),-(H1018+P1018)),0)</f>
        <v>-7678.46</v>
      </c>
      <c r="Y1018" s="19">
        <f>X1018/1000</f>
        <v>-7.6784600000000003</v>
      </c>
    </row>
    <row r="1019" spans="1:25" x14ac:dyDescent="0.25">
      <c r="A1019" s="1">
        <v>45743</v>
      </c>
      <c r="B1019" t="s">
        <v>1327</v>
      </c>
      <c r="C1019" t="s">
        <v>17</v>
      </c>
      <c r="D1019" t="s">
        <v>18</v>
      </c>
      <c r="E1019">
        <v>75</v>
      </c>
      <c r="F1019">
        <v>0</v>
      </c>
      <c r="G1019">
        <v>83.65</v>
      </c>
      <c r="H1019">
        <v>6273.75</v>
      </c>
      <c r="I1019" t="s">
        <v>1328</v>
      </c>
      <c r="J1019">
        <v>6.24</v>
      </c>
      <c r="K1019">
        <v>2.23</v>
      </c>
      <c r="L1019">
        <v>0</v>
      </c>
      <c r="M1019">
        <v>0.01</v>
      </c>
      <c r="N1019">
        <v>29</v>
      </c>
      <c r="O1019">
        <v>5.62</v>
      </c>
      <c r="P1019">
        <v>43.1</v>
      </c>
      <c r="Q1019" s="18">
        <f>YEAR(A1019)</f>
        <v>2025</v>
      </c>
      <c r="R1019" s="18">
        <f>MONTH(A1019)</f>
        <v>3</v>
      </c>
      <c r="S1019" s="18">
        <f>IF(R1019&lt;4,Q1019-1,Q1019)</f>
        <v>2024</v>
      </c>
      <c r="T1019" s="18">
        <f>IF(R1019&lt;4,R1019+9,R1019-3)</f>
        <v>12</v>
      </c>
      <c r="U1019" s="18">
        <f>IF(LEN(T1019)=1,_xlfn.CONCAT(0,T1019),T1019)</f>
        <v>12</v>
      </c>
      <c r="V1019" s="18" t="str">
        <f>_xlfn.CONCAT(S1019,U1019)</f>
        <v>202412</v>
      </c>
      <c r="W1019" s="18" t="str">
        <f>_xlfn.CONCAT(TEXT(A1019,"MMM"),"-",MID(Q1019,3,2))</f>
        <v>Mar-25</v>
      </c>
      <c r="X1019" s="19">
        <f>IFERROR(IF(D1019="Sell",(H1019-P1019),-(H1019+P1019)),0)</f>
        <v>6230.65</v>
      </c>
      <c r="Y1019" s="19">
        <f>X1019/1000</f>
        <v>6.2306499999999998</v>
      </c>
    </row>
    <row r="1020" spans="1:25" x14ac:dyDescent="0.25">
      <c r="A1020" s="1">
        <v>45743</v>
      </c>
      <c r="B1020" t="s">
        <v>1327</v>
      </c>
      <c r="C1020" t="s">
        <v>17</v>
      </c>
      <c r="D1020" t="s">
        <v>22</v>
      </c>
      <c r="E1020">
        <v>75</v>
      </c>
      <c r="F1020">
        <v>0</v>
      </c>
      <c r="G1020">
        <v>65.8</v>
      </c>
      <c r="H1020">
        <v>4935</v>
      </c>
      <c r="I1020" t="s">
        <v>1329</v>
      </c>
      <c r="J1020">
        <v>0</v>
      </c>
      <c r="K1020">
        <v>1.75</v>
      </c>
      <c r="L1020">
        <v>0</v>
      </c>
      <c r="M1020">
        <v>0</v>
      </c>
      <c r="N1020">
        <v>29</v>
      </c>
      <c r="O1020">
        <v>5.54</v>
      </c>
      <c r="P1020">
        <v>36.29</v>
      </c>
      <c r="Q1020" s="18">
        <f>YEAR(A1020)</f>
        <v>2025</v>
      </c>
      <c r="R1020" s="18">
        <f>MONTH(A1020)</f>
        <v>3</v>
      </c>
      <c r="S1020" s="18">
        <f>IF(R1020&lt;4,Q1020-1,Q1020)</f>
        <v>2024</v>
      </c>
      <c r="T1020" s="18">
        <f>IF(R1020&lt;4,R1020+9,R1020-3)</f>
        <v>12</v>
      </c>
      <c r="U1020" s="18">
        <f>IF(LEN(T1020)=1,_xlfn.CONCAT(0,T1020),T1020)</f>
        <v>12</v>
      </c>
      <c r="V1020" s="18" t="str">
        <f>_xlfn.CONCAT(S1020,U1020)</f>
        <v>202412</v>
      </c>
      <c r="W1020" s="18" t="str">
        <f>_xlfn.CONCAT(TEXT(A1020,"MMM"),"-",MID(Q1020,3,2))</f>
        <v>Mar-25</v>
      </c>
      <c r="X1020" s="19">
        <f>IFERROR(IF(D1020="Sell",(H1020-P1020),-(H1020+P1020)),0)</f>
        <v>-4971.29</v>
      </c>
      <c r="Y1020" s="19">
        <f>X1020/1000</f>
        <v>-4.9712899999999998</v>
      </c>
    </row>
    <row r="1021" spans="1:25" x14ac:dyDescent="0.25">
      <c r="A1021" s="1">
        <v>45744</v>
      </c>
      <c r="B1021" t="s">
        <v>1318</v>
      </c>
      <c r="C1021" t="s">
        <v>17</v>
      </c>
      <c r="D1021" t="s">
        <v>18</v>
      </c>
      <c r="E1021">
        <v>150</v>
      </c>
      <c r="F1021">
        <v>0</v>
      </c>
      <c r="G1021">
        <v>39.25</v>
      </c>
      <c r="H1021">
        <v>5887.5</v>
      </c>
      <c r="I1021" t="s">
        <v>1319</v>
      </c>
      <c r="J1021">
        <v>5.89</v>
      </c>
      <c r="K1021">
        <v>2.09</v>
      </c>
      <c r="L1021">
        <v>0</v>
      </c>
      <c r="M1021">
        <v>0.01</v>
      </c>
      <c r="N1021">
        <v>58</v>
      </c>
      <c r="O1021">
        <v>10.82</v>
      </c>
      <c r="P1021">
        <v>76.81</v>
      </c>
      <c r="Q1021" s="18">
        <f>YEAR(A1021)</f>
        <v>2025</v>
      </c>
      <c r="R1021" s="18">
        <f>MONTH(A1021)</f>
        <v>3</v>
      </c>
      <c r="S1021" s="18">
        <f>IF(R1021&lt;4,Q1021-1,Q1021)</f>
        <v>2024</v>
      </c>
      <c r="T1021" s="18">
        <f>IF(R1021&lt;4,R1021+9,R1021-3)</f>
        <v>12</v>
      </c>
      <c r="U1021" s="18">
        <f>IF(LEN(T1021)=1,_xlfn.CONCAT(0,T1021),T1021)</f>
        <v>12</v>
      </c>
      <c r="V1021" s="18" t="str">
        <f>_xlfn.CONCAT(S1021,U1021)</f>
        <v>202412</v>
      </c>
      <c r="W1021" s="18" t="str">
        <f>_xlfn.CONCAT(TEXT(A1021,"MMM"),"-",MID(Q1021,3,2))</f>
        <v>Mar-25</v>
      </c>
      <c r="X1021" s="19">
        <f>IFERROR(IF(D1021="Sell",(H1021-P1021),-(H1021+P1021)),0)</f>
        <v>5810.69</v>
      </c>
      <c r="Y1021" s="19">
        <f>X1021/1000</f>
        <v>5.8106899999999992</v>
      </c>
    </row>
    <row r="1022" spans="1:25" x14ac:dyDescent="0.25">
      <c r="A1022" s="1">
        <v>45744</v>
      </c>
      <c r="B1022" t="s">
        <v>1318</v>
      </c>
      <c r="C1022" t="s">
        <v>17</v>
      </c>
      <c r="D1022" t="s">
        <v>22</v>
      </c>
      <c r="E1022">
        <v>150</v>
      </c>
      <c r="F1022">
        <v>0</v>
      </c>
      <c r="G1022">
        <v>33.450000000000003</v>
      </c>
      <c r="H1022">
        <v>5017.5</v>
      </c>
      <c r="I1022" t="s">
        <v>1320</v>
      </c>
      <c r="J1022">
        <v>0</v>
      </c>
      <c r="K1022">
        <v>1.78</v>
      </c>
      <c r="L1022">
        <v>0</v>
      </c>
      <c r="M1022">
        <v>0.01</v>
      </c>
      <c r="N1022">
        <v>58</v>
      </c>
      <c r="O1022">
        <v>10.76</v>
      </c>
      <c r="P1022">
        <v>70.55</v>
      </c>
      <c r="Q1022" s="18">
        <f>YEAR(A1022)</f>
        <v>2025</v>
      </c>
      <c r="R1022" s="18">
        <f>MONTH(A1022)</f>
        <v>3</v>
      </c>
      <c r="S1022" s="18">
        <f>IF(R1022&lt;4,Q1022-1,Q1022)</f>
        <v>2024</v>
      </c>
      <c r="T1022" s="18">
        <f>IF(R1022&lt;4,R1022+9,R1022-3)</f>
        <v>12</v>
      </c>
      <c r="U1022" s="18">
        <f>IF(LEN(T1022)=1,_xlfn.CONCAT(0,T1022),T1022)</f>
        <v>12</v>
      </c>
      <c r="V1022" s="18" t="str">
        <f>_xlfn.CONCAT(S1022,U1022)</f>
        <v>202412</v>
      </c>
      <c r="W1022" s="18" t="str">
        <f>_xlfn.CONCAT(TEXT(A1022,"MMM"),"-",MID(Q1022,3,2))</f>
        <v>Mar-25</v>
      </c>
      <c r="X1022" s="19">
        <f>IFERROR(IF(D1022="Sell",(H1022-P1022),-(H1022+P1022)),0)</f>
        <v>-5088.05</v>
      </c>
      <c r="Y1022" s="19">
        <f>X1022/1000</f>
        <v>-5.08805</v>
      </c>
    </row>
    <row r="1023" spans="1:25" x14ac:dyDescent="0.25">
      <c r="A1023" s="1">
        <v>45744</v>
      </c>
      <c r="B1023" t="s">
        <v>1318</v>
      </c>
      <c r="C1023" t="s">
        <v>17</v>
      </c>
      <c r="D1023" t="s">
        <v>18</v>
      </c>
      <c r="E1023">
        <v>75</v>
      </c>
      <c r="F1023">
        <v>0</v>
      </c>
      <c r="G1023">
        <v>40.5</v>
      </c>
      <c r="H1023">
        <v>3037.5</v>
      </c>
      <c r="I1023" t="s">
        <v>1321</v>
      </c>
      <c r="J1023">
        <v>3.11</v>
      </c>
      <c r="K1023">
        <v>1.08</v>
      </c>
      <c r="L1023">
        <v>0</v>
      </c>
      <c r="M1023">
        <v>0</v>
      </c>
      <c r="N1023">
        <v>29</v>
      </c>
      <c r="O1023">
        <v>5.42</v>
      </c>
      <c r="P1023">
        <v>38.61</v>
      </c>
      <c r="Q1023" s="18">
        <f>YEAR(A1023)</f>
        <v>2025</v>
      </c>
      <c r="R1023" s="18">
        <f>MONTH(A1023)</f>
        <v>3</v>
      </c>
      <c r="S1023" s="18">
        <f>IF(R1023&lt;4,Q1023-1,Q1023)</f>
        <v>2024</v>
      </c>
      <c r="T1023" s="18">
        <f>IF(R1023&lt;4,R1023+9,R1023-3)</f>
        <v>12</v>
      </c>
      <c r="U1023" s="18">
        <f>IF(LEN(T1023)=1,_xlfn.CONCAT(0,T1023),T1023)</f>
        <v>12</v>
      </c>
      <c r="V1023" s="18" t="str">
        <f>_xlfn.CONCAT(S1023,U1023)</f>
        <v>202412</v>
      </c>
      <c r="W1023" s="18" t="str">
        <f>_xlfn.CONCAT(TEXT(A1023,"MMM"),"-",MID(Q1023,3,2))</f>
        <v>Mar-25</v>
      </c>
      <c r="X1023" s="19">
        <f>IFERROR(IF(D1023="Sell",(H1023-P1023),-(H1023+P1023)),0)</f>
        <v>2998.89</v>
      </c>
      <c r="Y1023" s="19">
        <f>X1023/1000</f>
        <v>2.9988899999999998</v>
      </c>
    </row>
    <row r="1024" spans="1:25" x14ac:dyDescent="0.25">
      <c r="A1024" s="1">
        <v>45744</v>
      </c>
      <c r="B1024" t="s">
        <v>1318</v>
      </c>
      <c r="C1024" t="s">
        <v>17</v>
      </c>
      <c r="D1024" t="s">
        <v>22</v>
      </c>
      <c r="E1024">
        <v>75</v>
      </c>
      <c r="F1024">
        <v>0</v>
      </c>
      <c r="G1024">
        <v>42.5</v>
      </c>
      <c r="H1024">
        <v>3187.5</v>
      </c>
      <c r="I1024" t="s">
        <v>1322</v>
      </c>
      <c r="J1024">
        <v>0</v>
      </c>
      <c r="K1024">
        <v>1.1299999999999999</v>
      </c>
      <c r="L1024">
        <v>0</v>
      </c>
      <c r="M1024">
        <v>0</v>
      </c>
      <c r="N1024">
        <v>29</v>
      </c>
      <c r="O1024">
        <v>5.42</v>
      </c>
      <c r="P1024">
        <v>35.549999999999997</v>
      </c>
      <c r="Q1024" s="18">
        <f>YEAR(A1024)</f>
        <v>2025</v>
      </c>
      <c r="R1024" s="18">
        <f>MONTH(A1024)</f>
        <v>3</v>
      </c>
      <c r="S1024" s="18">
        <f>IF(R1024&lt;4,Q1024-1,Q1024)</f>
        <v>2024</v>
      </c>
      <c r="T1024" s="18">
        <f>IF(R1024&lt;4,R1024+9,R1024-3)</f>
        <v>12</v>
      </c>
      <c r="U1024" s="18">
        <f>IF(LEN(T1024)=1,_xlfn.CONCAT(0,T1024),T1024)</f>
        <v>12</v>
      </c>
      <c r="V1024" s="18" t="str">
        <f>_xlfn.CONCAT(S1024,U1024)</f>
        <v>202412</v>
      </c>
      <c r="W1024" s="18" t="str">
        <f>_xlfn.CONCAT(TEXT(A1024,"MMM"),"-",MID(Q1024,3,2))</f>
        <v>Mar-25</v>
      </c>
      <c r="X1024" s="19">
        <f>IFERROR(IF(D1024="Sell",(H1024-P1024),-(H1024+P1024)),0)</f>
        <v>-3223.05</v>
      </c>
      <c r="Y1024" s="19">
        <f>X1024/1000</f>
        <v>-3.2230500000000002</v>
      </c>
    </row>
    <row r="1025" spans="1:25" x14ac:dyDescent="0.25">
      <c r="A1025" s="1">
        <v>45748</v>
      </c>
      <c r="B1025" t="s">
        <v>1294</v>
      </c>
      <c r="C1025" t="s">
        <v>17</v>
      </c>
      <c r="D1025" t="s">
        <v>22</v>
      </c>
      <c r="E1025">
        <v>525</v>
      </c>
      <c r="F1025">
        <v>0</v>
      </c>
      <c r="G1025">
        <v>6.05</v>
      </c>
      <c r="H1025">
        <v>3176.25</v>
      </c>
      <c r="I1025" t="s">
        <v>1308</v>
      </c>
      <c r="J1025">
        <v>0</v>
      </c>
      <c r="K1025">
        <v>1.1200000000000001</v>
      </c>
      <c r="L1025">
        <v>0.1</v>
      </c>
      <c r="M1025">
        <v>0</v>
      </c>
      <c r="N1025">
        <v>203</v>
      </c>
      <c r="O1025">
        <v>36.700000000000003</v>
      </c>
      <c r="P1025">
        <v>240.92</v>
      </c>
      <c r="Q1025" s="18">
        <f>YEAR(A1025)</f>
        <v>2025</v>
      </c>
      <c r="R1025" s="18">
        <f>MONTH(A1025)</f>
        <v>4</v>
      </c>
      <c r="S1025" s="18">
        <f>IF(R1025&lt;4,Q1025-1,Q1025)</f>
        <v>2025</v>
      </c>
      <c r="T1025" s="18">
        <f>IF(R1025&lt;4,R1025+9,R1025-3)</f>
        <v>1</v>
      </c>
      <c r="U1025" s="18" t="str">
        <f>IF(LEN(T1025)=1,_xlfn.CONCAT(0,T1025),T1025)</f>
        <v>01</v>
      </c>
      <c r="V1025" s="18" t="str">
        <f>_xlfn.CONCAT(S1025,U1025)</f>
        <v>202501</v>
      </c>
      <c r="W1025" s="18" t="str">
        <f>_xlfn.CONCAT(TEXT(A1025,"MMM"),"-",MID(Q1025,3,2))</f>
        <v>Apr-25</v>
      </c>
      <c r="X1025" s="19">
        <f>IFERROR(IF(D1025="Sell",(H1025-P1025),-(H1025+P1025)),0)</f>
        <v>-3417.17</v>
      </c>
      <c r="Y1025" s="19">
        <f>X1025/1000</f>
        <v>-3.41717</v>
      </c>
    </row>
    <row r="1026" spans="1:25" x14ac:dyDescent="0.25">
      <c r="A1026" s="1">
        <v>45748</v>
      </c>
      <c r="B1026" t="s">
        <v>1309</v>
      </c>
      <c r="C1026" t="s">
        <v>17</v>
      </c>
      <c r="D1026" t="s">
        <v>18</v>
      </c>
      <c r="E1026">
        <v>450</v>
      </c>
      <c r="F1026">
        <v>0</v>
      </c>
      <c r="G1026">
        <v>136.30000000000001</v>
      </c>
      <c r="H1026">
        <v>61335</v>
      </c>
      <c r="I1026" t="s">
        <v>1310</v>
      </c>
      <c r="J1026">
        <v>61.34</v>
      </c>
      <c r="K1026">
        <v>21.79</v>
      </c>
      <c r="L1026">
        <v>0</v>
      </c>
      <c r="M1026">
        <v>0.06</v>
      </c>
      <c r="N1026">
        <v>174</v>
      </c>
      <c r="O1026">
        <v>35.26</v>
      </c>
      <c r="P1026">
        <v>292.45</v>
      </c>
      <c r="Q1026" s="18">
        <f>YEAR(A1026)</f>
        <v>2025</v>
      </c>
      <c r="R1026" s="18">
        <f>MONTH(A1026)</f>
        <v>4</v>
      </c>
      <c r="S1026" s="18">
        <f>IF(R1026&lt;4,Q1026-1,Q1026)</f>
        <v>2025</v>
      </c>
      <c r="T1026" s="18">
        <f>IF(R1026&lt;4,R1026+9,R1026-3)</f>
        <v>1</v>
      </c>
      <c r="U1026" s="18" t="str">
        <f>IF(LEN(T1026)=1,_xlfn.CONCAT(0,T1026),T1026)</f>
        <v>01</v>
      </c>
      <c r="V1026" s="18" t="str">
        <f>_xlfn.CONCAT(S1026,U1026)</f>
        <v>202501</v>
      </c>
      <c r="W1026" s="18" t="str">
        <f>_xlfn.CONCAT(TEXT(A1026,"MMM"),"-",MID(Q1026,3,2))</f>
        <v>Apr-25</v>
      </c>
      <c r="X1026" s="19">
        <f>IFERROR(IF(D1026="Sell",(H1026-P1026),-(H1026+P1026)),0)</f>
        <v>61042.55</v>
      </c>
      <c r="Y1026" s="19">
        <f>X1026/1000</f>
        <v>61.042550000000006</v>
      </c>
    </row>
    <row r="1027" spans="1:25" x14ac:dyDescent="0.25">
      <c r="A1027" s="1">
        <v>45748</v>
      </c>
      <c r="B1027" t="s">
        <v>1309</v>
      </c>
      <c r="C1027" t="s">
        <v>17</v>
      </c>
      <c r="D1027" t="s">
        <v>22</v>
      </c>
      <c r="E1027">
        <v>225</v>
      </c>
      <c r="F1027">
        <v>0</v>
      </c>
      <c r="G1027">
        <v>112.85</v>
      </c>
      <c r="H1027">
        <v>25391.25</v>
      </c>
      <c r="I1027" t="s">
        <v>1311</v>
      </c>
      <c r="J1027">
        <v>0</v>
      </c>
      <c r="K1027">
        <v>9.02</v>
      </c>
      <c r="L1027">
        <v>0</v>
      </c>
      <c r="M1027">
        <v>0.03</v>
      </c>
      <c r="N1027">
        <v>87</v>
      </c>
      <c r="O1027">
        <v>17.28</v>
      </c>
      <c r="P1027">
        <v>113.33</v>
      </c>
      <c r="Q1027" s="18">
        <f>YEAR(A1027)</f>
        <v>2025</v>
      </c>
      <c r="R1027" s="18">
        <f>MONTH(A1027)</f>
        <v>4</v>
      </c>
      <c r="S1027" s="18">
        <f>IF(R1027&lt;4,Q1027-1,Q1027)</f>
        <v>2025</v>
      </c>
      <c r="T1027" s="18">
        <f>IF(R1027&lt;4,R1027+9,R1027-3)</f>
        <v>1</v>
      </c>
      <c r="U1027" s="18" t="str">
        <f>IF(LEN(T1027)=1,_xlfn.CONCAT(0,T1027),T1027)</f>
        <v>01</v>
      </c>
      <c r="V1027" s="18" t="str">
        <f>_xlfn.CONCAT(S1027,U1027)</f>
        <v>202501</v>
      </c>
      <c r="W1027" s="18" t="str">
        <f>_xlfn.CONCAT(TEXT(A1027,"MMM"),"-",MID(Q1027,3,2))</f>
        <v>Apr-25</v>
      </c>
      <c r="X1027" s="19">
        <f>IFERROR(IF(D1027="Sell",(H1027-P1027),-(H1027+P1027)),0)</f>
        <v>-25504.58</v>
      </c>
      <c r="Y1027" s="19">
        <f>X1027/1000</f>
        <v>-25.504580000000001</v>
      </c>
    </row>
    <row r="1028" spans="1:25" x14ac:dyDescent="0.25">
      <c r="A1028" s="1">
        <v>45748</v>
      </c>
      <c r="B1028" t="s">
        <v>1309</v>
      </c>
      <c r="C1028" t="s">
        <v>17</v>
      </c>
      <c r="D1028" t="s">
        <v>22</v>
      </c>
      <c r="E1028">
        <v>225</v>
      </c>
      <c r="F1028">
        <v>0</v>
      </c>
      <c r="G1028">
        <v>104.6</v>
      </c>
      <c r="H1028">
        <v>23535</v>
      </c>
      <c r="I1028" t="s">
        <v>1312</v>
      </c>
      <c r="J1028">
        <v>0</v>
      </c>
      <c r="K1028">
        <v>8.36</v>
      </c>
      <c r="L1028">
        <v>2.14</v>
      </c>
      <c r="M1028">
        <v>0.03</v>
      </c>
      <c r="N1028">
        <v>87</v>
      </c>
      <c r="O1028">
        <v>17.16</v>
      </c>
      <c r="P1028">
        <v>114.69</v>
      </c>
      <c r="Q1028" s="18">
        <f>YEAR(A1028)</f>
        <v>2025</v>
      </c>
      <c r="R1028" s="18">
        <f>MONTH(A1028)</f>
        <v>4</v>
      </c>
      <c r="S1028" s="18">
        <f>IF(R1028&lt;4,Q1028-1,Q1028)</f>
        <v>2025</v>
      </c>
      <c r="T1028" s="18">
        <f>IF(R1028&lt;4,R1028+9,R1028-3)</f>
        <v>1</v>
      </c>
      <c r="U1028" s="18" t="str">
        <f>IF(LEN(T1028)=1,_xlfn.CONCAT(0,T1028),T1028)</f>
        <v>01</v>
      </c>
      <c r="V1028" s="18" t="str">
        <f>_xlfn.CONCAT(S1028,U1028)</f>
        <v>202501</v>
      </c>
      <c r="W1028" s="18" t="str">
        <f>_xlfn.CONCAT(TEXT(A1028,"MMM"),"-",MID(Q1028,3,2))</f>
        <v>Apr-25</v>
      </c>
      <c r="X1028" s="19">
        <f>IFERROR(IF(D1028="Sell",(H1028-P1028),-(H1028+P1028)),0)</f>
        <v>-23649.69</v>
      </c>
      <c r="Y1028" s="19">
        <f>X1028/1000</f>
        <v>-23.64969</v>
      </c>
    </row>
    <row r="1029" spans="1:25" x14ac:dyDescent="0.25">
      <c r="A1029" s="1">
        <v>45748</v>
      </c>
      <c r="B1029" t="s">
        <v>1309</v>
      </c>
      <c r="C1029" t="s">
        <v>17</v>
      </c>
      <c r="D1029" t="s">
        <v>18</v>
      </c>
      <c r="E1029">
        <v>225</v>
      </c>
      <c r="F1029">
        <v>0</v>
      </c>
      <c r="G1029">
        <v>92.3</v>
      </c>
      <c r="H1029">
        <v>20767.5</v>
      </c>
      <c r="I1029" t="s">
        <v>1313</v>
      </c>
      <c r="J1029">
        <v>20.76</v>
      </c>
      <c r="K1029">
        <v>7.38</v>
      </c>
      <c r="L1029">
        <v>0</v>
      </c>
      <c r="M1029">
        <v>0.03</v>
      </c>
      <c r="N1029">
        <v>87</v>
      </c>
      <c r="O1029">
        <v>16.98</v>
      </c>
      <c r="P1029">
        <v>132.15</v>
      </c>
      <c r="Q1029" s="18">
        <f>YEAR(A1029)</f>
        <v>2025</v>
      </c>
      <c r="R1029" s="18">
        <f>MONTH(A1029)</f>
        <v>4</v>
      </c>
      <c r="S1029" s="18">
        <f>IF(R1029&lt;4,Q1029-1,Q1029)</f>
        <v>2025</v>
      </c>
      <c r="T1029" s="18">
        <f>IF(R1029&lt;4,R1029+9,R1029-3)</f>
        <v>1</v>
      </c>
      <c r="U1029" s="18" t="str">
        <f>IF(LEN(T1029)=1,_xlfn.CONCAT(0,T1029),T1029)</f>
        <v>01</v>
      </c>
      <c r="V1029" s="18" t="str">
        <f>_xlfn.CONCAT(S1029,U1029)</f>
        <v>202501</v>
      </c>
      <c r="W1029" s="18" t="str">
        <f>_xlfn.CONCAT(TEXT(A1029,"MMM"),"-",MID(Q1029,3,2))</f>
        <v>Apr-25</v>
      </c>
      <c r="X1029" s="19">
        <f>IFERROR(IF(D1029="Sell",(H1029-P1029),-(H1029+P1029)),0)</f>
        <v>20635.349999999999</v>
      </c>
      <c r="Y1029" s="19">
        <f>X1029/1000</f>
        <v>20.635349999999999</v>
      </c>
    </row>
    <row r="1030" spans="1:25" x14ac:dyDescent="0.25">
      <c r="A1030" s="1">
        <v>45748</v>
      </c>
      <c r="B1030" t="s">
        <v>1309</v>
      </c>
      <c r="C1030" t="s">
        <v>17</v>
      </c>
      <c r="D1030" t="s">
        <v>22</v>
      </c>
      <c r="E1030">
        <v>225</v>
      </c>
      <c r="F1030">
        <v>0</v>
      </c>
      <c r="G1030">
        <v>95.3</v>
      </c>
      <c r="H1030">
        <v>21442.5</v>
      </c>
      <c r="I1030" t="s">
        <v>1314</v>
      </c>
      <c r="J1030">
        <v>0</v>
      </c>
      <c r="K1030">
        <v>7.62</v>
      </c>
      <c r="L1030">
        <v>0</v>
      </c>
      <c r="M1030">
        <v>0.02</v>
      </c>
      <c r="N1030">
        <v>87</v>
      </c>
      <c r="O1030">
        <v>17.04</v>
      </c>
      <c r="P1030">
        <v>111.68</v>
      </c>
      <c r="Q1030" s="18">
        <f>YEAR(A1030)</f>
        <v>2025</v>
      </c>
      <c r="R1030" s="18">
        <f>MONTH(A1030)</f>
        <v>4</v>
      </c>
      <c r="S1030" s="18">
        <f>IF(R1030&lt;4,Q1030-1,Q1030)</f>
        <v>2025</v>
      </c>
      <c r="T1030" s="18">
        <f>IF(R1030&lt;4,R1030+9,R1030-3)</f>
        <v>1</v>
      </c>
      <c r="U1030" s="18" t="str">
        <f>IF(LEN(T1030)=1,_xlfn.CONCAT(0,T1030),T1030)</f>
        <v>01</v>
      </c>
      <c r="V1030" s="18" t="str">
        <f>_xlfn.CONCAT(S1030,U1030)</f>
        <v>202501</v>
      </c>
      <c r="W1030" s="18" t="str">
        <f>_xlfn.CONCAT(TEXT(A1030,"MMM"),"-",MID(Q1030,3,2))</f>
        <v>Apr-25</v>
      </c>
      <c r="X1030" s="19">
        <f>IFERROR(IF(D1030="Sell",(H1030-P1030),-(H1030+P1030)),0)</f>
        <v>-21554.18</v>
      </c>
      <c r="Y1030" s="19">
        <f>X1030/1000</f>
        <v>-21.554179999999999</v>
      </c>
    </row>
    <row r="1031" spans="1:25" x14ac:dyDescent="0.25">
      <c r="A1031" s="1">
        <v>45748</v>
      </c>
      <c r="B1031" t="s">
        <v>1315</v>
      </c>
      <c r="C1031" t="s">
        <v>17</v>
      </c>
      <c r="D1031" t="s">
        <v>18</v>
      </c>
      <c r="E1031">
        <v>225</v>
      </c>
      <c r="F1031">
        <v>0</v>
      </c>
      <c r="G1031">
        <v>143.25</v>
      </c>
      <c r="H1031">
        <v>32231.25</v>
      </c>
      <c r="I1031" t="s">
        <v>1316</v>
      </c>
      <c r="J1031">
        <v>31.9</v>
      </c>
      <c r="K1031">
        <v>11.45</v>
      </c>
      <c r="L1031">
        <v>0</v>
      </c>
      <c r="M1031">
        <v>0.03</v>
      </c>
      <c r="N1031">
        <v>87</v>
      </c>
      <c r="O1031">
        <v>17.72</v>
      </c>
      <c r="P1031">
        <v>148.1</v>
      </c>
      <c r="Q1031" s="18">
        <f>YEAR(A1031)</f>
        <v>2025</v>
      </c>
      <c r="R1031" s="18">
        <f>MONTH(A1031)</f>
        <v>4</v>
      </c>
      <c r="S1031" s="18">
        <f>IF(R1031&lt;4,Q1031-1,Q1031)</f>
        <v>2025</v>
      </c>
      <c r="T1031" s="18">
        <f>IF(R1031&lt;4,R1031+9,R1031-3)</f>
        <v>1</v>
      </c>
      <c r="U1031" s="18" t="str">
        <f>IF(LEN(T1031)=1,_xlfn.CONCAT(0,T1031),T1031)</f>
        <v>01</v>
      </c>
      <c r="V1031" s="18" t="str">
        <f>_xlfn.CONCAT(S1031,U1031)</f>
        <v>202501</v>
      </c>
      <c r="W1031" s="18" t="str">
        <f>_xlfn.CONCAT(TEXT(A1031,"MMM"),"-",MID(Q1031,3,2))</f>
        <v>Apr-25</v>
      </c>
      <c r="X1031" s="19">
        <f>IFERROR(IF(D1031="Sell",(H1031-P1031),-(H1031+P1031)),0)</f>
        <v>32083.15</v>
      </c>
      <c r="Y1031" s="19">
        <f>X1031/1000</f>
        <v>32.083150000000003</v>
      </c>
    </row>
    <row r="1032" spans="1:25" x14ac:dyDescent="0.25">
      <c r="A1032" s="1">
        <v>45748</v>
      </c>
      <c r="B1032" t="s">
        <v>1315</v>
      </c>
      <c r="C1032" t="s">
        <v>17</v>
      </c>
      <c r="D1032" t="s">
        <v>22</v>
      </c>
      <c r="E1032">
        <v>225</v>
      </c>
      <c r="F1032">
        <v>0</v>
      </c>
      <c r="G1032">
        <v>112.75</v>
      </c>
      <c r="H1032">
        <v>25368.75</v>
      </c>
      <c r="I1032" t="s">
        <v>1317</v>
      </c>
      <c r="J1032">
        <v>0</v>
      </c>
      <c r="K1032">
        <v>9</v>
      </c>
      <c r="L1032">
        <v>0.76</v>
      </c>
      <c r="M1032">
        <v>0.03</v>
      </c>
      <c r="N1032">
        <v>87</v>
      </c>
      <c r="O1032">
        <v>17.28</v>
      </c>
      <c r="P1032">
        <v>114.07</v>
      </c>
      <c r="Q1032" s="18">
        <f>YEAR(A1032)</f>
        <v>2025</v>
      </c>
      <c r="R1032" s="18">
        <f>MONTH(A1032)</f>
        <v>4</v>
      </c>
      <c r="S1032" s="18">
        <f>IF(R1032&lt;4,Q1032-1,Q1032)</f>
        <v>2025</v>
      </c>
      <c r="T1032" s="18">
        <f>IF(R1032&lt;4,R1032+9,R1032-3)</f>
        <v>1</v>
      </c>
      <c r="U1032" s="18" t="str">
        <f>IF(LEN(T1032)=1,_xlfn.CONCAT(0,T1032),T1032)</f>
        <v>01</v>
      </c>
      <c r="V1032" s="18" t="str">
        <f>_xlfn.CONCAT(S1032,U1032)</f>
        <v>202501</v>
      </c>
      <c r="W1032" s="18" t="str">
        <f>_xlfn.CONCAT(TEXT(A1032,"MMM"),"-",MID(Q1032,3,2))</f>
        <v>Apr-25</v>
      </c>
      <c r="X1032" s="19">
        <f>IFERROR(IF(D1032="Sell",(H1032-P1032),-(H1032+P1032)),0)</f>
        <v>-25482.82</v>
      </c>
      <c r="Y1032" s="19">
        <f>X1032/1000</f>
        <v>-25.48282</v>
      </c>
    </row>
    <row r="1033" spans="1:25" x14ac:dyDescent="0.25">
      <c r="A1033" s="1">
        <v>45749</v>
      </c>
      <c r="B1033" t="s">
        <v>1294</v>
      </c>
      <c r="C1033" t="s">
        <v>17</v>
      </c>
      <c r="D1033" t="s">
        <v>18</v>
      </c>
      <c r="E1033">
        <v>525</v>
      </c>
      <c r="F1033">
        <v>0</v>
      </c>
      <c r="G1033">
        <v>3.5</v>
      </c>
      <c r="H1033">
        <v>1837.5</v>
      </c>
      <c r="I1033" t="s">
        <v>1295</v>
      </c>
      <c r="J1033">
        <v>1.87</v>
      </c>
      <c r="K1033">
        <v>0.65</v>
      </c>
      <c r="L1033">
        <v>0</v>
      </c>
      <c r="M1033">
        <v>0</v>
      </c>
      <c r="N1033">
        <v>203</v>
      </c>
      <c r="O1033">
        <v>36.659999999999997</v>
      </c>
      <c r="P1033">
        <v>242.18</v>
      </c>
      <c r="Q1033" s="18">
        <f>YEAR(A1033)</f>
        <v>2025</v>
      </c>
      <c r="R1033" s="18">
        <f>MONTH(A1033)</f>
        <v>4</v>
      </c>
      <c r="S1033" s="18">
        <f>IF(R1033&lt;4,Q1033-1,Q1033)</f>
        <v>2025</v>
      </c>
      <c r="T1033" s="18">
        <f>IF(R1033&lt;4,R1033+9,R1033-3)</f>
        <v>1</v>
      </c>
      <c r="U1033" s="18" t="str">
        <f>IF(LEN(T1033)=1,_xlfn.CONCAT(0,T1033),T1033)</f>
        <v>01</v>
      </c>
      <c r="V1033" s="18" t="str">
        <f>_xlfn.CONCAT(S1033,U1033)</f>
        <v>202501</v>
      </c>
      <c r="W1033" s="18" t="str">
        <f>_xlfn.CONCAT(TEXT(A1033,"MMM"),"-",MID(Q1033,3,2))</f>
        <v>Apr-25</v>
      </c>
      <c r="X1033" s="19">
        <f>IFERROR(IF(D1033="Sell",(H1033-P1033),-(H1033+P1033)),0)</f>
        <v>1595.32</v>
      </c>
      <c r="Y1033" s="19">
        <f>X1033/1000</f>
        <v>1.5953199999999998</v>
      </c>
    </row>
    <row r="1034" spans="1:25" x14ac:dyDescent="0.25">
      <c r="A1034" s="1">
        <v>45749</v>
      </c>
      <c r="B1034" t="s">
        <v>1296</v>
      </c>
      <c r="C1034" t="s">
        <v>17</v>
      </c>
      <c r="D1034" t="s">
        <v>18</v>
      </c>
      <c r="E1034">
        <v>1500</v>
      </c>
      <c r="F1034">
        <v>0</v>
      </c>
      <c r="G1034">
        <v>29</v>
      </c>
      <c r="H1034">
        <v>43500</v>
      </c>
      <c r="I1034" t="s">
        <v>1297</v>
      </c>
      <c r="J1034">
        <v>43.5</v>
      </c>
      <c r="K1034">
        <v>15.46</v>
      </c>
      <c r="L1034">
        <v>0</v>
      </c>
      <c r="M1034">
        <v>0.04</v>
      </c>
      <c r="N1034">
        <v>580</v>
      </c>
      <c r="O1034">
        <v>107.2</v>
      </c>
      <c r="P1034">
        <v>746.2</v>
      </c>
      <c r="Q1034" s="18">
        <f>YEAR(A1034)</f>
        <v>2025</v>
      </c>
      <c r="R1034" s="18">
        <f>MONTH(A1034)</f>
        <v>4</v>
      </c>
      <c r="S1034" s="18">
        <f>IF(R1034&lt;4,Q1034-1,Q1034)</f>
        <v>2025</v>
      </c>
      <c r="T1034" s="18">
        <f>IF(R1034&lt;4,R1034+9,R1034-3)</f>
        <v>1</v>
      </c>
      <c r="U1034" s="18" t="str">
        <f>IF(LEN(T1034)=1,_xlfn.CONCAT(0,T1034),T1034)</f>
        <v>01</v>
      </c>
      <c r="V1034" s="18" t="str">
        <f>_xlfn.CONCAT(S1034,U1034)</f>
        <v>202501</v>
      </c>
      <c r="W1034" s="18" t="str">
        <f>_xlfn.CONCAT(TEXT(A1034,"MMM"),"-",MID(Q1034,3,2))</f>
        <v>Apr-25</v>
      </c>
      <c r="X1034" s="19">
        <f>IFERROR(IF(D1034="Sell",(H1034-P1034),-(H1034+P1034)),0)</f>
        <v>42753.8</v>
      </c>
      <c r="Y1034" s="19">
        <f>X1034/1000</f>
        <v>42.753800000000005</v>
      </c>
    </row>
    <row r="1035" spans="1:25" x14ac:dyDescent="0.25">
      <c r="A1035" s="1">
        <v>45749</v>
      </c>
      <c r="B1035" t="s">
        <v>1296</v>
      </c>
      <c r="C1035" t="s">
        <v>17</v>
      </c>
      <c r="D1035" t="s">
        <v>22</v>
      </c>
      <c r="E1035">
        <v>750</v>
      </c>
      <c r="F1035">
        <v>0</v>
      </c>
      <c r="G1035">
        <v>51.66</v>
      </c>
      <c r="H1035">
        <v>38745</v>
      </c>
      <c r="I1035" t="s">
        <v>1298</v>
      </c>
      <c r="J1035">
        <v>0</v>
      </c>
      <c r="K1035">
        <v>13.77</v>
      </c>
      <c r="L1035">
        <v>0</v>
      </c>
      <c r="M1035">
        <v>0.04</v>
      </c>
      <c r="N1035">
        <v>290</v>
      </c>
      <c r="O1035">
        <v>54.68</v>
      </c>
      <c r="P1035">
        <v>358.49</v>
      </c>
      <c r="Q1035" s="18">
        <f>YEAR(A1035)</f>
        <v>2025</v>
      </c>
      <c r="R1035" s="18">
        <f>MONTH(A1035)</f>
        <v>4</v>
      </c>
      <c r="S1035" s="18">
        <f>IF(R1035&lt;4,Q1035-1,Q1035)</f>
        <v>2025</v>
      </c>
      <c r="T1035" s="18">
        <f>IF(R1035&lt;4,R1035+9,R1035-3)</f>
        <v>1</v>
      </c>
      <c r="U1035" s="18" t="str">
        <f>IF(LEN(T1035)=1,_xlfn.CONCAT(0,T1035),T1035)</f>
        <v>01</v>
      </c>
      <c r="V1035" s="18" t="str">
        <f>_xlfn.CONCAT(S1035,U1035)</f>
        <v>202501</v>
      </c>
      <c r="W1035" s="18" t="str">
        <f>_xlfn.CONCAT(TEXT(A1035,"MMM"),"-",MID(Q1035,3,2))</f>
        <v>Apr-25</v>
      </c>
      <c r="X1035" s="19">
        <f>IFERROR(IF(D1035="Sell",(H1035-P1035),-(H1035+P1035)),0)</f>
        <v>-39103.49</v>
      </c>
      <c r="Y1035" s="19">
        <f>X1035/1000</f>
        <v>-39.103490000000001</v>
      </c>
    </row>
    <row r="1036" spans="1:25" x14ac:dyDescent="0.25">
      <c r="A1036" s="1">
        <v>45749</v>
      </c>
      <c r="B1036" t="s">
        <v>1296</v>
      </c>
      <c r="C1036" t="s">
        <v>17</v>
      </c>
      <c r="D1036" t="s">
        <v>22</v>
      </c>
      <c r="E1036">
        <v>750</v>
      </c>
      <c r="F1036">
        <v>0</v>
      </c>
      <c r="G1036">
        <v>56.7</v>
      </c>
      <c r="H1036">
        <v>42525</v>
      </c>
      <c r="I1036" t="s">
        <v>1299</v>
      </c>
      <c r="J1036">
        <v>0</v>
      </c>
      <c r="K1036">
        <v>15.11</v>
      </c>
      <c r="L1036">
        <v>5.17</v>
      </c>
      <c r="M1036">
        <v>0.04</v>
      </c>
      <c r="N1036">
        <v>290</v>
      </c>
      <c r="O1036">
        <v>54.94</v>
      </c>
      <c r="P1036">
        <v>365.26</v>
      </c>
      <c r="Q1036" s="18">
        <f>YEAR(A1036)</f>
        <v>2025</v>
      </c>
      <c r="R1036" s="18">
        <f>MONTH(A1036)</f>
        <v>4</v>
      </c>
      <c r="S1036" s="18">
        <f>IF(R1036&lt;4,Q1036-1,Q1036)</f>
        <v>2025</v>
      </c>
      <c r="T1036" s="18">
        <f>IF(R1036&lt;4,R1036+9,R1036-3)</f>
        <v>1</v>
      </c>
      <c r="U1036" s="18" t="str">
        <f>IF(LEN(T1036)=1,_xlfn.CONCAT(0,T1036),T1036)</f>
        <v>01</v>
      </c>
      <c r="V1036" s="18" t="str">
        <f>_xlfn.CONCAT(S1036,U1036)</f>
        <v>202501</v>
      </c>
      <c r="W1036" s="18" t="str">
        <f>_xlfn.CONCAT(TEXT(A1036,"MMM"),"-",MID(Q1036,3,2))</f>
        <v>Apr-25</v>
      </c>
      <c r="X1036" s="19">
        <f>IFERROR(IF(D1036="Sell",(H1036-P1036),-(H1036+P1036)),0)</f>
        <v>-42890.26</v>
      </c>
      <c r="Y1036" s="19">
        <f>X1036/1000</f>
        <v>-42.890260000000005</v>
      </c>
    </row>
    <row r="1037" spans="1:25" x14ac:dyDescent="0.25">
      <c r="A1037" s="1">
        <v>45749</v>
      </c>
      <c r="B1037" t="s">
        <v>1296</v>
      </c>
      <c r="C1037" t="s">
        <v>17</v>
      </c>
      <c r="D1037" t="s">
        <v>18</v>
      </c>
      <c r="E1037">
        <v>1200</v>
      </c>
      <c r="F1037">
        <v>0</v>
      </c>
      <c r="G1037">
        <v>60.08</v>
      </c>
      <c r="H1037">
        <v>72097.5</v>
      </c>
      <c r="I1037" t="s">
        <v>1300</v>
      </c>
      <c r="J1037">
        <v>72.11</v>
      </c>
      <c r="K1037">
        <v>25.6</v>
      </c>
      <c r="L1037">
        <v>0</v>
      </c>
      <c r="M1037">
        <v>0.06</v>
      </c>
      <c r="N1037">
        <v>464</v>
      </c>
      <c r="O1037">
        <v>88.12</v>
      </c>
      <c r="P1037">
        <v>649.89</v>
      </c>
      <c r="Q1037" s="18">
        <f>YEAR(A1037)</f>
        <v>2025</v>
      </c>
      <c r="R1037" s="18">
        <f>MONTH(A1037)</f>
        <v>4</v>
      </c>
      <c r="S1037" s="18">
        <f>IF(R1037&lt;4,Q1037-1,Q1037)</f>
        <v>2025</v>
      </c>
      <c r="T1037" s="18">
        <f>IF(R1037&lt;4,R1037+9,R1037-3)</f>
        <v>1</v>
      </c>
      <c r="U1037" s="18" t="str">
        <f>IF(LEN(T1037)=1,_xlfn.CONCAT(0,T1037),T1037)</f>
        <v>01</v>
      </c>
      <c r="V1037" s="18" t="str">
        <f>_xlfn.CONCAT(S1037,U1037)</f>
        <v>202501</v>
      </c>
      <c r="W1037" s="18" t="str">
        <f>_xlfn.CONCAT(TEXT(A1037,"MMM"),"-",MID(Q1037,3,2))</f>
        <v>Apr-25</v>
      </c>
      <c r="X1037" s="19">
        <f>IFERROR(IF(D1037="Sell",(H1037-P1037),-(H1037+P1037)),0)</f>
        <v>71447.61</v>
      </c>
      <c r="Y1037" s="19">
        <f>X1037/1000</f>
        <v>71.447609999999997</v>
      </c>
    </row>
    <row r="1038" spans="1:25" x14ac:dyDescent="0.25">
      <c r="A1038" s="1">
        <v>45749</v>
      </c>
      <c r="B1038" t="s">
        <v>1296</v>
      </c>
      <c r="C1038" t="s">
        <v>17</v>
      </c>
      <c r="D1038" t="s">
        <v>22</v>
      </c>
      <c r="E1038">
        <v>300</v>
      </c>
      <c r="F1038">
        <v>0</v>
      </c>
      <c r="G1038">
        <v>52.85</v>
      </c>
      <c r="H1038">
        <v>15855</v>
      </c>
      <c r="I1038" t="s">
        <v>1301</v>
      </c>
      <c r="J1038">
        <v>0</v>
      </c>
      <c r="K1038">
        <v>5.64</v>
      </c>
      <c r="L1038">
        <v>0</v>
      </c>
      <c r="M1038">
        <v>0.01</v>
      </c>
      <c r="N1038">
        <v>116</v>
      </c>
      <c r="O1038">
        <v>21.9</v>
      </c>
      <c r="P1038">
        <v>143.55000000000001</v>
      </c>
      <c r="Q1038" s="18">
        <f>YEAR(A1038)</f>
        <v>2025</v>
      </c>
      <c r="R1038" s="18">
        <f>MONTH(A1038)</f>
        <v>4</v>
      </c>
      <c r="S1038" s="18">
        <f>IF(R1038&lt;4,Q1038-1,Q1038)</f>
        <v>2025</v>
      </c>
      <c r="T1038" s="18">
        <f>IF(R1038&lt;4,R1038+9,R1038-3)</f>
        <v>1</v>
      </c>
      <c r="U1038" s="18" t="str">
        <f>IF(LEN(T1038)=1,_xlfn.CONCAT(0,T1038),T1038)</f>
        <v>01</v>
      </c>
      <c r="V1038" s="18" t="str">
        <f>_xlfn.CONCAT(S1038,U1038)</f>
        <v>202501</v>
      </c>
      <c r="W1038" s="18" t="str">
        <f>_xlfn.CONCAT(TEXT(A1038,"MMM"),"-",MID(Q1038,3,2))</f>
        <v>Apr-25</v>
      </c>
      <c r="X1038" s="19">
        <f>IFERROR(IF(D1038="Sell",(H1038-P1038),-(H1038+P1038)),0)</f>
        <v>-15998.55</v>
      </c>
      <c r="Y1038" s="19">
        <f>X1038/1000</f>
        <v>-15.99855</v>
      </c>
    </row>
    <row r="1039" spans="1:25" x14ac:dyDescent="0.25">
      <c r="A1039" s="1">
        <v>45749</v>
      </c>
      <c r="B1039" t="s">
        <v>1296</v>
      </c>
      <c r="C1039" t="s">
        <v>17</v>
      </c>
      <c r="D1039" t="s">
        <v>22</v>
      </c>
      <c r="E1039">
        <v>300</v>
      </c>
      <c r="F1039">
        <v>0</v>
      </c>
      <c r="G1039">
        <v>58.1</v>
      </c>
      <c r="H1039">
        <v>17430</v>
      </c>
      <c r="I1039" t="s">
        <v>1302</v>
      </c>
      <c r="J1039">
        <v>0</v>
      </c>
      <c r="K1039">
        <v>6.19</v>
      </c>
      <c r="L1039">
        <v>0</v>
      </c>
      <c r="M1039">
        <v>0.01</v>
      </c>
      <c r="N1039">
        <v>116</v>
      </c>
      <c r="O1039">
        <v>22</v>
      </c>
      <c r="P1039">
        <v>144.19999999999999</v>
      </c>
      <c r="Q1039" s="18">
        <f>YEAR(A1039)</f>
        <v>2025</v>
      </c>
      <c r="R1039" s="18">
        <f>MONTH(A1039)</f>
        <v>4</v>
      </c>
      <c r="S1039" s="18">
        <f>IF(R1039&lt;4,Q1039-1,Q1039)</f>
        <v>2025</v>
      </c>
      <c r="T1039" s="18">
        <f>IF(R1039&lt;4,R1039+9,R1039-3)</f>
        <v>1</v>
      </c>
      <c r="U1039" s="18" t="str">
        <f>IF(LEN(T1039)=1,_xlfn.CONCAT(0,T1039),T1039)</f>
        <v>01</v>
      </c>
      <c r="V1039" s="18" t="str">
        <f>_xlfn.CONCAT(S1039,U1039)</f>
        <v>202501</v>
      </c>
      <c r="W1039" s="18" t="str">
        <f>_xlfn.CONCAT(TEXT(A1039,"MMM"),"-",MID(Q1039,3,2))</f>
        <v>Apr-25</v>
      </c>
      <c r="X1039" s="19">
        <f>IFERROR(IF(D1039="Sell",(H1039-P1039),-(H1039+P1039)),0)</f>
        <v>-17574.2</v>
      </c>
      <c r="Y1039" s="19">
        <f>X1039/1000</f>
        <v>-17.574200000000001</v>
      </c>
    </row>
    <row r="1040" spans="1:25" x14ac:dyDescent="0.25">
      <c r="A1040" s="1">
        <v>45749</v>
      </c>
      <c r="B1040" t="s">
        <v>1296</v>
      </c>
      <c r="C1040" t="s">
        <v>17</v>
      </c>
      <c r="D1040" t="s">
        <v>22</v>
      </c>
      <c r="E1040">
        <v>300</v>
      </c>
      <c r="F1040">
        <v>0</v>
      </c>
      <c r="G1040">
        <v>70.56</v>
      </c>
      <c r="H1040">
        <v>21168.75</v>
      </c>
      <c r="I1040" t="s">
        <v>1303</v>
      </c>
      <c r="J1040">
        <v>0</v>
      </c>
      <c r="K1040">
        <v>7.52</v>
      </c>
      <c r="L1040">
        <v>0</v>
      </c>
      <c r="M1040">
        <v>0.03</v>
      </c>
      <c r="N1040">
        <v>116</v>
      </c>
      <c r="O1040">
        <v>22.24</v>
      </c>
      <c r="P1040">
        <v>145.79</v>
      </c>
      <c r="Q1040" s="18">
        <f>YEAR(A1040)</f>
        <v>2025</v>
      </c>
      <c r="R1040" s="18">
        <f>MONTH(A1040)</f>
        <v>4</v>
      </c>
      <c r="S1040" s="18">
        <f>IF(R1040&lt;4,Q1040-1,Q1040)</f>
        <v>2025</v>
      </c>
      <c r="T1040" s="18">
        <f>IF(R1040&lt;4,R1040+9,R1040-3)</f>
        <v>1</v>
      </c>
      <c r="U1040" s="18" t="str">
        <f>IF(LEN(T1040)=1,_xlfn.CONCAT(0,T1040),T1040)</f>
        <v>01</v>
      </c>
      <c r="V1040" s="18" t="str">
        <f>_xlfn.CONCAT(S1040,U1040)</f>
        <v>202501</v>
      </c>
      <c r="W1040" s="18" t="str">
        <f>_xlfn.CONCAT(TEXT(A1040,"MMM"),"-",MID(Q1040,3,2))</f>
        <v>Apr-25</v>
      </c>
      <c r="X1040" s="19">
        <f>IFERROR(IF(D1040="Sell",(H1040-P1040),-(H1040+P1040)),0)</f>
        <v>-21314.54</v>
      </c>
      <c r="Y1040" s="19">
        <f>X1040/1000</f>
        <v>-21.314540000000001</v>
      </c>
    </row>
    <row r="1041" spans="1:25" x14ac:dyDescent="0.25">
      <c r="A1041" s="1">
        <v>45749</v>
      </c>
      <c r="B1041" t="s">
        <v>1296</v>
      </c>
      <c r="C1041" t="s">
        <v>17</v>
      </c>
      <c r="D1041" t="s">
        <v>22</v>
      </c>
      <c r="E1041">
        <v>300</v>
      </c>
      <c r="F1041">
        <v>0</v>
      </c>
      <c r="G1041">
        <v>88.15</v>
      </c>
      <c r="H1041">
        <v>26445</v>
      </c>
      <c r="I1041" t="s">
        <v>1304</v>
      </c>
      <c r="J1041">
        <v>0</v>
      </c>
      <c r="K1041">
        <v>9.4</v>
      </c>
      <c r="L1041">
        <v>0</v>
      </c>
      <c r="M1041">
        <v>0.03</v>
      </c>
      <c r="N1041">
        <v>116</v>
      </c>
      <c r="O1041">
        <v>22.58</v>
      </c>
      <c r="P1041">
        <v>148.01</v>
      </c>
      <c r="Q1041" s="18">
        <f>YEAR(A1041)</f>
        <v>2025</v>
      </c>
      <c r="R1041" s="18">
        <f>MONTH(A1041)</f>
        <v>4</v>
      </c>
      <c r="S1041" s="18">
        <f>IF(R1041&lt;4,Q1041-1,Q1041)</f>
        <v>2025</v>
      </c>
      <c r="T1041" s="18">
        <f>IF(R1041&lt;4,R1041+9,R1041-3)</f>
        <v>1</v>
      </c>
      <c r="U1041" s="18" t="str">
        <f>IF(LEN(T1041)=1,_xlfn.CONCAT(0,T1041),T1041)</f>
        <v>01</v>
      </c>
      <c r="V1041" s="18" t="str">
        <f>_xlfn.CONCAT(S1041,U1041)</f>
        <v>202501</v>
      </c>
      <c r="W1041" s="18" t="str">
        <f>_xlfn.CONCAT(TEXT(A1041,"MMM"),"-",MID(Q1041,3,2))</f>
        <v>Apr-25</v>
      </c>
      <c r="X1041" s="19">
        <f>IFERROR(IF(D1041="Sell",(H1041-P1041),-(H1041+P1041)),0)</f>
        <v>-26593.01</v>
      </c>
      <c r="Y1041" s="19">
        <f>X1041/1000</f>
        <v>-26.59301</v>
      </c>
    </row>
    <row r="1042" spans="1:25" x14ac:dyDescent="0.25">
      <c r="A1042" s="1">
        <v>45749</v>
      </c>
      <c r="B1042" t="s">
        <v>1305</v>
      </c>
      <c r="C1042" t="s">
        <v>17</v>
      </c>
      <c r="D1042" t="s">
        <v>18</v>
      </c>
      <c r="E1042">
        <v>300</v>
      </c>
      <c r="F1042">
        <v>0</v>
      </c>
      <c r="G1042">
        <v>85.1</v>
      </c>
      <c r="H1042">
        <v>25530</v>
      </c>
      <c r="I1042" t="s">
        <v>1306</v>
      </c>
      <c r="J1042">
        <v>25.53</v>
      </c>
      <c r="K1042">
        <v>9.08</v>
      </c>
      <c r="L1042">
        <v>0</v>
      </c>
      <c r="M1042">
        <v>0.03</v>
      </c>
      <c r="N1042">
        <v>116</v>
      </c>
      <c r="O1042">
        <v>22.54</v>
      </c>
      <c r="P1042">
        <v>173.18</v>
      </c>
      <c r="Q1042" s="18">
        <f>YEAR(A1042)</f>
        <v>2025</v>
      </c>
      <c r="R1042" s="18">
        <f>MONTH(A1042)</f>
        <v>4</v>
      </c>
      <c r="S1042" s="18">
        <f>IF(R1042&lt;4,Q1042-1,Q1042)</f>
        <v>2025</v>
      </c>
      <c r="T1042" s="18">
        <f>IF(R1042&lt;4,R1042+9,R1042-3)</f>
        <v>1</v>
      </c>
      <c r="U1042" s="18" t="str">
        <f>IF(LEN(T1042)=1,_xlfn.CONCAT(0,T1042),T1042)</f>
        <v>01</v>
      </c>
      <c r="V1042" s="18" t="str">
        <f>_xlfn.CONCAT(S1042,U1042)</f>
        <v>202501</v>
      </c>
      <c r="W1042" s="18" t="str">
        <f>_xlfn.CONCAT(TEXT(A1042,"MMM"),"-",MID(Q1042,3,2))</f>
        <v>Apr-25</v>
      </c>
      <c r="X1042" s="19">
        <f>IFERROR(IF(D1042="Sell",(H1042-P1042),-(H1042+P1042)),0)</f>
        <v>25356.82</v>
      </c>
      <c r="Y1042" s="19">
        <f>X1042/1000</f>
        <v>25.356819999999999</v>
      </c>
    </row>
    <row r="1043" spans="1:25" x14ac:dyDescent="0.25">
      <c r="A1043" s="1">
        <v>45749</v>
      </c>
      <c r="B1043" t="s">
        <v>1305</v>
      </c>
      <c r="C1043" t="s">
        <v>17</v>
      </c>
      <c r="D1043" t="s">
        <v>22</v>
      </c>
      <c r="E1043">
        <v>300</v>
      </c>
      <c r="F1043">
        <v>0</v>
      </c>
      <c r="G1043">
        <v>92.45</v>
      </c>
      <c r="H1043">
        <v>27735</v>
      </c>
      <c r="I1043" t="s">
        <v>1307</v>
      </c>
      <c r="J1043">
        <v>0</v>
      </c>
      <c r="K1043">
        <v>9.85</v>
      </c>
      <c r="L1043">
        <v>0.83</v>
      </c>
      <c r="M1043">
        <v>0.03</v>
      </c>
      <c r="N1043">
        <v>116</v>
      </c>
      <c r="O1043">
        <v>22.64</v>
      </c>
      <c r="P1043">
        <v>149.35</v>
      </c>
      <c r="Q1043" s="18">
        <f>YEAR(A1043)</f>
        <v>2025</v>
      </c>
      <c r="R1043" s="18">
        <f>MONTH(A1043)</f>
        <v>4</v>
      </c>
      <c r="S1043" s="18">
        <f>IF(R1043&lt;4,Q1043-1,Q1043)</f>
        <v>2025</v>
      </c>
      <c r="T1043" s="18">
        <f>IF(R1043&lt;4,R1043+9,R1043-3)</f>
        <v>1</v>
      </c>
      <c r="U1043" s="18" t="str">
        <f>IF(LEN(T1043)=1,_xlfn.CONCAT(0,T1043),T1043)</f>
        <v>01</v>
      </c>
      <c r="V1043" s="18" t="str">
        <f>_xlfn.CONCAT(S1043,U1043)</f>
        <v>202501</v>
      </c>
      <c r="W1043" s="18" t="str">
        <f>_xlfn.CONCAT(TEXT(A1043,"MMM"),"-",MID(Q1043,3,2))</f>
        <v>Apr-25</v>
      </c>
      <c r="X1043" s="19">
        <f>IFERROR(IF(D1043="Sell",(H1043-P1043),-(H1043+P1043)),0)</f>
        <v>-27884.35</v>
      </c>
      <c r="Y1043" s="19">
        <f>X1043/1000</f>
        <v>-27.884349999999998</v>
      </c>
    </row>
    <row r="1044" spans="1:25" x14ac:dyDescent="0.25">
      <c r="A1044" s="1">
        <v>45750</v>
      </c>
      <c r="B1044" t="s">
        <v>1284</v>
      </c>
      <c r="C1044" t="s">
        <v>17</v>
      </c>
      <c r="D1044" t="s">
        <v>18</v>
      </c>
      <c r="E1044">
        <v>75</v>
      </c>
      <c r="F1044">
        <v>0</v>
      </c>
      <c r="G1044">
        <v>44.45</v>
      </c>
      <c r="H1044">
        <v>3333.75</v>
      </c>
      <c r="I1044" t="s">
        <v>1285</v>
      </c>
      <c r="J1044">
        <v>3.33</v>
      </c>
      <c r="K1044">
        <v>1.18</v>
      </c>
      <c r="L1044">
        <v>0</v>
      </c>
      <c r="M1044">
        <v>0</v>
      </c>
      <c r="N1044">
        <v>29</v>
      </c>
      <c r="O1044">
        <v>5.44</v>
      </c>
      <c r="P1044">
        <v>38.950000000000003</v>
      </c>
      <c r="Q1044" s="18">
        <f>YEAR(A1044)</f>
        <v>2025</v>
      </c>
      <c r="R1044" s="18">
        <f>MONTH(A1044)</f>
        <v>4</v>
      </c>
      <c r="S1044" s="18">
        <f>IF(R1044&lt;4,Q1044-1,Q1044)</f>
        <v>2025</v>
      </c>
      <c r="T1044" s="18">
        <f>IF(R1044&lt;4,R1044+9,R1044-3)</f>
        <v>1</v>
      </c>
      <c r="U1044" s="18" t="str">
        <f>IF(LEN(T1044)=1,_xlfn.CONCAT(0,T1044),T1044)</f>
        <v>01</v>
      </c>
      <c r="V1044" s="18" t="str">
        <f>_xlfn.CONCAT(S1044,U1044)</f>
        <v>202501</v>
      </c>
      <c r="W1044" s="18" t="str">
        <f>_xlfn.CONCAT(TEXT(A1044,"MMM"),"-",MID(Q1044,3,2))</f>
        <v>Apr-25</v>
      </c>
      <c r="X1044" s="19">
        <f>IFERROR(IF(D1044="Sell",(H1044-P1044),-(H1044+P1044)),0)</f>
        <v>3294.8</v>
      </c>
      <c r="Y1044" s="19">
        <f>X1044/1000</f>
        <v>3.2948000000000004</v>
      </c>
    </row>
    <row r="1045" spans="1:25" x14ac:dyDescent="0.25">
      <c r="A1045" s="1">
        <v>45750</v>
      </c>
      <c r="B1045" t="s">
        <v>1284</v>
      </c>
      <c r="C1045" t="s">
        <v>17</v>
      </c>
      <c r="D1045" t="s">
        <v>22</v>
      </c>
      <c r="E1045">
        <v>75</v>
      </c>
      <c r="F1045">
        <v>0</v>
      </c>
      <c r="G1045">
        <v>45</v>
      </c>
      <c r="H1045">
        <v>3375</v>
      </c>
      <c r="I1045" t="s">
        <v>1286</v>
      </c>
      <c r="J1045">
        <v>0</v>
      </c>
      <c r="K1045">
        <v>1.2</v>
      </c>
      <c r="L1045">
        <v>0</v>
      </c>
      <c r="M1045">
        <v>0</v>
      </c>
      <c r="N1045">
        <v>29</v>
      </c>
      <c r="O1045">
        <v>5.44</v>
      </c>
      <c r="P1045">
        <v>35.64</v>
      </c>
      <c r="Q1045" s="18">
        <f>YEAR(A1045)</f>
        <v>2025</v>
      </c>
      <c r="R1045" s="18">
        <f>MONTH(A1045)</f>
        <v>4</v>
      </c>
      <c r="S1045" s="18">
        <f>IF(R1045&lt;4,Q1045-1,Q1045)</f>
        <v>2025</v>
      </c>
      <c r="T1045" s="18">
        <f>IF(R1045&lt;4,R1045+9,R1045-3)</f>
        <v>1</v>
      </c>
      <c r="U1045" s="18" t="str">
        <f>IF(LEN(T1045)=1,_xlfn.CONCAT(0,T1045),T1045)</f>
        <v>01</v>
      </c>
      <c r="V1045" s="18" t="str">
        <f>_xlfn.CONCAT(S1045,U1045)</f>
        <v>202501</v>
      </c>
      <c r="W1045" s="18" t="str">
        <f>_xlfn.CONCAT(TEXT(A1045,"MMM"),"-",MID(Q1045,3,2))</f>
        <v>Apr-25</v>
      </c>
      <c r="X1045" s="19">
        <f>IFERROR(IF(D1045="Sell",(H1045-P1045),-(H1045+P1045)),0)</f>
        <v>-3410.64</v>
      </c>
      <c r="Y1045" s="19">
        <f>X1045/1000</f>
        <v>-3.4106399999999999</v>
      </c>
    </row>
    <row r="1046" spans="1:25" x14ac:dyDescent="0.25">
      <c r="A1046" s="1">
        <v>45750</v>
      </c>
      <c r="B1046" t="s">
        <v>1284</v>
      </c>
      <c r="C1046" t="s">
        <v>17</v>
      </c>
      <c r="D1046" t="s">
        <v>18</v>
      </c>
      <c r="E1046">
        <v>75</v>
      </c>
      <c r="F1046">
        <v>0</v>
      </c>
      <c r="G1046">
        <v>47.85</v>
      </c>
      <c r="H1046">
        <v>3588.75</v>
      </c>
      <c r="I1046" t="s">
        <v>1287</v>
      </c>
      <c r="J1046">
        <v>3.65</v>
      </c>
      <c r="K1046">
        <v>1.28</v>
      </c>
      <c r="L1046">
        <v>0</v>
      </c>
      <c r="M1046">
        <v>0</v>
      </c>
      <c r="N1046">
        <v>29</v>
      </c>
      <c r="O1046">
        <v>5.46</v>
      </c>
      <c r="P1046">
        <v>39.39</v>
      </c>
      <c r="Q1046" s="18">
        <f>YEAR(A1046)</f>
        <v>2025</v>
      </c>
      <c r="R1046" s="18">
        <f>MONTH(A1046)</f>
        <v>4</v>
      </c>
      <c r="S1046" s="18">
        <f>IF(R1046&lt;4,Q1046-1,Q1046)</f>
        <v>2025</v>
      </c>
      <c r="T1046" s="18">
        <f>IF(R1046&lt;4,R1046+9,R1046-3)</f>
        <v>1</v>
      </c>
      <c r="U1046" s="18" t="str">
        <f>IF(LEN(T1046)=1,_xlfn.CONCAT(0,T1046),T1046)</f>
        <v>01</v>
      </c>
      <c r="V1046" s="18" t="str">
        <f>_xlfn.CONCAT(S1046,U1046)</f>
        <v>202501</v>
      </c>
      <c r="W1046" s="18" t="str">
        <f>_xlfn.CONCAT(TEXT(A1046,"MMM"),"-",MID(Q1046,3,2))</f>
        <v>Apr-25</v>
      </c>
      <c r="X1046" s="19">
        <f>IFERROR(IF(D1046="Sell",(H1046-P1046),-(H1046+P1046)),0)</f>
        <v>3549.36</v>
      </c>
      <c r="Y1046" s="19">
        <f>X1046/1000</f>
        <v>3.5493600000000001</v>
      </c>
    </row>
    <row r="1047" spans="1:25" x14ac:dyDescent="0.25">
      <c r="A1047" s="1">
        <v>45750</v>
      </c>
      <c r="B1047" t="s">
        <v>1284</v>
      </c>
      <c r="C1047" t="s">
        <v>17</v>
      </c>
      <c r="D1047" t="s">
        <v>22</v>
      </c>
      <c r="E1047">
        <v>75</v>
      </c>
      <c r="F1047">
        <v>0</v>
      </c>
      <c r="G1047">
        <v>49.05</v>
      </c>
      <c r="H1047">
        <v>3678.75</v>
      </c>
      <c r="I1047" t="s">
        <v>1288</v>
      </c>
      <c r="J1047">
        <v>0</v>
      </c>
      <c r="K1047">
        <v>1.31</v>
      </c>
      <c r="L1047">
        <v>0</v>
      </c>
      <c r="M1047">
        <v>0</v>
      </c>
      <c r="N1047">
        <v>29</v>
      </c>
      <c r="O1047">
        <v>5.46</v>
      </c>
      <c r="P1047">
        <v>35.770000000000003</v>
      </c>
      <c r="Q1047" s="18">
        <f>YEAR(A1047)</f>
        <v>2025</v>
      </c>
      <c r="R1047" s="18">
        <f>MONTH(A1047)</f>
        <v>4</v>
      </c>
      <c r="S1047" s="18">
        <f>IF(R1047&lt;4,Q1047-1,Q1047)</f>
        <v>2025</v>
      </c>
      <c r="T1047" s="18">
        <f>IF(R1047&lt;4,R1047+9,R1047-3)</f>
        <v>1</v>
      </c>
      <c r="U1047" s="18" t="str">
        <f>IF(LEN(T1047)=1,_xlfn.CONCAT(0,T1047),T1047)</f>
        <v>01</v>
      </c>
      <c r="V1047" s="18" t="str">
        <f>_xlfn.CONCAT(S1047,U1047)</f>
        <v>202501</v>
      </c>
      <c r="W1047" s="18" t="str">
        <f>_xlfn.CONCAT(TEXT(A1047,"MMM"),"-",MID(Q1047,3,2))</f>
        <v>Apr-25</v>
      </c>
      <c r="X1047" s="19">
        <f>IFERROR(IF(D1047="Sell",(H1047-P1047),-(H1047+P1047)),0)</f>
        <v>-3714.52</v>
      </c>
      <c r="Y1047" s="19">
        <f>X1047/1000</f>
        <v>-3.7145199999999998</v>
      </c>
    </row>
    <row r="1048" spans="1:25" x14ac:dyDescent="0.25">
      <c r="A1048" s="1">
        <v>45750</v>
      </c>
      <c r="B1048" t="s">
        <v>1284</v>
      </c>
      <c r="C1048" t="s">
        <v>17</v>
      </c>
      <c r="D1048" t="s">
        <v>18</v>
      </c>
      <c r="E1048">
        <v>300</v>
      </c>
      <c r="F1048">
        <v>0</v>
      </c>
      <c r="G1048">
        <v>47.75</v>
      </c>
      <c r="H1048">
        <v>14325</v>
      </c>
      <c r="I1048" t="s">
        <v>1289</v>
      </c>
      <c r="J1048">
        <v>14.33</v>
      </c>
      <c r="K1048">
        <v>5.09</v>
      </c>
      <c r="L1048">
        <v>0</v>
      </c>
      <c r="M1048">
        <v>0.01</v>
      </c>
      <c r="N1048">
        <v>116</v>
      </c>
      <c r="O1048">
        <v>21.8</v>
      </c>
      <c r="P1048">
        <v>157.22999999999999</v>
      </c>
      <c r="Q1048" s="18">
        <f>YEAR(A1048)</f>
        <v>2025</v>
      </c>
      <c r="R1048" s="18">
        <f>MONTH(A1048)</f>
        <v>4</v>
      </c>
      <c r="S1048" s="18">
        <f>IF(R1048&lt;4,Q1048-1,Q1048)</f>
        <v>2025</v>
      </c>
      <c r="T1048" s="18">
        <f>IF(R1048&lt;4,R1048+9,R1048-3)</f>
        <v>1</v>
      </c>
      <c r="U1048" s="18" t="str">
        <f>IF(LEN(T1048)=1,_xlfn.CONCAT(0,T1048),T1048)</f>
        <v>01</v>
      </c>
      <c r="V1048" s="18" t="str">
        <f>_xlfn.CONCAT(S1048,U1048)</f>
        <v>202501</v>
      </c>
      <c r="W1048" s="18" t="str">
        <f>_xlfn.CONCAT(TEXT(A1048,"MMM"),"-",MID(Q1048,3,2))</f>
        <v>Apr-25</v>
      </c>
      <c r="X1048" s="19">
        <f>IFERROR(IF(D1048="Sell",(H1048-P1048),-(H1048+P1048)),0)</f>
        <v>14167.77</v>
      </c>
      <c r="Y1048" s="19">
        <f>X1048/1000</f>
        <v>14.167770000000001</v>
      </c>
    </row>
    <row r="1049" spans="1:25" x14ac:dyDescent="0.25">
      <c r="A1049" s="1">
        <v>45750</v>
      </c>
      <c r="B1049" t="s">
        <v>1284</v>
      </c>
      <c r="C1049" t="s">
        <v>17</v>
      </c>
      <c r="D1049" t="s">
        <v>22</v>
      </c>
      <c r="E1049">
        <v>300</v>
      </c>
      <c r="F1049">
        <v>0</v>
      </c>
      <c r="G1049">
        <v>37.5</v>
      </c>
      <c r="H1049">
        <v>11250</v>
      </c>
      <c r="I1049" t="s">
        <v>1290</v>
      </c>
      <c r="J1049">
        <v>0</v>
      </c>
      <c r="K1049">
        <v>4</v>
      </c>
      <c r="L1049">
        <v>0.76</v>
      </c>
      <c r="M1049">
        <v>0.01</v>
      </c>
      <c r="N1049">
        <v>116</v>
      </c>
      <c r="O1049">
        <v>21.6</v>
      </c>
      <c r="P1049">
        <v>142.37</v>
      </c>
      <c r="Q1049" s="18">
        <f>YEAR(A1049)</f>
        <v>2025</v>
      </c>
      <c r="R1049" s="18">
        <f>MONTH(A1049)</f>
        <v>4</v>
      </c>
      <c r="S1049" s="18">
        <f>IF(R1049&lt;4,Q1049-1,Q1049)</f>
        <v>2025</v>
      </c>
      <c r="T1049" s="18">
        <f>IF(R1049&lt;4,R1049+9,R1049-3)</f>
        <v>1</v>
      </c>
      <c r="U1049" s="18" t="str">
        <f>IF(LEN(T1049)=1,_xlfn.CONCAT(0,T1049),T1049)</f>
        <v>01</v>
      </c>
      <c r="V1049" s="18" t="str">
        <f>_xlfn.CONCAT(S1049,U1049)</f>
        <v>202501</v>
      </c>
      <c r="W1049" s="18" t="str">
        <f>_xlfn.CONCAT(TEXT(A1049,"MMM"),"-",MID(Q1049,3,2))</f>
        <v>Apr-25</v>
      </c>
      <c r="X1049" s="19">
        <f>IFERROR(IF(D1049="Sell",(H1049-P1049),-(H1049+P1049)),0)</f>
        <v>-11392.37</v>
      </c>
      <c r="Y1049" s="19">
        <f>X1049/1000</f>
        <v>-11.392370000000001</v>
      </c>
    </row>
    <row r="1050" spans="1:25" x14ac:dyDescent="0.25">
      <c r="A1050" s="1">
        <v>45750</v>
      </c>
      <c r="B1050" t="s">
        <v>1291</v>
      </c>
      <c r="C1050" t="s">
        <v>17</v>
      </c>
      <c r="D1050" t="s">
        <v>18</v>
      </c>
      <c r="E1050">
        <v>750</v>
      </c>
      <c r="F1050">
        <v>0</v>
      </c>
      <c r="G1050">
        <v>10.25</v>
      </c>
      <c r="H1050">
        <v>7687.5</v>
      </c>
      <c r="I1050" t="s">
        <v>1292</v>
      </c>
      <c r="J1050">
        <v>7.69</v>
      </c>
      <c r="K1050">
        <v>2.73</v>
      </c>
      <c r="L1050">
        <v>0</v>
      </c>
      <c r="M1050">
        <v>0.01</v>
      </c>
      <c r="N1050">
        <v>29</v>
      </c>
      <c r="O1050">
        <v>5.72</v>
      </c>
      <c r="P1050">
        <v>45.15</v>
      </c>
      <c r="Q1050" s="18">
        <f>YEAR(A1050)</f>
        <v>2025</v>
      </c>
      <c r="R1050" s="18">
        <f>MONTH(A1050)</f>
        <v>4</v>
      </c>
      <c r="S1050" s="18">
        <f>IF(R1050&lt;4,Q1050-1,Q1050)</f>
        <v>2025</v>
      </c>
      <c r="T1050" s="18">
        <f>IF(R1050&lt;4,R1050+9,R1050-3)</f>
        <v>1</v>
      </c>
      <c r="U1050" s="18" t="str">
        <f>IF(LEN(T1050)=1,_xlfn.CONCAT(0,T1050),T1050)</f>
        <v>01</v>
      </c>
      <c r="V1050" s="18" t="str">
        <f>_xlfn.CONCAT(S1050,U1050)</f>
        <v>202501</v>
      </c>
      <c r="W1050" s="18" t="str">
        <f>_xlfn.CONCAT(TEXT(A1050,"MMM"),"-",MID(Q1050,3,2))</f>
        <v>Apr-25</v>
      </c>
      <c r="X1050" s="19">
        <f>IFERROR(IF(D1050="Sell",(H1050-P1050),-(H1050+P1050)),0)</f>
        <v>7642.35</v>
      </c>
      <c r="Y1050" s="19">
        <f>X1050/1000</f>
        <v>7.6423500000000004</v>
      </c>
    </row>
    <row r="1051" spans="1:25" x14ac:dyDescent="0.25">
      <c r="A1051" s="1">
        <v>45750</v>
      </c>
      <c r="B1051" t="s">
        <v>1291</v>
      </c>
      <c r="C1051" t="s">
        <v>17</v>
      </c>
      <c r="D1051" t="s">
        <v>22</v>
      </c>
      <c r="E1051">
        <v>750</v>
      </c>
      <c r="F1051">
        <v>0</v>
      </c>
      <c r="G1051">
        <v>10.45</v>
      </c>
      <c r="H1051">
        <v>7837.5</v>
      </c>
      <c r="I1051" t="s">
        <v>1293</v>
      </c>
      <c r="J1051">
        <v>0</v>
      </c>
      <c r="K1051">
        <v>2.78</v>
      </c>
      <c r="L1051">
        <v>0.24</v>
      </c>
      <c r="M1051">
        <v>0.01</v>
      </c>
      <c r="N1051">
        <v>29</v>
      </c>
      <c r="O1051">
        <v>5.72</v>
      </c>
      <c r="P1051">
        <v>37.75</v>
      </c>
      <c r="Q1051" s="18">
        <f>YEAR(A1051)</f>
        <v>2025</v>
      </c>
      <c r="R1051" s="18">
        <f>MONTH(A1051)</f>
        <v>4</v>
      </c>
      <c r="S1051" s="18">
        <f>IF(R1051&lt;4,Q1051-1,Q1051)</f>
        <v>2025</v>
      </c>
      <c r="T1051" s="18">
        <f>IF(R1051&lt;4,R1051+9,R1051-3)</f>
        <v>1</v>
      </c>
      <c r="U1051" s="18" t="str">
        <f>IF(LEN(T1051)=1,_xlfn.CONCAT(0,T1051),T1051)</f>
        <v>01</v>
      </c>
      <c r="V1051" s="18" t="str">
        <f>_xlfn.CONCAT(S1051,U1051)</f>
        <v>202501</v>
      </c>
      <c r="W1051" s="18" t="str">
        <f>_xlfn.CONCAT(TEXT(A1051,"MMM"),"-",MID(Q1051,3,2))</f>
        <v>Apr-25</v>
      </c>
      <c r="X1051" s="19">
        <f>IFERROR(IF(D1051="Sell",(H1051-P1051),-(H1051+P1051)),0)</f>
        <v>-7875.25</v>
      </c>
      <c r="Y1051" s="19">
        <f>X1051/1000</f>
        <v>-7.8752500000000003</v>
      </c>
    </row>
    <row r="1052" spans="1:25" x14ac:dyDescent="0.25">
      <c r="A1052" s="1">
        <v>45751</v>
      </c>
      <c r="B1052" t="s">
        <v>1709</v>
      </c>
      <c r="C1052" t="s">
        <v>17</v>
      </c>
      <c r="D1052" t="s">
        <v>18</v>
      </c>
      <c r="E1052">
        <v>75</v>
      </c>
      <c r="F1052">
        <v>0</v>
      </c>
      <c r="G1052">
        <v>112.45</v>
      </c>
      <c r="H1052">
        <v>8433.75</v>
      </c>
      <c r="I1052" t="s">
        <v>1710</v>
      </c>
      <c r="J1052">
        <v>8.43</v>
      </c>
      <c r="K1052">
        <v>3</v>
      </c>
      <c r="L1052">
        <v>0</v>
      </c>
      <c r="M1052">
        <v>0.01</v>
      </c>
      <c r="N1052">
        <v>29</v>
      </c>
      <c r="O1052">
        <v>5.76</v>
      </c>
      <c r="P1052">
        <v>46.2</v>
      </c>
      <c r="Q1052" s="18">
        <f>YEAR(A1052)</f>
        <v>2025</v>
      </c>
      <c r="R1052" s="18">
        <f>MONTH(A1052)</f>
        <v>4</v>
      </c>
      <c r="S1052" s="18">
        <f>IF(R1052&lt;4,Q1052-1,Q1052)</f>
        <v>2025</v>
      </c>
      <c r="T1052" s="18">
        <f>IF(R1052&lt;4,R1052+9,R1052-3)</f>
        <v>1</v>
      </c>
      <c r="U1052" s="18" t="str">
        <f>IF(LEN(T1052)=1,_xlfn.CONCAT(0,T1052),T1052)</f>
        <v>01</v>
      </c>
      <c r="V1052" s="18" t="str">
        <f>_xlfn.CONCAT(S1052,U1052)</f>
        <v>202501</v>
      </c>
      <c r="W1052" s="18" t="str">
        <f>_xlfn.CONCAT(TEXT(A1052,"MMM"),"-",MID(Q1052,3,2))</f>
        <v>Apr-25</v>
      </c>
      <c r="X1052" s="19">
        <f>IFERROR(IF(D1052="Sell",(H1052-P1052),-(H1052+P1052)),0)</f>
        <v>8387.5499999999993</v>
      </c>
      <c r="Y1052" s="19">
        <f>X1052/1000</f>
        <v>8.3875499999999992</v>
      </c>
    </row>
    <row r="1053" spans="1:25" x14ac:dyDescent="0.25">
      <c r="A1053" s="1">
        <v>45751</v>
      </c>
      <c r="B1053" t="s">
        <v>1709</v>
      </c>
      <c r="C1053" t="s">
        <v>17</v>
      </c>
      <c r="D1053" t="s">
        <v>22</v>
      </c>
      <c r="E1053">
        <v>75</v>
      </c>
      <c r="F1053">
        <v>0</v>
      </c>
      <c r="G1053">
        <v>114.25</v>
      </c>
      <c r="H1053">
        <v>8568.75</v>
      </c>
      <c r="I1053" t="s">
        <v>1711</v>
      </c>
      <c r="J1053">
        <v>0</v>
      </c>
      <c r="K1053">
        <v>3.04</v>
      </c>
      <c r="L1053">
        <v>0.26</v>
      </c>
      <c r="M1053">
        <v>0.01</v>
      </c>
      <c r="N1053">
        <v>29</v>
      </c>
      <c r="O1053">
        <v>5.76</v>
      </c>
      <c r="P1053">
        <v>38.07</v>
      </c>
      <c r="Q1053" s="18">
        <f>YEAR(A1053)</f>
        <v>2025</v>
      </c>
      <c r="R1053" s="18">
        <f>MONTH(A1053)</f>
        <v>4</v>
      </c>
      <c r="S1053" s="18">
        <f>IF(R1053&lt;4,Q1053-1,Q1053)</f>
        <v>2025</v>
      </c>
      <c r="T1053" s="18">
        <f>IF(R1053&lt;4,R1053+9,R1053-3)</f>
        <v>1</v>
      </c>
      <c r="U1053" s="18" t="str">
        <f>IF(LEN(T1053)=1,_xlfn.CONCAT(0,T1053),T1053)</f>
        <v>01</v>
      </c>
      <c r="V1053" s="18" t="str">
        <f>_xlfn.CONCAT(S1053,U1053)</f>
        <v>202501</v>
      </c>
      <c r="W1053" s="18" t="str">
        <f>_xlfn.CONCAT(TEXT(A1053,"MMM"),"-",MID(Q1053,3,2))</f>
        <v>Apr-25</v>
      </c>
      <c r="X1053" s="19">
        <f>IFERROR(IF(D1053="Sell",(H1053-P1053),-(H1053+P1053)),0)</f>
        <v>-8606.82</v>
      </c>
      <c r="Y1053" s="19">
        <f>X1053/1000</f>
        <v>-8.606819999999999</v>
      </c>
    </row>
    <row r="1054" spans="1:25" x14ac:dyDescent="0.25">
      <c r="A1054" s="1">
        <v>45751</v>
      </c>
      <c r="B1054" t="s">
        <v>1712</v>
      </c>
      <c r="C1054" t="s">
        <v>17</v>
      </c>
      <c r="D1054" t="s">
        <v>18</v>
      </c>
      <c r="E1054">
        <v>75</v>
      </c>
      <c r="F1054">
        <v>0</v>
      </c>
      <c r="G1054">
        <v>125.25</v>
      </c>
      <c r="H1054">
        <v>9393.75</v>
      </c>
      <c r="I1054" t="s">
        <v>1713</v>
      </c>
      <c r="J1054">
        <v>9.39</v>
      </c>
      <c r="K1054">
        <v>3.34</v>
      </c>
      <c r="L1054">
        <v>0</v>
      </c>
      <c r="M1054">
        <v>0.01</v>
      </c>
      <c r="N1054">
        <v>29</v>
      </c>
      <c r="O1054">
        <v>5.82</v>
      </c>
      <c r="P1054">
        <v>47.56</v>
      </c>
      <c r="Q1054" s="18">
        <f>YEAR(A1054)</f>
        <v>2025</v>
      </c>
      <c r="R1054" s="18">
        <f>MONTH(A1054)</f>
        <v>4</v>
      </c>
      <c r="S1054" s="18">
        <f>IF(R1054&lt;4,Q1054-1,Q1054)</f>
        <v>2025</v>
      </c>
      <c r="T1054" s="18">
        <f>IF(R1054&lt;4,R1054+9,R1054-3)</f>
        <v>1</v>
      </c>
      <c r="U1054" s="18" t="str">
        <f>IF(LEN(T1054)=1,_xlfn.CONCAT(0,T1054),T1054)</f>
        <v>01</v>
      </c>
      <c r="V1054" s="18" t="str">
        <f>_xlfn.CONCAT(S1054,U1054)</f>
        <v>202501</v>
      </c>
      <c r="W1054" s="18" t="str">
        <f>_xlfn.CONCAT(TEXT(A1054,"MMM"),"-",MID(Q1054,3,2))</f>
        <v>Apr-25</v>
      </c>
      <c r="X1054" s="19">
        <f>IFERROR(IF(D1054="Sell",(H1054-P1054),-(H1054+P1054)),0)</f>
        <v>9346.19</v>
      </c>
      <c r="Y1054" s="19">
        <f>X1054/1000</f>
        <v>9.34619</v>
      </c>
    </row>
    <row r="1055" spans="1:25" x14ac:dyDescent="0.25">
      <c r="A1055" s="1">
        <v>45751</v>
      </c>
      <c r="B1055" t="s">
        <v>1712</v>
      </c>
      <c r="C1055" t="s">
        <v>17</v>
      </c>
      <c r="D1055" t="s">
        <v>18</v>
      </c>
      <c r="E1055">
        <v>75</v>
      </c>
      <c r="F1055">
        <v>0</v>
      </c>
      <c r="G1055">
        <v>137.25</v>
      </c>
      <c r="H1055">
        <v>10293.75</v>
      </c>
      <c r="I1055" t="s">
        <v>1714</v>
      </c>
      <c r="J1055">
        <v>10.29</v>
      </c>
      <c r="K1055">
        <v>3.66</v>
      </c>
      <c r="L1055">
        <v>0</v>
      </c>
      <c r="M1055">
        <v>0.01</v>
      </c>
      <c r="N1055">
        <v>29</v>
      </c>
      <c r="O1055">
        <v>5.88</v>
      </c>
      <c r="P1055">
        <v>48.84</v>
      </c>
      <c r="Q1055" s="18">
        <f>YEAR(A1055)</f>
        <v>2025</v>
      </c>
      <c r="R1055" s="18">
        <f>MONTH(A1055)</f>
        <v>4</v>
      </c>
      <c r="S1055" s="18">
        <f>IF(R1055&lt;4,Q1055-1,Q1055)</f>
        <v>2025</v>
      </c>
      <c r="T1055" s="18">
        <f>IF(R1055&lt;4,R1055+9,R1055-3)</f>
        <v>1</v>
      </c>
      <c r="U1055" s="18" t="str">
        <f>IF(LEN(T1055)=1,_xlfn.CONCAT(0,T1055),T1055)</f>
        <v>01</v>
      </c>
      <c r="V1055" s="18" t="str">
        <f>_xlfn.CONCAT(S1055,U1055)</f>
        <v>202501</v>
      </c>
      <c r="W1055" s="18" t="str">
        <f>_xlfn.CONCAT(TEXT(A1055,"MMM"),"-",MID(Q1055,3,2))</f>
        <v>Apr-25</v>
      </c>
      <c r="X1055" s="19">
        <f>IFERROR(IF(D1055="Sell",(H1055-P1055),-(H1055+P1055)),0)</f>
        <v>10244.91</v>
      </c>
      <c r="Y1055" s="19">
        <f>X1055/1000</f>
        <v>10.244909999999999</v>
      </c>
    </row>
    <row r="1056" spans="1:25" x14ac:dyDescent="0.25">
      <c r="A1056" s="1">
        <v>45751</v>
      </c>
      <c r="B1056" t="s">
        <v>1712</v>
      </c>
      <c r="C1056" t="s">
        <v>17</v>
      </c>
      <c r="D1056" t="s">
        <v>22</v>
      </c>
      <c r="E1056">
        <v>75</v>
      </c>
      <c r="F1056">
        <v>0</v>
      </c>
      <c r="G1056">
        <v>119.15</v>
      </c>
      <c r="H1056">
        <v>8936.25</v>
      </c>
      <c r="I1056" t="s">
        <v>1715</v>
      </c>
      <c r="J1056">
        <v>0</v>
      </c>
      <c r="K1056">
        <v>3.18</v>
      </c>
      <c r="L1056">
        <v>0</v>
      </c>
      <c r="M1056">
        <v>0.01</v>
      </c>
      <c r="N1056">
        <v>29</v>
      </c>
      <c r="O1056">
        <v>5.8</v>
      </c>
      <c r="P1056">
        <v>37.99</v>
      </c>
      <c r="Q1056" s="18">
        <f>YEAR(A1056)</f>
        <v>2025</v>
      </c>
      <c r="R1056" s="18">
        <f>MONTH(A1056)</f>
        <v>4</v>
      </c>
      <c r="S1056" s="18">
        <f>IF(R1056&lt;4,Q1056-1,Q1056)</f>
        <v>2025</v>
      </c>
      <c r="T1056" s="18">
        <f>IF(R1056&lt;4,R1056+9,R1056-3)</f>
        <v>1</v>
      </c>
      <c r="U1056" s="18" t="str">
        <f>IF(LEN(T1056)=1,_xlfn.CONCAT(0,T1056),T1056)</f>
        <v>01</v>
      </c>
      <c r="V1056" s="18" t="str">
        <f>_xlfn.CONCAT(S1056,U1056)</f>
        <v>202501</v>
      </c>
      <c r="W1056" s="18" t="str">
        <f>_xlfn.CONCAT(TEXT(A1056,"MMM"),"-",MID(Q1056,3,2))</f>
        <v>Apr-25</v>
      </c>
      <c r="X1056" s="19">
        <f>IFERROR(IF(D1056="Sell",(H1056-P1056),-(H1056+P1056)),0)</f>
        <v>-8974.24</v>
      </c>
      <c r="Y1056" s="19">
        <f>X1056/1000</f>
        <v>-8.97424</v>
      </c>
    </row>
    <row r="1057" spans="1:25" x14ac:dyDescent="0.25">
      <c r="A1057" s="1">
        <v>45751</v>
      </c>
      <c r="B1057" t="s">
        <v>1712</v>
      </c>
      <c r="C1057" t="s">
        <v>17</v>
      </c>
      <c r="D1057" t="s">
        <v>22</v>
      </c>
      <c r="E1057">
        <v>75</v>
      </c>
      <c r="F1057">
        <v>0</v>
      </c>
      <c r="G1057">
        <v>133.94999999999999</v>
      </c>
      <c r="H1057">
        <v>10046.25</v>
      </c>
      <c r="I1057" t="s">
        <v>1716</v>
      </c>
      <c r="J1057">
        <v>0</v>
      </c>
      <c r="K1057">
        <v>3.57</v>
      </c>
      <c r="L1057">
        <v>0</v>
      </c>
      <c r="M1057">
        <v>0.01</v>
      </c>
      <c r="N1057">
        <v>29</v>
      </c>
      <c r="O1057">
        <v>5.86</v>
      </c>
      <c r="P1057">
        <v>38.44</v>
      </c>
      <c r="Q1057" s="18">
        <f>YEAR(A1057)</f>
        <v>2025</v>
      </c>
      <c r="R1057" s="18">
        <f>MONTH(A1057)</f>
        <v>4</v>
      </c>
      <c r="S1057" s="18">
        <f>IF(R1057&lt;4,Q1057-1,Q1057)</f>
        <v>2025</v>
      </c>
      <c r="T1057" s="18">
        <f>IF(R1057&lt;4,R1057+9,R1057-3)</f>
        <v>1</v>
      </c>
      <c r="U1057" s="18" t="str">
        <f>IF(LEN(T1057)=1,_xlfn.CONCAT(0,T1057),T1057)</f>
        <v>01</v>
      </c>
      <c r="V1057" s="18" t="str">
        <f>_xlfn.CONCAT(S1057,U1057)</f>
        <v>202501</v>
      </c>
      <c r="W1057" s="18" t="str">
        <f>_xlfn.CONCAT(TEXT(A1057,"MMM"),"-",MID(Q1057,3,2))</f>
        <v>Apr-25</v>
      </c>
      <c r="X1057" s="19">
        <f>IFERROR(IF(D1057="Sell",(H1057-P1057),-(H1057+P1057)),0)</f>
        <v>-10084.69</v>
      </c>
      <c r="Y1057" s="19">
        <f>X1057/1000</f>
        <v>-10.08469</v>
      </c>
    </row>
    <row r="1058" spans="1:25" x14ac:dyDescent="0.25">
      <c r="A1058" s="1">
        <v>45751</v>
      </c>
      <c r="B1058" t="s">
        <v>1712</v>
      </c>
      <c r="C1058" t="s">
        <v>17</v>
      </c>
      <c r="D1058" t="s">
        <v>18</v>
      </c>
      <c r="E1058">
        <v>75</v>
      </c>
      <c r="F1058">
        <v>0</v>
      </c>
      <c r="G1058">
        <v>127.25</v>
      </c>
      <c r="H1058">
        <v>9543.75</v>
      </c>
      <c r="I1058" t="s">
        <v>1717</v>
      </c>
      <c r="J1058">
        <v>9.9</v>
      </c>
      <c r="K1058">
        <v>3.39</v>
      </c>
      <c r="L1058">
        <v>0</v>
      </c>
      <c r="M1058">
        <v>0.01</v>
      </c>
      <c r="N1058">
        <v>29</v>
      </c>
      <c r="O1058">
        <v>5.84</v>
      </c>
      <c r="P1058">
        <v>48.14</v>
      </c>
      <c r="Q1058" s="18">
        <f>YEAR(A1058)</f>
        <v>2025</v>
      </c>
      <c r="R1058" s="18">
        <f>MONTH(A1058)</f>
        <v>4</v>
      </c>
      <c r="S1058" s="18">
        <f>IF(R1058&lt;4,Q1058-1,Q1058)</f>
        <v>2025</v>
      </c>
      <c r="T1058" s="18">
        <f>IF(R1058&lt;4,R1058+9,R1058-3)</f>
        <v>1</v>
      </c>
      <c r="U1058" s="18" t="str">
        <f>IF(LEN(T1058)=1,_xlfn.CONCAT(0,T1058),T1058)</f>
        <v>01</v>
      </c>
      <c r="V1058" s="18" t="str">
        <f>_xlfn.CONCAT(S1058,U1058)</f>
        <v>202501</v>
      </c>
      <c r="W1058" s="18" t="str">
        <f>_xlfn.CONCAT(TEXT(A1058,"MMM"),"-",MID(Q1058,3,2))</f>
        <v>Apr-25</v>
      </c>
      <c r="X1058" s="19">
        <f>IFERROR(IF(D1058="Sell",(H1058-P1058),-(H1058+P1058)),0)</f>
        <v>9495.61</v>
      </c>
      <c r="Y1058" s="19">
        <f>X1058/1000</f>
        <v>9.495610000000001</v>
      </c>
    </row>
    <row r="1059" spans="1:25" x14ac:dyDescent="0.25">
      <c r="A1059" s="1">
        <v>45751</v>
      </c>
      <c r="B1059" t="s">
        <v>1712</v>
      </c>
      <c r="C1059" t="s">
        <v>17</v>
      </c>
      <c r="D1059" t="s">
        <v>22</v>
      </c>
      <c r="E1059">
        <v>75</v>
      </c>
      <c r="F1059">
        <v>0</v>
      </c>
      <c r="G1059">
        <v>121.55</v>
      </c>
      <c r="H1059">
        <v>9116.25</v>
      </c>
      <c r="I1059" t="s">
        <v>1718</v>
      </c>
      <c r="J1059">
        <v>0</v>
      </c>
      <c r="K1059">
        <v>3.24</v>
      </c>
      <c r="L1059">
        <v>0.46</v>
      </c>
      <c r="M1059">
        <v>0.01</v>
      </c>
      <c r="N1059">
        <v>29</v>
      </c>
      <c r="O1059">
        <v>5.8</v>
      </c>
      <c r="P1059">
        <v>38.51</v>
      </c>
      <c r="Q1059" s="18">
        <f>YEAR(A1059)</f>
        <v>2025</v>
      </c>
      <c r="R1059" s="18">
        <f>MONTH(A1059)</f>
        <v>4</v>
      </c>
      <c r="S1059" s="18">
        <f>IF(R1059&lt;4,Q1059-1,Q1059)</f>
        <v>2025</v>
      </c>
      <c r="T1059" s="18">
        <f>IF(R1059&lt;4,R1059+9,R1059-3)</f>
        <v>1</v>
      </c>
      <c r="U1059" s="18" t="str">
        <f>IF(LEN(T1059)=1,_xlfn.CONCAT(0,T1059),T1059)</f>
        <v>01</v>
      </c>
      <c r="V1059" s="18" t="str">
        <f>_xlfn.CONCAT(S1059,U1059)</f>
        <v>202501</v>
      </c>
      <c r="W1059" s="18" t="str">
        <f>_xlfn.CONCAT(TEXT(A1059,"MMM"),"-",MID(Q1059,3,2))</f>
        <v>Apr-25</v>
      </c>
      <c r="X1059" s="19">
        <f>IFERROR(IF(D1059="Sell",(H1059-P1059),-(H1059+P1059)),0)</f>
        <v>-9154.76</v>
      </c>
      <c r="Y1059" s="19">
        <f>X1059/1000</f>
        <v>-9.1547599999999996</v>
      </c>
    </row>
    <row r="1060" spans="1:25" x14ac:dyDescent="0.25">
      <c r="A1060" s="1">
        <v>45751</v>
      </c>
      <c r="B1060" t="s">
        <v>1719</v>
      </c>
      <c r="C1060" t="s">
        <v>17</v>
      </c>
      <c r="D1060" t="s">
        <v>18</v>
      </c>
      <c r="E1060">
        <v>75</v>
      </c>
      <c r="F1060">
        <v>0</v>
      </c>
      <c r="G1060">
        <v>133.05000000000001</v>
      </c>
      <c r="H1060">
        <v>9978.75</v>
      </c>
      <c r="I1060" t="s">
        <v>1720</v>
      </c>
      <c r="J1060">
        <v>9.98</v>
      </c>
      <c r="K1060">
        <v>3.55</v>
      </c>
      <c r="L1060">
        <v>0</v>
      </c>
      <c r="M1060">
        <v>0.01</v>
      </c>
      <c r="N1060">
        <v>29</v>
      </c>
      <c r="O1060">
        <v>5.86</v>
      </c>
      <c r="P1060">
        <v>48.4</v>
      </c>
      <c r="Q1060" s="18">
        <f>YEAR(A1060)</f>
        <v>2025</v>
      </c>
      <c r="R1060" s="18">
        <f>MONTH(A1060)</f>
        <v>4</v>
      </c>
      <c r="S1060" s="18">
        <f>IF(R1060&lt;4,Q1060-1,Q1060)</f>
        <v>2025</v>
      </c>
      <c r="T1060" s="18">
        <f>IF(R1060&lt;4,R1060+9,R1060-3)</f>
        <v>1</v>
      </c>
      <c r="U1060" s="18" t="str">
        <f>IF(LEN(T1060)=1,_xlfn.CONCAT(0,T1060),T1060)</f>
        <v>01</v>
      </c>
      <c r="V1060" s="18" t="str">
        <f>_xlfn.CONCAT(S1060,U1060)</f>
        <v>202501</v>
      </c>
      <c r="W1060" s="18" t="str">
        <f>_xlfn.CONCAT(TEXT(A1060,"MMM"),"-",MID(Q1060,3,2))</f>
        <v>Apr-25</v>
      </c>
      <c r="X1060" s="19">
        <f>IFERROR(IF(D1060="Sell",(H1060-P1060),-(H1060+P1060)),0)</f>
        <v>9930.35</v>
      </c>
      <c r="Y1060" s="19">
        <f>X1060/1000</f>
        <v>9.9303500000000007</v>
      </c>
    </row>
    <row r="1061" spans="1:25" x14ac:dyDescent="0.25">
      <c r="A1061" s="1">
        <v>45751</v>
      </c>
      <c r="B1061" t="s">
        <v>1719</v>
      </c>
      <c r="C1061" t="s">
        <v>17</v>
      </c>
      <c r="D1061" t="s">
        <v>22</v>
      </c>
      <c r="E1061">
        <v>75</v>
      </c>
      <c r="F1061">
        <v>0</v>
      </c>
      <c r="G1061">
        <v>124.75</v>
      </c>
      <c r="H1061">
        <v>9356.25</v>
      </c>
      <c r="I1061" t="s">
        <v>1721</v>
      </c>
      <c r="J1061">
        <v>0</v>
      </c>
      <c r="K1061">
        <v>3.32</v>
      </c>
      <c r="L1061">
        <v>0.28000000000000003</v>
      </c>
      <c r="M1061">
        <v>0.01</v>
      </c>
      <c r="N1061">
        <v>29</v>
      </c>
      <c r="O1061">
        <v>5.82</v>
      </c>
      <c r="P1061">
        <v>38.43</v>
      </c>
      <c r="Q1061" s="18">
        <f>YEAR(A1061)</f>
        <v>2025</v>
      </c>
      <c r="R1061" s="18">
        <f>MONTH(A1061)</f>
        <v>4</v>
      </c>
      <c r="S1061" s="18">
        <f>IF(R1061&lt;4,Q1061-1,Q1061)</f>
        <v>2025</v>
      </c>
      <c r="T1061" s="18">
        <f>IF(R1061&lt;4,R1061+9,R1061-3)</f>
        <v>1</v>
      </c>
      <c r="U1061" s="18" t="str">
        <f>IF(LEN(T1061)=1,_xlfn.CONCAT(0,T1061),T1061)</f>
        <v>01</v>
      </c>
      <c r="V1061" s="18" t="str">
        <f>_xlfn.CONCAT(S1061,U1061)</f>
        <v>202501</v>
      </c>
      <c r="W1061" s="18" t="str">
        <f>_xlfn.CONCAT(TEXT(A1061,"MMM"),"-",MID(Q1061,3,2))</f>
        <v>Apr-25</v>
      </c>
      <c r="X1061" s="19">
        <f>IFERROR(IF(D1061="Sell",(H1061-P1061),-(H1061+P1061)),0)</f>
        <v>-9394.68</v>
      </c>
      <c r="Y1061" s="19">
        <f>X1061/1000</f>
        <v>-9.394680000000001</v>
      </c>
    </row>
    <row r="1062" spans="1:25" x14ac:dyDescent="0.25">
      <c r="A1062" s="1">
        <v>45754</v>
      </c>
      <c r="B1062" t="s">
        <v>1696</v>
      </c>
      <c r="C1062" t="s">
        <v>17</v>
      </c>
      <c r="D1062" t="s">
        <v>18</v>
      </c>
      <c r="E1062">
        <v>150</v>
      </c>
      <c r="F1062">
        <v>0</v>
      </c>
      <c r="G1062">
        <v>156.85</v>
      </c>
      <c r="H1062">
        <v>23527.5</v>
      </c>
      <c r="I1062" t="s">
        <v>1697</v>
      </c>
      <c r="J1062">
        <v>23.24</v>
      </c>
      <c r="K1062">
        <v>8.36</v>
      </c>
      <c r="L1062">
        <v>0</v>
      </c>
      <c r="M1062">
        <v>0.02</v>
      </c>
      <c r="N1062">
        <v>58</v>
      </c>
      <c r="O1062">
        <v>11.94</v>
      </c>
      <c r="P1062">
        <v>101.56</v>
      </c>
      <c r="Q1062" s="18">
        <f>YEAR(A1062)</f>
        <v>2025</v>
      </c>
      <c r="R1062" s="18">
        <f>MONTH(A1062)</f>
        <v>4</v>
      </c>
      <c r="S1062" s="18">
        <f>IF(R1062&lt;4,Q1062-1,Q1062)</f>
        <v>2025</v>
      </c>
      <c r="T1062" s="18">
        <f>IF(R1062&lt;4,R1062+9,R1062-3)</f>
        <v>1</v>
      </c>
      <c r="U1062" s="18" t="str">
        <f>IF(LEN(T1062)=1,_xlfn.CONCAT(0,T1062),T1062)</f>
        <v>01</v>
      </c>
      <c r="V1062" s="18" t="str">
        <f>_xlfn.CONCAT(S1062,U1062)</f>
        <v>202501</v>
      </c>
      <c r="W1062" s="18" t="str">
        <f>_xlfn.CONCAT(TEXT(A1062,"MMM"),"-",MID(Q1062,3,2))</f>
        <v>Apr-25</v>
      </c>
      <c r="X1062" s="19">
        <f>IFERROR(IF(D1062="Sell",(H1062-P1062),-(H1062+P1062)),0)</f>
        <v>23425.94</v>
      </c>
      <c r="Y1062" s="19">
        <f>X1062/1000</f>
        <v>23.425939999999997</v>
      </c>
    </row>
    <row r="1063" spans="1:25" x14ac:dyDescent="0.25">
      <c r="A1063" s="1">
        <v>45754</v>
      </c>
      <c r="B1063" t="s">
        <v>1696</v>
      </c>
      <c r="C1063" t="s">
        <v>17</v>
      </c>
      <c r="D1063" t="s">
        <v>22</v>
      </c>
      <c r="E1063">
        <v>75</v>
      </c>
      <c r="F1063">
        <v>0</v>
      </c>
      <c r="G1063">
        <v>142.80000000000001</v>
      </c>
      <c r="H1063">
        <v>10710</v>
      </c>
      <c r="I1063" t="s">
        <v>1698</v>
      </c>
      <c r="J1063">
        <v>0</v>
      </c>
      <c r="K1063">
        <v>3.81</v>
      </c>
      <c r="L1063">
        <v>0</v>
      </c>
      <c r="M1063">
        <v>0.01</v>
      </c>
      <c r="N1063">
        <v>29</v>
      </c>
      <c r="O1063">
        <v>5.9</v>
      </c>
      <c r="P1063">
        <v>38.72</v>
      </c>
      <c r="Q1063" s="18">
        <f>YEAR(A1063)</f>
        <v>2025</v>
      </c>
      <c r="R1063" s="18">
        <f>MONTH(A1063)</f>
        <v>4</v>
      </c>
      <c r="S1063" s="18">
        <f>IF(R1063&lt;4,Q1063-1,Q1063)</f>
        <v>2025</v>
      </c>
      <c r="T1063" s="18">
        <f>IF(R1063&lt;4,R1063+9,R1063-3)</f>
        <v>1</v>
      </c>
      <c r="U1063" s="18" t="str">
        <f>IF(LEN(T1063)=1,_xlfn.CONCAT(0,T1063),T1063)</f>
        <v>01</v>
      </c>
      <c r="V1063" s="18" t="str">
        <f>_xlfn.CONCAT(S1063,U1063)</f>
        <v>202501</v>
      </c>
      <c r="W1063" s="18" t="str">
        <f>_xlfn.CONCAT(TEXT(A1063,"MMM"),"-",MID(Q1063,3,2))</f>
        <v>Apr-25</v>
      </c>
      <c r="X1063" s="19">
        <f>IFERROR(IF(D1063="Sell",(H1063-P1063),-(H1063+P1063)),0)</f>
        <v>-10748.72</v>
      </c>
      <c r="Y1063" s="19">
        <f>X1063/1000</f>
        <v>-10.748719999999999</v>
      </c>
    </row>
    <row r="1064" spans="1:25" x14ac:dyDescent="0.25">
      <c r="A1064" s="1">
        <v>45754</v>
      </c>
      <c r="B1064" t="s">
        <v>1699</v>
      </c>
      <c r="C1064" t="s">
        <v>17</v>
      </c>
      <c r="D1064" t="s">
        <v>18</v>
      </c>
      <c r="E1064">
        <v>525</v>
      </c>
      <c r="F1064">
        <v>0</v>
      </c>
      <c r="G1064">
        <v>24.15</v>
      </c>
      <c r="H1064">
        <v>12678.75</v>
      </c>
      <c r="I1064" t="s">
        <v>1700</v>
      </c>
      <c r="J1064">
        <v>12.67</v>
      </c>
      <c r="K1064">
        <v>4.51</v>
      </c>
      <c r="L1064">
        <v>0</v>
      </c>
      <c r="M1064">
        <v>0.01</v>
      </c>
      <c r="N1064">
        <v>203</v>
      </c>
      <c r="O1064">
        <v>37.36</v>
      </c>
      <c r="P1064">
        <v>257.55</v>
      </c>
      <c r="Q1064" s="18">
        <f>YEAR(A1064)</f>
        <v>2025</v>
      </c>
      <c r="R1064" s="18">
        <f>MONTH(A1064)</f>
        <v>4</v>
      </c>
      <c r="S1064" s="18">
        <f>IF(R1064&lt;4,Q1064-1,Q1064)</f>
        <v>2025</v>
      </c>
      <c r="T1064" s="18">
        <f>IF(R1064&lt;4,R1064+9,R1064-3)</f>
        <v>1</v>
      </c>
      <c r="U1064" s="18" t="str">
        <f>IF(LEN(T1064)=1,_xlfn.CONCAT(0,T1064),T1064)</f>
        <v>01</v>
      </c>
      <c r="V1064" s="18" t="str">
        <f>_xlfn.CONCAT(S1064,U1064)</f>
        <v>202501</v>
      </c>
      <c r="W1064" s="18" t="str">
        <f>_xlfn.CONCAT(TEXT(A1064,"MMM"),"-",MID(Q1064,3,2))</f>
        <v>Apr-25</v>
      </c>
      <c r="X1064" s="19">
        <f>IFERROR(IF(D1064="Sell",(H1064-P1064),-(H1064+P1064)),0)</f>
        <v>12421.2</v>
      </c>
      <c r="Y1064" s="19">
        <f>X1064/1000</f>
        <v>12.421200000000001</v>
      </c>
    </row>
    <row r="1065" spans="1:25" x14ac:dyDescent="0.25">
      <c r="A1065" s="1">
        <v>45754</v>
      </c>
      <c r="B1065" t="s">
        <v>1699</v>
      </c>
      <c r="C1065" t="s">
        <v>17</v>
      </c>
      <c r="D1065" t="s">
        <v>22</v>
      </c>
      <c r="E1065">
        <v>525</v>
      </c>
      <c r="F1065">
        <v>0</v>
      </c>
      <c r="G1065">
        <v>25.04</v>
      </c>
      <c r="H1065">
        <v>13147.5</v>
      </c>
      <c r="I1065" t="s">
        <v>1701</v>
      </c>
      <c r="J1065">
        <v>0</v>
      </c>
      <c r="K1065">
        <v>4.68</v>
      </c>
      <c r="L1065">
        <v>1.02</v>
      </c>
      <c r="M1065">
        <v>0.01</v>
      </c>
      <c r="N1065">
        <v>203</v>
      </c>
      <c r="O1065">
        <v>37.380000000000003</v>
      </c>
      <c r="P1065">
        <v>246.09</v>
      </c>
      <c r="Q1065" s="18">
        <f>YEAR(A1065)</f>
        <v>2025</v>
      </c>
      <c r="R1065" s="18">
        <f>MONTH(A1065)</f>
        <v>4</v>
      </c>
      <c r="S1065" s="18">
        <f>IF(R1065&lt;4,Q1065-1,Q1065)</f>
        <v>2025</v>
      </c>
      <c r="T1065" s="18">
        <f>IF(R1065&lt;4,R1065+9,R1065-3)</f>
        <v>1</v>
      </c>
      <c r="U1065" s="18" t="str">
        <f>IF(LEN(T1065)=1,_xlfn.CONCAT(0,T1065),T1065)</f>
        <v>01</v>
      </c>
      <c r="V1065" s="18" t="str">
        <f>_xlfn.CONCAT(S1065,U1065)</f>
        <v>202501</v>
      </c>
      <c r="W1065" s="18" t="str">
        <f>_xlfn.CONCAT(TEXT(A1065,"MMM"),"-",MID(Q1065,3,2))</f>
        <v>Apr-25</v>
      </c>
      <c r="X1065" s="19">
        <f>IFERROR(IF(D1065="Sell",(H1065-P1065),-(H1065+P1065)),0)</f>
        <v>-13393.59</v>
      </c>
      <c r="Y1065" s="19">
        <f>X1065/1000</f>
        <v>-13.39359</v>
      </c>
    </row>
    <row r="1066" spans="1:25" x14ac:dyDescent="0.25">
      <c r="A1066" s="1">
        <v>45754</v>
      </c>
      <c r="B1066" t="s">
        <v>1696</v>
      </c>
      <c r="C1066" t="s">
        <v>17</v>
      </c>
      <c r="D1066" t="s">
        <v>22</v>
      </c>
      <c r="E1066">
        <v>75</v>
      </c>
      <c r="F1066">
        <v>0</v>
      </c>
      <c r="G1066">
        <v>160.25</v>
      </c>
      <c r="H1066">
        <v>12018.75</v>
      </c>
      <c r="I1066" t="s">
        <v>1702</v>
      </c>
      <c r="J1066">
        <v>0</v>
      </c>
      <c r="K1066">
        <v>4.2699999999999996</v>
      </c>
      <c r="L1066">
        <v>0</v>
      </c>
      <c r="M1066">
        <v>0.01</v>
      </c>
      <c r="N1066">
        <v>29</v>
      </c>
      <c r="O1066">
        <v>6</v>
      </c>
      <c r="P1066">
        <v>39.28</v>
      </c>
      <c r="Q1066" s="18">
        <f>YEAR(A1066)</f>
        <v>2025</v>
      </c>
      <c r="R1066" s="18">
        <f>MONTH(A1066)</f>
        <v>4</v>
      </c>
      <c r="S1066" s="18">
        <f>IF(R1066&lt;4,Q1066-1,Q1066)</f>
        <v>2025</v>
      </c>
      <c r="T1066" s="18">
        <f>IF(R1066&lt;4,R1066+9,R1066-3)</f>
        <v>1</v>
      </c>
      <c r="U1066" s="18" t="str">
        <f>IF(LEN(T1066)=1,_xlfn.CONCAT(0,T1066),T1066)</f>
        <v>01</v>
      </c>
      <c r="V1066" s="18" t="str">
        <f>_xlfn.CONCAT(S1066,U1066)</f>
        <v>202501</v>
      </c>
      <c r="W1066" s="18" t="str">
        <f>_xlfn.CONCAT(TEXT(A1066,"MMM"),"-",MID(Q1066,3,2))</f>
        <v>Apr-25</v>
      </c>
      <c r="X1066" s="19">
        <f>IFERROR(IF(D1066="Sell",(H1066-P1066),-(H1066+P1066)),0)</f>
        <v>-12058.03</v>
      </c>
      <c r="Y1066" s="19">
        <f>X1066/1000</f>
        <v>-12.05803</v>
      </c>
    </row>
    <row r="1067" spans="1:25" x14ac:dyDescent="0.25">
      <c r="A1067" s="1">
        <v>45754</v>
      </c>
      <c r="B1067" t="s">
        <v>1696</v>
      </c>
      <c r="C1067" t="s">
        <v>17</v>
      </c>
      <c r="D1067" t="s">
        <v>18</v>
      </c>
      <c r="E1067">
        <v>75</v>
      </c>
      <c r="F1067">
        <v>0</v>
      </c>
      <c r="G1067">
        <v>139.44999999999999</v>
      </c>
      <c r="H1067">
        <v>10458.75</v>
      </c>
      <c r="I1067" t="s">
        <v>1703</v>
      </c>
      <c r="J1067">
        <v>10.46</v>
      </c>
      <c r="K1067">
        <v>3.72</v>
      </c>
      <c r="L1067">
        <v>0</v>
      </c>
      <c r="M1067">
        <v>0.01</v>
      </c>
      <c r="N1067">
        <v>29</v>
      </c>
      <c r="O1067">
        <v>5.9</v>
      </c>
      <c r="P1067">
        <v>49.09</v>
      </c>
      <c r="Q1067" s="18">
        <f>YEAR(A1067)</f>
        <v>2025</v>
      </c>
      <c r="R1067" s="18">
        <f>MONTH(A1067)</f>
        <v>4</v>
      </c>
      <c r="S1067" s="18">
        <f>IF(R1067&lt;4,Q1067-1,Q1067)</f>
        <v>2025</v>
      </c>
      <c r="T1067" s="18">
        <f>IF(R1067&lt;4,R1067+9,R1067-3)</f>
        <v>1</v>
      </c>
      <c r="U1067" s="18" t="str">
        <f>IF(LEN(T1067)=1,_xlfn.CONCAT(0,T1067),T1067)</f>
        <v>01</v>
      </c>
      <c r="V1067" s="18" t="str">
        <f>_xlfn.CONCAT(S1067,U1067)</f>
        <v>202501</v>
      </c>
      <c r="W1067" s="18" t="str">
        <f>_xlfn.CONCAT(TEXT(A1067,"MMM"),"-",MID(Q1067,3,2))</f>
        <v>Apr-25</v>
      </c>
      <c r="X1067" s="19">
        <f>IFERROR(IF(D1067="Sell",(H1067-P1067),-(H1067+P1067)),0)</f>
        <v>10409.66</v>
      </c>
      <c r="Y1067" s="19">
        <f>X1067/1000</f>
        <v>10.409660000000001</v>
      </c>
    </row>
    <row r="1068" spans="1:25" x14ac:dyDescent="0.25">
      <c r="A1068" s="1">
        <v>45754</v>
      </c>
      <c r="B1068" t="s">
        <v>1696</v>
      </c>
      <c r="C1068" t="s">
        <v>17</v>
      </c>
      <c r="D1068" t="s">
        <v>22</v>
      </c>
      <c r="E1068">
        <v>75</v>
      </c>
      <c r="F1068">
        <v>0</v>
      </c>
      <c r="G1068">
        <v>131.69999999999999</v>
      </c>
      <c r="H1068">
        <v>9877.5</v>
      </c>
      <c r="I1068" t="s">
        <v>1704</v>
      </c>
      <c r="J1068">
        <v>0</v>
      </c>
      <c r="K1068">
        <v>3.51</v>
      </c>
      <c r="L1068">
        <v>0.98</v>
      </c>
      <c r="M1068">
        <v>0.01</v>
      </c>
      <c r="N1068">
        <v>29</v>
      </c>
      <c r="O1068">
        <v>5.86</v>
      </c>
      <c r="P1068">
        <v>39.36</v>
      </c>
      <c r="Q1068" s="18">
        <f>YEAR(A1068)</f>
        <v>2025</v>
      </c>
      <c r="R1068" s="18">
        <f>MONTH(A1068)</f>
        <v>4</v>
      </c>
      <c r="S1068" s="18">
        <f>IF(R1068&lt;4,Q1068-1,Q1068)</f>
        <v>2025</v>
      </c>
      <c r="T1068" s="18">
        <f>IF(R1068&lt;4,R1068+9,R1068-3)</f>
        <v>1</v>
      </c>
      <c r="U1068" s="18" t="str">
        <f>IF(LEN(T1068)=1,_xlfn.CONCAT(0,T1068),T1068)</f>
        <v>01</v>
      </c>
      <c r="V1068" s="18" t="str">
        <f>_xlfn.CONCAT(S1068,U1068)</f>
        <v>202501</v>
      </c>
      <c r="W1068" s="18" t="str">
        <f>_xlfn.CONCAT(TEXT(A1068,"MMM"),"-",MID(Q1068,3,2))</f>
        <v>Apr-25</v>
      </c>
      <c r="X1068" s="19">
        <f>IFERROR(IF(D1068="Sell",(H1068-P1068),-(H1068+P1068)),0)</f>
        <v>-9916.86</v>
      </c>
      <c r="Y1068" s="19">
        <f>X1068/1000</f>
        <v>-9.9168599999999998</v>
      </c>
    </row>
    <row r="1069" spans="1:25" x14ac:dyDescent="0.25">
      <c r="A1069" s="1">
        <v>45754</v>
      </c>
      <c r="B1069" t="s">
        <v>1699</v>
      </c>
      <c r="C1069" t="s">
        <v>17</v>
      </c>
      <c r="D1069" t="s">
        <v>18</v>
      </c>
      <c r="E1069">
        <v>525</v>
      </c>
      <c r="F1069">
        <v>0</v>
      </c>
      <c r="G1069">
        <v>26.1</v>
      </c>
      <c r="H1069">
        <v>13702.5</v>
      </c>
      <c r="I1069" t="s">
        <v>1705</v>
      </c>
      <c r="J1069">
        <v>13.72</v>
      </c>
      <c r="K1069">
        <v>4.8899999999999997</v>
      </c>
      <c r="L1069">
        <v>0</v>
      </c>
      <c r="M1069">
        <v>0</v>
      </c>
      <c r="N1069">
        <v>203</v>
      </c>
      <c r="O1069">
        <v>37.4</v>
      </c>
      <c r="P1069">
        <v>259.01</v>
      </c>
      <c r="Q1069" s="18">
        <f>YEAR(A1069)</f>
        <v>2025</v>
      </c>
      <c r="R1069" s="18">
        <f>MONTH(A1069)</f>
        <v>4</v>
      </c>
      <c r="S1069" s="18">
        <f>IF(R1069&lt;4,Q1069-1,Q1069)</f>
        <v>2025</v>
      </c>
      <c r="T1069" s="18">
        <f>IF(R1069&lt;4,R1069+9,R1069-3)</f>
        <v>1</v>
      </c>
      <c r="U1069" s="18" t="str">
        <f>IF(LEN(T1069)=1,_xlfn.CONCAT(0,T1069),T1069)</f>
        <v>01</v>
      </c>
      <c r="V1069" s="18" t="str">
        <f>_xlfn.CONCAT(S1069,U1069)</f>
        <v>202501</v>
      </c>
      <c r="W1069" s="18" t="str">
        <f>_xlfn.CONCAT(TEXT(A1069,"MMM"),"-",MID(Q1069,3,2))</f>
        <v>Apr-25</v>
      </c>
      <c r="X1069" s="19">
        <f>IFERROR(IF(D1069="Sell",(H1069-P1069),-(H1069+P1069)),0)</f>
        <v>13443.49</v>
      </c>
      <c r="Y1069" s="19">
        <f>X1069/1000</f>
        <v>13.443490000000001</v>
      </c>
    </row>
    <row r="1070" spans="1:25" x14ac:dyDescent="0.25">
      <c r="A1070" s="1">
        <v>45754</v>
      </c>
      <c r="B1070" t="s">
        <v>1699</v>
      </c>
      <c r="C1070" t="s">
        <v>17</v>
      </c>
      <c r="D1070" t="s">
        <v>18</v>
      </c>
      <c r="E1070">
        <v>525</v>
      </c>
      <c r="F1070">
        <v>0</v>
      </c>
      <c r="G1070">
        <v>37.950000000000003</v>
      </c>
      <c r="H1070">
        <v>19923.75</v>
      </c>
      <c r="I1070" t="s">
        <v>1706</v>
      </c>
      <c r="J1070">
        <v>19.93</v>
      </c>
      <c r="K1070">
        <v>7.07</v>
      </c>
      <c r="L1070">
        <v>0</v>
      </c>
      <c r="M1070">
        <v>0.02</v>
      </c>
      <c r="N1070">
        <v>203</v>
      </c>
      <c r="O1070">
        <v>37.799999999999997</v>
      </c>
      <c r="P1070">
        <v>267.82</v>
      </c>
      <c r="Q1070" s="18">
        <f>YEAR(A1070)</f>
        <v>2025</v>
      </c>
      <c r="R1070" s="18">
        <f>MONTH(A1070)</f>
        <v>4</v>
      </c>
      <c r="S1070" s="18">
        <f>IF(R1070&lt;4,Q1070-1,Q1070)</f>
        <v>2025</v>
      </c>
      <c r="T1070" s="18">
        <f>IF(R1070&lt;4,R1070+9,R1070-3)</f>
        <v>1</v>
      </c>
      <c r="U1070" s="18" t="str">
        <f>IF(LEN(T1070)=1,_xlfn.CONCAT(0,T1070),T1070)</f>
        <v>01</v>
      </c>
      <c r="V1070" s="18" t="str">
        <f>_xlfn.CONCAT(S1070,U1070)</f>
        <v>202501</v>
      </c>
      <c r="W1070" s="18" t="str">
        <f>_xlfn.CONCAT(TEXT(A1070,"MMM"),"-",MID(Q1070,3,2))</f>
        <v>Apr-25</v>
      </c>
      <c r="X1070" s="19">
        <f>IFERROR(IF(D1070="Sell",(H1070-P1070),-(H1070+P1070)),0)</f>
        <v>19655.93</v>
      </c>
      <c r="Y1070" s="19">
        <f>X1070/1000</f>
        <v>19.655930000000001</v>
      </c>
    </row>
    <row r="1071" spans="1:25" x14ac:dyDescent="0.25">
      <c r="A1071" s="1">
        <v>45754</v>
      </c>
      <c r="B1071" t="s">
        <v>1699</v>
      </c>
      <c r="C1071" t="s">
        <v>17</v>
      </c>
      <c r="D1071" t="s">
        <v>22</v>
      </c>
      <c r="E1071">
        <v>525</v>
      </c>
      <c r="F1071">
        <v>0</v>
      </c>
      <c r="G1071">
        <v>18.25</v>
      </c>
      <c r="H1071">
        <v>9581.25</v>
      </c>
      <c r="I1071" t="s">
        <v>1707</v>
      </c>
      <c r="J1071">
        <v>0</v>
      </c>
      <c r="K1071">
        <v>3.41</v>
      </c>
      <c r="L1071">
        <v>0</v>
      </c>
      <c r="M1071">
        <v>0.01</v>
      </c>
      <c r="N1071">
        <v>203</v>
      </c>
      <c r="O1071">
        <v>37.14</v>
      </c>
      <c r="P1071">
        <v>243.56</v>
      </c>
      <c r="Q1071" s="18">
        <f>YEAR(A1071)</f>
        <v>2025</v>
      </c>
      <c r="R1071" s="18">
        <f>MONTH(A1071)</f>
        <v>4</v>
      </c>
      <c r="S1071" s="18">
        <f>IF(R1071&lt;4,Q1071-1,Q1071)</f>
        <v>2025</v>
      </c>
      <c r="T1071" s="18">
        <f>IF(R1071&lt;4,R1071+9,R1071-3)</f>
        <v>1</v>
      </c>
      <c r="U1071" s="18" t="str">
        <f>IF(LEN(T1071)=1,_xlfn.CONCAT(0,T1071),T1071)</f>
        <v>01</v>
      </c>
      <c r="V1071" s="18" t="str">
        <f>_xlfn.CONCAT(S1071,U1071)</f>
        <v>202501</v>
      </c>
      <c r="W1071" s="18" t="str">
        <f>_xlfn.CONCAT(TEXT(A1071,"MMM"),"-",MID(Q1071,3,2))</f>
        <v>Apr-25</v>
      </c>
      <c r="X1071" s="19">
        <f>IFERROR(IF(D1071="Sell",(H1071-P1071),-(H1071+P1071)),0)</f>
        <v>-9824.81</v>
      </c>
      <c r="Y1071" s="19">
        <f>X1071/1000</f>
        <v>-9.8248099999999994</v>
      </c>
    </row>
    <row r="1072" spans="1:25" x14ac:dyDescent="0.25">
      <c r="A1072" s="1">
        <v>45754</v>
      </c>
      <c r="B1072" t="s">
        <v>1699</v>
      </c>
      <c r="C1072" t="s">
        <v>17</v>
      </c>
      <c r="D1072" t="s">
        <v>22</v>
      </c>
      <c r="E1072">
        <v>525</v>
      </c>
      <c r="F1072">
        <v>0</v>
      </c>
      <c r="G1072">
        <v>33.26</v>
      </c>
      <c r="H1072">
        <v>17463.75</v>
      </c>
      <c r="I1072" t="s">
        <v>1708</v>
      </c>
      <c r="J1072">
        <v>0</v>
      </c>
      <c r="K1072">
        <v>6.22</v>
      </c>
      <c r="L1072">
        <v>0</v>
      </c>
      <c r="M1072">
        <v>0</v>
      </c>
      <c r="N1072">
        <v>203</v>
      </c>
      <c r="O1072">
        <v>37.659999999999997</v>
      </c>
      <c r="P1072">
        <v>246.88</v>
      </c>
      <c r="Q1072" s="18">
        <f>YEAR(A1072)</f>
        <v>2025</v>
      </c>
      <c r="R1072" s="18">
        <f>MONTH(A1072)</f>
        <v>4</v>
      </c>
      <c r="S1072" s="18">
        <f>IF(R1072&lt;4,Q1072-1,Q1072)</f>
        <v>2025</v>
      </c>
      <c r="T1072" s="18">
        <f>IF(R1072&lt;4,R1072+9,R1072-3)</f>
        <v>1</v>
      </c>
      <c r="U1072" s="18" t="str">
        <f>IF(LEN(T1072)=1,_xlfn.CONCAT(0,T1072),T1072)</f>
        <v>01</v>
      </c>
      <c r="V1072" s="18" t="str">
        <f>_xlfn.CONCAT(S1072,U1072)</f>
        <v>202501</v>
      </c>
      <c r="W1072" s="18" t="str">
        <f>_xlfn.CONCAT(TEXT(A1072,"MMM"),"-",MID(Q1072,3,2))</f>
        <v>Apr-25</v>
      </c>
      <c r="X1072" s="19">
        <f>IFERROR(IF(D1072="Sell",(H1072-P1072),-(H1072+P1072)),0)</f>
        <v>-17710.63</v>
      </c>
      <c r="Y1072" s="19">
        <f>X1072/1000</f>
        <v>-17.710630000000002</v>
      </c>
    </row>
    <row r="1073" spans="1:25" x14ac:dyDescent="0.25">
      <c r="A1073" s="1">
        <v>45755</v>
      </c>
      <c r="B1073" t="s">
        <v>1677</v>
      </c>
      <c r="C1073" t="s">
        <v>17</v>
      </c>
      <c r="D1073" t="s">
        <v>18</v>
      </c>
      <c r="E1073">
        <v>75</v>
      </c>
      <c r="F1073">
        <v>0</v>
      </c>
      <c r="G1073">
        <v>86.7</v>
      </c>
      <c r="H1073">
        <v>6502.5</v>
      </c>
      <c r="I1073" t="s">
        <v>1678</v>
      </c>
      <c r="J1073">
        <v>6.5</v>
      </c>
      <c r="K1073">
        <v>2.31</v>
      </c>
      <c r="L1073">
        <v>0</v>
      </c>
      <c r="M1073">
        <v>0.01</v>
      </c>
      <c r="N1073">
        <v>29</v>
      </c>
      <c r="O1073">
        <v>5.64</v>
      </c>
      <c r="P1073">
        <v>43.46</v>
      </c>
      <c r="Q1073" s="18">
        <f>YEAR(A1073)</f>
        <v>2025</v>
      </c>
      <c r="R1073" s="18">
        <f>MONTH(A1073)</f>
        <v>4</v>
      </c>
      <c r="S1073" s="18">
        <f>IF(R1073&lt;4,Q1073-1,Q1073)</f>
        <v>2025</v>
      </c>
      <c r="T1073" s="18">
        <f>IF(R1073&lt;4,R1073+9,R1073-3)</f>
        <v>1</v>
      </c>
      <c r="U1073" s="18" t="str">
        <f>IF(LEN(T1073)=1,_xlfn.CONCAT(0,T1073),T1073)</f>
        <v>01</v>
      </c>
      <c r="V1073" s="18" t="str">
        <f>_xlfn.CONCAT(S1073,U1073)</f>
        <v>202501</v>
      </c>
      <c r="W1073" s="18" t="str">
        <f>_xlfn.CONCAT(TEXT(A1073,"MMM"),"-",MID(Q1073,3,2))</f>
        <v>Apr-25</v>
      </c>
      <c r="X1073" s="19">
        <f>IFERROR(IF(D1073="Sell",(H1073-P1073),-(H1073+P1073)),0)</f>
        <v>6459.04</v>
      </c>
      <c r="Y1073" s="19">
        <f>X1073/1000</f>
        <v>6.4590399999999999</v>
      </c>
    </row>
    <row r="1074" spans="1:25" x14ac:dyDescent="0.25">
      <c r="A1074" s="1">
        <v>45755</v>
      </c>
      <c r="B1074" t="s">
        <v>1677</v>
      </c>
      <c r="C1074" t="s">
        <v>17</v>
      </c>
      <c r="D1074" t="s">
        <v>22</v>
      </c>
      <c r="E1074">
        <v>75</v>
      </c>
      <c r="F1074">
        <v>0</v>
      </c>
      <c r="G1074">
        <v>92.25</v>
      </c>
      <c r="H1074">
        <v>6918.75</v>
      </c>
      <c r="I1074" t="s">
        <v>1679</v>
      </c>
      <c r="J1074">
        <v>0</v>
      </c>
      <c r="K1074">
        <v>2.46</v>
      </c>
      <c r="L1074">
        <v>0</v>
      </c>
      <c r="M1074">
        <v>0.01</v>
      </c>
      <c r="N1074">
        <v>29</v>
      </c>
      <c r="O1074">
        <v>5.66</v>
      </c>
      <c r="P1074">
        <v>37.130000000000003</v>
      </c>
      <c r="Q1074" s="18">
        <f>YEAR(A1074)</f>
        <v>2025</v>
      </c>
      <c r="R1074" s="18">
        <f>MONTH(A1074)</f>
        <v>4</v>
      </c>
      <c r="S1074" s="18">
        <f>IF(R1074&lt;4,Q1074-1,Q1074)</f>
        <v>2025</v>
      </c>
      <c r="T1074" s="18">
        <f>IF(R1074&lt;4,R1074+9,R1074-3)</f>
        <v>1</v>
      </c>
      <c r="U1074" s="18" t="str">
        <f>IF(LEN(T1074)=1,_xlfn.CONCAT(0,T1074),T1074)</f>
        <v>01</v>
      </c>
      <c r="V1074" s="18" t="str">
        <f>_xlfn.CONCAT(S1074,U1074)</f>
        <v>202501</v>
      </c>
      <c r="W1074" s="18" t="str">
        <f>_xlfn.CONCAT(TEXT(A1074,"MMM"),"-",MID(Q1074,3,2))</f>
        <v>Apr-25</v>
      </c>
      <c r="X1074" s="19">
        <f>IFERROR(IF(D1074="Sell",(H1074-P1074),-(H1074+P1074)),0)</f>
        <v>-6955.88</v>
      </c>
      <c r="Y1074" s="19">
        <f>X1074/1000</f>
        <v>-6.9558800000000005</v>
      </c>
    </row>
    <row r="1075" spans="1:25" x14ac:dyDescent="0.25">
      <c r="A1075" s="1">
        <v>45755</v>
      </c>
      <c r="B1075" t="s">
        <v>1680</v>
      </c>
      <c r="C1075" t="s">
        <v>17</v>
      </c>
      <c r="D1075" t="s">
        <v>18</v>
      </c>
      <c r="E1075">
        <v>75</v>
      </c>
      <c r="F1075">
        <v>0</v>
      </c>
      <c r="G1075">
        <v>139.69999999999999</v>
      </c>
      <c r="H1075">
        <v>10477.5</v>
      </c>
      <c r="I1075" t="s">
        <v>1681</v>
      </c>
      <c r="J1075">
        <v>10.48</v>
      </c>
      <c r="K1075">
        <v>3.72</v>
      </c>
      <c r="L1075">
        <v>0</v>
      </c>
      <c r="M1075">
        <v>0.01</v>
      </c>
      <c r="N1075">
        <v>29</v>
      </c>
      <c r="O1075">
        <v>5.9</v>
      </c>
      <c r="P1075">
        <v>49.11</v>
      </c>
      <c r="Q1075" s="18">
        <f>YEAR(A1075)</f>
        <v>2025</v>
      </c>
      <c r="R1075" s="18">
        <f>MONTH(A1075)</f>
        <v>4</v>
      </c>
      <c r="S1075" s="18">
        <f>IF(R1075&lt;4,Q1075-1,Q1075)</f>
        <v>2025</v>
      </c>
      <c r="T1075" s="18">
        <f>IF(R1075&lt;4,R1075+9,R1075-3)</f>
        <v>1</v>
      </c>
      <c r="U1075" s="18" t="str">
        <f>IF(LEN(T1075)=1,_xlfn.CONCAT(0,T1075),T1075)</f>
        <v>01</v>
      </c>
      <c r="V1075" s="18" t="str">
        <f>_xlfn.CONCAT(S1075,U1075)</f>
        <v>202501</v>
      </c>
      <c r="W1075" s="18" t="str">
        <f>_xlfn.CONCAT(TEXT(A1075,"MMM"),"-",MID(Q1075,3,2))</f>
        <v>Apr-25</v>
      </c>
      <c r="X1075" s="19">
        <f>IFERROR(IF(D1075="Sell",(H1075-P1075),-(H1075+P1075)),0)</f>
        <v>10428.39</v>
      </c>
      <c r="Y1075" s="19">
        <f>X1075/1000</f>
        <v>10.42839</v>
      </c>
    </row>
    <row r="1076" spans="1:25" x14ac:dyDescent="0.25">
      <c r="A1076" s="1">
        <v>45755</v>
      </c>
      <c r="B1076" t="s">
        <v>1680</v>
      </c>
      <c r="C1076" t="s">
        <v>17</v>
      </c>
      <c r="D1076" t="s">
        <v>22</v>
      </c>
      <c r="E1076">
        <v>75</v>
      </c>
      <c r="F1076">
        <v>0</v>
      </c>
      <c r="G1076">
        <v>122.7</v>
      </c>
      <c r="H1076">
        <v>9202.5</v>
      </c>
      <c r="I1076" t="s">
        <v>1682</v>
      </c>
      <c r="J1076">
        <v>0</v>
      </c>
      <c r="K1076">
        <v>3.27</v>
      </c>
      <c r="L1076">
        <v>0.28000000000000003</v>
      </c>
      <c r="M1076">
        <v>0.01</v>
      </c>
      <c r="N1076">
        <v>29</v>
      </c>
      <c r="O1076">
        <v>5.82</v>
      </c>
      <c r="P1076">
        <v>38.380000000000003</v>
      </c>
      <c r="Q1076" s="18">
        <f>YEAR(A1076)</f>
        <v>2025</v>
      </c>
      <c r="R1076" s="18">
        <f>MONTH(A1076)</f>
        <v>4</v>
      </c>
      <c r="S1076" s="18">
        <f>IF(R1076&lt;4,Q1076-1,Q1076)</f>
        <v>2025</v>
      </c>
      <c r="T1076" s="18">
        <f>IF(R1076&lt;4,R1076+9,R1076-3)</f>
        <v>1</v>
      </c>
      <c r="U1076" s="18" t="str">
        <f>IF(LEN(T1076)=1,_xlfn.CONCAT(0,T1076),T1076)</f>
        <v>01</v>
      </c>
      <c r="V1076" s="18" t="str">
        <f>_xlfn.CONCAT(S1076,U1076)</f>
        <v>202501</v>
      </c>
      <c r="W1076" s="18" t="str">
        <f>_xlfn.CONCAT(TEXT(A1076,"MMM"),"-",MID(Q1076,3,2))</f>
        <v>Apr-25</v>
      </c>
      <c r="X1076" s="19">
        <f>IFERROR(IF(D1076="Sell",(H1076-P1076),-(H1076+P1076)),0)</f>
        <v>-9240.8799999999992</v>
      </c>
      <c r="Y1076" s="19">
        <f>X1076/1000</f>
        <v>-9.2408799999999989</v>
      </c>
    </row>
    <row r="1077" spans="1:25" x14ac:dyDescent="0.25">
      <c r="A1077" s="1">
        <v>45755</v>
      </c>
      <c r="B1077" t="s">
        <v>1677</v>
      </c>
      <c r="C1077" t="s">
        <v>17</v>
      </c>
      <c r="D1077" t="s">
        <v>18</v>
      </c>
      <c r="E1077">
        <v>75</v>
      </c>
      <c r="F1077">
        <v>0</v>
      </c>
      <c r="G1077">
        <v>131.25</v>
      </c>
      <c r="H1077">
        <v>9843.75</v>
      </c>
      <c r="I1077" t="s">
        <v>1683</v>
      </c>
      <c r="J1077">
        <v>9.84</v>
      </c>
      <c r="K1077">
        <v>3.5</v>
      </c>
      <c r="L1077">
        <v>0</v>
      </c>
      <c r="M1077">
        <v>0.01</v>
      </c>
      <c r="N1077">
        <v>29</v>
      </c>
      <c r="O1077">
        <v>5.86</v>
      </c>
      <c r="P1077">
        <v>48.21</v>
      </c>
      <c r="Q1077" s="18">
        <f>YEAR(A1077)</f>
        <v>2025</v>
      </c>
      <c r="R1077" s="18">
        <f>MONTH(A1077)</f>
        <v>4</v>
      </c>
      <c r="S1077" s="18">
        <f>IF(R1077&lt;4,Q1077-1,Q1077)</f>
        <v>2025</v>
      </c>
      <c r="T1077" s="18">
        <f>IF(R1077&lt;4,R1077+9,R1077-3)</f>
        <v>1</v>
      </c>
      <c r="U1077" s="18" t="str">
        <f>IF(LEN(T1077)=1,_xlfn.CONCAT(0,T1077),T1077)</f>
        <v>01</v>
      </c>
      <c r="V1077" s="18" t="str">
        <f>_xlfn.CONCAT(S1077,U1077)</f>
        <v>202501</v>
      </c>
      <c r="W1077" s="18" t="str">
        <f>_xlfn.CONCAT(TEXT(A1077,"MMM"),"-",MID(Q1077,3,2))</f>
        <v>Apr-25</v>
      </c>
      <c r="X1077" s="19">
        <f>IFERROR(IF(D1077="Sell",(H1077-P1077),-(H1077+P1077)),0)</f>
        <v>9795.5400000000009</v>
      </c>
      <c r="Y1077" s="19">
        <f>X1077/1000</f>
        <v>9.7955400000000008</v>
      </c>
    </row>
    <row r="1078" spans="1:25" x14ac:dyDescent="0.25">
      <c r="A1078" s="1">
        <v>45755</v>
      </c>
      <c r="B1078" t="s">
        <v>1677</v>
      </c>
      <c r="C1078" t="s">
        <v>17</v>
      </c>
      <c r="D1078" t="s">
        <v>22</v>
      </c>
      <c r="E1078">
        <v>75</v>
      </c>
      <c r="F1078">
        <v>0</v>
      </c>
      <c r="G1078">
        <v>101.25</v>
      </c>
      <c r="H1078">
        <v>7593.75</v>
      </c>
      <c r="I1078" t="s">
        <v>1684</v>
      </c>
      <c r="J1078">
        <v>0</v>
      </c>
      <c r="K1078">
        <v>2.7</v>
      </c>
      <c r="L1078">
        <v>0</v>
      </c>
      <c r="M1078">
        <v>0.01</v>
      </c>
      <c r="N1078">
        <v>29</v>
      </c>
      <c r="O1078">
        <v>5.7</v>
      </c>
      <c r="P1078">
        <v>37.409999999999997</v>
      </c>
      <c r="Q1078" s="18">
        <f>YEAR(A1078)</f>
        <v>2025</v>
      </c>
      <c r="R1078" s="18">
        <f>MONTH(A1078)</f>
        <v>4</v>
      </c>
      <c r="S1078" s="18">
        <f>IF(R1078&lt;4,Q1078-1,Q1078)</f>
        <v>2025</v>
      </c>
      <c r="T1078" s="18">
        <f>IF(R1078&lt;4,R1078+9,R1078-3)</f>
        <v>1</v>
      </c>
      <c r="U1078" s="18" t="str">
        <f>IF(LEN(T1078)=1,_xlfn.CONCAT(0,T1078),T1078)</f>
        <v>01</v>
      </c>
      <c r="V1078" s="18" t="str">
        <f>_xlfn.CONCAT(S1078,U1078)</f>
        <v>202501</v>
      </c>
      <c r="W1078" s="18" t="str">
        <f>_xlfn.CONCAT(TEXT(A1078,"MMM"),"-",MID(Q1078,3,2))</f>
        <v>Apr-25</v>
      </c>
      <c r="X1078" s="19">
        <f>IFERROR(IF(D1078="Sell",(H1078-P1078),-(H1078+P1078)),0)</f>
        <v>-7631.16</v>
      </c>
      <c r="Y1078" s="19">
        <f>X1078/1000</f>
        <v>-7.6311599999999995</v>
      </c>
    </row>
    <row r="1079" spans="1:25" x14ac:dyDescent="0.25">
      <c r="A1079" s="1">
        <v>45755</v>
      </c>
      <c r="B1079" t="s">
        <v>1677</v>
      </c>
      <c r="C1079" t="s">
        <v>17</v>
      </c>
      <c r="D1079" t="s">
        <v>18</v>
      </c>
      <c r="E1079">
        <v>75</v>
      </c>
      <c r="F1079">
        <v>0</v>
      </c>
      <c r="G1079">
        <v>98.65</v>
      </c>
      <c r="H1079">
        <v>7398.75</v>
      </c>
      <c r="I1079" t="s">
        <v>1685</v>
      </c>
      <c r="J1079">
        <v>7.4</v>
      </c>
      <c r="K1079">
        <v>2.63</v>
      </c>
      <c r="L1079">
        <v>0</v>
      </c>
      <c r="M1079">
        <v>0.01</v>
      </c>
      <c r="N1079">
        <v>29</v>
      </c>
      <c r="O1079">
        <v>5.7</v>
      </c>
      <c r="P1079">
        <v>44.74</v>
      </c>
      <c r="Q1079" s="18">
        <f>YEAR(A1079)</f>
        <v>2025</v>
      </c>
      <c r="R1079" s="18">
        <f>MONTH(A1079)</f>
        <v>4</v>
      </c>
      <c r="S1079" s="18">
        <f>IF(R1079&lt;4,Q1079-1,Q1079)</f>
        <v>2025</v>
      </c>
      <c r="T1079" s="18">
        <f>IF(R1079&lt;4,R1079+9,R1079-3)</f>
        <v>1</v>
      </c>
      <c r="U1079" s="18" t="str">
        <f>IF(LEN(T1079)=1,_xlfn.CONCAT(0,T1079),T1079)</f>
        <v>01</v>
      </c>
      <c r="V1079" s="18" t="str">
        <f>_xlfn.CONCAT(S1079,U1079)</f>
        <v>202501</v>
      </c>
      <c r="W1079" s="18" t="str">
        <f>_xlfn.CONCAT(TEXT(A1079,"MMM"),"-",MID(Q1079,3,2))</f>
        <v>Apr-25</v>
      </c>
      <c r="X1079" s="19">
        <f>IFERROR(IF(D1079="Sell",(H1079-P1079),-(H1079+P1079)),0)</f>
        <v>7354.01</v>
      </c>
      <c r="Y1079" s="19">
        <f>X1079/1000</f>
        <v>7.3540100000000006</v>
      </c>
    </row>
    <row r="1080" spans="1:25" x14ac:dyDescent="0.25">
      <c r="A1080" s="1">
        <v>45755</v>
      </c>
      <c r="B1080" t="s">
        <v>1677</v>
      </c>
      <c r="C1080" t="s">
        <v>17</v>
      </c>
      <c r="D1080" t="s">
        <v>22</v>
      </c>
      <c r="E1080">
        <v>75</v>
      </c>
      <c r="F1080">
        <v>0</v>
      </c>
      <c r="G1080">
        <v>102.1</v>
      </c>
      <c r="H1080">
        <v>7657.5</v>
      </c>
      <c r="I1080" t="s">
        <v>1686</v>
      </c>
      <c r="J1080">
        <v>0</v>
      </c>
      <c r="K1080">
        <v>2.72</v>
      </c>
      <c r="L1080">
        <v>0</v>
      </c>
      <c r="M1080">
        <v>0.01</v>
      </c>
      <c r="N1080">
        <v>29</v>
      </c>
      <c r="O1080">
        <v>5.72</v>
      </c>
      <c r="P1080">
        <v>37.450000000000003</v>
      </c>
      <c r="Q1080" s="18">
        <f>YEAR(A1080)</f>
        <v>2025</v>
      </c>
      <c r="R1080" s="18">
        <f>MONTH(A1080)</f>
        <v>4</v>
      </c>
      <c r="S1080" s="18">
        <f>IF(R1080&lt;4,Q1080-1,Q1080)</f>
        <v>2025</v>
      </c>
      <c r="T1080" s="18">
        <f>IF(R1080&lt;4,R1080+9,R1080-3)</f>
        <v>1</v>
      </c>
      <c r="U1080" s="18" t="str">
        <f>IF(LEN(T1080)=1,_xlfn.CONCAT(0,T1080),T1080)</f>
        <v>01</v>
      </c>
      <c r="V1080" s="18" t="str">
        <f>_xlfn.CONCAT(S1080,U1080)</f>
        <v>202501</v>
      </c>
      <c r="W1080" s="18" t="str">
        <f>_xlfn.CONCAT(TEXT(A1080,"MMM"),"-",MID(Q1080,3,2))</f>
        <v>Apr-25</v>
      </c>
      <c r="X1080" s="19">
        <f>IFERROR(IF(D1080="Sell",(H1080-P1080),-(H1080+P1080)),0)</f>
        <v>-7694.95</v>
      </c>
      <c r="Y1080" s="19">
        <f>X1080/1000</f>
        <v>-7.6949499999999995</v>
      </c>
    </row>
    <row r="1081" spans="1:25" x14ac:dyDescent="0.25">
      <c r="A1081" s="1">
        <v>45755</v>
      </c>
      <c r="B1081" t="s">
        <v>1677</v>
      </c>
      <c r="C1081" t="s">
        <v>17</v>
      </c>
      <c r="D1081" t="s">
        <v>18</v>
      </c>
      <c r="E1081">
        <v>75</v>
      </c>
      <c r="F1081">
        <v>0</v>
      </c>
      <c r="G1081">
        <v>90.1</v>
      </c>
      <c r="H1081">
        <v>6757.5</v>
      </c>
      <c r="I1081" t="s">
        <v>1687</v>
      </c>
      <c r="J1081">
        <v>6.76</v>
      </c>
      <c r="K1081">
        <v>2.4</v>
      </c>
      <c r="L1081">
        <v>0</v>
      </c>
      <c r="M1081">
        <v>0.01</v>
      </c>
      <c r="N1081">
        <v>29</v>
      </c>
      <c r="O1081">
        <v>5.66</v>
      </c>
      <c r="P1081">
        <v>43.83</v>
      </c>
      <c r="Q1081" s="18">
        <f>YEAR(A1081)</f>
        <v>2025</v>
      </c>
      <c r="R1081" s="18">
        <f>MONTH(A1081)</f>
        <v>4</v>
      </c>
      <c r="S1081" s="18">
        <f>IF(R1081&lt;4,Q1081-1,Q1081)</f>
        <v>2025</v>
      </c>
      <c r="T1081" s="18">
        <f>IF(R1081&lt;4,R1081+9,R1081-3)</f>
        <v>1</v>
      </c>
      <c r="U1081" s="18" t="str">
        <f>IF(LEN(T1081)=1,_xlfn.CONCAT(0,T1081),T1081)</f>
        <v>01</v>
      </c>
      <c r="V1081" s="18" t="str">
        <f>_xlfn.CONCAT(S1081,U1081)</f>
        <v>202501</v>
      </c>
      <c r="W1081" s="18" t="str">
        <f>_xlfn.CONCAT(TEXT(A1081,"MMM"),"-",MID(Q1081,3,2))</f>
        <v>Apr-25</v>
      </c>
      <c r="X1081" s="19">
        <f>IFERROR(IF(D1081="Sell",(H1081-P1081),-(H1081+P1081)),0)</f>
        <v>6713.67</v>
      </c>
      <c r="Y1081" s="19">
        <f>X1081/1000</f>
        <v>6.7136700000000005</v>
      </c>
    </row>
    <row r="1082" spans="1:25" x14ac:dyDescent="0.25">
      <c r="A1082" s="1">
        <v>45755</v>
      </c>
      <c r="B1082" t="s">
        <v>1677</v>
      </c>
      <c r="C1082" t="s">
        <v>17</v>
      </c>
      <c r="D1082" t="s">
        <v>22</v>
      </c>
      <c r="E1082">
        <v>75</v>
      </c>
      <c r="F1082">
        <v>0</v>
      </c>
      <c r="G1082">
        <v>160.25</v>
      </c>
      <c r="H1082">
        <v>12018.75</v>
      </c>
      <c r="I1082" t="s">
        <v>1688</v>
      </c>
      <c r="J1082">
        <v>0</v>
      </c>
      <c r="K1082">
        <v>4.2699999999999996</v>
      </c>
      <c r="L1082">
        <v>0</v>
      </c>
      <c r="M1082">
        <v>0.01</v>
      </c>
      <c r="N1082">
        <v>29</v>
      </c>
      <c r="O1082">
        <v>6</v>
      </c>
      <c r="P1082">
        <v>39.28</v>
      </c>
      <c r="Q1082" s="18">
        <f>YEAR(A1082)</f>
        <v>2025</v>
      </c>
      <c r="R1082" s="18">
        <f>MONTH(A1082)</f>
        <v>4</v>
      </c>
      <c r="S1082" s="18">
        <f>IF(R1082&lt;4,Q1082-1,Q1082)</f>
        <v>2025</v>
      </c>
      <c r="T1082" s="18">
        <f>IF(R1082&lt;4,R1082+9,R1082-3)</f>
        <v>1</v>
      </c>
      <c r="U1082" s="18" t="str">
        <f>IF(LEN(T1082)=1,_xlfn.CONCAT(0,T1082),T1082)</f>
        <v>01</v>
      </c>
      <c r="V1082" s="18" t="str">
        <f>_xlfn.CONCAT(S1082,U1082)</f>
        <v>202501</v>
      </c>
      <c r="W1082" s="18" t="str">
        <f>_xlfn.CONCAT(TEXT(A1082,"MMM"),"-",MID(Q1082,3,2))</f>
        <v>Apr-25</v>
      </c>
      <c r="X1082" s="19">
        <f>IFERROR(IF(D1082="Sell",(H1082-P1082),-(H1082+P1082)),0)</f>
        <v>-12058.03</v>
      </c>
      <c r="Y1082" s="19">
        <f>X1082/1000</f>
        <v>-12.05803</v>
      </c>
    </row>
    <row r="1083" spans="1:25" x14ac:dyDescent="0.25">
      <c r="A1083" s="1">
        <v>45755</v>
      </c>
      <c r="B1083" t="s">
        <v>1689</v>
      </c>
      <c r="C1083" t="s">
        <v>17</v>
      </c>
      <c r="D1083" t="s">
        <v>18</v>
      </c>
      <c r="E1083">
        <v>75</v>
      </c>
      <c r="F1083">
        <v>0</v>
      </c>
      <c r="G1083">
        <v>228.5</v>
      </c>
      <c r="H1083">
        <v>17137.5</v>
      </c>
      <c r="I1083" t="s">
        <v>1690</v>
      </c>
      <c r="J1083">
        <v>17.14</v>
      </c>
      <c r="K1083">
        <v>6.09</v>
      </c>
      <c r="L1083">
        <v>0</v>
      </c>
      <c r="M1083">
        <v>0.02</v>
      </c>
      <c r="N1083">
        <v>29</v>
      </c>
      <c r="O1083">
        <v>6.32</v>
      </c>
      <c r="P1083">
        <v>58.57</v>
      </c>
      <c r="Q1083" s="18">
        <f>YEAR(A1083)</f>
        <v>2025</v>
      </c>
      <c r="R1083" s="18">
        <f>MONTH(A1083)</f>
        <v>4</v>
      </c>
      <c r="S1083" s="18">
        <f>IF(R1083&lt;4,Q1083-1,Q1083)</f>
        <v>2025</v>
      </c>
      <c r="T1083" s="18">
        <f>IF(R1083&lt;4,R1083+9,R1083-3)</f>
        <v>1</v>
      </c>
      <c r="U1083" s="18" t="str">
        <f>IF(LEN(T1083)=1,_xlfn.CONCAT(0,T1083),T1083)</f>
        <v>01</v>
      </c>
      <c r="V1083" s="18" t="str">
        <f>_xlfn.CONCAT(S1083,U1083)</f>
        <v>202501</v>
      </c>
      <c r="W1083" s="18" t="str">
        <f>_xlfn.CONCAT(TEXT(A1083,"MMM"),"-",MID(Q1083,3,2))</f>
        <v>Apr-25</v>
      </c>
      <c r="X1083" s="19">
        <f>IFERROR(IF(D1083="Sell",(H1083-P1083),-(H1083+P1083)),0)</f>
        <v>17078.93</v>
      </c>
      <c r="Y1083" s="19">
        <f>X1083/1000</f>
        <v>17.07893</v>
      </c>
    </row>
    <row r="1084" spans="1:25" x14ac:dyDescent="0.25">
      <c r="A1084" s="1">
        <v>45755</v>
      </c>
      <c r="B1084" t="s">
        <v>1689</v>
      </c>
      <c r="C1084" t="s">
        <v>17</v>
      </c>
      <c r="D1084" t="s">
        <v>22</v>
      </c>
      <c r="E1084">
        <v>75</v>
      </c>
      <c r="F1084">
        <v>0</v>
      </c>
      <c r="G1084">
        <v>215.85</v>
      </c>
      <c r="H1084">
        <v>16188.75</v>
      </c>
      <c r="I1084" t="s">
        <v>1691</v>
      </c>
      <c r="J1084">
        <v>0</v>
      </c>
      <c r="K1084">
        <v>5.75</v>
      </c>
      <c r="L1084">
        <v>0.83</v>
      </c>
      <c r="M1084">
        <v>0.02</v>
      </c>
      <c r="N1084">
        <v>29</v>
      </c>
      <c r="O1084">
        <v>6.26</v>
      </c>
      <c r="P1084">
        <v>41.86</v>
      </c>
      <c r="Q1084" s="18">
        <f>YEAR(A1084)</f>
        <v>2025</v>
      </c>
      <c r="R1084" s="18">
        <f>MONTH(A1084)</f>
        <v>4</v>
      </c>
      <c r="S1084" s="18">
        <f>IF(R1084&lt;4,Q1084-1,Q1084)</f>
        <v>2025</v>
      </c>
      <c r="T1084" s="18">
        <f>IF(R1084&lt;4,R1084+9,R1084-3)</f>
        <v>1</v>
      </c>
      <c r="U1084" s="18" t="str">
        <f>IF(LEN(T1084)=1,_xlfn.CONCAT(0,T1084),T1084)</f>
        <v>01</v>
      </c>
      <c r="V1084" s="18" t="str">
        <f>_xlfn.CONCAT(S1084,U1084)</f>
        <v>202501</v>
      </c>
      <c r="W1084" s="18" t="str">
        <f>_xlfn.CONCAT(TEXT(A1084,"MMM"),"-",MID(Q1084,3,2))</f>
        <v>Apr-25</v>
      </c>
      <c r="X1084" s="19">
        <f>IFERROR(IF(D1084="Sell",(H1084-P1084),-(H1084+P1084)),0)</f>
        <v>-16230.61</v>
      </c>
      <c r="Y1084" s="19">
        <f>X1084/1000</f>
        <v>-16.230610000000002</v>
      </c>
    </row>
    <row r="1085" spans="1:25" x14ac:dyDescent="0.25">
      <c r="A1085" s="1">
        <v>45755</v>
      </c>
      <c r="B1085" t="s">
        <v>1677</v>
      </c>
      <c r="C1085" t="s">
        <v>17</v>
      </c>
      <c r="D1085" t="s">
        <v>18</v>
      </c>
      <c r="E1085">
        <v>75</v>
      </c>
      <c r="F1085">
        <v>0</v>
      </c>
      <c r="G1085">
        <v>149.80000000000001</v>
      </c>
      <c r="H1085">
        <v>11235</v>
      </c>
      <c r="I1085" t="s">
        <v>1692</v>
      </c>
      <c r="J1085">
        <v>11.24</v>
      </c>
      <c r="K1085">
        <v>3.99</v>
      </c>
      <c r="L1085">
        <v>0</v>
      </c>
      <c r="M1085">
        <v>0.01</v>
      </c>
      <c r="N1085">
        <v>29</v>
      </c>
      <c r="O1085">
        <v>5.94</v>
      </c>
      <c r="P1085">
        <v>50.18</v>
      </c>
      <c r="Q1085" s="18">
        <f>YEAR(A1085)</f>
        <v>2025</v>
      </c>
      <c r="R1085" s="18">
        <f>MONTH(A1085)</f>
        <v>4</v>
      </c>
      <c r="S1085" s="18">
        <f>IF(R1085&lt;4,Q1085-1,Q1085)</f>
        <v>2025</v>
      </c>
      <c r="T1085" s="18">
        <f>IF(R1085&lt;4,R1085+9,R1085-3)</f>
        <v>1</v>
      </c>
      <c r="U1085" s="18" t="str">
        <f>IF(LEN(T1085)=1,_xlfn.CONCAT(0,T1085),T1085)</f>
        <v>01</v>
      </c>
      <c r="V1085" s="18" t="str">
        <f>_xlfn.CONCAT(S1085,U1085)</f>
        <v>202501</v>
      </c>
      <c r="W1085" s="18" t="str">
        <f>_xlfn.CONCAT(TEXT(A1085,"MMM"),"-",MID(Q1085,3,2))</f>
        <v>Apr-25</v>
      </c>
      <c r="X1085" s="19">
        <f>IFERROR(IF(D1085="Sell",(H1085-P1085),-(H1085+P1085)),0)</f>
        <v>11184.82</v>
      </c>
      <c r="Y1085" s="19">
        <f>X1085/1000</f>
        <v>11.18482</v>
      </c>
    </row>
    <row r="1086" spans="1:25" x14ac:dyDescent="0.25">
      <c r="A1086" s="1">
        <v>45755</v>
      </c>
      <c r="B1086" t="s">
        <v>1677</v>
      </c>
      <c r="C1086" t="s">
        <v>17</v>
      </c>
      <c r="D1086" t="s">
        <v>22</v>
      </c>
      <c r="E1086">
        <v>75</v>
      </c>
      <c r="F1086">
        <v>0</v>
      </c>
      <c r="G1086">
        <v>138.5</v>
      </c>
      <c r="H1086">
        <v>10387.5</v>
      </c>
      <c r="I1086" t="s">
        <v>1693</v>
      </c>
      <c r="J1086">
        <v>0</v>
      </c>
      <c r="K1086">
        <v>3.69</v>
      </c>
      <c r="L1086">
        <v>0.89</v>
      </c>
      <c r="M1086">
        <v>0.01</v>
      </c>
      <c r="N1086">
        <v>29</v>
      </c>
      <c r="O1086">
        <v>5.88</v>
      </c>
      <c r="P1086">
        <v>39.47</v>
      </c>
      <c r="Q1086" s="18">
        <f>YEAR(A1086)</f>
        <v>2025</v>
      </c>
      <c r="R1086" s="18">
        <f>MONTH(A1086)</f>
        <v>4</v>
      </c>
      <c r="S1086" s="18">
        <f>IF(R1086&lt;4,Q1086-1,Q1086)</f>
        <v>2025</v>
      </c>
      <c r="T1086" s="18">
        <f>IF(R1086&lt;4,R1086+9,R1086-3)</f>
        <v>1</v>
      </c>
      <c r="U1086" s="18" t="str">
        <f>IF(LEN(T1086)=1,_xlfn.CONCAT(0,T1086),T1086)</f>
        <v>01</v>
      </c>
      <c r="V1086" s="18" t="str">
        <f>_xlfn.CONCAT(S1086,U1086)</f>
        <v>202501</v>
      </c>
      <c r="W1086" s="18" t="str">
        <f>_xlfn.CONCAT(TEXT(A1086,"MMM"),"-",MID(Q1086,3,2))</f>
        <v>Apr-25</v>
      </c>
      <c r="X1086" s="19">
        <f>IFERROR(IF(D1086="Sell",(H1086-P1086),-(H1086+P1086)),0)</f>
        <v>-10426.969999999999</v>
      </c>
      <c r="Y1086" s="19">
        <f>X1086/1000</f>
        <v>-10.426969999999999</v>
      </c>
    </row>
    <row r="1087" spans="1:25" x14ac:dyDescent="0.25">
      <c r="A1087" s="1">
        <v>45755</v>
      </c>
      <c r="B1087" t="s">
        <v>1689</v>
      </c>
      <c r="C1087" t="s">
        <v>17</v>
      </c>
      <c r="D1087" t="s">
        <v>18</v>
      </c>
      <c r="E1087">
        <v>75</v>
      </c>
      <c r="F1087">
        <v>0</v>
      </c>
      <c r="G1087">
        <v>167.95</v>
      </c>
      <c r="H1087">
        <v>12596.25</v>
      </c>
      <c r="I1087" t="s">
        <v>1694</v>
      </c>
      <c r="J1087">
        <v>12.65</v>
      </c>
      <c r="K1087">
        <v>4.4800000000000004</v>
      </c>
      <c r="L1087">
        <v>0</v>
      </c>
      <c r="M1087">
        <v>0.01</v>
      </c>
      <c r="N1087">
        <v>29</v>
      </c>
      <c r="O1087">
        <v>6.02</v>
      </c>
      <c r="P1087">
        <v>52.16</v>
      </c>
      <c r="Q1087" s="18">
        <f>YEAR(A1087)</f>
        <v>2025</v>
      </c>
      <c r="R1087" s="18">
        <f>MONTH(A1087)</f>
        <v>4</v>
      </c>
      <c r="S1087" s="18">
        <f>IF(R1087&lt;4,Q1087-1,Q1087)</f>
        <v>2025</v>
      </c>
      <c r="T1087" s="18">
        <f>IF(R1087&lt;4,R1087+9,R1087-3)</f>
        <v>1</v>
      </c>
      <c r="U1087" s="18" t="str">
        <f>IF(LEN(T1087)=1,_xlfn.CONCAT(0,T1087),T1087)</f>
        <v>01</v>
      </c>
      <c r="V1087" s="18" t="str">
        <f>_xlfn.CONCAT(S1087,U1087)</f>
        <v>202501</v>
      </c>
      <c r="W1087" s="18" t="str">
        <f>_xlfn.CONCAT(TEXT(A1087,"MMM"),"-",MID(Q1087,3,2))</f>
        <v>Apr-25</v>
      </c>
      <c r="X1087" s="19">
        <f>IFERROR(IF(D1087="Sell",(H1087-P1087),-(H1087+P1087)),0)</f>
        <v>12544.09</v>
      </c>
      <c r="Y1087" s="19">
        <f>X1087/1000</f>
        <v>12.544090000000001</v>
      </c>
    </row>
    <row r="1088" spans="1:25" x14ac:dyDescent="0.25">
      <c r="A1088" s="1">
        <v>45755</v>
      </c>
      <c r="B1088" t="s">
        <v>1689</v>
      </c>
      <c r="C1088" t="s">
        <v>17</v>
      </c>
      <c r="D1088" t="s">
        <v>22</v>
      </c>
      <c r="E1088">
        <v>75</v>
      </c>
      <c r="F1088">
        <v>0</v>
      </c>
      <c r="G1088">
        <v>154.19999999999999</v>
      </c>
      <c r="H1088">
        <v>11565</v>
      </c>
      <c r="I1088" t="s">
        <v>1695</v>
      </c>
      <c r="J1088">
        <v>0</v>
      </c>
      <c r="K1088">
        <v>4.1100000000000003</v>
      </c>
      <c r="L1088">
        <v>0</v>
      </c>
      <c r="M1088">
        <v>0.01</v>
      </c>
      <c r="N1088">
        <v>29</v>
      </c>
      <c r="O1088">
        <v>5.96</v>
      </c>
      <c r="P1088">
        <v>39.08</v>
      </c>
      <c r="Q1088" s="18">
        <f>YEAR(A1088)</f>
        <v>2025</v>
      </c>
      <c r="R1088" s="18">
        <f>MONTH(A1088)</f>
        <v>4</v>
      </c>
      <c r="S1088" s="18">
        <f>IF(R1088&lt;4,Q1088-1,Q1088)</f>
        <v>2025</v>
      </c>
      <c r="T1088" s="18">
        <f>IF(R1088&lt;4,R1088+9,R1088-3)</f>
        <v>1</v>
      </c>
      <c r="U1088" s="18" t="str">
        <f>IF(LEN(T1088)=1,_xlfn.CONCAT(0,T1088),T1088)</f>
        <v>01</v>
      </c>
      <c r="V1088" s="18" t="str">
        <f>_xlfn.CONCAT(S1088,U1088)</f>
        <v>202501</v>
      </c>
      <c r="W1088" s="18" t="str">
        <f>_xlfn.CONCAT(TEXT(A1088,"MMM"),"-",MID(Q1088,3,2))</f>
        <v>Apr-25</v>
      </c>
      <c r="X1088" s="19">
        <f>IFERROR(IF(D1088="Sell",(H1088-P1088),-(H1088+P1088)),0)</f>
        <v>-11604.08</v>
      </c>
      <c r="Y1088" s="19">
        <f>X1088/1000</f>
        <v>-11.60408</v>
      </c>
    </row>
    <row r="1089" spans="1:25" x14ac:dyDescent="0.25">
      <c r="A1089" s="1">
        <v>45756</v>
      </c>
      <c r="B1089" t="s">
        <v>1658</v>
      </c>
      <c r="C1089" t="s">
        <v>17</v>
      </c>
      <c r="D1089" t="s">
        <v>18</v>
      </c>
      <c r="E1089">
        <v>900</v>
      </c>
      <c r="F1089">
        <v>0</v>
      </c>
      <c r="G1089">
        <v>4.1500000000000004</v>
      </c>
      <c r="H1089">
        <v>3735</v>
      </c>
      <c r="I1089" t="s">
        <v>1659</v>
      </c>
      <c r="J1089">
        <v>3.74</v>
      </c>
      <c r="K1089">
        <v>1.32</v>
      </c>
      <c r="L1089">
        <v>0</v>
      </c>
      <c r="M1089">
        <v>0</v>
      </c>
      <c r="N1089">
        <v>348</v>
      </c>
      <c r="O1089">
        <v>62.88</v>
      </c>
      <c r="P1089">
        <v>415.94</v>
      </c>
      <c r="Q1089" s="18">
        <f>YEAR(A1089)</f>
        <v>2025</v>
      </c>
      <c r="R1089" s="18">
        <f>MONTH(A1089)</f>
        <v>4</v>
      </c>
      <c r="S1089" s="18">
        <f>IF(R1089&lt;4,Q1089-1,Q1089)</f>
        <v>2025</v>
      </c>
      <c r="T1089" s="18">
        <f>IF(R1089&lt;4,R1089+9,R1089-3)</f>
        <v>1</v>
      </c>
      <c r="U1089" s="18" t="str">
        <f>IF(LEN(T1089)=1,_xlfn.CONCAT(0,T1089),T1089)</f>
        <v>01</v>
      </c>
      <c r="V1089" s="18" t="str">
        <f>_xlfn.CONCAT(S1089,U1089)</f>
        <v>202501</v>
      </c>
      <c r="W1089" s="18" t="str">
        <f>_xlfn.CONCAT(TEXT(A1089,"MMM"),"-",MID(Q1089,3,2))</f>
        <v>Apr-25</v>
      </c>
      <c r="X1089" s="19">
        <f>IFERROR(IF(D1089="Sell",(H1089-P1089),-(H1089+P1089)),0)</f>
        <v>3319.06</v>
      </c>
      <c r="Y1089" s="19">
        <f>X1089/1000</f>
        <v>3.3190599999999999</v>
      </c>
    </row>
    <row r="1090" spans="1:25" x14ac:dyDescent="0.25">
      <c r="A1090" s="1">
        <v>45756</v>
      </c>
      <c r="B1090" t="s">
        <v>1658</v>
      </c>
      <c r="C1090" t="s">
        <v>17</v>
      </c>
      <c r="D1090" t="s">
        <v>22</v>
      </c>
      <c r="E1090">
        <v>450</v>
      </c>
      <c r="F1090">
        <v>0</v>
      </c>
      <c r="G1090">
        <v>8.75</v>
      </c>
      <c r="H1090">
        <v>3937.5</v>
      </c>
      <c r="I1090" t="s">
        <v>1660</v>
      </c>
      <c r="J1090">
        <v>0</v>
      </c>
      <c r="K1090">
        <v>1.4</v>
      </c>
      <c r="L1090">
        <v>0.55000000000000004</v>
      </c>
      <c r="M1090">
        <v>0</v>
      </c>
      <c r="N1090">
        <v>174</v>
      </c>
      <c r="O1090">
        <v>31.58</v>
      </c>
      <c r="P1090">
        <v>207.53</v>
      </c>
      <c r="Q1090" s="18">
        <f>YEAR(A1090)</f>
        <v>2025</v>
      </c>
      <c r="R1090" s="18">
        <f>MONTH(A1090)</f>
        <v>4</v>
      </c>
      <c r="S1090" s="18">
        <f>IF(R1090&lt;4,Q1090-1,Q1090)</f>
        <v>2025</v>
      </c>
      <c r="T1090" s="18">
        <f>IF(R1090&lt;4,R1090+9,R1090-3)</f>
        <v>1</v>
      </c>
      <c r="U1090" s="18" t="str">
        <f>IF(LEN(T1090)=1,_xlfn.CONCAT(0,T1090),T1090)</f>
        <v>01</v>
      </c>
      <c r="V1090" s="18" t="str">
        <f>_xlfn.CONCAT(S1090,U1090)</f>
        <v>202501</v>
      </c>
      <c r="W1090" s="18" t="str">
        <f>_xlfn.CONCAT(TEXT(A1090,"MMM"),"-",MID(Q1090,3,2))</f>
        <v>Apr-25</v>
      </c>
      <c r="X1090" s="19">
        <f>IFERROR(IF(D1090="Sell",(H1090-P1090),-(H1090+P1090)),0)</f>
        <v>-4145.03</v>
      </c>
      <c r="Y1090" s="19">
        <f>X1090/1000</f>
        <v>-4.1450299999999993</v>
      </c>
    </row>
    <row r="1091" spans="1:25" x14ac:dyDescent="0.25">
      <c r="A1091" s="1">
        <v>45756</v>
      </c>
      <c r="B1091" t="s">
        <v>1661</v>
      </c>
      <c r="C1091" t="s">
        <v>17</v>
      </c>
      <c r="D1091" t="s">
        <v>18</v>
      </c>
      <c r="E1091">
        <v>750</v>
      </c>
      <c r="F1091">
        <v>0</v>
      </c>
      <c r="G1091">
        <v>7.25</v>
      </c>
      <c r="H1091">
        <v>5437.5</v>
      </c>
      <c r="I1091" t="s">
        <v>1662</v>
      </c>
      <c r="J1091">
        <v>5.44</v>
      </c>
      <c r="K1091">
        <v>1.93</v>
      </c>
      <c r="L1091">
        <v>0</v>
      </c>
      <c r="M1091">
        <v>0.01</v>
      </c>
      <c r="N1091">
        <v>290</v>
      </c>
      <c r="O1091">
        <v>52.54</v>
      </c>
      <c r="P1091">
        <v>349.92</v>
      </c>
      <c r="Q1091" s="18">
        <f>YEAR(A1091)</f>
        <v>2025</v>
      </c>
      <c r="R1091" s="18">
        <f>MONTH(A1091)</f>
        <v>4</v>
      </c>
      <c r="S1091" s="18">
        <f>IF(R1091&lt;4,Q1091-1,Q1091)</f>
        <v>2025</v>
      </c>
      <c r="T1091" s="18">
        <f>IF(R1091&lt;4,R1091+9,R1091-3)</f>
        <v>1</v>
      </c>
      <c r="U1091" s="18" t="str">
        <f>IF(LEN(T1091)=1,_xlfn.CONCAT(0,T1091),T1091)</f>
        <v>01</v>
      </c>
      <c r="V1091" s="18" t="str">
        <f>_xlfn.CONCAT(S1091,U1091)</f>
        <v>202501</v>
      </c>
      <c r="W1091" s="18" t="str">
        <f>_xlfn.CONCAT(TEXT(A1091,"MMM"),"-",MID(Q1091,3,2))</f>
        <v>Apr-25</v>
      </c>
      <c r="X1091" s="19">
        <f>IFERROR(IF(D1091="Sell",(H1091-P1091),-(H1091+P1091)),0)</f>
        <v>5087.58</v>
      </c>
      <c r="Y1091" s="19">
        <f>X1091/1000</f>
        <v>5.08758</v>
      </c>
    </row>
    <row r="1092" spans="1:25" x14ac:dyDescent="0.25">
      <c r="A1092" s="1">
        <v>45756</v>
      </c>
      <c r="B1092" t="s">
        <v>1661</v>
      </c>
      <c r="C1092" t="s">
        <v>17</v>
      </c>
      <c r="D1092" t="s">
        <v>22</v>
      </c>
      <c r="E1092">
        <v>750</v>
      </c>
      <c r="F1092">
        <v>0</v>
      </c>
      <c r="G1092">
        <v>9.6</v>
      </c>
      <c r="H1092">
        <v>7200</v>
      </c>
      <c r="I1092" t="s">
        <v>1663</v>
      </c>
      <c r="J1092">
        <v>0</v>
      </c>
      <c r="K1092">
        <v>2.5499999999999998</v>
      </c>
      <c r="L1092">
        <v>0.22</v>
      </c>
      <c r="M1092">
        <v>0</v>
      </c>
      <c r="N1092">
        <v>290</v>
      </c>
      <c r="O1092">
        <v>52.66</v>
      </c>
      <c r="P1092">
        <v>345.43</v>
      </c>
      <c r="Q1092" s="18">
        <f>YEAR(A1092)</f>
        <v>2025</v>
      </c>
      <c r="R1092" s="18">
        <f>MONTH(A1092)</f>
        <v>4</v>
      </c>
      <c r="S1092" s="18">
        <f>IF(R1092&lt;4,Q1092-1,Q1092)</f>
        <v>2025</v>
      </c>
      <c r="T1092" s="18">
        <f>IF(R1092&lt;4,R1092+9,R1092-3)</f>
        <v>1</v>
      </c>
      <c r="U1092" s="18" t="str">
        <f>IF(LEN(T1092)=1,_xlfn.CONCAT(0,T1092),T1092)</f>
        <v>01</v>
      </c>
      <c r="V1092" s="18" t="str">
        <f>_xlfn.CONCAT(S1092,U1092)</f>
        <v>202501</v>
      </c>
      <c r="W1092" s="18" t="str">
        <f>_xlfn.CONCAT(TEXT(A1092,"MMM"),"-",MID(Q1092,3,2))</f>
        <v>Apr-25</v>
      </c>
      <c r="X1092" s="19">
        <f>IFERROR(IF(D1092="Sell",(H1092-P1092),-(H1092+P1092)),0)</f>
        <v>-7545.43</v>
      </c>
      <c r="Y1092" s="19">
        <f>X1092/1000</f>
        <v>-7.5454300000000005</v>
      </c>
    </row>
    <row r="1093" spans="1:25" x14ac:dyDescent="0.25">
      <c r="A1093" s="1">
        <v>45756</v>
      </c>
      <c r="B1093" t="s">
        <v>1658</v>
      </c>
      <c r="C1093" t="s">
        <v>17</v>
      </c>
      <c r="D1093" t="s">
        <v>22</v>
      </c>
      <c r="E1093">
        <v>75</v>
      </c>
      <c r="F1093">
        <v>0</v>
      </c>
      <c r="G1093">
        <v>9.25</v>
      </c>
      <c r="H1093">
        <v>693.75</v>
      </c>
      <c r="I1093" t="s">
        <v>1664</v>
      </c>
      <c r="J1093">
        <v>0</v>
      </c>
      <c r="K1093">
        <v>0.25</v>
      </c>
      <c r="L1093">
        <v>0</v>
      </c>
      <c r="M1093">
        <v>0</v>
      </c>
      <c r="N1093">
        <v>29</v>
      </c>
      <c r="O1093">
        <v>5.26</v>
      </c>
      <c r="P1093">
        <v>34.51</v>
      </c>
      <c r="Q1093" s="18">
        <f>YEAR(A1093)</f>
        <v>2025</v>
      </c>
      <c r="R1093" s="18">
        <f>MONTH(A1093)</f>
        <v>4</v>
      </c>
      <c r="S1093" s="18">
        <f>IF(R1093&lt;4,Q1093-1,Q1093)</f>
        <v>2025</v>
      </c>
      <c r="T1093" s="18">
        <f>IF(R1093&lt;4,R1093+9,R1093-3)</f>
        <v>1</v>
      </c>
      <c r="U1093" s="18" t="str">
        <f>IF(LEN(T1093)=1,_xlfn.CONCAT(0,T1093),T1093)</f>
        <v>01</v>
      </c>
      <c r="V1093" s="18" t="str">
        <f>_xlfn.CONCAT(S1093,U1093)</f>
        <v>202501</v>
      </c>
      <c r="W1093" s="18" t="str">
        <f>_xlfn.CONCAT(TEXT(A1093,"MMM"),"-",MID(Q1093,3,2))</f>
        <v>Apr-25</v>
      </c>
      <c r="X1093" s="19">
        <f>IFERROR(IF(D1093="Sell",(H1093-P1093),-(H1093+P1093)),0)</f>
        <v>-728.26</v>
      </c>
      <c r="Y1093" s="19">
        <f>X1093/1000</f>
        <v>-0.72826000000000002</v>
      </c>
    </row>
    <row r="1094" spans="1:25" x14ac:dyDescent="0.25">
      <c r="A1094" s="1">
        <v>45756</v>
      </c>
      <c r="B1094" t="s">
        <v>1658</v>
      </c>
      <c r="C1094" t="s">
        <v>17</v>
      </c>
      <c r="D1094" t="s">
        <v>22</v>
      </c>
      <c r="E1094">
        <v>75</v>
      </c>
      <c r="F1094">
        <v>0</v>
      </c>
      <c r="G1094">
        <v>13.15</v>
      </c>
      <c r="H1094">
        <v>986.25</v>
      </c>
      <c r="I1094" t="s">
        <v>1665</v>
      </c>
      <c r="J1094">
        <v>0</v>
      </c>
      <c r="K1094">
        <v>0.35</v>
      </c>
      <c r="L1094">
        <v>0</v>
      </c>
      <c r="M1094">
        <v>0</v>
      </c>
      <c r="N1094">
        <v>29</v>
      </c>
      <c r="O1094">
        <v>5.28</v>
      </c>
      <c r="P1094">
        <v>34.630000000000003</v>
      </c>
      <c r="Q1094" s="18">
        <f>YEAR(A1094)</f>
        <v>2025</v>
      </c>
      <c r="R1094" s="18">
        <f>MONTH(A1094)</f>
        <v>4</v>
      </c>
      <c r="S1094" s="18">
        <f>IF(R1094&lt;4,Q1094-1,Q1094)</f>
        <v>2025</v>
      </c>
      <c r="T1094" s="18">
        <f>IF(R1094&lt;4,R1094+9,R1094-3)</f>
        <v>1</v>
      </c>
      <c r="U1094" s="18" t="str">
        <f>IF(LEN(T1094)=1,_xlfn.CONCAT(0,T1094),T1094)</f>
        <v>01</v>
      </c>
      <c r="V1094" s="18" t="str">
        <f>_xlfn.CONCAT(S1094,U1094)</f>
        <v>202501</v>
      </c>
      <c r="W1094" s="18" t="str">
        <f>_xlfn.CONCAT(TEXT(A1094,"MMM"),"-",MID(Q1094,3,2))</f>
        <v>Apr-25</v>
      </c>
      <c r="X1094" s="19">
        <f>IFERROR(IF(D1094="Sell",(H1094-P1094),-(H1094+P1094)),0)</f>
        <v>-1020.88</v>
      </c>
      <c r="Y1094" s="19">
        <f>X1094/1000</f>
        <v>-1.02088</v>
      </c>
    </row>
    <row r="1095" spans="1:25" x14ac:dyDescent="0.25">
      <c r="A1095" s="1">
        <v>45756</v>
      </c>
      <c r="B1095" t="s">
        <v>1658</v>
      </c>
      <c r="C1095" t="s">
        <v>17</v>
      </c>
      <c r="D1095" t="s">
        <v>22</v>
      </c>
      <c r="E1095">
        <v>75</v>
      </c>
      <c r="F1095">
        <v>0</v>
      </c>
      <c r="G1095">
        <v>19.3</v>
      </c>
      <c r="H1095">
        <v>1447.5</v>
      </c>
      <c r="I1095" t="s">
        <v>1666</v>
      </c>
      <c r="J1095">
        <v>0</v>
      </c>
      <c r="K1095">
        <v>0.51</v>
      </c>
      <c r="L1095">
        <v>0</v>
      </c>
      <c r="M1095">
        <v>0</v>
      </c>
      <c r="N1095">
        <v>29</v>
      </c>
      <c r="O1095">
        <v>5.32</v>
      </c>
      <c r="P1095">
        <v>34.83</v>
      </c>
      <c r="Q1095" s="18">
        <f>YEAR(A1095)</f>
        <v>2025</v>
      </c>
      <c r="R1095" s="18">
        <f>MONTH(A1095)</f>
        <v>4</v>
      </c>
      <c r="S1095" s="18">
        <f>IF(R1095&lt;4,Q1095-1,Q1095)</f>
        <v>2025</v>
      </c>
      <c r="T1095" s="18">
        <f>IF(R1095&lt;4,R1095+9,R1095-3)</f>
        <v>1</v>
      </c>
      <c r="U1095" s="18" t="str">
        <f>IF(LEN(T1095)=1,_xlfn.CONCAT(0,T1095),T1095)</f>
        <v>01</v>
      </c>
      <c r="V1095" s="18" t="str">
        <f>_xlfn.CONCAT(S1095,U1095)</f>
        <v>202501</v>
      </c>
      <c r="W1095" s="18" t="str">
        <f>_xlfn.CONCAT(TEXT(A1095,"MMM"),"-",MID(Q1095,3,2))</f>
        <v>Apr-25</v>
      </c>
      <c r="X1095" s="19">
        <f>IFERROR(IF(D1095="Sell",(H1095-P1095),-(H1095+P1095)),0)</f>
        <v>-1482.33</v>
      </c>
      <c r="Y1095" s="19">
        <f>X1095/1000</f>
        <v>-1.4823299999999999</v>
      </c>
    </row>
    <row r="1096" spans="1:25" x14ac:dyDescent="0.25">
      <c r="A1096" s="1">
        <v>45756</v>
      </c>
      <c r="B1096" t="s">
        <v>1667</v>
      </c>
      <c r="C1096" t="s">
        <v>17</v>
      </c>
      <c r="D1096" t="s">
        <v>18</v>
      </c>
      <c r="E1096">
        <v>75</v>
      </c>
      <c r="F1096">
        <v>0</v>
      </c>
      <c r="G1096">
        <v>28.15</v>
      </c>
      <c r="H1096">
        <v>2111.25</v>
      </c>
      <c r="I1096" t="s">
        <v>1668</v>
      </c>
      <c r="J1096">
        <v>2.11</v>
      </c>
      <c r="K1096">
        <v>0.75</v>
      </c>
      <c r="L1096">
        <v>0</v>
      </c>
      <c r="M1096">
        <v>0</v>
      </c>
      <c r="N1096">
        <v>29</v>
      </c>
      <c r="O1096">
        <v>5.36</v>
      </c>
      <c r="P1096">
        <v>37.22</v>
      </c>
      <c r="Q1096" s="18">
        <f>YEAR(A1096)</f>
        <v>2025</v>
      </c>
      <c r="R1096" s="18">
        <f>MONTH(A1096)</f>
        <v>4</v>
      </c>
      <c r="S1096" s="18">
        <f>IF(R1096&lt;4,Q1096-1,Q1096)</f>
        <v>2025</v>
      </c>
      <c r="T1096" s="18">
        <f>IF(R1096&lt;4,R1096+9,R1096-3)</f>
        <v>1</v>
      </c>
      <c r="U1096" s="18" t="str">
        <f>IF(LEN(T1096)=1,_xlfn.CONCAT(0,T1096),T1096)</f>
        <v>01</v>
      </c>
      <c r="V1096" s="18" t="str">
        <f>_xlfn.CONCAT(S1096,U1096)</f>
        <v>202501</v>
      </c>
      <c r="W1096" s="18" t="str">
        <f>_xlfn.CONCAT(TEXT(A1096,"MMM"),"-",MID(Q1096,3,2))</f>
        <v>Apr-25</v>
      </c>
      <c r="X1096" s="19">
        <f>IFERROR(IF(D1096="Sell",(H1096-P1096),-(H1096+P1096)),0)</f>
        <v>2074.0300000000002</v>
      </c>
      <c r="Y1096" s="19">
        <f>X1096/1000</f>
        <v>2.07403</v>
      </c>
    </row>
    <row r="1097" spans="1:25" x14ac:dyDescent="0.25">
      <c r="A1097" s="1">
        <v>45756</v>
      </c>
      <c r="B1097" t="s">
        <v>1667</v>
      </c>
      <c r="C1097" t="s">
        <v>17</v>
      </c>
      <c r="D1097" t="s">
        <v>22</v>
      </c>
      <c r="E1097">
        <v>75</v>
      </c>
      <c r="F1097">
        <v>0</v>
      </c>
      <c r="G1097">
        <v>32.200000000000003</v>
      </c>
      <c r="H1097">
        <v>2415</v>
      </c>
      <c r="I1097" t="s">
        <v>1669</v>
      </c>
      <c r="J1097">
        <v>0</v>
      </c>
      <c r="K1097">
        <v>0.86</v>
      </c>
      <c r="L1097">
        <v>0</v>
      </c>
      <c r="M1097">
        <v>0</v>
      </c>
      <c r="N1097">
        <v>29</v>
      </c>
      <c r="O1097">
        <v>5.38</v>
      </c>
      <c r="P1097">
        <v>35.24</v>
      </c>
      <c r="Q1097" s="18">
        <f>YEAR(A1097)</f>
        <v>2025</v>
      </c>
      <c r="R1097" s="18">
        <f>MONTH(A1097)</f>
        <v>4</v>
      </c>
      <c r="S1097" s="18">
        <f>IF(R1097&lt;4,Q1097-1,Q1097)</f>
        <v>2025</v>
      </c>
      <c r="T1097" s="18">
        <f>IF(R1097&lt;4,R1097+9,R1097-3)</f>
        <v>1</v>
      </c>
      <c r="U1097" s="18" t="str">
        <f>IF(LEN(T1097)=1,_xlfn.CONCAT(0,T1097),T1097)</f>
        <v>01</v>
      </c>
      <c r="V1097" s="18" t="str">
        <f>_xlfn.CONCAT(S1097,U1097)</f>
        <v>202501</v>
      </c>
      <c r="W1097" s="18" t="str">
        <f>_xlfn.CONCAT(TEXT(A1097,"MMM"),"-",MID(Q1097,3,2))</f>
        <v>Apr-25</v>
      </c>
      <c r="X1097" s="19">
        <f>IFERROR(IF(D1097="Sell",(H1097-P1097),-(H1097+P1097)),0)</f>
        <v>-2450.2399999999998</v>
      </c>
      <c r="Y1097" s="19">
        <f>X1097/1000</f>
        <v>-2.45024</v>
      </c>
    </row>
    <row r="1098" spans="1:25" x14ac:dyDescent="0.25">
      <c r="A1098" s="1">
        <v>45756</v>
      </c>
      <c r="B1098" t="s">
        <v>1658</v>
      </c>
      <c r="C1098" t="s">
        <v>17</v>
      </c>
      <c r="D1098" t="s">
        <v>22</v>
      </c>
      <c r="E1098">
        <v>75</v>
      </c>
      <c r="F1098">
        <v>0</v>
      </c>
      <c r="G1098">
        <v>23.4</v>
      </c>
      <c r="H1098">
        <v>1755</v>
      </c>
      <c r="I1098" t="s">
        <v>1670</v>
      </c>
      <c r="J1098">
        <v>0</v>
      </c>
      <c r="K1098">
        <v>0.62</v>
      </c>
      <c r="L1098">
        <v>0</v>
      </c>
      <c r="M1098">
        <v>0</v>
      </c>
      <c r="N1098">
        <v>29</v>
      </c>
      <c r="O1098">
        <v>5.34</v>
      </c>
      <c r="P1098">
        <v>34.96</v>
      </c>
      <c r="Q1098" s="18">
        <f>YEAR(A1098)</f>
        <v>2025</v>
      </c>
      <c r="R1098" s="18">
        <f>MONTH(A1098)</f>
        <v>4</v>
      </c>
      <c r="S1098" s="18">
        <f>IF(R1098&lt;4,Q1098-1,Q1098)</f>
        <v>2025</v>
      </c>
      <c r="T1098" s="18">
        <f>IF(R1098&lt;4,R1098+9,R1098-3)</f>
        <v>1</v>
      </c>
      <c r="U1098" s="18" t="str">
        <f>IF(LEN(T1098)=1,_xlfn.CONCAT(0,T1098),T1098)</f>
        <v>01</v>
      </c>
      <c r="V1098" s="18" t="str">
        <f>_xlfn.CONCAT(S1098,U1098)</f>
        <v>202501</v>
      </c>
      <c r="W1098" s="18" t="str">
        <f>_xlfn.CONCAT(TEXT(A1098,"MMM"),"-",MID(Q1098,3,2))</f>
        <v>Apr-25</v>
      </c>
      <c r="X1098" s="19">
        <f>IFERROR(IF(D1098="Sell",(H1098-P1098),-(H1098+P1098)),0)</f>
        <v>-1789.96</v>
      </c>
      <c r="Y1098" s="19">
        <f>X1098/1000</f>
        <v>-1.78996</v>
      </c>
    </row>
    <row r="1099" spans="1:25" x14ac:dyDescent="0.25">
      <c r="A1099" s="1">
        <v>45756</v>
      </c>
      <c r="B1099" t="s">
        <v>1658</v>
      </c>
      <c r="C1099" t="s">
        <v>17</v>
      </c>
      <c r="D1099" t="s">
        <v>22</v>
      </c>
      <c r="E1099">
        <v>75</v>
      </c>
      <c r="F1099">
        <v>0</v>
      </c>
      <c r="G1099">
        <v>28.15</v>
      </c>
      <c r="H1099">
        <v>2111.25</v>
      </c>
      <c r="I1099" t="s">
        <v>1671</v>
      </c>
      <c r="J1099">
        <v>0</v>
      </c>
      <c r="K1099">
        <v>0.75</v>
      </c>
      <c r="L1099">
        <v>0</v>
      </c>
      <c r="M1099">
        <v>0</v>
      </c>
      <c r="N1099">
        <v>29</v>
      </c>
      <c r="O1099">
        <v>5.36</v>
      </c>
      <c r="P1099">
        <v>35.11</v>
      </c>
      <c r="Q1099" s="18">
        <f>YEAR(A1099)</f>
        <v>2025</v>
      </c>
      <c r="R1099" s="18">
        <f>MONTH(A1099)</f>
        <v>4</v>
      </c>
      <c r="S1099" s="18">
        <f>IF(R1099&lt;4,Q1099-1,Q1099)</f>
        <v>2025</v>
      </c>
      <c r="T1099" s="18">
        <f>IF(R1099&lt;4,R1099+9,R1099-3)</f>
        <v>1</v>
      </c>
      <c r="U1099" s="18" t="str">
        <f>IF(LEN(T1099)=1,_xlfn.CONCAT(0,T1099),T1099)</f>
        <v>01</v>
      </c>
      <c r="V1099" s="18" t="str">
        <f>_xlfn.CONCAT(S1099,U1099)</f>
        <v>202501</v>
      </c>
      <c r="W1099" s="18" t="str">
        <f>_xlfn.CONCAT(TEXT(A1099,"MMM"),"-",MID(Q1099,3,2))</f>
        <v>Apr-25</v>
      </c>
      <c r="X1099" s="19">
        <f>IFERROR(IF(D1099="Sell",(H1099-P1099),-(H1099+P1099)),0)</f>
        <v>-2146.36</v>
      </c>
      <c r="Y1099" s="19">
        <f>X1099/1000</f>
        <v>-2.14636</v>
      </c>
    </row>
    <row r="1100" spans="1:25" x14ac:dyDescent="0.25">
      <c r="A1100" s="1">
        <v>45756</v>
      </c>
      <c r="B1100" t="s">
        <v>1658</v>
      </c>
      <c r="C1100" t="s">
        <v>17</v>
      </c>
      <c r="D1100" t="s">
        <v>22</v>
      </c>
      <c r="E1100">
        <v>75</v>
      </c>
      <c r="F1100">
        <v>0</v>
      </c>
      <c r="G1100">
        <v>69.05</v>
      </c>
      <c r="H1100">
        <v>5178.75</v>
      </c>
      <c r="I1100" t="s">
        <v>1672</v>
      </c>
      <c r="J1100">
        <v>0</v>
      </c>
      <c r="K1100">
        <v>1.84</v>
      </c>
      <c r="L1100">
        <v>0</v>
      </c>
      <c r="M1100">
        <v>0.01</v>
      </c>
      <c r="N1100">
        <v>29</v>
      </c>
      <c r="O1100">
        <v>5.56</v>
      </c>
      <c r="P1100">
        <v>36.409999999999997</v>
      </c>
      <c r="Q1100" s="18">
        <f>YEAR(A1100)</f>
        <v>2025</v>
      </c>
      <c r="R1100" s="18">
        <f>MONTH(A1100)</f>
        <v>4</v>
      </c>
      <c r="S1100" s="18">
        <f>IF(R1100&lt;4,Q1100-1,Q1100)</f>
        <v>2025</v>
      </c>
      <c r="T1100" s="18">
        <f>IF(R1100&lt;4,R1100+9,R1100-3)</f>
        <v>1</v>
      </c>
      <c r="U1100" s="18" t="str">
        <f>IF(LEN(T1100)=1,_xlfn.CONCAT(0,T1100),T1100)</f>
        <v>01</v>
      </c>
      <c r="V1100" s="18" t="str">
        <f>_xlfn.CONCAT(S1100,U1100)</f>
        <v>202501</v>
      </c>
      <c r="W1100" s="18" t="str">
        <f>_xlfn.CONCAT(TEXT(A1100,"MMM"),"-",MID(Q1100,3,2))</f>
        <v>Apr-25</v>
      </c>
      <c r="X1100" s="19">
        <f>IFERROR(IF(D1100="Sell",(H1100-P1100),-(H1100+P1100)),0)</f>
        <v>-5215.16</v>
      </c>
      <c r="Y1100" s="19">
        <f>X1100/1000</f>
        <v>-5.21516</v>
      </c>
    </row>
    <row r="1101" spans="1:25" x14ac:dyDescent="0.25">
      <c r="A1101" s="1">
        <v>45756</v>
      </c>
      <c r="B1101" t="s">
        <v>1667</v>
      </c>
      <c r="C1101" t="s">
        <v>17</v>
      </c>
      <c r="D1101" t="s">
        <v>18</v>
      </c>
      <c r="E1101">
        <v>75</v>
      </c>
      <c r="F1101">
        <v>0</v>
      </c>
      <c r="G1101">
        <v>83.25</v>
      </c>
      <c r="H1101">
        <v>6243.75</v>
      </c>
      <c r="I1101" t="s">
        <v>1673</v>
      </c>
      <c r="J1101">
        <v>6.24</v>
      </c>
      <c r="K1101">
        <v>2.2200000000000002</v>
      </c>
      <c r="L1101">
        <v>0</v>
      </c>
      <c r="M1101">
        <v>0.01</v>
      </c>
      <c r="N1101">
        <v>29</v>
      </c>
      <c r="O1101">
        <v>5.62</v>
      </c>
      <c r="P1101">
        <v>43.09</v>
      </c>
      <c r="Q1101" s="18">
        <f>YEAR(A1101)</f>
        <v>2025</v>
      </c>
      <c r="R1101" s="18">
        <f>MONTH(A1101)</f>
        <v>4</v>
      </c>
      <c r="S1101" s="18">
        <f>IF(R1101&lt;4,Q1101-1,Q1101)</f>
        <v>2025</v>
      </c>
      <c r="T1101" s="18">
        <f>IF(R1101&lt;4,R1101+9,R1101-3)</f>
        <v>1</v>
      </c>
      <c r="U1101" s="18" t="str">
        <f>IF(LEN(T1101)=1,_xlfn.CONCAT(0,T1101),T1101)</f>
        <v>01</v>
      </c>
      <c r="V1101" s="18" t="str">
        <f>_xlfn.CONCAT(S1101,U1101)</f>
        <v>202501</v>
      </c>
      <c r="W1101" s="18" t="str">
        <f>_xlfn.CONCAT(TEXT(A1101,"MMM"),"-",MID(Q1101,3,2))</f>
        <v>Apr-25</v>
      </c>
      <c r="X1101" s="19">
        <f>IFERROR(IF(D1101="Sell",(H1101-P1101),-(H1101+P1101)),0)</f>
        <v>6200.66</v>
      </c>
      <c r="Y1101" s="19">
        <f>X1101/1000</f>
        <v>6.2006600000000001</v>
      </c>
    </row>
    <row r="1102" spans="1:25" x14ac:dyDescent="0.25">
      <c r="A1102" s="1">
        <v>45756</v>
      </c>
      <c r="B1102" t="s">
        <v>1667</v>
      </c>
      <c r="C1102" t="s">
        <v>17</v>
      </c>
      <c r="D1102" t="s">
        <v>22</v>
      </c>
      <c r="E1102">
        <v>75</v>
      </c>
      <c r="F1102">
        <v>0</v>
      </c>
      <c r="G1102">
        <v>68.099999999999994</v>
      </c>
      <c r="H1102">
        <v>5107.5</v>
      </c>
      <c r="I1102" t="s">
        <v>1674</v>
      </c>
      <c r="J1102">
        <v>0</v>
      </c>
      <c r="K1102">
        <v>1.81</v>
      </c>
      <c r="L1102">
        <v>0.23</v>
      </c>
      <c r="M1102">
        <v>0.01</v>
      </c>
      <c r="N1102">
        <v>29</v>
      </c>
      <c r="O1102">
        <v>5.54</v>
      </c>
      <c r="P1102">
        <v>36.590000000000003</v>
      </c>
      <c r="Q1102" s="18">
        <f>YEAR(A1102)</f>
        <v>2025</v>
      </c>
      <c r="R1102" s="18">
        <f>MONTH(A1102)</f>
        <v>4</v>
      </c>
      <c r="S1102" s="18">
        <f>IF(R1102&lt;4,Q1102-1,Q1102)</f>
        <v>2025</v>
      </c>
      <c r="T1102" s="18">
        <f>IF(R1102&lt;4,R1102+9,R1102-3)</f>
        <v>1</v>
      </c>
      <c r="U1102" s="18" t="str">
        <f>IF(LEN(T1102)=1,_xlfn.CONCAT(0,T1102),T1102)</f>
        <v>01</v>
      </c>
      <c r="V1102" s="18" t="str">
        <f>_xlfn.CONCAT(S1102,U1102)</f>
        <v>202501</v>
      </c>
      <c r="W1102" s="18" t="str">
        <f>_xlfn.CONCAT(TEXT(A1102,"MMM"),"-",MID(Q1102,3,2))</f>
        <v>Apr-25</v>
      </c>
      <c r="X1102" s="19">
        <f>IFERROR(IF(D1102="Sell",(H1102-P1102),-(H1102+P1102)),0)</f>
        <v>-5144.09</v>
      </c>
      <c r="Y1102" s="19">
        <f>X1102/1000</f>
        <v>-5.1440900000000003</v>
      </c>
    </row>
    <row r="1103" spans="1:25" x14ac:dyDescent="0.25">
      <c r="A1103" s="1">
        <v>45756</v>
      </c>
      <c r="B1103" t="s">
        <v>1658</v>
      </c>
      <c r="C1103" t="s">
        <v>17</v>
      </c>
      <c r="D1103" t="s">
        <v>18</v>
      </c>
      <c r="E1103">
        <v>75</v>
      </c>
      <c r="F1103">
        <v>0</v>
      </c>
      <c r="G1103">
        <v>81</v>
      </c>
      <c r="H1103">
        <v>6075</v>
      </c>
      <c r="I1103" t="s">
        <v>1675</v>
      </c>
      <c r="J1103">
        <v>6.47</v>
      </c>
      <c r="K1103">
        <v>2.16</v>
      </c>
      <c r="L1103">
        <v>0</v>
      </c>
      <c r="M1103">
        <v>0.01</v>
      </c>
      <c r="N1103">
        <v>29</v>
      </c>
      <c r="O1103">
        <v>5.62</v>
      </c>
      <c r="P1103">
        <v>43.26</v>
      </c>
      <c r="Q1103" s="18">
        <f>YEAR(A1103)</f>
        <v>2025</v>
      </c>
      <c r="R1103" s="18">
        <f>MONTH(A1103)</f>
        <v>4</v>
      </c>
      <c r="S1103" s="18">
        <f>IF(R1103&lt;4,Q1103-1,Q1103)</f>
        <v>2025</v>
      </c>
      <c r="T1103" s="18">
        <f>IF(R1103&lt;4,R1103+9,R1103-3)</f>
        <v>1</v>
      </c>
      <c r="U1103" s="18" t="str">
        <f>IF(LEN(T1103)=1,_xlfn.CONCAT(0,T1103),T1103)</f>
        <v>01</v>
      </c>
      <c r="V1103" s="18" t="str">
        <f>_xlfn.CONCAT(S1103,U1103)</f>
        <v>202501</v>
      </c>
      <c r="W1103" s="18" t="str">
        <f>_xlfn.CONCAT(TEXT(A1103,"MMM"),"-",MID(Q1103,3,2))</f>
        <v>Apr-25</v>
      </c>
      <c r="X1103" s="19">
        <f>IFERROR(IF(D1103="Sell",(H1103-P1103),-(H1103+P1103)),0)</f>
        <v>6031.74</v>
      </c>
      <c r="Y1103" s="19">
        <f>X1103/1000</f>
        <v>6.0317400000000001</v>
      </c>
    </row>
    <row r="1104" spans="1:25" x14ac:dyDescent="0.25">
      <c r="A1104" s="1">
        <v>45756</v>
      </c>
      <c r="B1104" t="s">
        <v>1658</v>
      </c>
      <c r="C1104" t="s">
        <v>17</v>
      </c>
      <c r="D1104" t="s">
        <v>22</v>
      </c>
      <c r="E1104">
        <v>75</v>
      </c>
      <c r="F1104">
        <v>0</v>
      </c>
      <c r="G1104">
        <v>83.3</v>
      </c>
      <c r="H1104">
        <v>6247.5</v>
      </c>
      <c r="I1104" t="s">
        <v>1676</v>
      </c>
      <c r="J1104">
        <v>0</v>
      </c>
      <c r="K1104">
        <v>2.2200000000000002</v>
      </c>
      <c r="L1104">
        <v>0</v>
      </c>
      <c r="M1104">
        <v>0.01</v>
      </c>
      <c r="N1104">
        <v>29</v>
      </c>
      <c r="O1104">
        <v>5.62</v>
      </c>
      <c r="P1104">
        <v>36.85</v>
      </c>
      <c r="Q1104" s="18">
        <f>YEAR(A1104)</f>
        <v>2025</v>
      </c>
      <c r="R1104" s="18">
        <f>MONTH(A1104)</f>
        <v>4</v>
      </c>
      <c r="S1104" s="18">
        <f>IF(R1104&lt;4,Q1104-1,Q1104)</f>
        <v>2025</v>
      </c>
      <c r="T1104" s="18">
        <f>IF(R1104&lt;4,R1104+9,R1104-3)</f>
        <v>1</v>
      </c>
      <c r="U1104" s="18" t="str">
        <f>IF(LEN(T1104)=1,_xlfn.CONCAT(0,T1104),T1104)</f>
        <v>01</v>
      </c>
      <c r="V1104" s="18" t="str">
        <f>_xlfn.CONCAT(S1104,U1104)</f>
        <v>202501</v>
      </c>
      <c r="W1104" s="18" t="str">
        <f>_xlfn.CONCAT(TEXT(A1104,"MMM"),"-",MID(Q1104,3,2))</f>
        <v>Apr-25</v>
      </c>
      <c r="X1104" s="19">
        <f>IFERROR(IF(D1104="Sell",(H1104-P1104),-(H1104+P1104)),0)</f>
        <v>-6284.35</v>
      </c>
      <c r="Y1104" s="19">
        <f>X1104/1000</f>
        <v>-6.2843500000000008</v>
      </c>
    </row>
    <row r="1105" spans="1:25" x14ac:dyDescent="0.25">
      <c r="A1105" s="1">
        <v>45762</v>
      </c>
      <c r="B1105" t="s">
        <v>1654</v>
      </c>
      <c r="C1105" t="s">
        <v>17</v>
      </c>
      <c r="D1105" t="s">
        <v>18</v>
      </c>
      <c r="E1105">
        <v>150</v>
      </c>
      <c r="F1105">
        <v>0</v>
      </c>
      <c r="G1105">
        <v>17.7</v>
      </c>
      <c r="H1105">
        <v>2655</v>
      </c>
      <c r="I1105" t="s">
        <v>1655</v>
      </c>
      <c r="J1105">
        <v>3</v>
      </c>
      <c r="K1105">
        <v>0.94</v>
      </c>
      <c r="L1105">
        <v>0</v>
      </c>
      <c r="M1105">
        <v>0</v>
      </c>
      <c r="N1105">
        <v>58</v>
      </c>
      <c r="O1105">
        <v>10.6</v>
      </c>
      <c r="P1105">
        <v>72.540000000000006</v>
      </c>
      <c r="Q1105" s="18">
        <f>YEAR(A1105)</f>
        <v>2025</v>
      </c>
      <c r="R1105" s="18">
        <f>MONTH(A1105)</f>
        <v>4</v>
      </c>
      <c r="S1105" s="18">
        <f>IF(R1105&lt;4,Q1105-1,Q1105)</f>
        <v>2025</v>
      </c>
      <c r="T1105" s="18">
        <f>IF(R1105&lt;4,R1105+9,R1105-3)</f>
        <v>1</v>
      </c>
      <c r="U1105" s="18" t="str">
        <f>IF(LEN(T1105)=1,_xlfn.CONCAT(0,T1105),T1105)</f>
        <v>01</v>
      </c>
      <c r="V1105" s="18" t="str">
        <f>_xlfn.CONCAT(S1105,U1105)</f>
        <v>202501</v>
      </c>
      <c r="W1105" s="18" t="str">
        <f>_xlfn.CONCAT(TEXT(A1105,"MMM"),"-",MID(Q1105,3,2))</f>
        <v>Apr-25</v>
      </c>
      <c r="X1105" s="19">
        <f>IFERROR(IF(D1105="Sell",(H1105-P1105),-(H1105+P1105)),0)</f>
        <v>2582.46</v>
      </c>
      <c r="Y1105" s="19">
        <f>X1105/1000</f>
        <v>2.5824600000000002</v>
      </c>
    </row>
    <row r="1106" spans="1:25" x14ac:dyDescent="0.25">
      <c r="A1106" s="1">
        <v>45762</v>
      </c>
      <c r="B1106" t="s">
        <v>1654</v>
      </c>
      <c r="C1106" t="s">
        <v>17</v>
      </c>
      <c r="D1106" t="s">
        <v>22</v>
      </c>
      <c r="E1106">
        <v>75</v>
      </c>
      <c r="F1106">
        <v>0</v>
      </c>
      <c r="G1106">
        <v>23</v>
      </c>
      <c r="H1106">
        <v>1725</v>
      </c>
      <c r="I1106" t="s">
        <v>1656</v>
      </c>
      <c r="J1106">
        <v>0</v>
      </c>
      <c r="K1106">
        <v>0.61</v>
      </c>
      <c r="L1106">
        <v>0</v>
      </c>
      <c r="M1106">
        <v>0</v>
      </c>
      <c r="N1106">
        <v>29</v>
      </c>
      <c r="O1106">
        <v>5.32</v>
      </c>
      <c r="P1106">
        <v>34.93</v>
      </c>
      <c r="Q1106" s="18">
        <f>YEAR(A1106)</f>
        <v>2025</v>
      </c>
      <c r="R1106" s="18">
        <f>MONTH(A1106)</f>
        <v>4</v>
      </c>
      <c r="S1106" s="18">
        <f>IF(R1106&lt;4,Q1106-1,Q1106)</f>
        <v>2025</v>
      </c>
      <c r="T1106" s="18">
        <f>IF(R1106&lt;4,R1106+9,R1106-3)</f>
        <v>1</v>
      </c>
      <c r="U1106" s="18" t="str">
        <f>IF(LEN(T1106)=1,_xlfn.CONCAT(0,T1106),T1106)</f>
        <v>01</v>
      </c>
      <c r="V1106" s="18" t="str">
        <f>_xlfn.CONCAT(S1106,U1106)</f>
        <v>202501</v>
      </c>
      <c r="W1106" s="18" t="str">
        <f>_xlfn.CONCAT(TEXT(A1106,"MMM"),"-",MID(Q1106,3,2))</f>
        <v>Apr-25</v>
      </c>
      <c r="X1106" s="19">
        <f>IFERROR(IF(D1106="Sell",(H1106-P1106),-(H1106+P1106)),0)</f>
        <v>-1759.93</v>
      </c>
      <c r="Y1106" s="19">
        <f>X1106/1000</f>
        <v>-1.75993</v>
      </c>
    </row>
    <row r="1107" spans="1:25" x14ac:dyDescent="0.25">
      <c r="A1107" s="1">
        <v>45762</v>
      </c>
      <c r="B1107" t="s">
        <v>1654</v>
      </c>
      <c r="C1107" t="s">
        <v>17</v>
      </c>
      <c r="D1107" t="s">
        <v>22</v>
      </c>
      <c r="E1107">
        <v>75</v>
      </c>
      <c r="F1107">
        <v>0</v>
      </c>
      <c r="G1107">
        <v>23.5</v>
      </c>
      <c r="H1107">
        <v>1762.5</v>
      </c>
      <c r="I1107" t="s">
        <v>1657</v>
      </c>
      <c r="J1107">
        <v>0</v>
      </c>
      <c r="K1107">
        <v>0.63</v>
      </c>
      <c r="L1107">
        <v>0</v>
      </c>
      <c r="M1107">
        <v>0</v>
      </c>
      <c r="N1107">
        <v>29</v>
      </c>
      <c r="O1107">
        <v>5.34</v>
      </c>
      <c r="P1107">
        <v>34.97</v>
      </c>
      <c r="Q1107" s="18">
        <f>YEAR(A1107)</f>
        <v>2025</v>
      </c>
      <c r="R1107" s="18">
        <f>MONTH(A1107)</f>
        <v>4</v>
      </c>
      <c r="S1107" s="18">
        <f>IF(R1107&lt;4,Q1107-1,Q1107)</f>
        <v>2025</v>
      </c>
      <c r="T1107" s="18">
        <f>IF(R1107&lt;4,R1107+9,R1107-3)</f>
        <v>1</v>
      </c>
      <c r="U1107" s="18" t="str">
        <f>IF(LEN(T1107)=1,_xlfn.CONCAT(0,T1107),T1107)</f>
        <v>01</v>
      </c>
      <c r="V1107" s="18" t="str">
        <f>_xlfn.CONCAT(S1107,U1107)</f>
        <v>202501</v>
      </c>
      <c r="W1107" s="18" t="str">
        <f>_xlfn.CONCAT(TEXT(A1107,"MMM"),"-",MID(Q1107,3,2))</f>
        <v>Apr-25</v>
      </c>
      <c r="X1107" s="19">
        <f>IFERROR(IF(D1107="Sell",(H1107-P1107),-(H1107+P1107)),0)</f>
        <v>-1797.47</v>
      </c>
      <c r="Y1107" s="19">
        <f>X1107/1000</f>
        <v>-1.7974700000000001</v>
      </c>
    </row>
    <row r="1108" spans="1:25" x14ac:dyDescent="0.25">
      <c r="A1108" s="1">
        <v>45779</v>
      </c>
      <c r="B1108" t="s">
        <v>1632</v>
      </c>
      <c r="C1108" t="s">
        <v>17</v>
      </c>
      <c r="D1108" t="s">
        <v>18</v>
      </c>
      <c r="E1108">
        <v>150</v>
      </c>
      <c r="F1108">
        <v>0</v>
      </c>
      <c r="G1108">
        <v>145.80000000000001</v>
      </c>
      <c r="H1108">
        <v>21870</v>
      </c>
      <c r="I1108" t="s">
        <v>1633</v>
      </c>
      <c r="J1108">
        <v>21.87</v>
      </c>
      <c r="K1108">
        <v>7.77</v>
      </c>
      <c r="L1108">
        <v>0</v>
      </c>
      <c r="M1108">
        <v>0.02</v>
      </c>
      <c r="N1108">
        <v>58</v>
      </c>
      <c r="O1108">
        <v>11.84</v>
      </c>
      <c r="P1108">
        <v>99.5</v>
      </c>
      <c r="Q1108" s="18">
        <f>YEAR(A1108)</f>
        <v>2025</v>
      </c>
      <c r="R1108" s="18">
        <f>MONTH(A1108)</f>
        <v>5</v>
      </c>
      <c r="S1108" s="18">
        <f>IF(R1108&lt;4,Q1108-1,Q1108)</f>
        <v>2025</v>
      </c>
      <c r="T1108" s="18">
        <f>IF(R1108&lt;4,R1108+9,R1108-3)</f>
        <v>2</v>
      </c>
      <c r="U1108" s="18" t="str">
        <f>IF(LEN(T1108)=1,_xlfn.CONCAT(0,T1108),T1108)</f>
        <v>02</v>
      </c>
      <c r="V1108" s="18" t="str">
        <f>_xlfn.CONCAT(S1108,U1108)</f>
        <v>202502</v>
      </c>
      <c r="W1108" s="18" t="str">
        <f>_xlfn.CONCAT(TEXT(A1108,"MMM"),"-",MID(Q1108,3,2))</f>
        <v>May-25</v>
      </c>
      <c r="X1108" s="19">
        <f>IFERROR(IF(D1108="Sell",(H1108-P1108),-(H1108+P1108)),0)</f>
        <v>21770.5</v>
      </c>
      <c r="Y1108" s="19">
        <f>X1108/1000</f>
        <v>21.770499999999998</v>
      </c>
    </row>
    <row r="1109" spans="1:25" x14ac:dyDescent="0.25">
      <c r="A1109" s="1">
        <v>45779</v>
      </c>
      <c r="B1109" t="s">
        <v>1632</v>
      </c>
      <c r="C1109" t="s">
        <v>17</v>
      </c>
      <c r="D1109" t="s">
        <v>22</v>
      </c>
      <c r="E1109">
        <v>150</v>
      </c>
      <c r="F1109">
        <v>0</v>
      </c>
      <c r="G1109">
        <v>152.69999999999999</v>
      </c>
      <c r="H1109">
        <v>22905</v>
      </c>
      <c r="I1109" t="s">
        <v>1634</v>
      </c>
      <c r="J1109">
        <v>0</v>
      </c>
      <c r="K1109">
        <v>8.14</v>
      </c>
      <c r="L1109">
        <v>2.44</v>
      </c>
      <c r="M1109">
        <v>0.02</v>
      </c>
      <c r="N1109">
        <v>58</v>
      </c>
      <c r="O1109">
        <v>11.92</v>
      </c>
      <c r="P1109">
        <v>80.52</v>
      </c>
      <c r="Q1109" s="18">
        <f>YEAR(A1109)</f>
        <v>2025</v>
      </c>
      <c r="R1109" s="18">
        <f>MONTH(A1109)</f>
        <v>5</v>
      </c>
      <c r="S1109" s="18">
        <f>IF(R1109&lt;4,Q1109-1,Q1109)</f>
        <v>2025</v>
      </c>
      <c r="T1109" s="18">
        <f>IF(R1109&lt;4,R1109+9,R1109-3)</f>
        <v>2</v>
      </c>
      <c r="U1109" s="18" t="str">
        <f>IF(LEN(T1109)=1,_xlfn.CONCAT(0,T1109),T1109)</f>
        <v>02</v>
      </c>
      <c r="V1109" s="18" t="str">
        <f>_xlfn.CONCAT(S1109,U1109)</f>
        <v>202502</v>
      </c>
      <c r="W1109" s="18" t="str">
        <f>_xlfn.CONCAT(TEXT(A1109,"MMM"),"-",MID(Q1109,3,2))</f>
        <v>May-25</v>
      </c>
      <c r="X1109" s="19">
        <f>IFERROR(IF(D1109="Sell",(H1109-P1109),-(H1109+P1109)),0)</f>
        <v>-22985.52</v>
      </c>
      <c r="Y1109" s="19">
        <f>X1109/1000</f>
        <v>-22.985520000000001</v>
      </c>
    </row>
    <row r="1110" spans="1:25" x14ac:dyDescent="0.25">
      <c r="A1110" s="1">
        <v>45779</v>
      </c>
      <c r="B1110" t="s">
        <v>1632</v>
      </c>
      <c r="C1110" t="s">
        <v>17</v>
      </c>
      <c r="D1110" t="s">
        <v>18</v>
      </c>
      <c r="E1110">
        <v>75</v>
      </c>
      <c r="F1110">
        <v>0</v>
      </c>
      <c r="G1110">
        <v>146.9</v>
      </c>
      <c r="H1110">
        <v>11017.5</v>
      </c>
      <c r="I1110" t="s">
        <v>1635</v>
      </c>
      <c r="J1110">
        <v>11.02</v>
      </c>
      <c r="K1110">
        <v>3.91</v>
      </c>
      <c r="L1110">
        <v>0</v>
      </c>
      <c r="M1110">
        <v>0.01</v>
      </c>
      <c r="N1110">
        <v>29</v>
      </c>
      <c r="O1110">
        <v>5.92</v>
      </c>
      <c r="P1110">
        <v>49.86</v>
      </c>
      <c r="Q1110" s="18">
        <f>YEAR(A1110)</f>
        <v>2025</v>
      </c>
      <c r="R1110" s="18">
        <f>MONTH(A1110)</f>
        <v>5</v>
      </c>
      <c r="S1110" s="18">
        <f>IF(R1110&lt;4,Q1110-1,Q1110)</f>
        <v>2025</v>
      </c>
      <c r="T1110" s="18">
        <f>IF(R1110&lt;4,R1110+9,R1110-3)</f>
        <v>2</v>
      </c>
      <c r="U1110" s="18" t="str">
        <f>IF(LEN(T1110)=1,_xlfn.CONCAT(0,T1110),T1110)</f>
        <v>02</v>
      </c>
      <c r="V1110" s="18" t="str">
        <f>_xlfn.CONCAT(S1110,U1110)</f>
        <v>202502</v>
      </c>
      <c r="W1110" s="18" t="str">
        <f>_xlfn.CONCAT(TEXT(A1110,"MMM"),"-",MID(Q1110,3,2))</f>
        <v>May-25</v>
      </c>
      <c r="X1110" s="19">
        <f>IFERROR(IF(D1110="Sell",(H1110-P1110),-(H1110+P1110)),0)</f>
        <v>10967.64</v>
      </c>
      <c r="Y1110" s="19">
        <f>X1110/1000</f>
        <v>10.967639999999999</v>
      </c>
    </row>
    <row r="1111" spans="1:25" x14ac:dyDescent="0.25">
      <c r="A1111" s="1">
        <v>45779</v>
      </c>
      <c r="B1111" t="s">
        <v>1632</v>
      </c>
      <c r="C1111" t="s">
        <v>17</v>
      </c>
      <c r="D1111" t="s">
        <v>22</v>
      </c>
      <c r="E1111">
        <v>75</v>
      </c>
      <c r="F1111">
        <v>0</v>
      </c>
      <c r="G1111">
        <v>156.44999999999999</v>
      </c>
      <c r="H1111">
        <v>11733.75</v>
      </c>
      <c r="I1111" t="s">
        <v>1636</v>
      </c>
      <c r="J1111">
        <v>0</v>
      </c>
      <c r="K1111">
        <v>4.17</v>
      </c>
      <c r="L1111">
        <v>0</v>
      </c>
      <c r="M1111">
        <v>0.01</v>
      </c>
      <c r="N1111">
        <v>29</v>
      </c>
      <c r="O1111">
        <v>5.98</v>
      </c>
      <c r="P1111">
        <v>39.159999999999997</v>
      </c>
      <c r="Q1111" s="18">
        <f>YEAR(A1111)</f>
        <v>2025</v>
      </c>
      <c r="R1111" s="18">
        <f>MONTH(A1111)</f>
        <v>5</v>
      </c>
      <c r="S1111" s="18">
        <f>IF(R1111&lt;4,Q1111-1,Q1111)</f>
        <v>2025</v>
      </c>
      <c r="T1111" s="18">
        <f>IF(R1111&lt;4,R1111+9,R1111-3)</f>
        <v>2</v>
      </c>
      <c r="U1111" s="18" t="str">
        <f>IF(LEN(T1111)=1,_xlfn.CONCAT(0,T1111),T1111)</f>
        <v>02</v>
      </c>
      <c r="V1111" s="18" t="str">
        <f>_xlfn.CONCAT(S1111,U1111)</f>
        <v>202502</v>
      </c>
      <c r="W1111" s="18" t="str">
        <f>_xlfn.CONCAT(TEXT(A1111,"MMM"),"-",MID(Q1111,3,2))</f>
        <v>May-25</v>
      </c>
      <c r="X1111" s="19">
        <f>IFERROR(IF(D1111="Sell",(H1111-P1111),-(H1111+P1111)),0)</f>
        <v>-11772.91</v>
      </c>
      <c r="Y1111" s="19">
        <f>X1111/1000</f>
        <v>-11.77291</v>
      </c>
    </row>
    <row r="1112" spans="1:25" x14ac:dyDescent="0.25">
      <c r="A1112" s="1">
        <v>45779</v>
      </c>
      <c r="B1112" t="s">
        <v>1637</v>
      </c>
      <c r="C1112" t="s">
        <v>17</v>
      </c>
      <c r="D1112" t="s">
        <v>18</v>
      </c>
      <c r="E1112">
        <v>150</v>
      </c>
      <c r="F1112">
        <v>0</v>
      </c>
      <c r="G1112">
        <v>209.15</v>
      </c>
      <c r="H1112">
        <v>31372.5</v>
      </c>
      <c r="I1112" t="s">
        <v>1638</v>
      </c>
      <c r="J1112">
        <v>31.37</v>
      </c>
      <c r="K1112">
        <v>11.15</v>
      </c>
      <c r="L1112">
        <v>0</v>
      </c>
      <c r="M1112">
        <v>0.03</v>
      </c>
      <c r="N1112">
        <v>58</v>
      </c>
      <c r="O1112">
        <v>12.46</v>
      </c>
      <c r="P1112">
        <v>113.01</v>
      </c>
      <c r="Q1112" s="18">
        <f>YEAR(A1112)</f>
        <v>2025</v>
      </c>
      <c r="R1112" s="18">
        <f>MONTH(A1112)</f>
        <v>5</v>
      </c>
      <c r="S1112" s="18">
        <f>IF(R1112&lt;4,Q1112-1,Q1112)</f>
        <v>2025</v>
      </c>
      <c r="T1112" s="18">
        <f>IF(R1112&lt;4,R1112+9,R1112-3)</f>
        <v>2</v>
      </c>
      <c r="U1112" s="18" t="str">
        <f>IF(LEN(T1112)=1,_xlfn.CONCAT(0,T1112),T1112)</f>
        <v>02</v>
      </c>
      <c r="V1112" s="18" t="str">
        <f>_xlfn.CONCAT(S1112,U1112)</f>
        <v>202502</v>
      </c>
      <c r="W1112" s="18" t="str">
        <f>_xlfn.CONCAT(TEXT(A1112,"MMM"),"-",MID(Q1112,3,2))</f>
        <v>May-25</v>
      </c>
      <c r="X1112" s="19">
        <f>IFERROR(IF(D1112="Sell",(H1112-P1112),-(H1112+P1112)),0)</f>
        <v>31259.49</v>
      </c>
      <c r="Y1112" s="19">
        <f>X1112/1000</f>
        <v>31.259490000000003</v>
      </c>
    </row>
    <row r="1113" spans="1:25" x14ac:dyDescent="0.25">
      <c r="A1113" s="1">
        <v>45779</v>
      </c>
      <c r="B1113" t="s">
        <v>1637</v>
      </c>
      <c r="C1113" t="s">
        <v>17</v>
      </c>
      <c r="D1113" t="s">
        <v>22</v>
      </c>
      <c r="E1113">
        <v>75</v>
      </c>
      <c r="F1113">
        <v>0</v>
      </c>
      <c r="G1113">
        <v>203</v>
      </c>
      <c r="H1113">
        <v>15225</v>
      </c>
      <c r="I1113" t="s">
        <v>1639</v>
      </c>
      <c r="J1113">
        <v>0</v>
      </c>
      <c r="K1113">
        <v>5.41</v>
      </c>
      <c r="L1113">
        <v>0</v>
      </c>
      <c r="M1113">
        <v>0.02</v>
      </c>
      <c r="N1113">
        <v>29</v>
      </c>
      <c r="O1113">
        <v>6.2</v>
      </c>
      <c r="P1113">
        <v>40.630000000000003</v>
      </c>
      <c r="Q1113" s="18">
        <f>YEAR(A1113)</f>
        <v>2025</v>
      </c>
      <c r="R1113" s="18">
        <f>MONTH(A1113)</f>
        <v>5</v>
      </c>
      <c r="S1113" s="18">
        <f>IF(R1113&lt;4,Q1113-1,Q1113)</f>
        <v>2025</v>
      </c>
      <c r="T1113" s="18">
        <f>IF(R1113&lt;4,R1113+9,R1113-3)</f>
        <v>2</v>
      </c>
      <c r="U1113" s="18" t="str">
        <f>IF(LEN(T1113)=1,_xlfn.CONCAT(0,T1113),T1113)</f>
        <v>02</v>
      </c>
      <c r="V1113" s="18" t="str">
        <f>_xlfn.CONCAT(S1113,U1113)</f>
        <v>202502</v>
      </c>
      <c r="W1113" s="18" t="str">
        <f>_xlfn.CONCAT(TEXT(A1113,"MMM"),"-",MID(Q1113,3,2))</f>
        <v>May-25</v>
      </c>
      <c r="X1113" s="19">
        <f>IFERROR(IF(D1113="Sell",(H1113-P1113),-(H1113+P1113)),0)</f>
        <v>-15265.63</v>
      </c>
      <c r="Y1113" s="19">
        <f>X1113/1000</f>
        <v>-15.26563</v>
      </c>
    </row>
    <row r="1114" spans="1:25" x14ac:dyDescent="0.25">
      <c r="A1114" s="1">
        <v>45779</v>
      </c>
      <c r="B1114" t="s">
        <v>1637</v>
      </c>
      <c r="C1114" t="s">
        <v>17</v>
      </c>
      <c r="D1114" t="s">
        <v>22</v>
      </c>
      <c r="E1114">
        <v>75</v>
      </c>
      <c r="F1114">
        <v>0</v>
      </c>
      <c r="G1114">
        <v>199.6</v>
      </c>
      <c r="H1114">
        <v>14970</v>
      </c>
      <c r="I1114" t="s">
        <v>1640</v>
      </c>
      <c r="J1114">
        <v>0</v>
      </c>
      <c r="K1114">
        <v>5.32</v>
      </c>
      <c r="L1114">
        <v>0.91</v>
      </c>
      <c r="M1114">
        <v>0.01</v>
      </c>
      <c r="N1114">
        <v>29</v>
      </c>
      <c r="O1114">
        <v>6.18</v>
      </c>
      <c r="P1114">
        <v>41.42</v>
      </c>
      <c r="Q1114" s="18">
        <f>YEAR(A1114)</f>
        <v>2025</v>
      </c>
      <c r="R1114" s="18">
        <f>MONTH(A1114)</f>
        <v>5</v>
      </c>
      <c r="S1114" s="18">
        <f>IF(R1114&lt;4,Q1114-1,Q1114)</f>
        <v>2025</v>
      </c>
      <c r="T1114" s="18">
        <f>IF(R1114&lt;4,R1114+9,R1114-3)</f>
        <v>2</v>
      </c>
      <c r="U1114" s="18" t="str">
        <f>IF(LEN(T1114)=1,_xlfn.CONCAT(0,T1114),T1114)</f>
        <v>02</v>
      </c>
      <c r="V1114" s="18" t="str">
        <f>_xlfn.CONCAT(S1114,U1114)</f>
        <v>202502</v>
      </c>
      <c r="W1114" s="18" t="str">
        <f>_xlfn.CONCAT(TEXT(A1114,"MMM"),"-",MID(Q1114,3,2))</f>
        <v>May-25</v>
      </c>
      <c r="X1114" s="19">
        <f>IFERROR(IF(D1114="Sell",(H1114-P1114),-(H1114+P1114)),0)</f>
        <v>-15011.42</v>
      </c>
      <c r="Y1114" s="19">
        <f>X1114/1000</f>
        <v>-15.011419999999999</v>
      </c>
    </row>
    <row r="1115" spans="1:25" x14ac:dyDescent="0.25">
      <c r="A1115" s="1">
        <v>45779</v>
      </c>
      <c r="B1115" t="s">
        <v>1632</v>
      </c>
      <c r="C1115" t="s">
        <v>17</v>
      </c>
      <c r="D1115" t="s">
        <v>18</v>
      </c>
      <c r="E1115">
        <v>150</v>
      </c>
      <c r="F1115">
        <v>0</v>
      </c>
      <c r="G1115">
        <v>217.25</v>
      </c>
      <c r="H1115">
        <v>32587.5</v>
      </c>
      <c r="I1115" t="s">
        <v>1641</v>
      </c>
      <c r="J1115">
        <v>32.58</v>
      </c>
      <c r="K1115">
        <v>11.58</v>
      </c>
      <c r="L1115">
        <v>0</v>
      </c>
      <c r="M1115">
        <v>0.04</v>
      </c>
      <c r="N1115">
        <v>58</v>
      </c>
      <c r="O1115">
        <v>12.52</v>
      </c>
      <c r="P1115">
        <v>114.72</v>
      </c>
      <c r="Q1115" s="18">
        <f>YEAR(A1115)</f>
        <v>2025</v>
      </c>
      <c r="R1115" s="18">
        <f>MONTH(A1115)</f>
        <v>5</v>
      </c>
      <c r="S1115" s="18">
        <f>IF(R1115&lt;4,Q1115-1,Q1115)</f>
        <v>2025</v>
      </c>
      <c r="T1115" s="18">
        <f>IF(R1115&lt;4,R1115+9,R1115-3)</f>
        <v>2</v>
      </c>
      <c r="U1115" s="18" t="str">
        <f>IF(LEN(T1115)=1,_xlfn.CONCAT(0,T1115),T1115)</f>
        <v>02</v>
      </c>
      <c r="V1115" s="18" t="str">
        <f>_xlfn.CONCAT(S1115,U1115)</f>
        <v>202502</v>
      </c>
      <c r="W1115" s="18" t="str">
        <f>_xlfn.CONCAT(TEXT(A1115,"MMM"),"-",MID(Q1115,3,2))</f>
        <v>May-25</v>
      </c>
      <c r="X1115" s="19">
        <f>IFERROR(IF(D1115="Sell",(H1115-P1115),-(H1115+P1115)),0)</f>
        <v>32472.78</v>
      </c>
      <c r="Y1115" s="19">
        <f>X1115/1000</f>
        <v>32.47278</v>
      </c>
    </row>
    <row r="1116" spans="1:25" x14ac:dyDescent="0.25">
      <c r="A1116" s="1">
        <v>45779</v>
      </c>
      <c r="B1116" t="s">
        <v>1632</v>
      </c>
      <c r="C1116" t="s">
        <v>17</v>
      </c>
      <c r="D1116" t="s">
        <v>22</v>
      </c>
      <c r="E1116">
        <v>150</v>
      </c>
      <c r="F1116">
        <v>0</v>
      </c>
      <c r="G1116">
        <v>204</v>
      </c>
      <c r="H1116">
        <v>30600</v>
      </c>
      <c r="I1116" t="s">
        <v>1642</v>
      </c>
      <c r="J1116">
        <v>0</v>
      </c>
      <c r="K1116">
        <v>10.88</v>
      </c>
      <c r="L1116">
        <v>0</v>
      </c>
      <c r="M1116">
        <v>0.04</v>
      </c>
      <c r="N1116">
        <v>58</v>
      </c>
      <c r="O1116">
        <v>12.4</v>
      </c>
      <c r="P1116">
        <v>81.319999999999993</v>
      </c>
      <c r="Q1116" s="18">
        <f>YEAR(A1116)</f>
        <v>2025</v>
      </c>
      <c r="R1116" s="18">
        <f>MONTH(A1116)</f>
        <v>5</v>
      </c>
      <c r="S1116" s="18">
        <f>IF(R1116&lt;4,Q1116-1,Q1116)</f>
        <v>2025</v>
      </c>
      <c r="T1116" s="18">
        <f>IF(R1116&lt;4,R1116+9,R1116-3)</f>
        <v>2</v>
      </c>
      <c r="U1116" s="18" t="str">
        <f>IF(LEN(T1116)=1,_xlfn.CONCAT(0,T1116),T1116)</f>
        <v>02</v>
      </c>
      <c r="V1116" s="18" t="str">
        <f>_xlfn.CONCAT(S1116,U1116)</f>
        <v>202502</v>
      </c>
      <c r="W1116" s="18" t="str">
        <f>_xlfn.CONCAT(TEXT(A1116,"MMM"),"-",MID(Q1116,3,2))</f>
        <v>May-25</v>
      </c>
      <c r="X1116" s="19">
        <f>IFERROR(IF(D1116="Sell",(H1116-P1116),-(H1116+P1116)),0)</f>
        <v>-30681.32</v>
      </c>
      <c r="Y1116" s="19">
        <f>X1116/1000</f>
        <v>-30.681319999999999</v>
      </c>
    </row>
    <row r="1117" spans="1:25" x14ac:dyDescent="0.25">
      <c r="A1117" s="1">
        <v>45779</v>
      </c>
      <c r="B1117" t="s">
        <v>1643</v>
      </c>
      <c r="C1117" t="s">
        <v>17</v>
      </c>
      <c r="D1117" t="s">
        <v>18</v>
      </c>
      <c r="E1117">
        <v>150</v>
      </c>
      <c r="F1117">
        <v>0</v>
      </c>
      <c r="G1117">
        <v>215.45</v>
      </c>
      <c r="H1117">
        <v>32317.5</v>
      </c>
      <c r="I1117" t="s">
        <v>1644</v>
      </c>
      <c r="J1117">
        <v>32.32</v>
      </c>
      <c r="K1117">
        <v>11.48</v>
      </c>
      <c r="L1117">
        <v>0</v>
      </c>
      <c r="M1117">
        <v>0.04</v>
      </c>
      <c r="N1117">
        <v>58</v>
      </c>
      <c r="O1117">
        <v>12.52</v>
      </c>
      <c r="P1117">
        <v>114.36</v>
      </c>
      <c r="Q1117" s="18">
        <f>YEAR(A1117)</f>
        <v>2025</v>
      </c>
      <c r="R1117" s="18">
        <f>MONTH(A1117)</f>
        <v>5</v>
      </c>
      <c r="S1117" s="18">
        <f>IF(R1117&lt;4,Q1117-1,Q1117)</f>
        <v>2025</v>
      </c>
      <c r="T1117" s="18">
        <f>IF(R1117&lt;4,R1117+9,R1117-3)</f>
        <v>2</v>
      </c>
      <c r="U1117" s="18" t="str">
        <f>IF(LEN(T1117)=1,_xlfn.CONCAT(0,T1117),T1117)</f>
        <v>02</v>
      </c>
      <c r="V1117" s="18" t="str">
        <f>_xlfn.CONCAT(S1117,U1117)</f>
        <v>202502</v>
      </c>
      <c r="W1117" s="18" t="str">
        <f>_xlfn.CONCAT(TEXT(A1117,"MMM"),"-",MID(Q1117,3,2))</f>
        <v>May-25</v>
      </c>
      <c r="X1117" s="19">
        <f>IFERROR(IF(D1117="Sell",(H1117-P1117),-(H1117+P1117)),0)</f>
        <v>32203.14</v>
      </c>
      <c r="Y1117" s="19">
        <f>X1117/1000</f>
        <v>32.203139999999998</v>
      </c>
    </row>
    <row r="1118" spans="1:25" x14ac:dyDescent="0.25">
      <c r="A1118" s="1">
        <v>45779</v>
      </c>
      <c r="B1118" t="s">
        <v>1643</v>
      </c>
      <c r="C1118" t="s">
        <v>17</v>
      </c>
      <c r="D1118" t="s">
        <v>22</v>
      </c>
      <c r="E1118">
        <v>150</v>
      </c>
      <c r="F1118">
        <v>0</v>
      </c>
      <c r="G1118">
        <v>203.3</v>
      </c>
      <c r="H1118">
        <v>30495</v>
      </c>
      <c r="I1118" t="s">
        <v>1645</v>
      </c>
      <c r="J1118">
        <v>0</v>
      </c>
      <c r="K1118">
        <v>10.84</v>
      </c>
      <c r="L1118">
        <v>0</v>
      </c>
      <c r="M1118">
        <v>0.04</v>
      </c>
      <c r="N1118">
        <v>58</v>
      </c>
      <c r="O1118">
        <v>12.4</v>
      </c>
      <c r="P1118">
        <v>81.28</v>
      </c>
      <c r="Q1118" s="18">
        <f>YEAR(A1118)</f>
        <v>2025</v>
      </c>
      <c r="R1118" s="18">
        <f>MONTH(A1118)</f>
        <v>5</v>
      </c>
      <c r="S1118" s="18">
        <f>IF(R1118&lt;4,Q1118-1,Q1118)</f>
        <v>2025</v>
      </c>
      <c r="T1118" s="18">
        <f>IF(R1118&lt;4,R1118+9,R1118-3)</f>
        <v>2</v>
      </c>
      <c r="U1118" s="18" t="str">
        <f>IF(LEN(T1118)=1,_xlfn.CONCAT(0,T1118),T1118)</f>
        <v>02</v>
      </c>
      <c r="V1118" s="18" t="str">
        <f>_xlfn.CONCAT(S1118,U1118)</f>
        <v>202502</v>
      </c>
      <c r="W1118" s="18" t="str">
        <f>_xlfn.CONCAT(TEXT(A1118,"MMM"),"-",MID(Q1118,3,2))</f>
        <v>May-25</v>
      </c>
      <c r="X1118" s="19">
        <f>IFERROR(IF(D1118="Sell",(H1118-P1118),-(H1118+P1118)),0)</f>
        <v>-30576.28</v>
      </c>
      <c r="Y1118" s="19">
        <f>X1118/1000</f>
        <v>-30.576280000000001</v>
      </c>
    </row>
    <row r="1119" spans="1:25" x14ac:dyDescent="0.25">
      <c r="A1119" s="1">
        <v>45779</v>
      </c>
      <c r="B1119" t="s">
        <v>1646</v>
      </c>
      <c r="C1119" t="s">
        <v>17</v>
      </c>
      <c r="D1119" t="s">
        <v>18</v>
      </c>
      <c r="E1119">
        <v>75</v>
      </c>
      <c r="F1119">
        <v>0</v>
      </c>
      <c r="G1119">
        <v>204.55</v>
      </c>
      <c r="H1119">
        <v>15341.25</v>
      </c>
      <c r="I1119" t="s">
        <v>1647</v>
      </c>
      <c r="J1119">
        <v>15.34</v>
      </c>
      <c r="K1119">
        <v>5.45</v>
      </c>
      <c r="L1119">
        <v>0</v>
      </c>
      <c r="M1119">
        <v>0.02</v>
      </c>
      <c r="N1119">
        <v>29</v>
      </c>
      <c r="O1119">
        <v>6.2</v>
      </c>
      <c r="P1119">
        <v>56.01</v>
      </c>
      <c r="Q1119" s="18">
        <f>YEAR(A1119)</f>
        <v>2025</v>
      </c>
      <c r="R1119" s="18">
        <f>MONTH(A1119)</f>
        <v>5</v>
      </c>
      <c r="S1119" s="18">
        <f>IF(R1119&lt;4,Q1119-1,Q1119)</f>
        <v>2025</v>
      </c>
      <c r="T1119" s="18">
        <f>IF(R1119&lt;4,R1119+9,R1119-3)</f>
        <v>2</v>
      </c>
      <c r="U1119" s="18" t="str">
        <f>IF(LEN(T1119)=1,_xlfn.CONCAT(0,T1119),T1119)</f>
        <v>02</v>
      </c>
      <c r="V1119" s="18" t="str">
        <f>_xlfn.CONCAT(S1119,U1119)</f>
        <v>202502</v>
      </c>
      <c r="W1119" s="18" t="str">
        <f>_xlfn.CONCAT(TEXT(A1119,"MMM"),"-",MID(Q1119,3,2))</f>
        <v>May-25</v>
      </c>
      <c r="X1119" s="19">
        <f>IFERROR(IF(D1119="Sell",(H1119-P1119),-(H1119+P1119)),0)</f>
        <v>15285.24</v>
      </c>
      <c r="Y1119" s="19">
        <f>X1119/1000</f>
        <v>15.28524</v>
      </c>
    </row>
    <row r="1120" spans="1:25" x14ac:dyDescent="0.25">
      <c r="A1120" s="1">
        <v>45779</v>
      </c>
      <c r="B1120" t="s">
        <v>1646</v>
      </c>
      <c r="C1120" t="s">
        <v>17</v>
      </c>
      <c r="D1120" t="s">
        <v>22</v>
      </c>
      <c r="E1120">
        <v>75</v>
      </c>
      <c r="F1120">
        <v>0</v>
      </c>
      <c r="G1120">
        <v>202.1</v>
      </c>
      <c r="H1120">
        <v>15157.5</v>
      </c>
      <c r="I1120" t="s">
        <v>1648</v>
      </c>
      <c r="J1120">
        <v>0</v>
      </c>
      <c r="K1120">
        <v>5.39</v>
      </c>
      <c r="L1120">
        <v>0.45</v>
      </c>
      <c r="M1120">
        <v>0.02</v>
      </c>
      <c r="N1120">
        <v>29</v>
      </c>
      <c r="O1120">
        <v>6.2</v>
      </c>
      <c r="P1120">
        <v>41.06</v>
      </c>
      <c r="Q1120" s="18">
        <f>YEAR(A1120)</f>
        <v>2025</v>
      </c>
      <c r="R1120" s="18">
        <f>MONTH(A1120)</f>
        <v>5</v>
      </c>
      <c r="S1120" s="18">
        <f>IF(R1120&lt;4,Q1120-1,Q1120)</f>
        <v>2025</v>
      </c>
      <c r="T1120" s="18">
        <f>IF(R1120&lt;4,R1120+9,R1120-3)</f>
        <v>2</v>
      </c>
      <c r="U1120" s="18" t="str">
        <f>IF(LEN(T1120)=1,_xlfn.CONCAT(0,T1120),T1120)</f>
        <v>02</v>
      </c>
      <c r="V1120" s="18" t="str">
        <f>_xlfn.CONCAT(S1120,U1120)</f>
        <v>202502</v>
      </c>
      <c r="W1120" s="18" t="str">
        <f>_xlfn.CONCAT(TEXT(A1120,"MMM"),"-",MID(Q1120,3,2))</f>
        <v>May-25</v>
      </c>
      <c r="X1120" s="19">
        <f>IFERROR(IF(D1120="Sell",(H1120-P1120),-(H1120+P1120)),0)</f>
        <v>-15198.56</v>
      </c>
      <c r="Y1120" s="19">
        <f>X1120/1000</f>
        <v>-15.198559999999999</v>
      </c>
    </row>
    <row r="1121" spans="1:25" x14ac:dyDescent="0.25">
      <c r="A1121" s="1">
        <v>45779</v>
      </c>
      <c r="B1121" t="s">
        <v>1643</v>
      </c>
      <c r="C1121" t="s">
        <v>17</v>
      </c>
      <c r="D1121" t="s">
        <v>18</v>
      </c>
      <c r="E1121">
        <v>75</v>
      </c>
      <c r="F1121">
        <v>0</v>
      </c>
      <c r="G1121">
        <v>159.25</v>
      </c>
      <c r="H1121">
        <v>11943.75</v>
      </c>
      <c r="I1121" t="s">
        <v>1649</v>
      </c>
      <c r="J1121">
        <v>11.94</v>
      </c>
      <c r="K1121">
        <v>4.24</v>
      </c>
      <c r="L1121">
        <v>0</v>
      </c>
      <c r="M1121">
        <v>0.01</v>
      </c>
      <c r="N1121">
        <v>29</v>
      </c>
      <c r="O1121">
        <v>5.98</v>
      </c>
      <c r="P1121">
        <v>51.17</v>
      </c>
      <c r="Q1121" s="18">
        <f>YEAR(A1121)</f>
        <v>2025</v>
      </c>
      <c r="R1121" s="18">
        <f>MONTH(A1121)</f>
        <v>5</v>
      </c>
      <c r="S1121" s="18">
        <f>IF(R1121&lt;4,Q1121-1,Q1121)</f>
        <v>2025</v>
      </c>
      <c r="T1121" s="18">
        <f>IF(R1121&lt;4,R1121+9,R1121-3)</f>
        <v>2</v>
      </c>
      <c r="U1121" s="18" t="str">
        <f>IF(LEN(T1121)=1,_xlfn.CONCAT(0,T1121),T1121)</f>
        <v>02</v>
      </c>
      <c r="V1121" s="18" t="str">
        <f>_xlfn.CONCAT(S1121,U1121)</f>
        <v>202502</v>
      </c>
      <c r="W1121" s="18" t="str">
        <f>_xlfn.CONCAT(TEXT(A1121,"MMM"),"-",MID(Q1121,3,2))</f>
        <v>May-25</v>
      </c>
      <c r="X1121" s="19">
        <f>IFERROR(IF(D1121="Sell",(H1121-P1121),-(H1121+P1121)),0)</f>
        <v>11892.58</v>
      </c>
      <c r="Y1121" s="19">
        <f>X1121/1000</f>
        <v>11.892580000000001</v>
      </c>
    </row>
    <row r="1122" spans="1:25" x14ac:dyDescent="0.25">
      <c r="A1122" s="1">
        <v>45779</v>
      </c>
      <c r="B1122" t="s">
        <v>1643</v>
      </c>
      <c r="C1122" t="s">
        <v>17</v>
      </c>
      <c r="D1122" t="s">
        <v>22</v>
      </c>
      <c r="E1122">
        <v>75</v>
      </c>
      <c r="F1122">
        <v>0</v>
      </c>
      <c r="G1122">
        <v>151.25</v>
      </c>
      <c r="H1122">
        <v>11343.75</v>
      </c>
      <c r="I1122" t="s">
        <v>1650</v>
      </c>
      <c r="J1122">
        <v>0</v>
      </c>
      <c r="K1122">
        <v>4.03</v>
      </c>
      <c r="L1122">
        <v>1.26</v>
      </c>
      <c r="M1122">
        <v>0.01</v>
      </c>
      <c r="N1122">
        <v>29</v>
      </c>
      <c r="O1122">
        <v>5.94</v>
      </c>
      <c r="P1122">
        <v>40.24</v>
      </c>
      <c r="Q1122" s="18">
        <f>YEAR(A1122)</f>
        <v>2025</v>
      </c>
      <c r="R1122" s="18">
        <f>MONTH(A1122)</f>
        <v>5</v>
      </c>
      <c r="S1122" s="18">
        <f>IF(R1122&lt;4,Q1122-1,Q1122)</f>
        <v>2025</v>
      </c>
      <c r="T1122" s="18">
        <f>IF(R1122&lt;4,R1122+9,R1122-3)</f>
        <v>2</v>
      </c>
      <c r="U1122" s="18" t="str">
        <f>IF(LEN(T1122)=1,_xlfn.CONCAT(0,T1122),T1122)</f>
        <v>02</v>
      </c>
      <c r="V1122" s="18" t="str">
        <f>_xlfn.CONCAT(S1122,U1122)</f>
        <v>202502</v>
      </c>
      <c r="W1122" s="18" t="str">
        <f>_xlfn.CONCAT(TEXT(A1122,"MMM"),"-",MID(Q1122,3,2))</f>
        <v>May-25</v>
      </c>
      <c r="X1122" s="19">
        <f>IFERROR(IF(D1122="Sell",(H1122-P1122),-(H1122+P1122)),0)</f>
        <v>-11383.99</v>
      </c>
      <c r="Y1122" s="19">
        <f>X1122/1000</f>
        <v>-11.383989999999999</v>
      </c>
    </row>
    <row r="1123" spans="1:25" x14ac:dyDescent="0.25">
      <c r="A1123" s="1">
        <v>45779</v>
      </c>
      <c r="B1123" t="s">
        <v>1651</v>
      </c>
      <c r="C1123" t="s">
        <v>17</v>
      </c>
      <c r="D1123" t="s">
        <v>18</v>
      </c>
      <c r="E1123">
        <v>150</v>
      </c>
      <c r="F1123">
        <v>0</v>
      </c>
      <c r="G1123">
        <v>227.25</v>
      </c>
      <c r="H1123">
        <v>34087.5</v>
      </c>
      <c r="I1123" t="s">
        <v>1652</v>
      </c>
      <c r="J1123">
        <v>34.549999999999997</v>
      </c>
      <c r="K1123">
        <v>12.11</v>
      </c>
      <c r="L1123">
        <v>0</v>
      </c>
      <c r="M1123">
        <v>0.03</v>
      </c>
      <c r="N1123">
        <v>58</v>
      </c>
      <c r="O1123">
        <v>12.62</v>
      </c>
      <c r="P1123">
        <v>117.31</v>
      </c>
      <c r="Q1123" s="18">
        <f>YEAR(A1123)</f>
        <v>2025</v>
      </c>
      <c r="R1123" s="18">
        <f>MONTH(A1123)</f>
        <v>5</v>
      </c>
      <c r="S1123" s="18">
        <f>IF(R1123&lt;4,Q1123-1,Q1123)</f>
        <v>2025</v>
      </c>
      <c r="T1123" s="18">
        <f>IF(R1123&lt;4,R1123+9,R1123-3)</f>
        <v>2</v>
      </c>
      <c r="U1123" s="18" t="str">
        <f>IF(LEN(T1123)=1,_xlfn.CONCAT(0,T1123),T1123)</f>
        <v>02</v>
      </c>
      <c r="V1123" s="18" t="str">
        <f>_xlfn.CONCAT(S1123,U1123)</f>
        <v>202502</v>
      </c>
      <c r="W1123" s="18" t="str">
        <f>_xlfn.CONCAT(TEXT(A1123,"MMM"),"-",MID(Q1123,3,2))</f>
        <v>May-25</v>
      </c>
      <c r="X1123" s="19">
        <f>IFERROR(IF(D1123="Sell",(H1123-P1123),-(H1123+P1123)),0)</f>
        <v>33970.19</v>
      </c>
      <c r="Y1123" s="19">
        <f>X1123/1000</f>
        <v>33.970190000000002</v>
      </c>
    </row>
    <row r="1124" spans="1:25" x14ac:dyDescent="0.25">
      <c r="A1124" s="1">
        <v>45779</v>
      </c>
      <c r="B1124" t="s">
        <v>1651</v>
      </c>
      <c r="C1124" t="s">
        <v>17</v>
      </c>
      <c r="D1124" t="s">
        <v>22</v>
      </c>
      <c r="E1124">
        <v>150</v>
      </c>
      <c r="F1124">
        <v>0</v>
      </c>
      <c r="G1124">
        <v>208.78</v>
      </c>
      <c r="H1124">
        <v>31316.25</v>
      </c>
      <c r="I1124" t="s">
        <v>1653</v>
      </c>
      <c r="J1124">
        <v>0</v>
      </c>
      <c r="K1124">
        <v>11.12</v>
      </c>
      <c r="L1124">
        <v>0.94</v>
      </c>
      <c r="M1124">
        <v>0.04</v>
      </c>
      <c r="N1124">
        <v>58</v>
      </c>
      <c r="O1124">
        <v>12.44</v>
      </c>
      <c r="P1124">
        <v>82.54</v>
      </c>
      <c r="Q1124" s="18">
        <f>YEAR(A1124)</f>
        <v>2025</v>
      </c>
      <c r="R1124" s="18">
        <f>MONTH(A1124)</f>
        <v>5</v>
      </c>
      <c r="S1124" s="18">
        <f>IF(R1124&lt;4,Q1124-1,Q1124)</f>
        <v>2025</v>
      </c>
      <c r="T1124" s="18">
        <f>IF(R1124&lt;4,R1124+9,R1124-3)</f>
        <v>2</v>
      </c>
      <c r="U1124" s="18" t="str">
        <f>IF(LEN(T1124)=1,_xlfn.CONCAT(0,T1124),T1124)</f>
        <v>02</v>
      </c>
      <c r="V1124" s="18" t="str">
        <f>_xlfn.CONCAT(S1124,U1124)</f>
        <v>202502</v>
      </c>
      <c r="W1124" s="18" t="str">
        <f>_xlfn.CONCAT(TEXT(A1124,"MMM"),"-",MID(Q1124,3,2))</f>
        <v>May-25</v>
      </c>
      <c r="X1124" s="19">
        <f>IFERROR(IF(D1124="Sell",(H1124-P1124),-(H1124+P1124)),0)</f>
        <v>-31398.79</v>
      </c>
      <c r="Y1124" s="19">
        <f>X1124/1000</f>
        <v>-31.398790000000002</v>
      </c>
    </row>
    <row r="1125" spans="1:25" x14ac:dyDescent="0.25">
      <c r="A1125" s="1">
        <v>45784</v>
      </c>
      <c r="B1125" t="s">
        <v>1624</v>
      </c>
      <c r="C1125" t="s">
        <v>17</v>
      </c>
      <c r="D1125" t="s">
        <v>18</v>
      </c>
      <c r="E1125">
        <v>150</v>
      </c>
      <c r="F1125">
        <v>0</v>
      </c>
      <c r="G1125">
        <v>103.45</v>
      </c>
      <c r="H1125">
        <v>15517.5</v>
      </c>
      <c r="I1125" t="s">
        <v>1625</v>
      </c>
      <c r="J1125">
        <v>15.52</v>
      </c>
      <c r="K1125">
        <v>5.51</v>
      </c>
      <c r="L1125">
        <v>0</v>
      </c>
      <c r="M1125">
        <v>0.02</v>
      </c>
      <c r="N1125">
        <v>58</v>
      </c>
      <c r="O1125">
        <v>11.44</v>
      </c>
      <c r="P1125">
        <v>90.49</v>
      </c>
      <c r="Q1125" s="18">
        <f>YEAR(A1125)</f>
        <v>2025</v>
      </c>
      <c r="R1125" s="18">
        <f>MONTH(A1125)</f>
        <v>5</v>
      </c>
      <c r="S1125" s="18">
        <f>IF(R1125&lt;4,Q1125-1,Q1125)</f>
        <v>2025</v>
      </c>
      <c r="T1125" s="18">
        <f>IF(R1125&lt;4,R1125+9,R1125-3)</f>
        <v>2</v>
      </c>
      <c r="U1125" s="18" t="str">
        <f>IF(LEN(T1125)=1,_xlfn.CONCAT(0,T1125),T1125)</f>
        <v>02</v>
      </c>
      <c r="V1125" s="18" t="str">
        <f>_xlfn.CONCAT(S1125,U1125)</f>
        <v>202502</v>
      </c>
      <c r="W1125" s="18" t="str">
        <f>_xlfn.CONCAT(TEXT(A1125,"MMM"),"-",MID(Q1125,3,2))</f>
        <v>May-25</v>
      </c>
      <c r="X1125" s="19">
        <f>IFERROR(IF(D1125="Sell",(H1125-P1125),-(H1125+P1125)),0)</f>
        <v>15427.01</v>
      </c>
      <c r="Y1125" s="19">
        <f>X1125/1000</f>
        <v>15.427010000000001</v>
      </c>
    </row>
    <row r="1126" spans="1:25" x14ac:dyDescent="0.25">
      <c r="A1126" s="1">
        <v>45784</v>
      </c>
      <c r="B1126" t="s">
        <v>1624</v>
      </c>
      <c r="C1126" t="s">
        <v>17</v>
      </c>
      <c r="D1126" t="s">
        <v>22</v>
      </c>
      <c r="E1126">
        <v>150</v>
      </c>
      <c r="F1126">
        <v>0</v>
      </c>
      <c r="G1126">
        <v>99.75</v>
      </c>
      <c r="H1126">
        <v>14962.5</v>
      </c>
      <c r="I1126" t="s">
        <v>1626</v>
      </c>
      <c r="J1126">
        <v>0</v>
      </c>
      <c r="K1126">
        <v>5.32</v>
      </c>
      <c r="L1126">
        <v>0</v>
      </c>
      <c r="M1126">
        <v>0.01</v>
      </c>
      <c r="N1126">
        <v>58</v>
      </c>
      <c r="O1126">
        <v>11.4</v>
      </c>
      <c r="P1126">
        <v>74.73</v>
      </c>
      <c r="Q1126" s="18">
        <f>YEAR(A1126)</f>
        <v>2025</v>
      </c>
      <c r="R1126" s="18">
        <f>MONTH(A1126)</f>
        <v>5</v>
      </c>
      <c r="S1126" s="18">
        <f>IF(R1126&lt;4,Q1126-1,Q1126)</f>
        <v>2025</v>
      </c>
      <c r="T1126" s="18">
        <f>IF(R1126&lt;4,R1126+9,R1126-3)</f>
        <v>2</v>
      </c>
      <c r="U1126" s="18" t="str">
        <f>IF(LEN(T1126)=1,_xlfn.CONCAT(0,T1126),T1126)</f>
        <v>02</v>
      </c>
      <c r="V1126" s="18" t="str">
        <f>_xlfn.CONCAT(S1126,U1126)</f>
        <v>202502</v>
      </c>
      <c r="W1126" s="18" t="str">
        <f>_xlfn.CONCAT(TEXT(A1126,"MMM"),"-",MID(Q1126,3,2))</f>
        <v>May-25</v>
      </c>
      <c r="X1126" s="19">
        <f>IFERROR(IF(D1126="Sell",(H1126-P1126),-(H1126+P1126)),0)</f>
        <v>-15037.23</v>
      </c>
      <c r="Y1126" s="19">
        <f>X1126/1000</f>
        <v>-15.037229999999999</v>
      </c>
    </row>
    <row r="1127" spans="1:25" x14ac:dyDescent="0.25">
      <c r="A1127" s="1">
        <v>45784</v>
      </c>
      <c r="B1127" t="s">
        <v>1624</v>
      </c>
      <c r="C1127" t="s">
        <v>17</v>
      </c>
      <c r="D1127" t="s">
        <v>18</v>
      </c>
      <c r="E1127">
        <v>150</v>
      </c>
      <c r="F1127">
        <v>0</v>
      </c>
      <c r="G1127">
        <v>91.4</v>
      </c>
      <c r="H1127">
        <v>13710</v>
      </c>
      <c r="I1127" t="s">
        <v>1627</v>
      </c>
      <c r="J1127">
        <v>13.72</v>
      </c>
      <c r="K1127">
        <v>4.88</v>
      </c>
      <c r="L1127">
        <v>0</v>
      </c>
      <c r="M1127">
        <v>0.02</v>
      </c>
      <c r="N1127">
        <v>58</v>
      </c>
      <c r="O1127">
        <v>11.32</v>
      </c>
      <c r="P1127">
        <v>87.94</v>
      </c>
      <c r="Q1127" s="18">
        <f>YEAR(A1127)</f>
        <v>2025</v>
      </c>
      <c r="R1127" s="18">
        <f>MONTH(A1127)</f>
        <v>5</v>
      </c>
      <c r="S1127" s="18">
        <f>IF(R1127&lt;4,Q1127-1,Q1127)</f>
        <v>2025</v>
      </c>
      <c r="T1127" s="18">
        <f>IF(R1127&lt;4,R1127+9,R1127-3)</f>
        <v>2</v>
      </c>
      <c r="U1127" s="18" t="str">
        <f>IF(LEN(T1127)=1,_xlfn.CONCAT(0,T1127),T1127)</f>
        <v>02</v>
      </c>
      <c r="V1127" s="18" t="str">
        <f>_xlfn.CONCAT(S1127,U1127)</f>
        <v>202502</v>
      </c>
      <c r="W1127" s="18" t="str">
        <f>_xlfn.CONCAT(TEXT(A1127,"MMM"),"-",MID(Q1127,3,2))</f>
        <v>May-25</v>
      </c>
      <c r="X1127" s="19">
        <f>IFERROR(IF(D1127="Sell",(H1127-P1127),-(H1127+P1127)),0)</f>
        <v>13622.06</v>
      </c>
      <c r="Y1127" s="19">
        <f>X1127/1000</f>
        <v>13.622059999999999</v>
      </c>
    </row>
    <row r="1128" spans="1:25" x14ac:dyDescent="0.25">
      <c r="A1128" s="1">
        <v>45784</v>
      </c>
      <c r="B1128" t="s">
        <v>1624</v>
      </c>
      <c r="C1128" t="s">
        <v>17</v>
      </c>
      <c r="D1128" t="s">
        <v>22</v>
      </c>
      <c r="E1128">
        <v>150</v>
      </c>
      <c r="F1128">
        <v>0</v>
      </c>
      <c r="G1128">
        <v>91.6</v>
      </c>
      <c r="H1128">
        <v>13740</v>
      </c>
      <c r="I1128" t="s">
        <v>1628</v>
      </c>
      <c r="J1128">
        <v>0</v>
      </c>
      <c r="K1128">
        <v>4.88</v>
      </c>
      <c r="L1128">
        <v>1</v>
      </c>
      <c r="M1128">
        <v>0.01</v>
      </c>
      <c r="N1128">
        <v>58</v>
      </c>
      <c r="O1128">
        <v>11.32</v>
      </c>
      <c r="P1128">
        <v>75.209999999999994</v>
      </c>
      <c r="Q1128" s="18">
        <f>YEAR(A1128)</f>
        <v>2025</v>
      </c>
      <c r="R1128" s="18">
        <f>MONTH(A1128)</f>
        <v>5</v>
      </c>
      <c r="S1128" s="18">
        <f>IF(R1128&lt;4,Q1128-1,Q1128)</f>
        <v>2025</v>
      </c>
      <c r="T1128" s="18">
        <f>IF(R1128&lt;4,R1128+9,R1128-3)</f>
        <v>2</v>
      </c>
      <c r="U1128" s="18" t="str">
        <f>IF(LEN(T1128)=1,_xlfn.CONCAT(0,T1128),T1128)</f>
        <v>02</v>
      </c>
      <c r="V1128" s="18" t="str">
        <f>_xlfn.CONCAT(S1128,U1128)</f>
        <v>202502</v>
      </c>
      <c r="W1128" s="18" t="str">
        <f>_xlfn.CONCAT(TEXT(A1128,"MMM"),"-",MID(Q1128,3,2))</f>
        <v>May-25</v>
      </c>
      <c r="X1128" s="19">
        <f>IFERROR(IF(D1128="Sell",(H1128-P1128),-(H1128+P1128)),0)</f>
        <v>-13815.21</v>
      </c>
      <c r="Y1128" s="19">
        <f>X1128/1000</f>
        <v>-13.815209999999999</v>
      </c>
    </row>
    <row r="1129" spans="1:25" x14ac:dyDescent="0.25">
      <c r="A1129" s="1">
        <v>45784</v>
      </c>
      <c r="B1129" t="s">
        <v>1624</v>
      </c>
      <c r="C1129" t="s">
        <v>17</v>
      </c>
      <c r="D1129" t="s">
        <v>18</v>
      </c>
      <c r="E1129">
        <v>150</v>
      </c>
      <c r="F1129">
        <v>0</v>
      </c>
      <c r="G1129">
        <v>78.05</v>
      </c>
      <c r="H1129">
        <v>11707.5</v>
      </c>
      <c r="I1129" t="s">
        <v>1629</v>
      </c>
      <c r="J1129">
        <v>11.77</v>
      </c>
      <c r="K1129">
        <v>4.16</v>
      </c>
      <c r="L1129">
        <v>0</v>
      </c>
      <c r="M1129">
        <v>0.02</v>
      </c>
      <c r="N1129">
        <v>58</v>
      </c>
      <c r="O1129">
        <v>11.2</v>
      </c>
      <c r="P1129">
        <v>85.15</v>
      </c>
      <c r="Q1129" s="18">
        <f>YEAR(A1129)</f>
        <v>2025</v>
      </c>
      <c r="R1129" s="18">
        <f>MONTH(A1129)</f>
        <v>5</v>
      </c>
      <c r="S1129" s="18">
        <f>IF(R1129&lt;4,Q1129-1,Q1129)</f>
        <v>2025</v>
      </c>
      <c r="T1129" s="18">
        <f>IF(R1129&lt;4,R1129+9,R1129-3)</f>
        <v>2</v>
      </c>
      <c r="U1129" s="18" t="str">
        <f>IF(LEN(T1129)=1,_xlfn.CONCAT(0,T1129),T1129)</f>
        <v>02</v>
      </c>
      <c r="V1129" s="18" t="str">
        <f>_xlfn.CONCAT(S1129,U1129)</f>
        <v>202502</v>
      </c>
      <c r="W1129" s="18" t="str">
        <f>_xlfn.CONCAT(TEXT(A1129,"MMM"),"-",MID(Q1129,3,2))</f>
        <v>May-25</v>
      </c>
      <c r="X1129" s="19">
        <f>IFERROR(IF(D1129="Sell",(H1129-P1129),-(H1129+P1129)),0)</f>
        <v>11622.35</v>
      </c>
      <c r="Y1129" s="19">
        <f>X1129/1000</f>
        <v>11.622350000000001</v>
      </c>
    </row>
    <row r="1130" spans="1:25" x14ac:dyDescent="0.25">
      <c r="A1130" s="1">
        <v>45784</v>
      </c>
      <c r="B1130" t="s">
        <v>1624</v>
      </c>
      <c r="C1130" t="s">
        <v>17</v>
      </c>
      <c r="D1130" t="s">
        <v>22</v>
      </c>
      <c r="E1130">
        <v>75</v>
      </c>
      <c r="F1130">
        <v>0</v>
      </c>
      <c r="G1130">
        <v>85.2</v>
      </c>
      <c r="H1130">
        <v>6390</v>
      </c>
      <c r="I1130" t="s">
        <v>1630</v>
      </c>
      <c r="J1130">
        <v>0</v>
      </c>
      <c r="K1130">
        <v>2.27</v>
      </c>
      <c r="L1130">
        <v>0</v>
      </c>
      <c r="M1130">
        <v>0.01</v>
      </c>
      <c r="N1130">
        <v>29</v>
      </c>
      <c r="O1130">
        <v>5.64</v>
      </c>
      <c r="P1130">
        <v>36.92</v>
      </c>
      <c r="Q1130" s="18">
        <f>YEAR(A1130)</f>
        <v>2025</v>
      </c>
      <c r="R1130" s="18">
        <f>MONTH(A1130)</f>
        <v>5</v>
      </c>
      <c r="S1130" s="18">
        <f>IF(R1130&lt;4,Q1130-1,Q1130)</f>
        <v>2025</v>
      </c>
      <c r="T1130" s="18">
        <f>IF(R1130&lt;4,R1130+9,R1130-3)</f>
        <v>2</v>
      </c>
      <c r="U1130" s="18" t="str">
        <f>IF(LEN(T1130)=1,_xlfn.CONCAT(0,T1130),T1130)</f>
        <v>02</v>
      </c>
      <c r="V1130" s="18" t="str">
        <f>_xlfn.CONCAT(S1130,U1130)</f>
        <v>202502</v>
      </c>
      <c r="W1130" s="18" t="str">
        <f>_xlfn.CONCAT(TEXT(A1130,"MMM"),"-",MID(Q1130,3,2))</f>
        <v>May-25</v>
      </c>
      <c r="X1130" s="19">
        <f>IFERROR(IF(D1130="Sell",(H1130-P1130),-(H1130+P1130)),0)</f>
        <v>-6426.92</v>
      </c>
      <c r="Y1130" s="19">
        <f>X1130/1000</f>
        <v>-6.42692</v>
      </c>
    </row>
    <row r="1131" spans="1:25" x14ac:dyDescent="0.25">
      <c r="A1131" s="1">
        <v>45784</v>
      </c>
      <c r="B1131" t="s">
        <v>1624</v>
      </c>
      <c r="C1131" t="s">
        <v>17</v>
      </c>
      <c r="D1131" t="s">
        <v>22</v>
      </c>
      <c r="E1131">
        <v>75</v>
      </c>
      <c r="F1131">
        <v>0</v>
      </c>
      <c r="G1131">
        <v>118</v>
      </c>
      <c r="H1131">
        <v>8850</v>
      </c>
      <c r="I1131" t="s">
        <v>1631</v>
      </c>
      <c r="J1131">
        <v>0</v>
      </c>
      <c r="K1131">
        <v>3.14</v>
      </c>
      <c r="L1131">
        <v>0</v>
      </c>
      <c r="M1131">
        <v>0.01</v>
      </c>
      <c r="N1131">
        <v>29</v>
      </c>
      <c r="O1131">
        <v>5.78</v>
      </c>
      <c r="P1131">
        <v>37.93</v>
      </c>
      <c r="Q1131" s="18">
        <f>YEAR(A1131)</f>
        <v>2025</v>
      </c>
      <c r="R1131" s="18">
        <f>MONTH(A1131)</f>
        <v>5</v>
      </c>
      <c r="S1131" s="18">
        <f>IF(R1131&lt;4,Q1131-1,Q1131)</f>
        <v>2025</v>
      </c>
      <c r="T1131" s="18">
        <f>IF(R1131&lt;4,R1131+9,R1131-3)</f>
        <v>2</v>
      </c>
      <c r="U1131" s="18" t="str">
        <f>IF(LEN(T1131)=1,_xlfn.CONCAT(0,T1131),T1131)</f>
        <v>02</v>
      </c>
      <c r="V1131" s="18" t="str">
        <f>_xlfn.CONCAT(S1131,U1131)</f>
        <v>202502</v>
      </c>
      <c r="W1131" s="18" t="str">
        <f>_xlfn.CONCAT(TEXT(A1131,"MMM"),"-",MID(Q1131,3,2))</f>
        <v>May-25</v>
      </c>
      <c r="X1131" s="19">
        <f>IFERROR(IF(D1131="Sell",(H1131-P1131),-(H1131+P1131)),0)</f>
        <v>-8887.93</v>
      </c>
      <c r="Y1131" s="19">
        <f>X1131/1000</f>
        <v>-8.8879300000000008</v>
      </c>
    </row>
    <row r="1132" spans="1:25" x14ac:dyDescent="0.25">
      <c r="A1132" s="1">
        <v>45785</v>
      </c>
      <c r="B1132" t="s">
        <v>1617</v>
      </c>
      <c r="C1132" t="s">
        <v>17</v>
      </c>
      <c r="D1132" t="s">
        <v>18</v>
      </c>
      <c r="E1132">
        <v>225</v>
      </c>
      <c r="F1132">
        <v>0</v>
      </c>
      <c r="G1132">
        <v>10.199999999999999</v>
      </c>
      <c r="H1132">
        <v>2295</v>
      </c>
      <c r="I1132" t="s">
        <v>1618</v>
      </c>
      <c r="J1132">
        <v>2.2999999999999998</v>
      </c>
      <c r="K1132">
        <v>0.81</v>
      </c>
      <c r="L1132">
        <v>0</v>
      </c>
      <c r="M1132">
        <v>0</v>
      </c>
      <c r="N1132">
        <v>87</v>
      </c>
      <c r="O1132">
        <v>15.8</v>
      </c>
      <c r="P1132">
        <v>105.91</v>
      </c>
      <c r="Q1132" s="18">
        <f>YEAR(A1132)</f>
        <v>2025</v>
      </c>
      <c r="R1132" s="18">
        <f>MONTH(A1132)</f>
        <v>5</v>
      </c>
      <c r="S1132" s="18">
        <f>IF(R1132&lt;4,Q1132-1,Q1132)</f>
        <v>2025</v>
      </c>
      <c r="T1132" s="18">
        <f>IF(R1132&lt;4,R1132+9,R1132-3)</f>
        <v>2</v>
      </c>
      <c r="U1132" s="18" t="str">
        <f>IF(LEN(T1132)=1,_xlfn.CONCAT(0,T1132),T1132)</f>
        <v>02</v>
      </c>
      <c r="V1132" s="18" t="str">
        <f>_xlfn.CONCAT(S1132,U1132)</f>
        <v>202502</v>
      </c>
      <c r="W1132" s="18" t="str">
        <f>_xlfn.CONCAT(TEXT(A1132,"MMM"),"-",MID(Q1132,3,2))</f>
        <v>May-25</v>
      </c>
      <c r="X1132" s="19">
        <f>IFERROR(IF(D1132="Sell",(H1132-P1132),-(H1132+P1132)),0)</f>
        <v>2189.09</v>
      </c>
      <c r="Y1132" s="19">
        <f>X1132/1000</f>
        <v>2.1890900000000002</v>
      </c>
    </row>
    <row r="1133" spans="1:25" x14ac:dyDescent="0.25">
      <c r="A1133" s="1">
        <v>45785</v>
      </c>
      <c r="B1133" t="s">
        <v>1617</v>
      </c>
      <c r="C1133" t="s">
        <v>17</v>
      </c>
      <c r="D1133" t="s">
        <v>22</v>
      </c>
      <c r="E1133">
        <v>225</v>
      </c>
      <c r="F1133">
        <v>0</v>
      </c>
      <c r="G1133">
        <v>11.65</v>
      </c>
      <c r="H1133">
        <v>2621.25</v>
      </c>
      <c r="I1133" t="s">
        <v>1619</v>
      </c>
      <c r="J1133">
        <v>0</v>
      </c>
      <c r="K1133">
        <v>0.93</v>
      </c>
      <c r="L1133">
        <v>0</v>
      </c>
      <c r="M1133">
        <v>0</v>
      </c>
      <c r="N1133">
        <v>87</v>
      </c>
      <c r="O1133">
        <v>15.82</v>
      </c>
      <c r="P1133">
        <v>103.75</v>
      </c>
      <c r="Q1133" s="18">
        <f>YEAR(A1133)</f>
        <v>2025</v>
      </c>
      <c r="R1133" s="18">
        <f>MONTH(A1133)</f>
        <v>5</v>
      </c>
      <c r="S1133" s="18">
        <f>IF(R1133&lt;4,Q1133-1,Q1133)</f>
        <v>2025</v>
      </c>
      <c r="T1133" s="18">
        <f>IF(R1133&lt;4,R1133+9,R1133-3)</f>
        <v>2</v>
      </c>
      <c r="U1133" s="18" t="str">
        <f>IF(LEN(T1133)=1,_xlfn.CONCAT(0,T1133),T1133)</f>
        <v>02</v>
      </c>
      <c r="V1133" s="18" t="str">
        <f>_xlfn.CONCAT(S1133,U1133)</f>
        <v>202502</v>
      </c>
      <c r="W1133" s="18" t="str">
        <f>_xlfn.CONCAT(TEXT(A1133,"MMM"),"-",MID(Q1133,3,2))</f>
        <v>May-25</v>
      </c>
      <c r="X1133" s="19">
        <f>IFERROR(IF(D1133="Sell",(H1133-P1133),-(H1133+P1133)),0)</f>
        <v>-2725</v>
      </c>
      <c r="Y1133" s="19">
        <f>X1133/1000</f>
        <v>-2.7250000000000001</v>
      </c>
    </row>
    <row r="1134" spans="1:25" x14ac:dyDescent="0.25">
      <c r="A1134" s="1">
        <v>45785</v>
      </c>
      <c r="B1134" t="s">
        <v>1617</v>
      </c>
      <c r="C1134" t="s">
        <v>17</v>
      </c>
      <c r="D1134" t="s">
        <v>18</v>
      </c>
      <c r="E1134">
        <v>300</v>
      </c>
      <c r="F1134">
        <v>0</v>
      </c>
      <c r="G1134">
        <v>11.35</v>
      </c>
      <c r="H1134">
        <v>3405</v>
      </c>
      <c r="I1134" t="s">
        <v>1620</v>
      </c>
      <c r="J1134">
        <v>3.7</v>
      </c>
      <c r="K1134">
        <v>1.2</v>
      </c>
      <c r="L1134">
        <v>0</v>
      </c>
      <c r="M1134">
        <v>0</v>
      </c>
      <c r="N1134">
        <v>116</v>
      </c>
      <c r="O1134">
        <v>21.1</v>
      </c>
      <c r="P1134">
        <v>142</v>
      </c>
      <c r="Q1134" s="18">
        <f>YEAR(A1134)</f>
        <v>2025</v>
      </c>
      <c r="R1134" s="18">
        <f>MONTH(A1134)</f>
        <v>5</v>
      </c>
      <c r="S1134" s="18">
        <f>IF(R1134&lt;4,Q1134-1,Q1134)</f>
        <v>2025</v>
      </c>
      <c r="T1134" s="18">
        <f>IF(R1134&lt;4,R1134+9,R1134-3)</f>
        <v>2</v>
      </c>
      <c r="U1134" s="18" t="str">
        <f>IF(LEN(T1134)=1,_xlfn.CONCAT(0,T1134),T1134)</f>
        <v>02</v>
      </c>
      <c r="V1134" s="18" t="str">
        <f>_xlfn.CONCAT(S1134,U1134)</f>
        <v>202502</v>
      </c>
      <c r="W1134" s="18" t="str">
        <f>_xlfn.CONCAT(TEXT(A1134,"MMM"),"-",MID(Q1134,3,2))</f>
        <v>May-25</v>
      </c>
      <c r="X1134" s="19">
        <f>IFERROR(IF(D1134="Sell",(H1134-P1134),-(H1134+P1134)),0)</f>
        <v>3263</v>
      </c>
      <c r="Y1134" s="19">
        <f>X1134/1000</f>
        <v>3.2629999999999999</v>
      </c>
    </row>
    <row r="1135" spans="1:25" x14ac:dyDescent="0.25">
      <c r="A1135" s="1">
        <v>45785</v>
      </c>
      <c r="B1135" t="s">
        <v>1617</v>
      </c>
      <c r="C1135" t="s">
        <v>17</v>
      </c>
      <c r="D1135" t="s">
        <v>22</v>
      </c>
      <c r="E1135">
        <v>75</v>
      </c>
      <c r="F1135">
        <v>0</v>
      </c>
      <c r="G1135">
        <v>16.350000000000001</v>
      </c>
      <c r="H1135">
        <v>1226.25</v>
      </c>
      <c r="I1135" t="s">
        <v>1621</v>
      </c>
      <c r="J1135">
        <v>0</v>
      </c>
      <c r="K1135">
        <v>0.44</v>
      </c>
      <c r="L1135">
        <v>0</v>
      </c>
      <c r="M1135">
        <v>0</v>
      </c>
      <c r="N1135">
        <v>29</v>
      </c>
      <c r="O1135">
        <v>5.3</v>
      </c>
      <c r="P1135">
        <v>34.74</v>
      </c>
      <c r="Q1135" s="18">
        <f>YEAR(A1135)</f>
        <v>2025</v>
      </c>
      <c r="R1135" s="18">
        <f>MONTH(A1135)</f>
        <v>5</v>
      </c>
      <c r="S1135" s="18">
        <f>IF(R1135&lt;4,Q1135-1,Q1135)</f>
        <v>2025</v>
      </c>
      <c r="T1135" s="18">
        <f>IF(R1135&lt;4,R1135+9,R1135-3)</f>
        <v>2</v>
      </c>
      <c r="U1135" s="18" t="str">
        <f>IF(LEN(T1135)=1,_xlfn.CONCAT(0,T1135),T1135)</f>
        <v>02</v>
      </c>
      <c r="V1135" s="18" t="str">
        <f>_xlfn.CONCAT(S1135,U1135)</f>
        <v>202502</v>
      </c>
      <c r="W1135" s="18" t="str">
        <f>_xlfn.CONCAT(TEXT(A1135,"MMM"),"-",MID(Q1135,3,2))</f>
        <v>May-25</v>
      </c>
      <c r="X1135" s="19">
        <f>IFERROR(IF(D1135="Sell",(H1135-P1135),-(H1135+P1135)),0)</f>
        <v>-1260.99</v>
      </c>
      <c r="Y1135" s="19">
        <f>X1135/1000</f>
        <v>-1.2609900000000001</v>
      </c>
    </row>
    <row r="1136" spans="1:25" x14ac:dyDescent="0.25">
      <c r="A1136" s="1">
        <v>45785</v>
      </c>
      <c r="B1136" t="s">
        <v>1617</v>
      </c>
      <c r="C1136" t="s">
        <v>17</v>
      </c>
      <c r="D1136" t="s">
        <v>22</v>
      </c>
      <c r="E1136">
        <v>75</v>
      </c>
      <c r="F1136">
        <v>0</v>
      </c>
      <c r="G1136">
        <v>24.85</v>
      </c>
      <c r="H1136">
        <v>1863.75</v>
      </c>
      <c r="I1136" t="s">
        <v>1622</v>
      </c>
      <c r="J1136">
        <v>0</v>
      </c>
      <c r="K1136">
        <v>0.66</v>
      </c>
      <c r="L1136">
        <v>0</v>
      </c>
      <c r="M1136">
        <v>0</v>
      </c>
      <c r="N1136">
        <v>29</v>
      </c>
      <c r="O1136">
        <v>5.34</v>
      </c>
      <c r="P1136">
        <v>35</v>
      </c>
      <c r="Q1136" s="18">
        <f>YEAR(A1136)</f>
        <v>2025</v>
      </c>
      <c r="R1136" s="18">
        <f>MONTH(A1136)</f>
        <v>5</v>
      </c>
      <c r="S1136" s="18">
        <f>IF(R1136&lt;4,Q1136-1,Q1136)</f>
        <v>2025</v>
      </c>
      <c r="T1136" s="18">
        <f>IF(R1136&lt;4,R1136+9,R1136-3)</f>
        <v>2</v>
      </c>
      <c r="U1136" s="18" t="str">
        <f>IF(LEN(T1136)=1,_xlfn.CONCAT(0,T1136),T1136)</f>
        <v>02</v>
      </c>
      <c r="V1136" s="18" t="str">
        <f>_xlfn.CONCAT(S1136,U1136)</f>
        <v>202502</v>
      </c>
      <c r="W1136" s="18" t="str">
        <f>_xlfn.CONCAT(TEXT(A1136,"MMM"),"-",MID(Q1136,3,2))</f>
        <v>May-25</v>
      </c>
      <c r="X1136" s="19">
        <f>IFERROR(IF(D1136="Sell",(H1136-P1136),-(H1136+P1136)),0)</f>
        <v>-1898.75</v>
      </c>
      <c r="Y1136" s="19">
        <f>X1136/1000</f>
        <v>-1.8987499999999999</v>
      </c>
    </row>
    <row r="1137" spans="1:25" x14ac:dyDescent="0.25">
      <c r="A1137" s="1">
        <v>45785</v>
      </c>
      <c r="B1137" t="s">
        <v>1617</v>
      </c>
      <c r="C1137" t="s">
        <v>17</v>
      </c>
      <c r="D1137" t="s">
        <v>22</v>
      </c>
      <c r="E1137">
        <v>150</v>
      </c>
      <c r="F1137">
        <v>0</v>
      </c>
      <c r="G1137">
        <v>37.450000000000003</v>
      </c>
      <c r="H1137">
        <v>5617.5</v>
      </c>
      <c r="I1137" t="s">
        <v>1623</v>
      </c>
      <c r="J1137">
        <v>0</v>
      </c>
      <c r="K1137">
        <v>2</v>
      </c>
      <c r="L1137">
        <v>0</v>
      </c>
      <c r="M1137">
        <v>0.01</v>
      </c>
      <c r="N1137">
        <v>58</v>
      </c>
      <c r="O1137">
        <v>10.8</v>
      </c>
      <c r="P1137">
        <v>70.81</v>
      </c>
      <c r="Q1137" s="18">
        <f>YEAR(A1137)</f>
        <v>2025</v>
      </c>
      <c r="R1137" s="18">
        <f>MONTH(A1137)</f>
        <v>5</v>
      </c>
      <c r="S1137" s="18">
        <f>IF(R1137&lt;4,Q1137-1,Q1137)</f>
        <v>2025</v>
      </c>
      <c r="T1137" s="18">
        <f>IF(R1137&lt;4,R1137+9,R1137-3)</f>
        <v>2</v>
      </c>
      <c r="U1137" s="18" t="str">
        <f>IF(LEN(T1137)=1,_xlfn.CONCAT(0,T1137),T1137)</f>
        <v>02</v>
      </c>
      <c r="V1137" s="18" t="str">
        <f>_xlfn.CONCAT(S1137,U1137)</f>
        <v>202502</v>
      </c>
      <c r="W1137" s="18" t="str">
        <f>_xlfn.CONCAT(TEXT(A1137,"MMM"),"-",MID(Q1137,3,2))</f>
        <v>May-25</v>
      </c>
      <c r="X1137" s="19">
        <f>IFERROR(IF(D1137="Sell",(H1137-P1137),-(H1137+P1137)),0)</f>
        <v>-5688.31</v>
      </c>
      <c r="Y1137" s="19">
        <f>X1137/1000</f>
        <v>-5.6883100000000004</v>
      </c>
    </row>
    <row r="1138" spans="1:25" x14ac:dyDescent="0.25">
      <c r="A1138" s="1">
        <v>45792</v>
      </c>
      <c r="B1138" t="s">
        <v>1605</v>
      </c>
      <c r="C1138" t="s">
        <v>17</v>
      </c>
      <c r="D1138" t="s">
        <v>18</v>
      </c>
      <c r="E1138">
        <v>750</v>
      </c>
      <c r="F1138">
        <v>0</v>
      </c>
      <c r="G1138">
        <v>16.25</v>
      </c>
      <c r="H1138">
        <v>12187.5</v>
      </c>
      <c r="I1138" t="s">
        <v>1606</v>
      </c>
      <c r="J1138">
        <v>12.19</v>
      </c>
      <c r="K1138">
        <v>4.33</v>
      </c>
      <c r="L1138">
        <v>0</v>
      </c>
      <c r="M1138">
        <v>0.01</v>
      </c>
      <c r="N1138">
        <v>290</v>
      </c>
      <c r="O1138">
        <v>52.98</v>
      </c>
      <c r="P1138">
        <v>359.51</v>
      </c>
      <c r="Q1138" s="18">
        <f>YEAR(A1138)</f>
        <v>2025</v>
      </c>
      <c r="R1138" s="18">
        <f>MONTH(A1138)</f>
        <v>5</v>
      </c>
      <c r="S1138" s="18">
        <f>IF(R1138&lt;4,Q1138-1,Q1138)</f>
        <v>2025</v>
      </c>
      <c r="T1138" s="18">
        <f>IF(R1138&lt;4,R1138+9,R1138-3)</f>
        <v>2</v>
      </c>
      <c r="U1138" s="18" t="str">
        <f>IF(LEN(T1138)=1,_xlfn.CONCAT(0,T1138),T1138)</f>
        <v>02</v>
      </c>
      <c r="V1138" s="18" t="str">
        <f>_xlfn.CONCAT(S1138,U1138)</f>
        <v>202502</v>
      </c>
      <c r="W1138" s="18" t="str">
        <f>_xlfn.CONCAT(TEXT(A1138,"MMM"),"-",MID(Q1138,3,2))</f>
        <v>May-25</v>
      </c>
      <c r="X1138" s="19">
        <f>IFERROR(IF(D1138="Sell",(H1138-P1138),-(H1138+P1138)),0)</f>
        <v>11827.99</v>
      </c>
      <c r="Y1138" s="19">
        <f>X1138/1000</f>
        <v>11.82799</v>
      </c>
    </row>
    <row r="1139" spans="1:25" x14ac:dyDescent="0.25">
      <c r="A1139" s="1">
        <v>45792</v>
      </c>
      <c r="B1139" t="s">
        <v>1605</v>
      </c>
      <c r="C1139" t="s">
        <v>17</v>
      </c>
      <c r="D1139" t="s">
        <v>22</v>
      </c>
      <c r="E1139">
        <v>750</v>
      </c>
      <c r="F1139">
        <v>0</v>
      </c>
      <c r="G1139">
        <v>21.25</v>
      </c>
      <c r="H1139">
        <v>15937.5</v>
      </c>
      <c r="I1139" t="s">
        <v>1607</v>
      </c>
      <c r="J1139">
        <v>0</v>
      </c>
      <c r="K1139">
        <v>5.67</v>
      </c>
      <c r="L1139">
        <v>1.74</v>
      </c>
      <c r="M1139">
        <v>0.02</v>
      </c>
      <c r="N1139">
        <v>290</v>
      </c>
      <c r="O1139">
        <v>53.24</v>
      </c>
      <c r="P1139">
        <v>350.67</v>
      </c>
      <c r="Q1139" s="18">
        <f>YEAR(A1139)</f>
        <v>2025</v>
      </c>
      <c r="R1139" s="18">
        <f>MONTH(A1139)</f>
        <v>5</v>
      </c>
      <c r="S1139" s="18">
        <f>IF(R1139&lt;4,Q1139-1,Q1139)</f>
        <v>2025</v>
      </c>
      <c r="T1139" s="18">
        <f>IF(R1139&lt;4,R1139+9,R1139-3)</f>
        <v>2</v>
      </c>
      <c r="U1139" s="18" t="str">
        <f>IF(LEN(T1139)=1,_xlfn.CONCAT(0,T1139),T1139)</f>
        <v>02</v>
      </c>
      <c r="V1139" s="18" t="str">
        <f>_xlfn.CONCAT(S1139,U1139)</f>
        <v>202502</v>
      </c>
      <c r="W1139" s="18" t="str">
        <f>_xlfn.CONCAT(TEXT(A1139,"MMM"),"-",MID(Q1139,3,2))</f>
        <v>May-25</v>
      </c>
      <c r="X1139" s="19">
        <f>IFERROR(IF(D1139="Sell",(H1139-P1139),-(H1139+P1139)),0)</f>
        <v>-16288.17</v>
      </c>
      <c r="Y1139" s="19">
        <f>X1139/1000</f>
        <v>-16.288170000000001</v>
      </c>
    </row>
    <row r="1140" spans="1:25" x14ac:dyDescent="0.25">
      <c r="A1140" s="1">
        <v>45792</v>
      </c>
      <c r="B1140" t="s">
        <v>1605</v>
      </c>
      <c r="C1140" t="s">
        <v>17</v>
      </c>
      <c r="D1140" t="s">
        <v>18</v>
      </c>
      <c r="E1140">
        <v>300</v>
      </c>
      <c r="F1140">
        <v>0</v>
      </c>
      <c r="G1140">
        <v>18.850000000000001</v>
      </c>
      <c r="H1140">
        <v>5655</v>
      </c>
      <c r="I1140" t="s">
        <v>1608</v>
      </c>
      <c r="J1140">
        <v>5.65</v>
      </c>
      <c r="K1140">
        <v>2</v>
      </c>
      <c r="L1140">
        <v>0</v>
      </c>
      <c r="M1140">
        <v>0</v>
      </c>
      <c r="N1140">
        <v>116</v>
      </c>
      <c r="O1140">
        <v>21.26</v>
      </c>
      <c r="P1140">
        <v>144.91</v>
      </c>
      <c r="Q1140" s="18">
        <f>YEAR(A1140)</f>
        <v>2025</v>
      </c>
      <c r="R1140" s="18">
        <f>MONTH(A1140)</f>
        <v>5</v>
      </c>
      <c r="S1140" s="18">
        <f>IF(R1140&lt;4,Q1140-1,Q1140)</f>
        <v>2025</v>
      </c>
      <c r="T1140" s="18">
        <f>IF(R1140&lt;4,R1140+9,R1140-3)</f>
        <v>2</v>
      </c>
      <c r="U1140" s="18" t="str">
        <f>IF(LEN(T1140)=1,_xlfn.CONCAT(0,T1140),T1140)</f>
        <v>02</v>
      </c>
      <c r="V1140" s="18" t="str">
        <f>_xlfn.CONCAT(S1140,U1140)</f>
        <v>202502</v>
      </c>
      <c r="W1140" s="18" t="str">
        <f>_xlfn.CONCAT(TEXT(A1140,"MMM"),"-",MID(Q1140,3,2))</f>
        <v>May-25</v>
      </c>
      <c r="X1140" s="19">
        <f>IFERROR(IF(D1140="Sell",(H1140-P1140),-(H1140+P1140)),0)</f>
        <v>5510.09</v>
      </c>
      <c r="Y1140" s="19">
        <f>X1140/1000</f>
        <v>5.5100899999999999</v>
      </c>
    </row>
    <row r="1141" spans="1:25" x14ac:dyDescent="0.25">
      <c r="A1141" s="1">
        <v>45792</v>
      </c>
      <c r="B1141" t="s">
        <v>1605</v>
      </c>
      <c r="C1141" t="s">
        <v>17</v>
      </c>
      <c r="D1141" t="s">
        <v>22</v>
      </c>
      <c r="E1141">
        <v>150</v>
      </c>
      <c r="F1141">
        <v>0</v>
      </c>
      <c r="G1141">
        <v>38.25</v>
      </c>
      <c r="H1141">
        <v>5737.5</v>
      </c>
      <c r="I1141" t="s">
        <v>1609</v>
      </c>
      <c r="J1141">
        <v>0</v>
      </c>
      <c r="K1141">
        <v>2.04</v>
      </c>
      <c r="L1141">
        <v>0</v>
      </c>
      <c r="M1141">
        <v>0.01</v>
      </c>
      <c r="N1141">
        <v>58</v>
      </c>
      <c r="O1141">
        <v>10.8</v>
      </c>
      <c r="P1141">
        <v>70.849999999999994</v>
      </c>
      <c r="Q1141" s="18">
        <f>YEAR(A1141)</f>
        <v>2025</v>
      </c>
      <c r="R1141" s="18">
        <f>MONTH(A1141)</f>
        <v>5</v>
      </c>
      <c r="S1141" s="18">
        <f>IF(R1141&lt;4,Q1141-1,Q1141)</f>
        <v>2025</v>
      </c>
      <c r="T1141" s="18">
        <f>IF(R1141&lt;4,R1141+9,R1141-3)</f>
        <v>2</v>
      </c>
      <c r="U1141" s="18" t="str">
        <f>IF(LEN(T1141)=1,_xlfn.CONCAT(0,T1141),T1141)</f>
        <v>02</v>
      </c>
      <c r="V1141" s="18" t="str">
        <f>_xlfn.CONCAT(S1141,U1141)</f>
        <v>202502</v>
      </c>
      <c r="W1141" s="18" t="str">
        <f>_xlfn.CONCAT(TEXT(A1141,"MMM"),"-",MID(Q1141,3,2))</f>
        <v>May-25</v>
      </c>
      <c r="X1141" s="19">
        <f>IFERROR(IF(D1141="Sell",(H1141-P1141),-(H1141+P1141)),0)</f>
        <v>-5808.35</v>
      </c>
      <c r="Y1141" s="19">
        <f>X1141/1000</f>
        <v>-5.8083500000000008</v>
      </c>
    </row>
    <row r="1142" spans="1:25" x14ac:dyDescent="0.25">
      <c r="A1142" s="1">
        <v>45792</v>
      </c>
      <c r="B1142" t="s">
        <v>1605</v>
      </c>
      <c r="C1142" t="s">
        <v>17</v>
      </c>
      <c r="D1142" t="s">
        <v>22</v>
      </c>
      <c r="E1142">
        <v>150</v>
      </c>
      <c r="F1142">
        <v>0</v>
      </c>
      <c r="G1142">
        <v>81</v>
      </c>
      <c r="H1142">
        <v>12150</v>
      </c>
      <c r="I1142" t="s">
        <v>1610</v>
      </c>
      <c r="J1142">
        <v>0</v>
      </c>
      <c r="K1142">
        <v>4.32</v>
      </c>
      <c r="L1142">
        <v>0</v>
      </c>
      <c r="M1142">
        <v>0.01</v>
      </c>
      <c r="N1142">
        <v>58</v>
      </c>
      <c r="O1142">
        <v>11.22</v>
      </c>
      <c r="P1142">
        <v>73.55</v>
      </c>
      <c r="Q1142" s="18">
        <f>YEAR(A1142)</f>
        <v>2025</v>
      </c>
      <c r="R1142" s="18">
        <f>MONTH(A1142)</f>
        <v>5</v>
      </c>
      <c r="S1142" s="18">
        <f>IF(R1142&lt;4,Q1142-1,Q1142)</f>
        <v>2025</v>
      </c>
      <c r="T1142" s="18">
        <f>IF(R1142&lt;4,R1142+9,R1142-3)</f>
        <v>2</v>
      </c>
      <c r="U1142" s="18" t="str">
        <f>IF(LEN(T1142)=1,_xlfn.CONCAT(0,T1142),T1142)</f>
        <v>02</v>
      </c>
      <c r="V1142" s="18" t="str">
        <f>_xlfn.CONCAT(S1142,U1142)</f>
        <v>202502</v>
      </c>
      <c r="W1142" s="18" t="str">
        <f>_xlfn.CONCAT(TEXT(A1142,"MMM"),"-",MID(Q1142,3,2))</f>
        <v>May-25</v>
      </c>
      <c r="X1142" s="19">
        <f>IFERROR(IF(D1142="Sell",(H1142-P1142),-(H1142+P1142)),0)</f>
        <v>-12223.55</v>
      </c>
      <c r="Y1142" s="19">
        <f>X1142/1000</f>
        <v>-12.223549999999999</v>
      </c>
    </row>
    <row r="1143" spans="1:25" x14ac:dyDescent="0.25">
      <c r="A1143" s="1">
        <v>45792</v>
      </c>
      <c r="B1143" t="s">
        <v>1605</v>
      </c>
      <c r="C1143" t="s">
        <v>17</v>
      </c>
      <c r="D1143" t="s">
        <v>18</v>
      </c>
      <c r="E1143">
        <v>150</v>
      </c>
      <c r="F1143">
        <v>0</v>
      </c>
      <c r="G1143">
        <v>95.25</v>
      </c>
      <c r="H1143">
        <v>14287.5</v>
      </c>
      <c r="I1143" t="s">
        <v>1611</v>
      </c>
      <c r="J1143">
        <v>14.29</v>
      </c>
      <c r="K1143">
        <v>5.08</v>
      </c>
      <c r="L1143">
        <v>0</v>
      </c>
      <c r="M1143">
        <v>0.01</v>
      </c>
      <c r="N1143">
        <v>58</v>
      </c>
      <c r="O1143">
        <v>11.36</v>
      </c>
      <c r="P1143">
        <v>88.74</v>
      </c>
      <c r="Q1143" s="18">
        <f>YEAR(A1143)</f>
        <v>2025</v>
      </c>
      <c r="R1143" s="18">
        <f>MONTH(A1143)</f>
        <v>5</v>
      </c>
      <c r="S1143" s="18">
        <f>IF(R1143&lt;4,Q1143-1,Q1143)</f>
        <v>2025</v>
      </c>
      <c r="T1143" s="18">
        <f>IF(R1143&lt;4,R1143+9,R1143-3)</f>
        <v>2</v>
      </c>
      <c r="U1143" s="18" t="str">
        <f>IF(LEN(T1143)=1,_xlfn.CONCAT(0,T1143),T1143)</f>
        <v>02</v>
      </c>
      <c r="V1143" s="18" t="str">
        <f>_xlfn.CONCAT(S1143,U1143)</f>
        <v>202502</v>
      </c>
      <c r="W1143" s="18" t="str">
        <f>_xlfn.CONCAT(TEXT(A1143,"MMM"),"-",MID(Q1143,3,2))</f>
        <v>May-25</v>
      </c>
      <c r="X1143" s="19">
        <f>IFERROR(IF(D1143="Sell",(H1143-P1143),-(H1143+P1143)),0)</f>
        <v>14198.76</v>
      </c>
      <c r="Y1143" s="19">
        <f>X1143/1000</f>
        <v>14.19876</v>
      </c>
    </row>
    <row r="1144" spans="1:25" x14ac:dyDescent="0.25">
      <c r="A1144" s="1">
        <v>45792</v>
      </c>
      <c r="B1144" t="s">
        <v>1605</v>
      </c>
      <c r="C1144" t="s">
        <v>17</v>
      </c>
      <c r="D1144" t="s">
        <v>22</v>
      </c>
      <c r="E1144">
        <v>75</v>
      </c>
      <c r="F1144">
        <v>0</v>
      </c>
      <c r="G1144">
        <v>73</v>
      </c>
      <c r="H1144">
        <v>5475</v>
      </c>
      <c r="I1144" t="s">
        <v>1612</v>
      </c>
      <c r="J1144">
        <v>0</v>
      </c>
      <c r="K1144">
        <v>1.95</v>
      </c>
      <c r="L1144">
        <v>0</v>
      </c>
      <c r="M1144">
        <v>0.01</v>
      </c>
      <c r="N1144">
        <v>29</v>
      </c>
      <c r="O1144">
        <v>5.58</v>
      </c>
      <c r="P1144">
        <v>36.54</v>
      </c>
      <c r="Q1144" s="18">
        <f>YEAR(A1144)</f>
        <v>2025</v>
      </c>
      <c r="R1144" s="18">
        <f>MONTH(A1144)</f>
        <v>5</v>
      </c>
      <c r="S1144" s="18">
        <f>IF(R1144&lt;4,Q1144-1,Q1144)</f>
        <v>2025</v>
      </c>
      <c r="T1144" s="18">
        <f>IF(R1144&lt;4,R1144+9,R1144-3)</f>
        <v>2</v>
      </c>
      <c r="U1144" s="18" t="str">
        <f>IF(LEN(T1144)=1,_xlfn.CONCAT(0,T1144),T1144)</f>
        <v>02</v>
      </c>
      <c r="V1144" s="18" t="str">
        <f>_xlfn.CONCAT(S1144,U1144)</f>
        <v>202502</v>
      </c>
      <c r="W1144" s="18" t="str">
        <f>_xlfn.CONCAT(TEXT(A1144,"MMM"),"-",MID(Q1144,3,2))</f>
        <v>May-25</v>
      </c>
      <c r="X1144" s="19">
        <f>IFERROR(IF(D1144="Sell",(H1144-P1144),-(H1144+P1144)),0)</f>
        <v>-5511.54</v>
      </c>
      <c r="Y1144" s="19">
        <f>X1144/1000</f>
        <v>-5.5115400000000001</v>
      </c>
    </row>
    <row r="1145" spans="1:25" x14ac:dyDescent="0.25">
      <c r="A1145" s="1">
        <v>45792</v>
      </c>
      <c r="B1145" t="s">
        <v>1605</v>
      </c>
      <c r="C1145" t="s">
        <v>17</v>
      </c>
      <c r="D1145" t="s">
        <v>22</v>
      </c>
      <c r="E1145">
        <v>75</v>
      </c>
      <c r="F1145">
        <v>0</v>
      </c>
      <c r="G1145">
        <v>99.2</v>
      </c>
      <c r="H1145">
        <v>7440</v>
      </c>
      <c r="I1145" t="s">
        <v>1613</v>
      </c>
      <c r="J1145">
        <v>0</v>
      </c>
      <c r="K1145">
        <v>2.64</v>
      </c>
      <c r="L1145">
        <v>0</v>
      </c>
      <c r="M1145">
        <v>0.01</v>
      </c>
      <c r="N1145">
        <v>29</v>
      </c>
      <c r="O1145">
        <v>5.7</v>
      </c>
      <c r="P1145">
        <v>37.35</v>
      </c>
      <c r="Q1145" s="18">
        <f>YEAR(A1145)</f>
        <v>2025</v>
      </c>
      <c r="R1145" s="18">
        <f>MONTH(A1145)</f>
        <v>5</v>
      </c>
      <c r="S1145" s="18">
        <f>IF(R1145&lt;4,Q1145-1,Q1145)</f>
        <v>2025</v>
      </c>
      <c r="T1145" s="18">
        <f>IF(R1145&lt;4,R1145+9,R1145-3)</f>
        <v>2</v>
      </c>
      <c r="U1145" s="18" t="str">
        <f>IF(LEN(T1145)=1,_xlfn.CONCAT(0,T1145),T1145)</f>
        <v>02</v>
      </c>
      <c r="V1145" s="18" t="str">
        <f>_xlfn.CONCAT(S1145,U1145)</f>
        <v>202502</v>
      </c>
      <c r="W1145" s="18" t="str">
        <f>_xlfn.CONCAT(TEXT(A1145,"MMM"),"-",MID(Q1145,3,2))</f>
        <v>May-25</v>
      </c>
      <c r="X1145" s="19">
        <f>IFERROR(IF(D1145="Sell",(H1145-P1145),-(H1145+P1145)),0)</f>
        <v>-7477.35</v>
      </c>
      <c r="Y1145" s="19">
        <f>X1145/1000</f>
        <v>-7.4773500000000004</v>
      </c>
    </row>
    <row r="1146" spans="1:25" x14ac:dyDescent="0.25">
      <c r="A1146" s="1">
        <v>45792</v>
      </c>
      <c r="B1146" t="s">
        <v>1614</v>
      </c>
      <c r="C1146" t="s">
        <v>17</v>
      </c>
      <c r="D1146" t="s">
        <v>18</v>
      </c>
      <c r="E1146">
        <v>75</v>
      </c>
      <c r="F1146">
        <v>0</v>
      </c>
      <c r="G1146">
        <v>131.5</v>
      </c>
      <c r="H1146">
        <v>9862.5</v>
      </c>
      <c r="I1146" t="s">
        <v>1615</v>
      </c>
      <c r="J1146">
        <v>9.8699999999999992</v>
      </c>
      <c r="K1146">
        <v>3.5</v>
      </c>
      <c r="L1146">
        <v>0</v>
      </c>
      <c r="M1146">
        <v>0.01</v>
      </c>
      <c r="N1146">
        <v>29</v>
      </c>
      <c r="O1146">
        <v>5.86</v>
      </c>
      <c r="P1146">
        <v>48.24</v>
      </c>
      <c r="Q1146" s="18">
        <f>YEAR(A1146)</f>
        <v>2025</v>
      </c>
      <c r="R1146" s="18">
        <f>MONTH(A1146)</f>
        <v>5</v>
      </c>
      <c r="S1146" s="18">
        <f>IF(R1146&lt;4,Q1146-1,Q1146)</f>
        <v>2025</v>
      </c>
      <c r="T1146" s="18">
        <f>IF(R1146&lt;4,R1146+9,R1146-3)</f>
        <v>2</v>
      </c>
      <c r="U1146" s="18" t="str">
        <f>IF(LEN(T1146)=1,_xlfn.CONCAT(0,T1146),T1146)</f>
        <v>02</v>
      </c>
      <c r="V1146" s="18" t="str">
        <f>_xlfn.CONCAT(S1146,U1146)</f>
        <v>202502</v>
      </c>
      <c r="W1146" s="18" t="str">
        <f>_xlfn.CONCAT(TEXT(A1146,"MMM"),"-",MID(Q1146,3,2))</f>
        <v>May-25</v>
      </c>
      <c r="X1146" s="19">
        <f>IFERROR(IF(D1146="Sell",(H1146-P1146),-(H1146+P1146)),0)</f>
        <v>9814.26</v>
      </c>
      <c r="Y1146" s="19">
        <f>X1146/1000</f>
        <v>9.8142600000000009</v>
      </c>
    </row>
    <row r="1147" spans="1:25" x14ac:dyDescent="0.25">
      <c r="A1147" s="1">
        <v>45792</v>
      </c>
      <c r="B1147" t="s">
        <v>1614</v>
      </c>
      <c r="C1147" t="s">
        <v>17</v>
      </c>
      <c r="D1147" t="s">
        <v>22</v>
      </c>
      <c r="E1147">
        <v>75</v>
      </c>
      <c r="F1147">
        <v>0</v>
      </c>
      <c r="G1147">
        <v>114.9</v>
      </c>
      <c r="H1147">
        <v>8617.5</v>
      </c>
      <c r="I1147" t="s">
        <v>1616</v>
      </c>
      <c r="J1147">
        <v>0</v>
      </c>
      <c r="K1147">
        <v>3.06</v>
      </c>
      <c r="L1147">
        <v>0.26</v>
      </c>
      <c r="M1147">
        <v>0.01</v>
      </c>
      <c r="N1147">
        <v>29</v>
      </c>
      <c r="O1147">
        <v>5.78</v>
      </c>
      <c r="P1147">
        <v>38.11</v>
      </c>
      <c r="Q1147" s="18">
        <f>YEAR(A1147)</f>
        <v>2025</v>
      </c>
      <c r="R1147" s="18">
        <f>MONTH(A1147)</f>
        <v>5</v>
      </c>
      <c r="S1147" s="18">
        <f>IF(R1147&lt;4,Q1147-1,Q1147)</f>
        <v>2025</v>
      </c>
      <c r="T1147" s="18">
        <f>IF(R1147&lt;4,R1147+9,R1147-3)</f>
        <v>2</v>
      </c>
      <c r="U1147" s="18" t="str">
        <f>IF(LEN(T1147)=1,_xlfn.CONCAT(0,T1147),T1147)</f>
        <v>02</v>
      </c>
      <c r="V1147" s="18" t="str">
        <f>_xlfn.CONCAT(S1147,U1147)</f>
        <v>202502</v>
      </c>
      <c r="W1147" s="18" t="str">
        <f>_xlfn.CONCAT(TEXT(A1147,"MMM"),"-",MID(Q1147,3,2))</f>
        <v>May-25</v>
      </c>
      <c r="X1147" s="19">
        <f>IFERROR(IF(D1147="Sell",(H1147-P1147),-(H1147+P1147)),0)</f>
        <v>-8655.61</v>
      </c>
      <c r="Y1147" s="19">
        <f>X1147/1000</f>
        <v>-8.6556100000000011</v>
      </c>
    </row>
    <row r="1148" spans="1:25" x14ac:dyDescent="0.25">
      <c r="A1148" s="1">
        <v>45798</v>
      </c>
      <c r="B1148" t="s">
        <v>1602</v>
      </c>
      <c r="C1148" t="s">
        <v>17</v>
      </c>
      <c r="D1148" t="s">
        <v>18</v>
      </c>
      <c r="E1148">
        <v>150</v>
      </c>
      <c r="F1148">
        <v>0</v>
      </c>
      <c r="G1148">
        <v>77.349999999999994</v>
      </c>
      <c r="H1148">
        <v>11602.5</v>
      </c>
      <c r="I1148" t="s">
        <v>1603</v>
      </c>
      <c r="J1148">
        <v>12</v>
      </c>
      <c r="K1148">
        <v>4.12</v>
      </c>
      <c r="L1148">
        <v>0</v>
      </c>
      <c r="M1148">
        <v>0.01</v>
      </c>
      <c r="N1148">
        <v>58</v>
      </c>
      <c r="O1148">
        <v>11.18</v>
      </c>
      <c r="P1148">
        <v>85.31</v>
      </c>
      <c r="Q1148" s="18">
        <f>YEAR(A1148)</f>
        <v>2025</v>
      </c>
      <c r="R1148" s="18">
        <f>MONTH(A1148)</f>
        <v>5</v>
      </c>
      <c r="S1148" s="18">
        <f>IF(R1148&lt;4,Q1148-1,Q1148)</f>
        <v>2025</v>
      </c>
      <c r="T1148" s="18">
        <f>IF(R1148&lt;4,R1148+9,R1148-3)</f>
        <v>2</v>
      </c>
      <c r="U1148" s="18" t="str">
        <f>IF(LEN(T1148)=1,_xlfn.CONCAT(0,T1148),T1148)</f>
        <v>02</v>
      </c>
      <c r="V1148" s="18" t="str">
        <f>_xlfn.CONCAT(S1148,U1148)</f>
        <v>202502</v>
      </c>
      <c r="W1148" s="18" t="str">
        <f>_xlfn.CONCAT(TEXT(A1148,"MMM"),"-",MID(Q1148,3,2))</f>
        <v>May-25</v>
      </c>
      <c r="X1148" s="19">
        <f>IFERROR(IF(D1148="Sell",(H1148-P1148),-(H1148+P1148)),0)</f>
        <v>11517.19</v>
      </c>
      <c r="Y1148" s="19">
        <f>X1148/1000</f>
        <v>11.517190000000001</v>
      </c>
    </row>
    <row r="1149" spans="1:25" x14ac:dyDescent="0.25">
      <c r="A1149" s="1">
        <v>45798</v>
      </c>
      <c r="B1149" t="s">
        <v>1602</v>
      </c>
      <c r="C1149" t="s">
        <v>17</v>
      </c>
      <c r="D1149" t="s">
        <v>22</v>
      </c>
      <c r="E1149">
        <v>150</v>
      </c>
      <c r="F1149">
        <v>0</v>
      </c>
      <c r="G1149">
        <v>125.6</v>
      </c>
      <c r="H1149">
        <v>18840</v>
      </c>
      <c r="I1149" t="s">
        <v>1604</v>
      </c>
      <c r="J1149">
        <v>0</v>
      </c>
      <c r="K1149">
        <v>6.69</v>
      </c>
      <c r="L1149">
        <v>1</v>
      </c>
      <c r="M1149">
        <v>0.02</v>
      </c>
      <c r="N1149">
        <v>58</v>
      </c>
      <c r="O1149">
        <v>11.64</v>
      </c>
      <c r="P1149">
        <v>77.349999999999994</v>
      </c>
      <c r="Q1149" s="18">
        <f>YEAR(A1149)</f>
        <v>2025</v>
      </c>
      <c r="R1149" s="18">
        <f>MONTH(A1149)</f>
        <v>5</v>
      </c>
      <c r="S1149" s="18">
        <f>IF(R1149&lt;4,Q1149-1,Q1149)</f>
        <v>2025</v>
      </c>
      <c r="T1149" s="18">
        <f>IF(R1149&lt;4,R1149+9,R1149-3)</f>
        <v>2</v>
      </c>
      <c r="U1149" s="18" t="str">
        <f>IF(LEN(T1149)=1,_xlfn.CONCAT(0,T1149),T1149)</f>
        <v>02</v>
      </c>
      <c r="V1149" s="18" t="str">
        <f>_xlfn.CONCAT(S1149,U1149)</f>
        <v>202502</v>
      </c>
      <c r="W1149" s="18" t="str">
        <f>_xlfn.CONCAT(TEXT(A1149,"MMM"),"-",MID(Q1149,3,2))</f>
        <v>May-25</v>
      </c>
      <c r="X1149" s="19">
        <f>IFERROR(IF(D1149="Sell",(H1149-P1149),-(H1149+P1149)),0)</f>
        <v>-18917.349999999999</v>
      </c>
      <c r="Y1149" s="19">
        <f>X1149/1000</f>
        <v>-18.917349999999999</v>
      </c>
    </row>
    <row r="1150" spans="1:25" x14ac:dyDescent="0.25">
      <c r="A1150" s="1">
        <v>45800</v>
      </c>
      <c r="B1150" t="s">
        <v>1599</v>
      </c>
      <c r="C1150" t="s">
        <v>17</v>
      </c>
      <c r="D1150" t="s">
        <v>22</v>
      </c>
      <c r="E1150">
        <v>75</v>
      </c>
      <c r="F1150">
        <v>0</v>
      </c>
      <c r="G1150">
        <v>24.65</v>
      </c>
      <c r="H1150">
        <v>1848.75</v>
      </c>
      <c r="I1150" t="s">
        <v>1601</v>
      </c>
      <c r="J1150">
        <v>0</v>
      </c>
      <c r="K1150">
        <v>0.66</v>
      </c>
      <c r="L1150">
        <v>0</v>
      </c>
      <c r="M1150">
        <v>0</v>
      </c>
      <c r="N1150">
        <v>29</v>
      </c>
      <c r="O1150">
        <v>5.34</v>
      </c>
      <c r="P1150">
        <v>35</v>
      </c>
      <c r="Q1150" s="18">
        <f>YEAR(A1150)</f>
        <v>2025</v>
      </c>
      <c r="R1150" s="18">
        <f>MONTH(A1150)</f>
        <v>5</v>
      </c>
      <c r="S1150" s="18">
        <f>IF(R1150&lt;4,Q1150-1,Q1150)</f>
        <v>2025</v>
      </c>
      <c r="T1150" s="18">
        <f>IF(R1150&lt;4,R1150+9,R1150-3)</f>
        <v>2</v>
      </c>
      <c r="U1150" s="18" t="str">
        <f>IF(LEN(T1150)=1,_xlfn.CONCAT(0,T1150),T1150)</f>
        <v>02</v>
      </c>
      <c r="V1150" s="18" t="str">
        <f>_xlfn.CONCAT(S1150,U1150)</f>
        <v>202502</v>
      </c>
      <c r="W1150" s="18" t="str">
        <f>_xlfn.CONCAT(TEXT(A1150,"MMM"),"-",MID(Q1150,3,2))</f>
        <v>May-25</v>
      </c>
      <c r="X1150" s="19">
        <f>IFERROR(IF(D1150="Sell",(H1150-P1150),-(H1150+P1150)),0)</f>
        <v>-1883.75</v>
      </c>
      <c r="Y1150" s="19">
        <f>X1150/1000</f>
        <v>-1.88375</v>
      </c>
    </row>
    <row r="1151" spans="1:25" x14ac:dyDescent="0.25">
      <c r="A1151" s="1">
        <v>45806</v>
      </c>
      <c r="B1151" t="s">
        <v>1596</v>
      </c>
      <c r="C1151" t="s">
        <v>17</v>
      </c>
      <c r="D1151" t="s">
        <v>18</v>
      </c>
      <c r="E1151">
        <v>150</v>
      </c>
      <c r="F1151">
        <v>0</v>
      </c>
      <c r="G1151">
        <v>29.25</v>
      </c>
      <c r="H1151">
        <v>4387.5</v>
      </c>
      <c r="I1151" t="s">
        <v>1597</v>
      </c>
      <c r="J1151">
        <v>4.38</v>
      </c>
      <c r="K1151">
        <v>1.56</v>
      </c>
      <c r="L1151">
        <v>0</v>
      </c>
      <c r="M1151">
        <v>0</v>
      </c>
      <c r="N1151">
        <v>58</v>
      </c>
      <c r="O1151">
        <v>10.72</v>
      </c>
      <c r="P1151">
        <v>74.66</v>
      </c>
      <c r="Q1151" s="18">
        <f>YEAR(A1151)</f>
        <v>2025</v>
      </c>
      <c r="R1151" s="18">
        <f>MONTH(A1151)</f>
        <v>5</v>
      </c>
      <c r="S1151" s="18">
        <f>IF(R1151&lt;4,Q1151-1,Q1151)</f>
        <v>2025</v>
      </c>
      <c r="T1151" s="18">
        <f>IF(R1151&lt;4,R1151+9,R1151-3)</f>
        <v>2</v>
      </c>
      <c r="U1151" s="18" t="str">
        <f>IF(LEN(T1151)=1,_xlfn.CONCAT(0,T1151),T1151)</f>
        <v>02</v>
      </c>
      <c r="V1151" s="18" t="str">
        <f>_xlfn.CONCAT(S1151,U1151)</f>
        <v>202502</v>
      </c>
      <c r="W1151" s="18" t="str">
        <f>_xlfn.CONCAT(TEXT(A1151,"MMM"),"-",MID(Q1151,3,2))</f>
        <v>May-25</v>
      </c>
      <c r="X1151" s="19">
        <f>IFERROR(IF(D1151="Sell",(H1151-P1151),-(H1151+P1151)),0)</f>
        <v>4312.84</v>
      </c>
      <c r="Y1151" s="19">
        <f>X1151/1000</f>
        <v>4.3128400000000005</v>
      </c>
    </row>
    <row r="1152" spans="1:25" x14ac:dyDescent="0.25">
      <c r="A1152" s="1">
        <v>45806</v>
      </c>
      <c r="B1152" t="s">
        <v>1596</v>
      </c>
      <c r="C1152" t="s">
        <v>17</v>
      </c>
      <c r="D1152" t="s">
        <v>22</v>
      </c>
      <c r="E1152">
        <v>150</v>
      </c>
      <c r="F1152">
        <v>0</v>
      </c>
      <c r="G1152">
        <v>28.15</v>
      </c>
      <c r="H1152">
        <v>4222.5</v>
      </c>
      <c r="I1152" t="s">
        <v>1598</v>
      </c>
      <c r="J1152">
        <v>0</v>
      </c>
      <c r="K1152">
        <v>1.5</v>
      </c>
      <c r="L1152">
        <v>0</v>
      </c>
      <c r="M1152">
        <v>0</v>
      </c>
      <c r="N1152">
        <v>58</v>
      </c>
      <c r="O1152">
        <v>10.72</v>
      </c>
      <c r="P1152">
        <v>70.22</v>
      </c>
      <c r="Q1152" s="18">
        <f>YEAR(A1152)</f>
        <v>2025</v>
      </c>
      <c r="R1152" s="18">
        <f>MONTH(A1152)</f>
        <v>5</v>
      </c>
      <c r="S1152" s="18">
        <f>IF(R1152&lt;4,Q1152-1,Q1152)</f>
        <v>2025</v>
      </c>
      <c r="T1152" s="18">
        <f>IF(R1152&lt;4,R1152+9,R1152-3)</f>
        <v>2</v>
      </c>
      <c r="U1152" s="18" t="str">
        <f>IF(LEN(T1152)=1,_xlfn.CONCAT(0,T1152),T1152)</f>
        <v>02</v>
      </c>
      <c r="V1152" s="18" t="str">
        <f>_xlfn.CONCAT(S1152,U1152)</f>
        <v>202502</v>
      </c>
      <c r="W1152" s="18" t="str">
        <f>_xlfn.CONCAT(TEXT(A1152,"MMM"),"-",MID(Q1152,3,2))</f>
        <v>May-25</v>
      </c>
      <c r="X1152" s="19">
        <f>IFERROR(IF(D1152="Sell",(H1152-P1152),-(H1152+P1152)),0)</f>
        <v>-4292.72</v>
      </c>
      <c r="Y1152" s="19">
        <f>X1152/1000</f>
        <v>-4.2927200000000001</v>
      </c>
    </row>
    <row r="1153" spans="1:25" x14ac:dyDescent="0.25">
      <c r="A1153" s="1">
        <v>45806</v>
      </c>
      <c r="B1153" t="s">
        <v>1599</v>
      </c>
      <c r="C1153" t="s">
        <v>17</v>
      </c>
      <c r="D1153" t="s">
        <v>18</v>
      </c>
      <c r="E1153">
        <v>75</v>
      </c>
      <c r="F1153">
        <v>0</v>
      </c>
      <c r="G1153">
        <v>1.5</v>
      </c>
      <c r="H1153">
        <v>112.5</v>
      </c>
      <c r="I1153" t="s">
        <v>1600</v>
      </c>
      <c r="J1153">
        <v>0.61</v>
      </c>
      <c r="K1153">
        <v>0.04</v>
      </c>
      <c r="L1153">
        <v>0</v>
      </c>
      <c r="M1153">
        <v>0</v>
      </c>
      <c r="N1153">
        <v>29</v>
      </c>
      <c r="O1153">
        <v>5.22</v>
      </c>
      <c r="P1153">
        <v>34.869999999999997</v>
      </c>
      <c r="Q1153" s="18">
        <f>YEAR(A1153)</f>
        <v>2025</v>
      </c>
      <c r="R1153" s="18">
        <f>MONTH(A1153)</f>
        <v>5</v>
      </c>
      <c r="S1153" s="18">
        <f>IF(R1153&lt;4,Q1153-1,Q1153)</f>
        <v>2025</v>
      </c>
      <c r="T1153" s="18">
        <f>IF(R1153&lt;4,R1153+9,R1153-3)</f>
        <v>2</v>
      </c>
      <c r="U1153" s="18" t="str">
        <f>IF(LEN(T1153)=1,_xlfn.CONCAT(0,T1153),T1153)</f>
        <v>02</v>
      </c>
      <c r="V1153" s="18" t="str">
        <f>_xlfn.CONCAT(S1153,U1153)</f>
        <v>202502</v>
      </c>
      <c r="W1153" s="18" t="str">
        <f>_xlfn.CONCAT(TEXT(A1153,"MMM"),"-",MID(Q1153,3,2))</f>
        <v>May-25</v>
      </c>
      <c r="X1153" s="19">
        <f>IFERROR(IF(D1153="Sell",(H1153-P1153),-(H1153+P1153)),0)</f>
        <v>77.63</v>
      </c>
      <c r="Y1153" s="19">
        <f>X1153/1000</f>
        <v>7.7629999999999991E-2</v>
      </c>
    </row>
    <row r="1154" spans="1:25" x14ac:dyDescent="0.25">
      <c r="A1154" s="1">
        <v>45813</v>
      </c>
      <c r="B1154" t="s">
        <v>1593</v>
      </c>
      <c r="C1154" t="s">
        <v>17</v>
      </c>
      <c r="D1154" t="s">
        <v>18</v>
      </c>
      <c r="E1154">
        <v>150</v>
      </c>
      <c r="F1154">
        <v>0</v>
      </c>
      <c r="G1154">
        <v>5</v>
      </c>
      <c r="H1154">
        <v>750</v>
      </c>
      <c r="I1154" t="s">
        <v>1594</v>
      </c>
      <c r="J1154">
        <v>1</v>
      </c>
      <c r="K1154">
        <v>0.27</v>
      </c>
      <c r="L1154">
        <v>0</v>
      </c>
      <c r="M1154">
        <v>0</v>
      </c>
      <c r="N1154">
        <v>58</v>
      </c>
      <c r="O1154">
        <v>10.48</v>
      </c>
      <c r="P1154">
        <v>69.75</v>
      </c>
      <c r="Q1154" s="18">
        <f>YEAR(A1154)</f>
        <v>2025</v>
      </c>
      <c r="R1154" s="18">
        <f>MONTH(A1154)</f>
        <v>6</v>
      </c>
      <c r="S1154" s="18">
        <f>IF(R1154&lt;4,Q1154-1,Q1154)</f>
        <v>2025</v>
      </c>
      <c r="T1154" s="18">
        <f>IF(R1154&lt;4,R1154+9,R1154-3)</f>
        <v>3</v>
      </c>
      <c r="U1154" s="18" t="str">
        <f>IF(LEN(T1154)=1,_xlfn.CONCAT(0,T1154),T1154)</f>
        <v>03</v>
      </c>
      <c r="V1154" s="18" t="str">
        <f>_xlfn.CONCAT(S1154,U1154)</f>
        <v>202503</v>
      </c>
      <c r="W1154" s="18" t="str">
        <f>_xlfn.CONCAT(TEXT(A1154,"MMM"),"-",MID(Q1154,3,2))</f>
        <v>Jun-25</v>
      </c>
      <c r="X1154" s="19">
        <f>IFERROR(IF(D1154="Sell",(H1154-P1154),-(H1154+P1154)),0)</f>
        <v>680.25</v>
      </c>
      <c r="Y1154" s="19">
        <f>X1154/1000</f>
        <v>0.68025000000000002</v>
      </c>
    </row>
    <row r="1155" spans="1:25" x14ac:dyDescent="0.25">
      <c r="A1155" s="1">
        <v>45813</v>
      </c>
      <c r="B1155" t="s">
        <v>1593</v>
      </c>
      <c r="C1155" t="s">
        <v>17</v>
      </c>
      <c r="D1155" t="s">
        <v>22</v>
      </c>
      <c r="E1155">
        <v>150</v>
      </c>
      <c r="F1155">
        <v>0</v>
      </c>
      <c r="G1155">
        <v>22</v>
      </c>
      <c r="H1155">
        <v>3300</v>
      </c>
      <c r="I1155" t="s">
        <v>1595</v>
      </c>
      <c r="J1155">
        <v>0</v>
      </c>
      <c r="K1155">
        <v>1.17</v>
      </c>
      <c r="L1155">
        <v>0</v>
      </c>
      <c r="M1155">
        <v>0</v>
      </c>
      <c r="N1155">
        <v>58</v>
      </c>
      <c r="O1155">
        <v>10.66</v>
      </c>
      <c r="P1155">
        <v>69.83</v>
      </c>
      <c r="Q1155" s="18">
        <f>YEAR(A1155)</f>
        <v>2025</v>
      </c>
      <c r="R1155" s="18">
        <f>MONTH(A1155)</f>
        <v>6</v>
      </c>
      <c r="S1155" s="18">
        <f>IF(R1155&lt;4,Q1155-1,Q1155)</f>
        <v>2025</v>
      </c>
      <c r="T1155" s="18">
        <f>IF(R1155&lt;4,R1155+9,R1155-3)</f>
        <v>3</v>
      </c>
      <c r="U1155" s="18" t="str">
        <f>IF(LEN(T1155)=1,_xlfn.CONCAT(0,T1155),T1155)</f>
        <v>03</v>
      </c>
      <c r="V1155" s="18" t="str">
        <f>_xlfn.CONCAT(S1155,U1155)</f>
        <v>202503</v>
      </c>
      <c r="W1155" s="18" t="str">
        <f>_xlfn.CONCAT(TEXT(A1155,"MMM"),"-",MID(Q1155,3,2))</f>
        <v>Jun-25</v>
      </c>
      <c r="X1155" s="19">
        <f>IFERROR(IF(D1155="Sell",(H1155-P1155),-(H1155+P1155)),0)</f>
        <v>-3369.83</v>
      </c>
      <c r="Y1155" s="19">
        <f>X1155/1000</f>
        <v>-3.3698299999999999</v>
      </c>
    </row>
    <row r="1156" spans="1:25" x14ac:dyDescent="0.25">
      <c r="A1156" s="1">
        <v>45842</v>
      </c>
      <c r="B1156" t="s">
        <v>1588</v>
      </c>
      <c r="C1156" t="s">
        <v>17</v>
      </c>
      <c r="D1156" t="s">
        <v>18</v>
      </c>
      <c r="E1156">
        <v>375</v>
      </c>
      <c r="F1156">
        <v>0</v>
      </c>
      <c r="G1156">
        <v>152.25</v>
      </c>
      <c r="H1156">
        <v>57093.75</v>
      </c>
      <c r="I1156" t="s">
        <v>1589</v>
      </c>
      <c r="J1156">
        <v>56.97</v>
      </c>
      <c r="K1156">
        <v>20.28</v>
      </c>
      <c r="L1156">
        <v>0</v>
      </c>
      <c r="M1156">
        <v>0.05</v>
      </c>
      <c r="N1156">
        <v>145</v>
      </c>
      <c r="O1156">
        <v>29.76</v>
      </c>
      <c r="P1156">
        <v>252.06</v>
      </c>
      <c r="Q1156" s="18">
        <f>YEAR(A1156)</f>
        <v>2025</v>
      </c>
      <c r="R1156" s="18">
        <f>MONTH(A1156)</f>
        <v>7</v>
      </c>
      <c r="S1156" s="18">
        <f>IF(R1156&lt;4,Q1156-1,Q1156)</f>
        <v>2025</v>
      </c>
      <c r="T1156" s="18">
        <f>IF(R1156&lt;4,R1156+9,R1156-3)</f>
        <v>4</v>
      </c>
      <c r="U1156" s="18" t="str">
        <f>IF(LEN(T1156)=1,_xlfn.CONCAT(0,T1156),T1156)</f>
        <v>04</v>
      </c>
      <c r="V1156" s="18" t="str">
        <f>_xlfn.CONCAT(S1156,U1156)</f>
        <v>202504</v>
      </c>
      <c r="W1156" s="18" t="str">
        <f>_xlfn.CONCAT(TEXT(A1156,"MMM"),"-",MID(Q1156,3,2))</f>
        <v>Jul-25</v>
      </c>
      <c r="X1156" s="19">
        <f>IFERROR(IF(D1156="Sell",(H1156-P1156),-(H1156+P1156)),0)</f>
        <v>56841.69</v>
      </c>
      <c r="Y1156" s="19">
        <f>X1156/1000</f>
        <v>56.84169</v>
      </c>
    </row>
    <row r="1157" spans="1:25" x14ac:dyDescent="0.25">
      <c r="A1157" s="1">
        <v>45842</v>
      </c>
      <c r="B1157" t="s">
        <v>1588</v>
      </c>
      <c r="C1157" t="s">
        <v>17</v>
      </c>
      <c r="D1157" t="s">
        <v>22</v>
      </c>
      <c r="E1157">
        <v>375</v>
      </c>
      <c r="F1157">
        <v>0</v>
      </c>
      <c r="G1157">
        <v>157.1</v>
      </c>
      <c r="H1157">
        <v>58912.5</v>
      </c>
      <c r="I1157" t="s">
        <v>1590</v>
      </c>
      <c r="J1157">
        <v>0</v>
      </c>
      <c r="K1157">
        <v>20.94</v>
      </c>
      <c r="L1157">
        <v>3</v>
      </c>
      <c r="M1157">
        <v>0.06</v>
      </c>
      <c r="N1157">
        <v>145</v>
      </c>
      <c r="O1157">
        <v>29.88</v>
      </c>
      <c r="P1157">
        <v>198.88</v>
      </c>
      <c r="Q1157" s="18">
        <f>YEAR(A1157)</f>
        <v>2025</v>
      </c>
      <c r="R1157" s="18">
        <f>MONTH(A1157)</f>
        <v>7</v>
      </c>
      <c r="S1157" s="18">
        <f>IF(R1157&lt;4,Q1157-1,Q1157)</f>
        <v>2025</v>
      </c>
      <c r="T1157" s="18">
        <f>IF(R1157&lt;4,R1157+9,R1157-3)</f>
        <v>4</v>
      </c>
      <c r="U1157" s="18" t="str">
        <f>IF(LEN(T1157)=1,_xlfn.CONCAT(0,T1157),T1157)</f>
        <v>04</v>
      </c>
      <c r="V1157" s="18" t="str">
        <f>_xlfn.CONCAT(S1157,U1157)</f>
        <v>202504</v>
      </c>
      <c r="W1157" s="18" t="str">
        <f>_xlfn.CONCAT(TEXT(A1157,"MMM"),"-",MID(Q1157,3,2))</f>
        <v>Jul-25</v>
      </c>
      <c r="X1157" s="19">
        <f>IFERROR(IF(D1157="Sell",(H1157-P1157),-(H1157+P1157)),0)</f>
        <v>-59111.38</v>
      </c>
      <c r="Y1157" s="19">
        <f>X1157/1000</f>
        <v>-59.111379999999997</v>
      </c>
    </row>
    <row r="1158" spans="1:25" x14ac:dyDescent="0.25">
      <c r="A1158" s="1">
        <v>45842</v>
      </c>
      <c r="B1158" t="s">
        <v>1588</v>
      </c>
      <c r="C1158" t="s">
        <v>17</v>
      </c>
      <c r="D1158" t="s">
        <v>18</v>
      </c>
      <c r="E1158">
        <v>300</v>
      </c>
      <c r="F1158">
        <v>0</v>
      </c>
      <c r="G1158">
        <v>153.44999999999999</v>
      </c>
      <c r="H1158">
        <v>46035</v>
      </c>
      <c r="I1158" t="s">
        <v>1591</v>
      </c>
      <c r="J1158">
        <v>46.04</v>
      </c>
      <c r="K1158">
        <v>16.36</v>
      </c>
      <c r="L1158">
        <v>0</v>
      </c>
      <c r="M1158">
        <v>0.04</v>
      </c>
      <c r="N1158">
        <v>116</v>
      </c>
      <c r="O1158">
        <v>23.84</v>
      </c>
      <c r="P1158">
        <v>202.28</v>
      </c>
      <c r="Q1158" s="18">
        <f>YEAR(A1158)</f>
        <v>2025</v>
      </c>
      <c r="R1158" s="18">
        <f>MONTH(A1158)</f>
        <v>7</v>
      </c>
      <c r="S1158" s="18">
        <f>IF(R1158&lt;4,Q1158-1,Q1158)</f>
        <v>2025</v>
      </c>
      <c r="T1158" s="18">
        <f>IF(R1158&lt;4,R1158+9,R1158-3)</f>
        <v>4</v>
      </c>
      <c r="U1158" s="18" t="str">
        <f>IF(LEN(T1158)=1,_xlfn.CONCAT(0,T1158),T1158)</f>
        <v>04</v>
      </c>
      <c r="V1158" s="18" t="str">
        <f>_xlfn.CONCAT(S1158,U1158)</f>
        <v>202504</v>
      </c>
      <c r="W1158" s="18" t="str">
        <f>_xlfn.CONCAT(TEXT(A1158,"MMM"),"-",MID(Q1158,3,2))</f>
        <v>Jul-25</v>
      </c>
      <c r="X1158" s="19">
        <f>IFERROR(IF(D1158="Sell",(H1158-P1158),-(H1158+P1158)),0)</f>
        <v>45832.72</v>
      </c>
      <c r="Y1158" s="19">
        <f>X1158/1000</f>
        <v>45.832720000000002</v>
      </c>
    </row>
    <row r="1159" spans="1:25" x14ac:dyDescent="0.25">
      <c r="A1159" s="1">
        <v>45842</v>
      </c>
      <c r="B1159" t="s">
        <v>1588</v>
      </c>
      <c r="C1159" t="s">
        <v>17</v>
      </c>
      <c r="D1159" t="s">
        <v>22</v>
      </c>
      <c r="E1159">
        <v>300</v>
      </c>
      <c r="F1159">
        <v>0</v>
      </c>
      <c r="G1159">
        <v>157.69999999999999</v>
      </c>
      <c r="H1159">
        <v>47310</v>
      </c>
      <c r="I1159" t="s">
        <v>1592</v>
      </c>
      <c r="J1159">
        <v>0</v>
      </c>
      <c r="K1159">
        <v>16.8</v>
      </c>
      <c r="L1159">
        <v>0</v>
      </c>
      <c r="M1159">
        <v>0.04</v>
      </c>
      <c r="N1159">
        <v>116</v>
      </c>
      <c r="O1159">
        <v>23.92</v>
      </c>
      <c r="P1159">
        <v>156.76</v>
      </c>
      <c r="Q1159" s="18">
        <f>YEAR(A1159)</f>
        <v>2025</v>
      </c>
      <c r="R1159" s="18">
        <f>MONTH(A1159)</f>
        <v>7</v>
      </c>
      <c r="S1159" s="18">
        <f>IF(R1159&lt;4,Q1159-1,Q1159)</f>
        <v>2025</v>
      </c>
      <c r="T1159" s="18">
        <f>IF(R1159&lt;4,R1159+9,R1159-3)</f>
        <v>4</v>
      </c>
      <c r="U1159" s="18" t="str">
        <f>IF(LEN(T1159)=1,_xlfn.CONCAT(0,T1159),T1159)</f>
        <v>04</v>
      </c>
      <c r="V1159" s="18" t="str">
        <f>_xlfn.CONCAT(S1159,U1159)</f>
        <v>202504</v>
      </c>
      <c r="W1159" s="18" t="str">
        <f>_xlfn.CONCAT(TEXT(A1159,"MMM"),"-",MID(Q1159,3,2))</f>
        <v>Jul-25</v>
      </c>
      <c r="X1159" s="19">
        <f>IFERROR(IF(D1159="Sell",(H1159-P1159),-(H1159+P1159)),0)</f>
        <v>-47466.76</v>
      </c>
      <c r="Y1159" s="19">
        <f>X1159/1000</f>
        <v>-47.466760000000001</v>
      </c>
    </row>
    <row r="1160" spans="1:25" x14ac:dyDescent="0.25">
      <c r="A1160" s="1">
        <v>45881</v>
      </c>
      <c r="B1160" t="s">
        <v>1583</v>
      </c>
      <c r="C1160" t="s">
        <v>17</v>
      </c>
      <c r="D1160" t="s">
        <v>18</v>
      </c>
      <c r="E1160">
        <v>450</v>
      </c>
      <c r="F1160">
        <v>0</v>
      </c>
      <c r="G1160">
        <v>59.65</v>
      </c>
      <c r="H1160">
        <v>26842.5</v>
      </c>
      <c r="I1160" t="s">
        <v>1584</v>
      </c>
      <c r="J1160">
        <v>27</v>
      </c>
      <c r="K1160">
        <v>9.5399999999999991</v>
      </c>
      <c r="L1160">
        <v>0</v>
      </c>
      <c r="M1160">
        <v>0.02</v>
      </c>
      <c r="N1160">
        <v>174</v>
      </c>
      <c r="O1160">
        <v>33.04</v>
      </c>
      <c r="P1160">
        <v>243.6</v>
      </c>
      <c r="Q1160" s="18">
        <f>YEAR(A1160)</f>
        <v>2025</v>
      </c>
      <c r="R1160" s="18">
        <f>MONTH(A1160)</f>
        <v>8</v>
      </c>
      <c r="S1160" s="18">
        <f>IF(R1160&lt;4,Q1160-1,Q1160)</f>
        <v>2025</v>
      </c>
      <c r="T1160" s="18">
        <f>IF(R1160&lt;4,R1160+9,R1160-3)</f>
        <v>5</v>
      </c>
      <c r="U1160" s="18" t="str">
        <f>IF(LEN(T1160)=1,_xlfn.CONCAT(0,T1160),T1160)</f>
        <v>05</v>
      </c>
      <c r="V1160" s="18" t="str">
        <f>_xlfn.CONCAT(S1160,U1160)</f>
        <v>202505</v>
      </c>
      <c r="W1160" s="18" t="str">
        <f>_xlfn.CONCAT(TEXT(A1160,"MMM"),"-",MID(Q1160,3,2))</f>
        <v>Aug-25</v>
      </c>
      <c r="X1160" s="19">
        <f>IFERROR(IF(D1160="Sell",(H1160-P1160),-(H1160+P1160)),0)</f>
        <v>26598.9</v>
      </c>
      <c r="Y1160" s="19">
        <f>X1160/1000</f>
        <v>26.5989</v>
      </c>
    </row>
    <row r="1161" spans="1:25" x14ac:dyDescent="0.25">
      <c r="A1161" s="1">
        <v>45881</v>
      </c>
      <c r="B1161" t="s">
        <v>1583</v>
      </c>
      <c r="C1161" t="s">
        <v>17</v>
      </c>
      <c r="D1161" t="s">
        <v>22</v>
      </c>
      <c r="E1161">
        <v>225</v>
      </c>
      <c r="F1161">
        <v>0</v>
      </c>
      <c r="G1161">
        <v>44.3</v>
      </c>
      <c r="H1161">
        <v>9967.5</v>
      </c>
      <c r="I1161" t="s">
        <v>1585</v>
      </c>
      <c r="J1161">
        <v>0</v>
      </c>
      <c r="K1161">
        <v>3.54</v>
      </c>
      <c r="L1161">
        <v>0</v>
      </c>
      <c r="M1161">
        <v>0.01</v>
      </c>
      <c r="N1161">
        <v>87</v>
      </c>
      <c r="O1161">
        <v>16.3</v>
      </c>
      <c r="P1161">
        <v>106.85</v>
      </c>
      <c r="Q1161" s="18">
        <f>YEAR(A1161)</f>
        <v>2025</v>
      </c>
      <c r="R1161" s="18">
        <f>MONTH(A1161)</f>
        <v>8</v>
      </c>
      <c r="S1161" s="18">
        <f>IF(R1161&lt;4,Q1161-1,Q1161)</f>
        <v>2025</v>
      </c>
      <c r="T1161" s="18">
        <f>IF(R1161&lt;4,R1161+9,R1161-3)</f>
        <v>5</v>
      </c>
      <c r="U1161" s="18" t="str">
        <f>IF(LEN(T1161)=1,_xlfn.CONCAT(0,T1161),T1161)</f>
        <v>05</v>
      </c>
      <c r="V1161" s="18" t="str">
        <f>_xlfn.CONCAT(S1161,U1161)</f>
        <v>202505</v>
      </c>
      <c r="W1161" s="18" t="str">
        <f>_xlfn.CONCAT(TEXT(A1161,"MMM"),"-",MID(Q1161,3,2))</f>
        <v>Aug-25</v>
      </c>
      <c r="X1161" s="19">
        <f>IFERROR(IF(D1161="Sell",(H1161-P1161),-(H1161+P1161)),0)</f>
        <v>-10074.35</v>
      </c>
      <c r="Y1161" s="19">
        <f>X1161/1000</f>
        <v>-10.074350000000001</v>
      </c>
    </row>
    <row r="1162" spans="1:25" x14ac:dyDescent="0.25">
      <c r="A1162" s="1">
        <v>45881</v>
      </c>
      <c r="B1162" t="s">
        <v>1583</v>
      </c>
      <c r="C1162" t="s">
        <v>17</v>
      </c>
      <c r="D1162" t="s">
        <v>22</v>
      </c>
      <c r="E1162">
        <v>150</v>
      </c>
      <c r="F1162">
        <v>0</v>
      </c>
      <c r="G1162">
        <v>66.05</v>
      </c>
      <c r="H1162">
        <v>9907.5</v>
      </c>
      <c r="I1162" t="s">
        <v>1586</v>
      </c>
      <c r="J1162">
        <v>0</v>
      </c>
      <c r="K1162">
        <v>3.52</v>
      </c>
      <c r="L1162">
        <v>1</v>
      </c>
      <c r="M1162">
        <v>0.01</v>
      </c>
      <c r="N1162">
        <v>58</v>
      </c>
      <c r="O1162">
        <v>11.08</v>
      </c>
      <c r="P1162">
        <v>73.61</v>
      </c>
      <c r="Q1162" s="18">
        <f>YEAR(A1162)</f>
        <v>2025</v>
      </c>
      <c r="R1162" s="18">
        <f>MONTH(A1162)</f>
        <v>8</v>
      </c>
      <c r="S1162" s="18">
        <f>IF(R1162&lt;4,Q1162-1,Q1162)</f>
        <v>2025</v>
      </c>
      <c r="T1162" s="18">
        <f>IF(R1162&lt;4,R1162+9,R1162-3)</f>
        <v>5</v>
      </c>
      <c r="U1162" s="18" t="str">
        <f>IF(LEN(T1162)=1,_xlfn.CONCAT(0,T1162),T1162)</f>
        <v>05</v>
      </c>
      <c r="V1162" s="18" t="str">
        <f>_xlfn.CONCAT(S1162,U1162)</f>
        <v>202505</v>
      </c>
      <c r="W1162" s="18" t="str">
        <f>_xlfn.CONCAT(TEXT(A1162,"MMM"),"-",MID(Q1162,3,2))</f>
        <v>Aug-25</v>
      </c>
      <c r="X1162" s="19">
        <f>IFERROR(IF(D1162="Sell",(H1162-P1162),-(H1162+P1162)),0)</f>
        <v>-9981.11</v>
      </c>
      <c r="Y1162" s="19">
        <f>X1162/1000</f>
        <v>-9.981110000000001</v>
      </c>
    </row>
    <row r="1163" spans="1:25" x14ac:dyDescent="0.25">
      <c r="A1163" s="1">
        <v>45881</v>
      </c>
      <c r="B1163" t="s">
        <v>1583</v>
      </c>
      <c r="C1163" t="s">
        <v>17</v>
      </c>
      <c r="D1163" t="s">
        <v>22</v>
      </c>
      <c r="E1163">
        <v>75</v>
      </c>
      <c r="F1163">
        <v>0</v>
      </c>
      <c r="G1163">
        <v>82.3</v>
      </c>
      <c r="H1163">
        <v>6172.5</v>
      </c>
      <c r="I1163" t="s">
        <v>1587</v>
      </c>
      <c r="J1163">
        <v>0</v>
      </c>
      <c r="K1163">
        <v>2.19</v>
      </c>
      <c r="L1163">
        <v>0</v>
      </c>
      <c r="M1163">
        <v>0.01</v>
      </c>
      <c r="N1163">
        <v>29</v>
      </c>
      <c r="O1163">
        <v>5.62</v>
      </c>
      <c r="P1163">
        <v>36.82</v>
      </c>
      <c r="Q1163" s="18">
        <f>YEAR(A1163)</f>
        <v>2025</v>
      </c>
      <c r="R1163" s="18">
        <f>MONTH(A1163)</f>
        <v>8</v>
      </c>
      <c r="S1163" s="18">
        <f>IF(R1163&lt;4,Q1163-1,Q1163)</f>
        <v>2025</v>
      </c>
      <c r="T1163" s="18">
        <f>IF(R1163&lt;4,R1163+9,R1163-3)</f>
        <v>5</v>
      </c>
      <c r="U1163" s="18" t="str">
        <f>IF(LEN(T1163)=1,_xlfn.CONCAT(0,T1163),T1163)</f>
        <v>05</v>
      </c>
      <c r="V1163" s="18" t="str">
        <f>_xlfn.CONCAT(S1163,U1163)</f>
        <v>202505</v>
      </c>
      <c r="W1163" s="18" t="str">
        <f>_xlfn.CONCAT(TEXT(A1163,"MMM"),"-",MID(Q1163,3,2))</f>
        <v>Aug-25</v>
      </c>
      <c r="X1163" s="19">
        <f>IFERROR(IF(D1163="Sell",(H1163-P1163),-(H1163+P1163)),0)</f>
        <v>-6209.32</v>
      </c>
      <c r="Y1163" s="19">
        <f>X1163/1000</f>
        <v>-6.20932</v>
      </c>
    </row>
    <row r="1164" spans="1:25" x14ac:dyDescent="0.25">
      <c r="A1164" s="1">
        <v>45890</v>
      </c>
      <c r="B1164" t="s">
        <v>1575</v>
      </c>
      <c r="C1164" t="s">
        <v>17</v>
      </c>
      <c r="D1164" t="s">
        <v>18</v>
      </c>
      <c r="E1164">
        <v>900</v>
      </c>
      <c r="F1164">
        <v>0</v>
      </c>
      <c r="G1164">
        <v>4.1500000000000004</v>
      </c>
      <c r="H1164">
        <v>3735</v>
      </c>
      <c r="I1164" t="s">
        <v>1576</v>
      </c>
      <c r="J1164">
        <v>3.73</v>
      </c>
      <c r="K1164">
        <v>1.33</v>
      </c>
      <c r="L1164">
        <v>0</v>
      </c>
      <c r="M1164">
        <v>0</v>
      </c>
      <c r="N1164">
        <v>348</v>
      </c>
      <c r="O1164">
        <v>62.88</v>
      </c>
      <c r="P1164">
        <v>415.94</v>
      </c>
      <c r="Q1164" s="18">
        <f>YEAR(A1164)</f>
        <v>2025</v>
      </c>
      <c r="R1164" s="18">
        <f>MONTH(A1164)</f>
        <v>8</v>
      </c>
      <c r="S1164" s="18">
        <f>IF(R1164&lt;4,Q1164-1,Q1164)</f>
        <v>2025</v>
      </c>
      <c r="T1164" s="18">
        <f>IF(R1164&lt;4,R1164+9,R1164-3)</f>
        <v>5</v>
      </c>
      <c r="U1164" s="18" t="str">
        <f>IF(LEN(T1164)=1,_xlfn.CONCAT(0,T1164),T1164)</f>
        <v>05</v>
      </c>
      <c r="V1164" s="18" t="str">
        <f>_xlfn.CONCAT(S1164,U1164)</f>
        <v>202505</v>
      </c>
      <c r="W1164" s="18" t="str">
        <f>_xlfn.CONCAT(TEXT(A1164,"MMM"),"-",MID(Q1164,3,2))</f>
        <v>Aug-25</v>
      </c>
      <c r="X1164" s="19">
        <f>IFERROR(IF(D1164="Sell",(H1164-P1164),-(H1164+P1164)),0)</f>
        <v>3319.06</v>
      </c>
      <c r="Y1164" s="19">
        <f>X1164/1000</f>
        <v>3.3190599999999999</v>
      </c>
    </row>
    <row r="1165" spans="1:25" x14ac:dyDescent="0.25">
      <c r="A1165" s="1">
        <v>45890</v>
      </c>
      <c r="B1165" t="s">
        <v>1575</v>
      </c>
      <c r="C1165" t="s">
        <v>17</v>
      </c>
      <c r="D1165" t="s">
        <v>18</v>
      </c>
      <c r="E1165">
        <v>1500</v>
      </c>
      <c r="F1165">
        <v>0</v>
      </c>
      <c r="G1165">
        <v>3.8</v>
      </c>
      <c r="H1165">
        <v>5700</v>
      </c>
      <c r="I1165" t="s">
        <v>1577</v>
      </c>
      <c r="J1165">
        <v>5.72</v>
      </c>
      <c r="K1165">
        <v>2.02</v>
      </c>
      <c r="L1165">
        <v>0</v>
      </c>
      <c r="M1165">
        <v>0</v>
      </c>
      <c r="N1165">
        <v>580</v>
      </c>
      <c r="O1165">
        <v>104.76</v>
      </c>
      <c r="P1165">
        <v>692.5</v>
      </c>
      <c r="Q1165" s="18">
        <f>YEAR(A1165)</f>
        <v>2025</v>
      </c>
      <c r="R1165" s="18">
        <f>MONTH(A1165)</f>
        <v>8</v>
      </c>
      <c r="S1165" s="18">
        <f>IF(R1165&lt;4,Q1165-1,Q1165)</f>
        <v>2025</v>
      </c>
      <c r="T1165" s="18">
        <f>IF(R1165&lt;4,R1165+9,R1165-3)</f>
        <v>5</v>
      </c>
      <c r="U1165" s="18" t="str">
        <f>IF(LEN(T1165)=1,_xlfn.CONCAT(0,T1165),T1165)</f>
        <v>05</v>
      </c>
      <c r="V1165" s="18" t="str">
        <f>_xlfn.CONCAT(S1165,U1165)</f>
        <v>202505</v>
      </c>
      <c r="W1165" s="18" t="str">
        <f>_xlfn.CONCAT(TEXT(A1165,"MMM"),"-",MID(Q1165,3,2))</f>
        <v>Aug-25</v>
      </c>
      <c r="X1165" s="19">
        <f>IFERROR(IF(D1165="Sell",(H1165-P1165),-(H1165+P1165)),0)</f>
        <v>5007.5</v>
      </c>
      <c r="Y1165" s="19">
        <f>X1165/1000</f>
        <v>5.0075000000000003</v>
      </c>
    </row>
    <row r="1166" spans="1:25" x14ac:dyDescent="0.25">
      <c r="A1166" s="1">
        <v>45890</v>
      </c>
      <c r="B1166" t="s">
        <v>1575</v>
      </c>
      <c r="C1166" t="s">
        <v>17</v>
      </c>
      <c r="D1166" t="s">
        <v>18</v>
      </c>
      <c r="E1166">
        <v>450</v>
      </c>
      <c r="F1166">
        <v>0</v>
      </c>
      <c r="G1166">
        <v>3.8</v>
      </c>
      <c r="H1166">
        <v>1710</v>
      </c>
      <c r="I1166" t="s">
        <v>1578</v>
      </c>
      <c r="J1166">
        <v>1.71</v>
      </c>
      <c r="K1166">
        <v>0.61</v>
      </c>
      <c r="L1166">
        <v>0</v>
      </c>
      <c r="M1166">
        <v>0</v>
      </c>
      <c r="N1166">
        <v>174</v>
      </c>
      <c r="O1166">
        <v>31.42</v>
      </c>
      <c r="P1166">
        <v>207.74</v>
      </c>
      <c r="Q1166" s="18">
        <f>YEAR(A1166)</f>
        <v>2025</v>
      </c>
      <c r="R1166" s="18">
        <f>MONTH(A1166)</f>
        <v>8</v>
      </c>
      <c r="S1166" s="18">
        <f>IF(R1166&lt;4,Q1166-1,Q1166)</f>
        <v>2025</v>
      </c>
      <c r="T1166" s="18">
        <f>IF(R1166&lt;4,R1166+9,R1166-3)</f>
        <v>5</v>
      </c>
      <c r="U1166" s="18" t="str">
        <f>IF(LEN(T1166)=1,_xlfn.CONCAT(0,T1166),T1166)</f>
        <v>05</v>
      </c>
      <c r="V1166" s="18" t="str">
        <f>_xlfn.CONCAT(S1166,U1166)</f>
        <v>202505</v>
      </c>
      <c r="W1166" s="18" t="str">
        <f>_xlfn.CONCAT(TEXT(A1166,"MMM"),"-",MID(Q1166,3,2))</f>
        <v>Aug-25</v>
      </c>
      <c r="X1166" s="19">
        <f>IFERROR(IF(D1166="Sell",(H1166-P1166),-(H1166+P1166)),0)</f>
        <v>1502.26</v>
      </c>
      <c r="Y1166" s="19">
        <f>X1166/1000</f>
        <v>1.5022599999999999</v>
      </c>
    </row>
    <row r="1167" spans="1:25" x14ac:dyDescent="0.25">
      <c r="A1167" s="1">
        <v>45890</v>
      </c>
      <c r="B1167" t="s">
        <v>1575</v>
      </c>
      <c r="C1167" t="s">
        <v>17</v>
      </c>
      <c r="D1167" t="s">
        <v>18</v>
      </c>
      <c r="E1167">
        <v>150</v>
      </c>
      <c r="F1167">
        <v>0</v>
      </c>
      <c r="G1167">
        <v>12.05</v>
      </c>
      <c r="H1167">
        <v>1807.5</v>
      </c>
      <c r="I1167" t="s">
        <v>1579</v>
      </c>
      <c r="J1167">
        <v>1.86</v>
      </c>
      <c r="K1167">
        <v>0.64</v>
      </c>
      <c r="L1167">
        <v>0</v>
      </c>
      <c r="M1167">
        <v>0</v>
      </c>
      <c r="N1167">
        <v>58</v>
      </c>
      <c r="O1167">
        <v>10.56</v>
      </c>
      <c r="P1167">
        <v>71.06</v>
      </c>
      <c r="Q1167" s="18">
        <f>YEAR(A1167)</f>
        <v>2025</v>
      </c>
      <c r="R1167" s="18">
        <f>MONTH(A1167)</f>
        <v>8</v>
      </c>
      <c r="S1167" s="18">
        <f>IF(R1167&lt;4,Q1167-1,Q1167)</f>
        <v>2025</v>
      </c>
      <c r="T1167" s="18">
        <f>IF(R1167&lt;4,R1167+9,R1167-3)</f>
        <v>5</v>
      </c>
      <c r="U1167" s="18" t="str">
        <f>IF(LEN(T1167)=1,_xlfn.CONCAT(0,T1167),T1167)</f>
        <v>05</v>
      </c>
      <c r="V1167" s="18" t="str">
        <f>_xlfn.CONCAT(S1167,U1167)</f>
        <v>202505</v>
      </c>
      <c r="W1167" s="18" t="str">
        <f>_xlfn.CONCAT(TEXT(A1167,"MMM"),"-",MID(Q1167,3,2))</f>
        <v>Aug-25</v>
      </c>
      <c r="X1167" s="19">
        <f>IFERROR(IF(D1167="Sell",(H1167-P1167),-(H1167+P1167)),0)</f>
        <v>1736.44</v>
      </c>
      <c r="Y1167" s="19">
        <f>X1167/1000</f>
        <v>1.73644</v>
      </c>
    </row>
    <row r="1168" spans="1:25" x14ac:dyDescent="0.25">
      <c r="A1168" s="1">
        <v>45890</v>
      </c>
      <c r="B1168" t="s">
        <v>1575</v>
      </c>
      <c r="C1168" t="s">
        <v>17</v>
      </c>
      <c r="D1168" t="s">
        <v>22</v>
      </c>
      <c r="E1168">
        <v>1500</v>
      </c>
      <c r="F1168">
        <v>0</v>
      </c>
      <c r="G1168">
        <v>9.9</v>
      </c>
      <c r="H1168">
        <v>14850</v>
      </c>
      <c r="I1168" t="s">
        <v>1580</v>
      </c>
      <c r="J1168">
        <v>0</v>
      </c>
      <c r="K1168">
        <v>5.28</v>
      </c>
      <c r="L1168">
        <v>1</v>
      </c>
      <c r="M1168">
        <v>0.01</v>
      </c>
      <c r="N1168">
        <v>580</v>
      </c>
      <c r="O1168">
        <v>105.36</v>
      </c>
      <c r="P1168">
        <v>691.65</v>
      </c>
      <c r="Q1168" s="18">
        <f>YEAR(A1168)</f>
        <v>2025</v>
      </c>
      <c r="R1168" s="18">
        <f>MONTH(A1168)</f>
        <v>8</v>
      </c>
      <c r="S1168" s="18">
        <f>IF(R1168&lt;4,Q1168-1,Q1168)</f>
        <v>2025</v>
      </c>
      <c r="T1168" s="18">
        <f>IF(R1168&lt;4,R1168+9,R1168-3)</f>
        <v>5</v>
      </c>
      <c r="U1168" s="18" t="str">
        <f>IF(LEN(T1168)=1,_xlfn.CONCAT(0,T1168),T1168)</f>
        <v>05</v>
      </c>
      <c r="V1168" s="18" t="str">
        <f>_xlfn.CONCAT(S1168,U1168)</f>
        <v>202505</v>
      </c>
      <c r="W1168" s="18" t="str">
        <f>_xlfn.CONCAT(TEXT(A1168,"MMM"),"-",MID(Q1168,3,2))</f>
        <v>Aug-25</v>
      </c>
      <c r="X1168" s="19">
        <f>IFERROR(IF(D1168="Sell",(H1168-P1168),-(H1168+P1168)),0)</f>
        <v>-15541.65</v>
      </c>
      <c r="Y1168" s="19">
        <f>X1168/1000</f>
        <v>-15.541649999999999</v>
      </c>
    </row>
    <row r="1169" spans="1:25" x14ac:dyDescent="0.25">
      <c r="A1169" s="1">
        <v>45890</v>
      </c>
      <c r="B1169" t="s">
        <v>1575</v>
      </c>
      <c r="C1169" t="s">
        <v>17</v>
      </c>
      <c r="D1169" t="s">
        <v>22</v>
      </c>
      <c r="E1169">
        <v>750</v>
      </c>
      <c r="F1169">
        <v>0</v>
      </c>
      <c r="G1169">
        <v>14.69</v>
      </c>
      <c r="H1169">
        <v>11017.5</v>
      </c>
      <c r="I1169" t="s">
        <v>1581</v>
      </c>
      <c r="J1169">
        <v>0</v>
      </c>
      <c r="K1169">
        <v>3.91</v>
      </c>
      <c r="L1169">
        <v>0</v>
      </c>
      <c r="M1169">
        <v>0.01</v>
      </c>
      <c r="N1169">
        <v>290</v>
      </c>
      <c r="O1169">
        <v>52.92</v>
      </c>
      <c r="P1169">
        <v>346.84</v>
      </c>
      <c r="Q1169" s="18">
        <f>YEAR(A1169)</f>
        <v>2025</v>
      </c>
      <c r="R1169" s="18">
        <f>MONTH(A1169)</f>
        <v>8</v>
      </c>
      <c r="S1169" s="18">
        <f>IF(R1169&lt;4,Q1169-1,Q1169)</f>
        <v>2025</v>
      </c>
      <c r="T1169" s="18">
        <f>IF(R1169&lt;4,R1169+9,R1169-3)</f>
        <v>5</v>
      </c>
      <c r="U1169" s="18" t="str">
        <f>IF(LEN(T1169)=1,_xlfn.CONCAT(0,T1169),T1169)</f>
        <v>05</v>
      </c>
      <c r="V1169" s="18" t="str">
        <f>_xlfn.CONCAT(S1169,U1169)</f>
        <v>202505</v>
      </c>
      <c r="W1169" s="18" t="str">
        <f>_xlfn.CONCAT(TEXT(A1169,"MMM"),"-",MID(Q1169,3,2))</f>
        <v>Aug-25</v>
      </c>
      <c r="X1169" s="19">
        <f>IFERROR(IF(D1169="Sell",(H1169-P1169),-(H1169+P1169)),0)</f>
        <v>-11364.34</v>
      </c>
      <c r="Y1169" s="19">
        <f>X1169/1000</f>
        <v>-11.36434</v>
      </c>
    </row>
    <row r="1170" spans="1:25" x14ac:dyDescent="0.25">
      <c r="A1170" s="1">
        <v>45890</v>
      </c>
      <c r="B1170" t="s">
        <v>1575</v>
      </c>
      <c r="C1170" t="s">
        <v>17</v>
      </c>
      <c r="D1170" t="s">
        <v>22</v>
      </c>
      <c r="E1170">
        <v>750</v>
      </c>
      <c r="F1170">
        <v>0</v>
      </c>
      <c r="G1170">
        <v>13.45</v>
      </c>
      <c r="H1170">
        <v>10087.5</v>
      </c>
      <c r="I1170" t="s">
        <v>1582</v>
      </c>
      <c r="J1170">
        <v>0</v>
      </c>
      <c r="K1170">
        <v>3.58</v>
      </c>
      <c r="L1170">
        <v>0</v>
      </c>
      <c r="M1170">
        <v>0.01</v>
      </c>
      <c r="N1170">
        <v>290</v>
      </c>
      <c r="O1170">
        <v>52.84</v>
      </c>
      <c r="P1170">
        <v>346.43</v>
      </c>
      <c r="Q1170" s="18">
        <f>YEAR(A1170)</f>
        <v>2025</v>
      </c>
      <c r="R1170" s="18">
        <f>MONTH(A1170)</f>
        <v>8</v>
      </c>
      <c r="S1170" s="18">
        <f>IF(R1170&lt;4,Q1170-1,Q1170)</f>
        <v>2025</v>
      </c>
      <c r="T1170" s="18">
        <f>IF(R1170&lt;4,R1170+9,R1170-3)</f>
        <v>5</v>
      </c>
      <c r="U1170" s="18" t="str">
        <f>IF(LEN(T1170)=1,_xlfn.CONCAT(0,T1170),T1170)</f>
        <v>05</v>
      </c>
      <c r="V1170" s="18" t="str">
        <f>_xlfn.CONCAT(S1170,U1170)</f>
        <v>202505</v>
      </c>
      <c r="W1170" s="18" t="str">
        <f>_xlfn.CONCAT(TEXT(A1170,"MMM"),"-",MID(Q1170,3,2))</f>
        <v>Aug-25</v>
      </c>
      <c r="X1170" s="19">
        <f>IFERROR(IF(D1170="Sell",(H1170-P1170),-(H1170+P1170)),0)</f>
        <v>-10433.93</v>
      </c>
      <c r="Y1170" s="19">
        <f>X1170/1000</f>
        <v>-10.43393</v>
      </c>
    </row>
    <row r="1171" spans="1:25" x14ac:dyDescent="0.25">
      <c r="A1171" s="1">
        <v>45897</v>
      </c>
      <c r="B1171" t="s">
        <v>1568</v>
      </c>
      <c r="C1171" t="s">
        <v>17</v>
      </c>
      <c r="D1171" t="s">
        <v>18</v>
      </c>
      <c r="E1171">
        <v>1200</v>
      </c>
      <c r="F1171">
        <v>0</v>
      </c>
      <c r="G1171">
        <v>17.649999999999999</v>
      </c>
      <c r="H1171">
        <v>21180</v>
      </c>
      <c r="I1171" t="s">
        <v>1569</v>
      </c>
      <c r="J1171">
        <v>21.55</v>
      </c>
      <c r="K1171">
        <v>7.53</v>
      </c>
      <c r="L1171">
        <v>0</v>
      </c>
      <c r="M1171">
        <v>0.02</v>
      </c>
      <c r="N1171">
        <v>464</v>
      </c>
      <c r="O1171">
        <v>84.88</v>
      </c>
      <c r="P1171">
        <v>577.98</v>
      </c>
      <c r="Q1171" s="18">
        <f>YEAR(A1171)</f>
        <v>2025</v>
      </c>
      <c r="R1171" s="18">
        <f>MONTH(A1171)</f>
        <v>8</v>
      </c>
      <c r="S1171" s="18">
        <f>IF(R1171&lt;4,Q1171-1,Q1171)</f>
        <v>2025</v>
      </c>
      <c r="T1171" s="18">
        <f>IF(R1171&lt;4,R1171+9,R1171-3)</f>
        <v>5</v>
      </c>
      <c r="U1171" s="18" t="str">
        <f>IF(LEN(T1171)=1,_xlfn.CONCAT(0,T1171),T1171)</f>
        <v>05</v>
      </c>
      <c r="V1171" s="18" t="str">
        <f>_xlfn.CONCAT(S1171,U1171)</f>
        <v>202505</v>
      </c>
      <c r="W1171" s="18" t="str">
        <f>_xlfn.CONCAT(TEXT(A1171,"MMM"),"-",MID(Q1171,3,2))</f>
        <v>Aug-25</v>
      </c>
      <c r="X1171" s="19">
        <f>IFERROR(IF(D1171="Sell",(H1171-P1171),-(H1171+P1171)),0)</f>
        <v>20602.02</v>
      </c>
      <c r="Y1171" s="19">
        <f>X1171/1000</f>
        <v>20.60202</v>
      </c>
    </row>
    <row r="1172" spans="1:25" x14ac:dyDescent="0.25">
      <c r="A1172" s="1">
        <v>45897</v>
      </c>
      <c r="B1172" t="s">
        <v>1568</v>
      </c>
      <c r="C1172" t="s">
        <v>17</v>
      </c>
      <c r="D1172" t="s">
        <v>22</v>
      </c>
      <c r="E1172">
        <v>600</v>
      </c>
      <c r="F1172">
        <v>0</v>
      </c>
      <c r="G1172">
        <v>8.25</v>
      </c>
      <c r="H1172">
        <v>4950</v>
      </c>
      <c r="I1172" t="s">
        <v>1570</v>
      </c>
      <c r="J1172">
        <v>0</v>
      </c>
      <c r="K1172">
        <v>1.76</v>
      </c>
      <c r="L1172">
        <v>0.32</v>
      </c>
      <c r="M1172">
        <v>0</v>
      </c>
      <c r="N1172">
        <v>232</v>
      </c>
      <c r="O1172">
        <v>42.08</v>
      </c>
      <c r="P1172">
        <v>276.16000000000003</v>
      </c>
      <c r="Q1172" s="18">
        <f>YEAR(A1172)</f>
        <v>2025</v>
      </c>
      <c r="R1172" s="18">
        <f>MONTH(A1172)</f>
        <v>8</v>
      </c>
      <c r="S1172" s="18">
        <f>IF(R1172&lt;4,Q1172-1,Q1172)</f>
        <v>2025</v>
      </c>
      <c r="T1172" s="18">
        <f>IF(R1172&lt;4,R1172+9,R1172-3)</f>
        <v>5</v>
      </c>
      <c r="U1172" s="18" t="str">
        <f>IF(LEN(T1172)=1,_xlfn.CONCAT(0,T1172),T1172)</f>
        <v>05</v>
      </c>
      <c r="V1172" s="18" t="str">
        <f>_xlfn.CONCAT(S1172,U1172)</f>
        <v>202505</v>
      </c>
      <c r="W1172" s="18" t="str">
        <f>_xlfn.CONCAT(TEXT(A1172,"MMM"),"-",MID(Q1172,3,2))</f>
        <v>Aug-25</v>
      </c>
      <c r="X1172" s="19">
        <f>IFERROR(IF(D1172="Sell",(H1172-P1172),-(H1172+P1172)),0)</f>
        <v>-5226.16</v>
      </c>
      <c r="Y1172" s="19">
        <f>X1172/1000</f>
        <v>-5.2261600000000001</v>
      </c>
    </row>
    <row r="1173" spans="1:25" x14ac:dyDescent="0.25">
      <c r="A1173" s="1">
        <v>45897</v>
      </c>
      <c r="B1173" t="s">
        <v>1568</v>
      </c>
      <c r="C1173" t="s">
        <v>17</v>
      </c>
      <c r="D1173" t="s">
        <v>22</v>
      </c>
      <c r="E1173">
        <v>600</v>
      </c>
      <c r="F1173">
        <v>0</v>
      </c>
      <c r="G1173">
        <v>9.6</v>
      </c>
      <c r="H1173">
        <v>5760</v>
      </c>
      <c r="I1173" t="s">
        <v>1571</v>
      </c>
      <c r="J1173">
        <v>0</v>
      </c>
      <c r="K1173">
        <v>2.0499999999999998</v>
      </c>
      <c r="L1173">
        <v>0</v>
      </c>
      <c r="M1173">
        <v>0</v>
      </c>
      <c r="N1173">
        <v>232</v>
      </c>
      <c r="O1173">
        <v>42.12</v>
      </c>
      <c r="P1173">
        <v>276.17</v>
      </c>
      <c r="Q1173" s="18">
        <f>YEAR(A1173)</f>
        <v>2025</v>
      </c>
      <c r="R1173" s="18">
        <f>MONTH(A1173)</f>
        <v>8</v>
      </c>
      <c r="S1173" s="18">
        <f>IF(R1173&lt;4,Q1173-1,Q1173)</f>
        <v>2025</v>
      </c>
      <c r="T1173" s="18">
        <f>IF(R1173&lt;4,R1173+9,R1173-3)</f>
        <v>5</v>
      </c>
      <c r="U1173" s="18" t="str">
        <f>IF(LEN(T1173)=1,_xlfn.CONCAT(0,T1173),T1173)</f>
        <v>05</v>
      </c>
      <c r="V1173" s="18" t="str">
        <f>_xlfn.CONCAT(S1173,U1173)</f>
        <v>202505</v>
      </c>
      <c r="W1173" s="18" t="str">
        <f>_xlfn.CONCAT(TEXT(A1173,"MMM"),"-",MID(Q1173,3,2))</f>
        <v>Aug-25</v>
      </c>
      <c r="X1173" s="19">
        <f>IFERROR(IF(D1173="Sell",(H1173-P1173),-(H1173+P1173)),0)</f>
        <v>-6036.17</v>
      </c>
      <c r="Y1173" s="19">
        <f>X1173/1000</f>
        <v>-6.0361700000000003</v>
      </c>
    </row>
    <row r="1174" spans="1:25" x14ac:dyDescent="0.25">
      <c r="A1174" s="1">
        <v>45897</v>
      </c>
      <c r="B1174" t="s">
        <v>1572</v>
      </c>
      <c r="C1174" t="s">
        <v>17</v>
      </c>
      <c r="D1174" t="s">
        <v>18</v>
      </c>
      <c r="E1174">
        <v>675</v>
      </c>
      <c r="F1174">
        <v>0</v>
      </c>
      <c r="G1174">
        <v>49.55</v>
      </c>
      <c r="H1174">
        <v>33446.25</v>
      </c>
      <c r="I1174" t="s">
        <v>1573</v>
      </c>
      <c r="J1174">
        <v>33.450000000000003</v>
      </c>
      <c r="K1174">
        <v>11.88</v>
      </c>
      <c r="L1174">
        <v>0</v>
      </c>
      <c r="M1174">
        <v>0.03</v>
      </c>
      <c r="N1174">
        <v>261</v>
      </c>
      <c r="O1174">
        <v>49.14</v>
      </c>
      <c r="P1174">
        <v>355.5</v>
      </c>
      <c r="Q1174" s="18">
        <f>YEAR(A1174)</f>
        <v>2025</v>
      </c>
      <c r="R1174" s="18">
        <f>MONTH(A1174)</f>
        <v>8</v>
      </c>
      <c r="S1174" s="18">
        <f>IF(R1174&lt;4,Q1174-1,Q1174)</f>
        <v>2025</v>
      </c>
      <c r="T1174" s="18">
        <f>IF(R1174&lt;4,R1174+9,R1174-3)</f>
        <v>5</v>
      </c>
      <c r="U1174" s="18" t="str">
        <f>IF(LEN(T1174)=1,_xlfn.CONCAT(0,T1174),T1174)</f>
        <v>05</v>
      </c>
      <c r="V1174" s="18" t="str">
        <f>_xlfn.CONCAT(S1174,U1174)</f>
        <v>202505</v>
      </c>
      <c r="W1174" s="18" t="str">
        <f>_xlfn.CONCAT(TEXT(A1174,"MMM"),"-",MID(Q1174,3,2))</f>
        <v>Aug-25</v>
      </c>
      <c r="X1174" s="19">
        <f>IFERROR(IF(D1174="Sell",(H1174-P1174),-(H1174+P1174)),0)</f>
        <v>33090.75</v>
      </c>
      <c r="Y1174" s="19">
        <f>X1174/1000</f>
        <v>33.09075</v>
      </c>
    </row>
    <row r="1175" spans="1:25" x14ac:dyDescent="0.25">
      <c r="A1175" s="1">
        <v>45897</v>
      </c>
      <c r="B1175" t="s">
        <v>1572</v>
      </c>
      <c r="C1175" t="s">
        <v>17</v>
      </c>
      <c r="D1175" t="s">
        <v>22</v>
      </c>
      <c r="E1175">
        <v>675</v>
      </c>
      <c r="F1175">
        <v>0</v>
      </c>
      <c r="G1175">
        <v>40.07</v>
      </c>
      <c r="H1175">
        <v>27048.75</v>
      </c>
      <c r="I1175" t="s">
        <v>1574</v>
      </c>
      <c r="J1175">
        <v>0</v>
      </c>
      <c r="K1175">
        <v>9.6199999999999992</v>
      </c>
      <c r="L1175">
        <v>0.68</v>
      </c>
      <c r="M1175">
        <v>0.01</v>
      </c>
      <c r="N1175">
        <v>261</v>
      </c>
      <c r="O1175">
        <v>48.76</v>
      </c>
      <c r="P1175">
        <v>320.07</v>
      </c>
      <c r="Q1175" s="18">
        <f>YEAR(A1175)</f>
        <v>2025</v>
      </c>
      <c r="R1175" s="18">
        <f>MONTH(A1175)</f>
        <v>8</v>
      </c>
      <c r="S1175" s="18">
        <f>IF(R1175&lt;4,Q1175-1,Q1175)</f>
        <v>2025</v>
      </c>
      <c r="T1175" s="18">
        <f>IF(R1175&lt;4,R1175+9,R1175-3)</f>
        <v>5</v>
      </c>
      <c r="U1175" s="18" t="str">
        <f>IF(LEN(T1175)=1,_xlfn.CONCAT(0,T1175),T1175)</f>
        <v>05</v>
      </c>
      <c r="V1175" s="18" t="str">
        <f>_xlfn.CONCAT(S1175,U1175)</f>
        <v>202505</v>
      </c>
      <c r="W1175" s="18" t="str">
        <f>_xlfn.CONCAT(TEXT(A1175,"MMM"),"-",MID(Q1175,3,2))</f>
        <v>Aug-25</v>
      </c>
      <c r="X1175" s="19">
        <f>IFERROR(IF(D1175="Sell",(H1175-P1175),-(H1175+P1175)),0)</f>
        <v>-27368.82</v>
      </c>
      <c r="Y1175" s="19">
        <f>X1175/1000</f>
        <v>-27.368819999999999</v>
      </c>
    </row>
    <row r="1176" spans="1:25" x14ac:dyDescent="0.25">
      <c r="A1176" s="1">
        <v>45902</v>
      </c>
      <c r="B1176" t="s">
        <v>1564</v>
      </c>
      <c r="C1176" t="s">
        <v>17</v>
      </c>
      <c r="D1176" t="s">
        <v>18</v>
      </c>
      <c r="E1176">
        <v>750</v>
      </c>
      <c r="F1176">
        <v>0</v>
      </c>
      <c r="G1176">
        <v>40.25</v>
      </c>
      <c r="H1176">
        <v>30187.5</v>
      </c>
      <c r="I1176" t="s">
        <v>1565</v>
      </c>
      <c r="J1176">
        <v>30</v>
      </c>
      <c r="K1176">
        <v>10.73</v>
      </c>
      <c r="L1176">
        <v>0</v>
      </c>
      <c r="M1176">
        <v>0.03</v>
      </c>
      <c r="N1176">
        <v>290</v>
      </c>
      <c r="O1176">
        <v>54.14</v>
      </c>
      <c r="P1176">
        <v>384.9</v>
      </c>
      <c r="Q1176" s="18">
        <f>YEAR(A1176)</f>
        <v>2025</v>
      </c>
      <c r="R1176" s="18">
        <f>MONTH(A1176)</f>
        <v>9</v>
      </c>
      <c r="S1176" s="18">
        <f>IF(R1176&lt;4,Q1176-1,Q1176)</f>
        <v>2025</v>
      </c>
      <c r="T1176" s="18">
        <f>IF(R1176&lt;4,R1176+9,R1176-3)</f>
        <v>6</v>
      </c>
      <c r="U1176" s="18" t="str">
        <f>IF(LEN(T1176)=1,_xlfn.CONCAT(0,T1176),T1176)</f>
        <v>06</v>
      </c>
      <c r="V1176" s="18" t="str">
        <f>_xlfn.CONCAT(S1176,U1176)</f>
        <v>202506</v>
      </c>
      <c r="W1176" s="18" t="str">
        <f>_xlfn.CONCAT(TEXT(A1176,"MMM"),"-",MID(Q1176,3,2))</f>
        <v>Sep-25</v>
      </c>
      <c r="X1176" s="19">
        <f>IFERROR(IF(D1176="Sell",(H1176-P1176),-(H1176+P1176)),0)</f>
        <v>29802.6</v>
      </c>
      <c r="Y1176" s="19">
        <f>X1176/1000</f>
        <v>29.802599999999998</v>
      </c>
    </row>
    <row r="1177" spans="1:25" x14ac:dyDescent="0.25">
      <c r="A1177" s="1">
        <v>45902</v>
      </c>
      <c r="B1177" t="s">
        <v>1564</v>
      </c>
      <c r="C1177" t="s">
        <v>17</v>
      </c>
      <c r="D1177" t="s">
        <v>22</v>
      </c>
      <c r="E1177">
        <v>375</v>
      </c>
      <c r="F1177">
        <v>0</v>
      </c>
      <c r="G1177">
        <v>24.25</v>
      </c>
      <c r="H1177">
        <v>9093.75</v>
      </c>
      <c r="I1177" t="s">
        <v>1566</v>
      </c>
      <c r="J1177">
        <v>0</v>
      </c>
      <c r="K1177">
        <v>3.23</v>
      </c>
      <c r="L1177">
        <v>1</v>
      </c>
      <c r="M1177">
        <v>0.01</v>
      </c>
      <c r="N1177">
        <v>145</v>
      </c>
      <c r="O1177">
        <v>26.68</v>
      </c>
      <c r="P1177">
        <v>175.92</v>
      </c>
      <c r="Q1177" s="18">
        <f>YEAR(A1177)</f>
        <v>2025</v>
      </c>
      <c r="R1177" s="18">
        <f>MONTH(A1177)</f>
        <v>9</v>
      </c>
      <c r="S1177" s="18">
        <f>IF(R1177&lt;4,Q1177-1,Q1177)</f>
        <v>2025</v>
      </c>
      <c r="T1177" s="18">
        <f>IF(R1177&lt;4,R1177+9,R1177-3)</f>
        <v>6</v>
      </c>
      <c r="U1177" s="18" t="str">
        <f>IF(LEN(T1177)=1,_xlfn.CONCAT(0,T1177),T1177)</f>
        <v>06</v>
      </c>
      <c r="V1177" s="18" t="str">
        <f>_xlfn.CONCAT(S1177,U1177)</f>
        <v>202506</v>
      </c>
      <c r="W1177" s="18" t="str">
        <f>_xlfn.CONCAT(TEXT(A1177,"MMM"),"-",MID(Q1177,3,2))</f>
        <v>Sep-25</v>
      </c>
      <c r="X1177" s="19">
        <f>IFERROR(IF(D1177="Sell",(H1177-P1177),-(H1177+P1177)),0)</f>
        <v>-9269.67</v>
      </c>
      <c r="Y1177" s="19">
        <f>X1177/1000</f>
        <v>-9.2696699999999996</v>
      </c>
    </row>
    <row r="1178" spans="1:25" x14ac:dyDescent="0.25">
      <c r="A1178" s="1">
        <v>45902</v>
      </c>
      <c r="B1178" t="s">
        <v>1564</v>
      </c>
      <c r="C1178" t="s">
        <v>17</v>
      </c>
      <c r="D1178" t="s">
        <v>22</v>
      </c>
      <c r="E1178">
        <v>375</v>
      </c>
      <c r="F1178">
        <v>0</v>
      </c>
      <c r="G1178">
        <v>24.5</v>
      </c>
      <c r="H1178">
        <v>9187.5</v>
      </c>
      <c r="I1178" t="s">
        <v>1567</v>
      </c>
      <c r="J1178">
        <v>0</v>
      </c>
      <c r="K1178">
        <v>3.26</v>
      </c>
      <c r="L1178">
        <v>0</v>
      </c>
      <c r="M1178">
        <v>0.01</v>
      </c>
      <c r="N1178">
        <v>145</v>
      </c>
      <c r="O1178">
        <v>26.7</v>
      </c>
      <c r="P1178">
        <v>174.97</v>
      </c>
      <c r="Q1178" s="18">
        <f>YEAR(A1178)</f>
        <v>2025</v>
      </c>
      <c r="R1178" s="18">
        <f>MONTH(A1178)</f>
        <v>9</v>
      </c>
      <c r="S1178" s="18">
        <f>IF(R1178&lt;4,Q1178-1,Q1178)</f>
        <v>2025</v>
      </c>
      <c r="T1178" s="18">
        <f>IF(R1178&lt;4,R1178+9,R1178-3)</f>
        <v>6</v>
      </c>
      <c r="U1178" s="18" t="str">
        <f>IF(LEN(T1178)=1,_xlfn.CONCAT(0,T1178),T1178)</f>
        <v>06</v>
      </c>
      <c r="V1178" s="18" t="str">
        <f>_xlfn.CONCAT(S1178,U1178)</f>
        <v>202506</v>
      </c>
      <c r="W1178" s="18" t="str">
        <f>_xlfn.CONCAT(TEXT(A1178,"MMM"),"-",MID(Q1178,3,2))</f>
        <v>Sep-25</v>
      </c>
      <c r="X1178" s="19">
        <f>IFERROR(IF(D1178="Sell",(H1178-P1178),-(H1178+P1178)),0)</f>
        <v>-9362.4699999999993</v>
      </c>
      <c r="Y1178" s="19">
        <f>X1178/1000</f>
        <v>-9.3624700000000001</v>
      </c>
    </row>
    <row r="1179" spans="1:25" x14ac:dyDescent="0.25">
      <c r="A1179" s="1">
        <v>45903</v>
      </c>
      <c r="B1179" t="s">
        <v>1542</v>
      </c>
      <c r="C1179" t="s">
        <v>17</v>
      </c>
      <c r="D1179" t="s">
        <v>18</v>
      </c>
      <c r="E1179">
        <v>375</v>
      </c>
      <c r="F1179">
        <v>0</v>
      </c>
      <c r="G1179">
        <v>94.8</v>
      </c>
      <c r="H1179">
        <v>35550</v>
      </c>
      <c r="I1179" t="s">
        <v>1555</v>
      </c>
      <c r="J1179">
        <v>35.69</v>
      </c>
      <c r="K1179">
        <v>12.63</v>
      </c>
      <c r="L1179">
        <v>0</v>
      </c>
      <c r="M1179">
        <v>0.03</v>
      </c>
      <c r="N1179">
        <v>145</v>
      </c>
      <c r="O1179">
        <v>28.4</v>
      </c>
      <c r="P1179">
        <v>221.75</v>
      </c>
      <c r="Q1179" s="18">
        <f>YEAR(A1179)</f>
        <v>2025</v>
      </c>
      <c r="R1179" s="18">
        <f>MONTH(A1179)</f>
        <v>9</v>
      </c>
      <c r="S1179" s="18">
        <f>IF(R1179&lt;4,Q1179-1,Q1179)</f>
        <v>2025</v>
      </c>
      <c r="T1179" s="18">
        <f>IF(R1179&lt;4,R1179+9,R1179-3)</f>
        <v>6</v>
      </c>
      <c r="U1179" s="18" t="str">
        <f>IF(LEN(T1179)=1,_xlfn.CONCAT(0,T1179),T1179)</f>
        <v>06</v>
      </c>
      <c r="V1179" s="18" t="str">
        <f>_xlfn.CONCAT(S1179,U1179)</f>
        <v>202506</v>
      </c>
      <c r="W1179" s="18" t="str">
        <f>_xlfn.CONCAT(TEXT(A1179,"MMM"),"-",MID(Q1179,3,2))</f>
        <v>Sep-25</v>
      </c>
      <c r="X1179" s="19">
        <f>IFERROR(IF(D1179="Sell",(H1179-P1179),-(H1179+P1179)),0)</f>
        <v>35328.25</v>
      </c>
      <c r="Y1179" s="19">
        <f>X1179/1000</f>
        <v>35.328249999999997</v>
      </c>
    </row>
    <row r="1180" spans="1:25" x14ac:dyDescent="0.25">
      <c r="A1180" s="1">
        <v>45903</v>
      </c>
      <c r="B1180" t="s">
        <v>1542</v>
      </c>
      <c r="C1180" t="s">
        <v>17</v>
      </c>
      <c r="D1180" t="s">
        <v>22</v>
      </c>
      <c r="E1180">
        <v>375</v>
      </c>
      <c r="F1180">
        <v>0</v>
      </c>
      <c r="G1180">
        <v>97.15</v>
      </c>
      <c r="H1180">
        <v>36431.25</v>
      </c>
      <c r="I1180" t="s">
        <v>1556</v>
      </c>
      <c r="J1180">
        <v>0</v>
      </c>
      <c r="K1180">
        <v>12.95</v>
      </c>
      <c r="L1180">
        <v>3</v>
      </c>
      <c r="M1180">
        <v>0.04</v>
      </c>
      <c r="N1180">
        <v>145</v>
      </c>
      <c r="O1180">
        <v>28.44</v>
      </c>
      <c r="P1180">
        <v>189.43</v>
      </c>
      <c r="Q1180" s="18">
        <f>YEAR(A1180)</f>
        <v>2025</v>
      </c>
      <c r="R1180" s="18">
        <f>MONTH(A1180)</f>
        <v>9</v>
      </c>
      <c r="S1180" s="18">
        <f>IF(R1180&lt;4,Q1180-1,Q1180)</f>
        <v>2025</v>
      </c>
      <c r="T1180" s="18">
        <f>IF(R1180&lt;4,R1180+9,R1180-3)</f>
        <v>6</v>
      </c>
      <c r="U1180" s="18" t="str">
        <f>IF(LEN(T1180)=1,_xlfn.CONCAT(0,T1180),T1180)</f>
        <v>06</v>
      </c>
      <c r="V1180" s="18" t="str">
        <f>_xlfn.CONCAT(S1180,U1180)</f>
        <v>202506</v>
      </c>
      <c r="W1180" s="18" t="str">
        <f>_xlfn.CONCAT(TEXT(A1180,"MMM"),"-",MID(Q1180,3,2))</f>
        <v>Sep-25</v>
      </c>
      <c r="X1180" s="19">
        <f>IFERROR(IF(D1180="Sell",(H1180-P1180),-(H1180+P1180)),0)</f>
        <v>-36620.68</v>
      </c>
      <c r="Y1180" s="19">
        <f>X1180/1000</f>
        <v>-36.62068</v>
      </c>
    </row>
    <row r="1181" spans="1:25" x14ac:dyDescent="0.25">
      <c r="A1181" s="1">
        <v>45903</v>
      </c>
      <c r="B1181" t="s">
        <v>1542</v>
      </c>
      <c r="C1181" t="s">
        <v>17</v>
      </c>
      <c r="D1181" t="s">
        <v>18</v>
      </c>
      <c r="E1181">
        <v>300</v>
      </c>
      <c r="F1181">
        <v>0</v>
      </c>
      <c r="G1181">
        <v>94.33</v>
      </c>
      <c r="H1181">
        <v>28297.5</v>
      </c>
      <c r="I1181" t="s">
        <v>1557</v>
      </c>
      <c r="J1181">
        <v>28.3</v>
      </c>
      <c r="K1181">
        <v>10.06</v>
      </c>
      <c r="L1181">
        <v>0</v>
      </c>
      <c r="M1181">
        <v>0.02</v>
      </c>
      <c r="N1181">
        <v>116</v>
      </c>
      <c r="O1181">
        <v>22.68</v>
      </c>
      <c r="P1181">
        <v>177.06</v>
      </c>
      <c r="Q1181" s="18">
        <f>YEAR(A1181)</f>
        <v>2025</v>
      </c>
      <c r="R1181" s="18">
        <f>MONTH(A1181)</f>
        <v>9</v>
      </c>
      <c r="S1181" s="18">
        <f>IF(R1181&lt;4,Q1181-1,Q1181)</f>
        <v>2025</v>
      </c>
      <c r="T1181" s="18">
        <f>IF(R1181&lt;4,R1181+9,R1181-3)</f>
        <v>6</v>
      </c>
      <c r="U1181" s="18" t="str">
        <f>IF(LEN(T1181)=1,_xlfn.CONCAT(0,T1181),T1181)</f>
        <v>06</v>
      </c>
      <c r="V1181" s="18" t="str">
        <f>_xlfn.CONCAT(S1181,U1181)</f>
        <v>202506</v>
      </c>
      <c r="W1181" s="18" t="str">
        <f>_xlfn.CONCAT(TEXT(A1181,"MMM"),"-",MID(Q1181,3,2))</f>
        <v>Sep-25</v>
      </c>
      <c r="X1181" s="19">
        <f>IFERROR(IF(D1181="Sell",(H1181-P1181),-(H1181+P1181)),0)</f>
        <v>28120.44</v>
      </c>
      <c r="Y1181" s="19">
        <f>X1181/1000</f>
        <v>28.120439999999999</v>
      </c>
    </row>
    <row r="1182" spans="1:25" x14ac:dyDescent="0.25">
      <c r="A1182" s="1">
        <v>45903</v>
      </c>
      <c r="B1182" t="s">
        <v>1542</v>
      </c>
      <c r="C1182" t="s">
        <v>17</v>
      </c>
      <c r="D1182" t="s">
        <v>22</v>
      </c>
      <c r="E1182">
        <v>300</v>
      </c>
      <c r="F1182">
        <v>0</v>
      </c>
      <c r="G1182">
        <v>97.45</v>
      </c>
      <c r="H1182">
        <v>29235</v>
      </c>
      <c r="I1182" t="s">
        <v>1558</v>
      </c>
      <c r="J1182">
        <v>0</v>
      </c>
      <c r="K1182">
        <v>10.38</v>
      </c>
      <c r="L1182">
        <v>0</v>
      </c>
      <c r="M1182">
        <v>0.02</v>
      </c>
      <c r="N1182">
        <v>116</v>
      </c>
      <c r="O1182">
        <v>22.76</v>
      </c>
      <c r="P1182">
        <v>149.16</v>
      </c>
      <c r="Q1182" s="18">
        <f>YEAR(A1182)</f>
        <v>2025</v>
      </c>
      <c r="R1182" s="18">
        <f>MONTH(A1182)</f>
        <v>9</v>
      </c>
      <c r="S1182" s="18">
        <f>IF(R1182&lt;4,Q1182-1,Q1182)</f>
        <v>2025</v>
      </c>
      <c r="T1182" s="18">
        <f>IF(R1182&lt;4,R1182+9,R1182-3)</f>
        <v>6</v>
      </c>
      <c r="U1182" s="18" t="str">
        <f>IF(LEN(T1182)=1,_xlfn.CONCAT(0,T1182),T1182)</f>
        <v>06</v>
      </c>
      <c r="V1182" s="18" t="str">
        <f>_xlfn.CONCAT(S1182,U1182)</f>
        <v>202506</v>
      </c>
      <c r="W1182" s="18" t="str">
        <f>_xlfn.CONCAT(TEXT(A1182,"MMM"),"-",MID(Q1182,3,2))</f>
        <v>Sep-25</v>
      </c>
      <c r="X1182" s="19">
        <f>IFERROR(IF(D1182="Sell",(H1182-P1182),-(H1182+P1182)),0)</f>
        <v>-29384.16</v>
      </c>
      <c r="Y1182" s="19">
        <f>X1182/1000</f>
        <v>-29.384160000000001</v>
      </c>
    </row>
    <row r="1183" spans="1:25" x14ac:dyDescent="0.25">
      <c r="A1183" s="1">
        <v>45903</v>
      </c>
      <c r="B1183" t="s">
        <v>1542</v>
      </c>
      <c r="C1183" t="s">
        <v>17</v>
      </c>
      <c r="D1183" t="s">
        <v>18</v>
      </c>
      <c r="E1183">
        <v>300</v>
      </c>
      <c r="F1183">
        <v>0</v>
      </c>
      <c r="G1183">
        <v>94.6</v>
      </c>
      <c r="H1183">
        <v>28380</v>
      </c>
      <c r="I1183" t="s">
        <v>1559</v>
      </c>
      <c r="J1183">
        <v>28.39</v>
      </c>
      <c r="K1183">
        <v>10.08</v>
      </c>
      <c r="L1183">
        <v>0</v>
      </c>
      <c r="M1183">
        <v>0.03</v>
      </c>
      <c r="N1183">
        <v>116</v>
      </c>
      <c r="O1183">
        <v>22.7</v>
      </c>
      <c r="P1183">
        <v>177.2</v>
      </c>
      <c r="Q1183" s="18">
        <f>YEAR(A1183)</f>
        <v>2025</v>
      </c>
      <c r="R1183" s="18">
        <f>MONTH(A1183)</f>
        <v>9</v>
      </c>
      <c r="S1183" s="18">
        <f>IF(R1183&lt;4,Q1183-1,Q1183)</f>
        <v>2025</v>
      </c>
      <c r="T1183" s="18">
        <f>IF(R1183&lt;4,R1183+9,R1183-3)</f>
        <v>6</v>
      </c>
      <c r="U1183" s="18" t="str">
        <f>IF(LEN(T1183)=1,_xlfn.CONCAT(0,T1183),T1183)</f>
        <v>06</v>
      </c>
      <c r="V1183" s="18" t="str">
        <f>_xlfn.CONCAT(S1183,U1183)</f>
        <v>202506</v>
      </c>
      <c r="W1183" s="18" t="str">
        <f>_xlfn.CONCAT(TEXT(A1183,"MMM"),"-",MID(Q1183,3,2))</f>
        <v>Sep-25</v>
      </c>
      <c r="X1183" s="19">
        <f>IFERROR(IF(D1183="Sell",(H1183-P1183),-(H1183+P1183)),0)</f>
        <v>28202.799999999999</v>
      </c>
      <c r="Y1183" s="19">
        <f>X1183/1000</f>
        <v>28.2028</v>
      </c>
    </row>
    <row r="1184" spans="1:25" x14ac:dyDescent="0.25">
      <c r="A1184" s="1">
        <v>45903</v>
      </c>
      <c r="B1184" t="s">
        <v>1542</v>
      </c>
      <c r="C1184" t="s">
        <v>17</v>
      </c>
      <c r="D1184" t="s">
        <v>22</v>
      </c>
      <c r="E1184">
        <v>300</v>
      </c>
      <c r="F1184">
        <v>0</v>
      </c>
      <c r="G1184">
        <v>97.55</v>
      </c>
      <c r="H1184">
        <v>29265</v>
      </c>
      <c r="I1184" t="s">
        <v>1560</v>
      </c>
      <c r="J1184">
        <v>0</v>
      </c>
      <c r="K1184">
        <v>10.4</v>
      </c>
      <c r="L1184">
        <v>0</v>
      </c>
      <c r="M1184">
        <v>0.04</v>
      </c>
      <c r="N1184">
        <v>116</v>
      </c>
      <c r="O1184">
        <v>22.72</v>
      </c>
      <c r="P1184">
        <v>149.16</v>
      </c>
      <c r="Q1184" s="18">
        <f>YEAR(A1184)</f>
        <v>2025</v>
      </c>
      <c r="R1184" s="18">
        <f>MONTH(A1184)</f>
        <v>9</v>
      </c>
      <c r="S1184" s="18">
        <f>IF(R1184&lt;4,Q1184-1,Q1184)</f>
        <v>2025</v>
      </c>
      <c r="T1184" s="18">
        <f>IF(R1184&lt;4,R1184+9,R1184-3)</f>
        <v>6</v>
      </c>
      <c r="U1184" s="18" t="str">
        <f>IF(LEN(T1184)=1,_xlfn.CONCAT(0,T1184),T1184)</f>
        <v>06</v>
      </c>
      <c r="V1184" s="18" t="str">
        <f>_xlfn.CONCAT(S1184,U1184)</f>
        <v>202506</v>
      </c>
      <c r="W1184" s="18" t="str">
        <f>_xlfn.CONCAT(TEXT(A1184,"MMM"),"-",MID(Q1184,3,2))</f>
        <v>Sep-25</v>
      </c>
      <c r="X1184" s="19">
        <f>IFERROR(IF(D1184="Sell",(H1184-P1184),-(H1184+P1184)),0)</f>
        <v>-29414.16</v>
      </c>
      <c r="Y1184" s="19">
        <f>X1184/1000</f>
        <v>-29.414159999999999</v>
      </c>
    </row>
    <row r="1185" spans="1:25" x14ac:dyDescent="0.25">
      <c r="A1185" s="1">
        <v>45903</v>
      </c>
      <c r="B1185" t="s">
        <v>1542</v>
      </c>
      <c r="C1185" t="s">
        <v>17</v>
      </c>
      <c r="D1185" t="s">
        <v>18</v>
      </c>
      <c r="E1185">
        <v>150</v>
      </c>
      <c r="F1185">
        <v>0</v>
      </c>
      <c r="G1185">
        <v>97.58</v>
      </c>
      <c r="H1185">
        <v>14636.25</v>
      </c>
      <c r="I1185" t="s">
        <v>1561</v>
      </c>
      <c r="J1185">
        <v>14.64</v>
      </c>
      <c r="K1185">
        <v>5.2</v>
      </c>
      <c r="L1185">
        <v>0</v>
      </c>
      <c r="M1185">
        <v>0.02</v>
      </c>
      <c r="N1185">
        <v>58</v>
      </c>
      <c r="O1185">
        <v>11.36</v>
      </c>
      <c r="P1185">
        <v>89.22</v>
      </c>
      <c r="Q1185" s="18">
        <f>YEAR(A1185)</f>
        <v>2025</v>
      </c>
      <c r="R1185" s="18">
        <f>MONTH(A1185)</f>
        <v>9</v>
      </c>
      <c r="S1185" s="18">
        <f>IF(R1185&lt;4,Q1185-1,Q1185)</f>
        <v>2025</v>
      </c>
      <c r="T1185" s="18">
        <f>IF(R1185&lt;4,R1185+9,R1185-3)</f>
        <v>6</v>
      </c>
      <c r="U1185" s="18" t="str">
        <f>IF(LEN(T1185)=1,_xlfn.CONCAT(0,T1185),T1185)</f>
        <v>06</v>
      </c>
      <c r="V1185" s="18" t="str">
        <f>_xlfn.CONCAT(S1185,U1185)</f>
        <v>202506</v>
      </c>
      <c r="W1185" s="18" t="str">
        <f>_xlfn.CONCAT(TEXT(A1185,"MMM"),"-",MID(Q1185,3,2))</f>
        <v>Sep-25</v>
      </c>
      <c r="X1185" s="19">
        <f>IFERROR(IF(D1185="Sell",(H1185-P1185),-(H1185+P1185)),0)</f>
        <v>14547.03</v>
      </c>
      <c r="Y1185" s="19">
        <f>X1185/1000</f>
        <v>14.547030000000001</v>
      </c>
    </row>
    <row r="1186" spans="1:25" x14ac:dyDescent="0.25">
      <c r="A1186" s="1">
        <v>45903</v>
      </c>
      <c r="B1186" t="s">
        <v>1542</v>
      </c>
      <c r="C1186" t="s">
        <v>17</v>
      </c>
      <c r="D1186" t="s">
        <v>22</v>
      </c>
      <c r="E1186">
        <v>75</v>
      </c>
      <c r="F1186">
        <v>0</v>
      </c>
      <c r="G1186">
        <v>101.8</v>
      </c>
      <c r="H1186">
        <v>7635</v>
      </c>
      <c r="I1186" t="s">
        <v>1562</v>
      </c>
      <c r="J1186">
        <v>0</v>
      </c>
      <c r="K1186">
        <v>2.71</v>
      </c>
      <c r="L1186">
        <v>0</v>
      </c>
      <c r="M1186">
        <v>0.01</v>
      </c>
      <c r="N1186">
        <v>29</v>
      </c>
      <c r="O1186">
        <v>5.7</v>
      </c>
      <c r="P1186">
        <v>37.42</v>
      </c>
      <c r="Q1186" s="18">
        <f>YEAR(A1186)</f>
        <v>2025</v>
      </c>
      <c r="R1186" s="18">
        <f>MONTH(A1186)</f>
        <v>9</v>
      </c>
      <c r="S1186" s="18">
        <f>IF(R1186&lt;4,Q1186-1,Q1186)</f>
        <v>2025</v>
      </c>
      <c r="T1186" s="18">
        <f>IF(R1186&lt;4,R1186+9,R1186-3)</f>
        <v>6</v>
      </c>
      <c r="U1186" s="18" t="str">
        <f>IF(LEN(T1186)=1,_xlfn.CONCAT(0,T1186),T1186)</f>
        <v>06</v>
      </c>
      <c r="V1186" s="18" t="str">
        <f>_xlfn.CONCAT(S1186,U1186)</f>
        <v>202506</v>
      </c>
      <c r="W1186" s="18" t="str">
        <f>_xlfn.CONCAT(TEXT(A1186,"MMM"),"-",MID(Q1186,3,2))</f>
        <v>Sep-25</v>
      </c>
      <c r="X1186" s="19">
        <f>IFERROR(IF(D1186="Sell",(H1186-P1186),-(H1186+P1186)),0)</f>
        <v>-7672.42</v>
      </c>
      <c r="Y1186" s="19">
        <f>X1186/1000</f>
        <v>-7.6724199999999998</v>
      </c>
    </row>
    <row r="1187" spans="1:25" x14ac:dyDescent="0.25">
      <c r="A1187" s="1">
        <v>45903</v>
      </c>
      <c r="B1187" t="s">
        <v>1542</v>
      </c>
      <c r="C1187" t="s">
        <v>17</v>
      </c>
      <c r="D1187" t="s">
        <v>22</v>
      </c>
      <c r="E1187">
        <v>75</v>
      </c>
      <c r="F1187">
        <v>0</v>
      </c>
      <c r="G1187">
        <v>102.65</v>
      </c>
      <c r="H1187">
        <v>7698.75</v>
      </c>
      <c r="I1187" t="s">
        <v>1563</v>
      </c>
      <c r="J1187">
        <v>0</v>
      </c>
      <c r="K1187">
        <v>2.74</v>
      </c>
      <c r="L1187">
        <v>0</v>
      </c>
      <c r="M1187">
        <v>0.01</v>
      </c>
      <c r="N1187">
        <v>29</v>
      </c>
      <c r="O1187">
        <v>5.72</v>
      </c>
      <c r="P1187">
        <v>37.47</v>
      </c>
      <c r="Q1187" s="18">
        <f>YEAR(A1187)</f>
        <v>2025</v>
      </c>
      <c r="R1187" s="18">
        <f>MONTH(A1187)</f>
        <v>9</v>
      </c>
      <c r="S1187" s="18">
        <f>IF(R1187&lt;4,Q1187-1,Q1187)</f>
        <v>2025</v>
      </c>
      <c r="T1187" s="18">
        <f>IF(R1187&lt;4,R1187+9,R1187-3)</f>
        <v>6</v>
      </c>
      <c r="U1187" s="18" t="str">
        <f>IF(LEN(T1187)=1,_xlfn.CONCAT(0,T1187),T1187)</f>
        <v>06</v>
      </c>
      <c r="V1187" s="18" t="str">
        <f>_xlfn.CONCAT(S1187,U1187)</f>
        <v>202506</v>
      </c>
      <c r="W1187" s="18" t="str">
        <f>_xlfn.CONCAT(TEXT(A1187,"MMM"),"-",MID(Q1187,3,2))</f>
        <v>Sep-25</v>
      </c>
      <c r="X1187" s="19">
        <f>IFERROR(IF(D1187="Sell",(H1187-P1187),-(H1187+P1187)),0)</f>
        <v>-7736.22</v>
      </c>
      <c r="Y1187" s="19">
        <f>X1187/1000</f>
        <v>-7.7362200000000003</v>
      </c>
    </row>
    <row r="1188" spans="1:25" x14ac:dyDescent="0.25">
      <c r="A1188" s="1">
        <v>45904</v>
      </c>
      <c r="B1188" t="s">
        <v>1547</v>
      </c>
      <c r="C1188" t="s">
        <v>17</v>
      </c>
      <c r="D1188" t="s">
        <v>18</v>
      </c>
      <c r="E1188">
        <v>900</v>
      </c>
      <c r="F1188">
        <v>0</v>
      </c>
      <c r="G1188">
        <v>63.25</v>
      </c>
      <c r="H1188">
        <v>56925</v>
      </c>
      <c r="I1188" t="s">
        <v>1548</v>
      </c>
      <c r="J1188">
        <v>56.93</v>
      </c>
      <c r="K1188">
        <v>20.23</v>
      </c>
      <c r="L1188">
        <v>0</v>
      </c>
      <c r="M1188">
        <v>0.05</v>
      </c>
      <c r="N1188">
        <v>348</v>
      </c>
      <c r="O1188">
        <v>66.28</v>
      </c>
      <c r="P1188">
        <v>491.49</v>
      </c>
      <c r="Q1188" s="18">
        <f>YEAR(A1188)</f>
        <v>2025</v>
      </c>
      <c r="R1188" s="18">
        <f>MONTH(A1188)</f>
        <v>9</v>
      </c>
      <c r="S1188" s="18">
        <f>IF(R1188&lt;4,Q1188-1,Q1188)</f>
        <v>2025</v>
      </c>
      <c r="T1188" s="18">
        <f>IF(R1188&lt;4,R1188+9,R1188-3)</f>
        <v>6</v>
      </c>
      <c r="U1188" s="18" t="str">
        <f>IF(LEN(T1188)=1,_xlfn.CONCAT(0,T1188),T1188)</f>
        <v>06</v>
      </c>
      <c r="V1188" s="18" t="str">
        <f>_xlfn.CONCAT(S1188,U1188)</f>
        <v>202506</v>
      </c>
      <c r="W1188" s="18" t="str">
        <f>_xlfn.CONCAT(TEXT(A1188,"MMM"),"-",MID(Q1188,3,2))</f>
        <v>Sep-25</v>
      </c>
      <c r="X1188" s="19">
        <f>IFERROR(IF(D1188="Sell",(H1188-P1188),-(H1188+P1188)),0)</f>
        <v>56433.51</v>
      </c>
      <c r="Y1188" s="19">
        <f>X1188/1000</f>
        <v>56.433510000000005</v>
      </c>
    </row>
    <row r="1189" spans="1:25" x14ac:dyDescent="0.25">
      <c r="A1189" s="1">
        <v>45904</v>
      </c>
      <c r="B1189" t="s">
        <v>1547</v>
      </c>
      <c r="C1189" t="s">
        <v>17</v>
      </c>
      <c r="D1189" t="s">
        <v>22</v>
      </c>
      <c r="E1189">
        <v>450</v>
      </c>
      <c r="F1189">
        <v>0</v>
      </c>
      <c r="G1189">
        <v>49.05</v>
      </c>
      <c r="H1189">
        <v>22072.5</v>
      </c>
      <c r="I1189" t="s">
        <v>1549</v>
      </c>
      <c r="J1189">
        <v>0</v>
      </c>
      <c r="K1189">
        <v>7.84</v>
      </c>
      <c r="L1189">
        <v>1.08</v>
      </c>
      <c r="M1189">
        <v>0.02</v>
      </c>
      <c r="N1189">
        <v>174</v>
      </c>
      <c r="O1189">
        <v>32.74</v>
      </c>
      <c r="P1189">
        <v>215.68</v>
      </c>
      <c r="Q1189" s="18">
        <f>YEAR(A1189)</f>
        <v>2025</v>
      </c>
      <c r="R1189" s="18">
        <f>MONTH(A1189)</f>
        <v>9</v>
      </c>
      <c r="S1189" s="18">
        <f>IF(R1189&lt;4,Q1189-1,Q1189)</f>
        <v>2025</v>
      </c>
      <c r="T1189" s="18">
        <f>IF(R1189&lt;4,R1189+9,R1189-3)</f>
        <v>6</v>
      </c>
      <c r="U1189" s="18" t="str">
        <f>IF(LEN(T1189)=1,_xlfn.CONCAT(0,T1189),T1189)</f>
        <v>06</v>
      </c>
      <c r="V1189" s="18" t="str">
        <f>_xlfn.CONCAT(S1189,U1189)</f>
        <v>202506</v>
      </c>
      <c r="W1189" s="18" t="str">
        <f>_xlfn.CONCAT(TEXT(A1189,"MMM"),"-",MID(Q1189,3,2))</f>
        <v>Sep-25</v>
      </c>
      <c r="X1189" s="19">
        <f>IFERROR(IF(D1189="Sell",(H1189-P1189),-(H1189+P1189)),0)</f>
        <v>-22288.18</v>
      </c>
      <c r="Y1189" s="19">
        <f>X1189/1000</f>
        <v>-22.288180000000001</v>
      </c>
    </row>
    <row r="1190" spans="1:25" x14ac:dyDescent="0.25">
      <c r="A1190" s="1">
        <v>45904</v>
      </c>
      <c r="B1190" t="s">
        <v>1547</v>
      </c>
      <c r="C1190" t="s">
        <v>17</v>
      </c>
      <c r="D1190" t="s">
        <v>22</v>
      </c>
      <c r="E1190">
        <v>450</v>
      </c>
      <c r="F1190">
        <v>0</v>
      </c>
      <c r="G1190">
        <v>52.35</v>
      </c>
      <c r="H1190">
        <v>23557.5</v>
      </c>
      <c r="I1190" t="s">
        <v>1550</v>
      </c>
      <c r="J1190">
        <v>0</v>
      </c>
      <c r="K1190">
        <v>8.35</v>
      </c>
      <c r="L1190">
        <v>0</v>
      </c>
      <c r="M1190">
        <v>0.01</v>
      </c>
      <c r="N1190">
        <v>174</v>
      </c>
      <c r="O1190">
        <v>32.86</v>
      </c>
      <c r="P1190">
        <v>215.22</v>
      </c>
      <c r="Q1190" s="18">
        <f>YEAR(A1190)</f>
        <v>2025</v>
      </c>
      <c r="R1190" s="18">
        <f>MONTH(A1190)</f>
        <v>9</v>
      </c>
      <c r="S1190" s="18">
        <f>IF(R1190&lt;4,Q1190-1,Q1190)</f>
        <v>2025</v>
      </c>
      <c r="T1190" s="18">
        <f>IF(R1190&lt;4,R1190+9,R1190-3)</f>
        <v>6</v>
      </c>
      <c r="U1190" s="18" t="str">
        <f>IF(LEN(T1190)=1,_xlfn.CONCAT(0,T1190),T1190)</f>
        <v>06</v>
      </c>
      <c r="V1190" s="18" t="str">
        <f>_xlfn.CONCAT(S1190,U1190)</f>
        <v>202506</v>
      </c>
      <c r="W1190" s="18" t="str">
        <f>_xlfn.CONCAT(TEXT(A1190,"MMM"),"-",MID(Q1190,3,2))</f>
        <v>Sep-25</v>
      </c>
      <c r="X1190" s="19">
        <f>IFERROR(IF(D1190="Sell",(H1190-P1190),-(H1190+P1190)),0)</f>
        <v>-23772.720000000001</v>
      </c>
      <c r="Y1190" s="19">
        <f>X1190/1000</f>
        <v>-23.77272</v>
      </c>
    </row>
    <row r="1191" spans="1:25" x14ac:dyDescent="0.25">
      <c r="A1191" s="1">
        <v>45904</v>
      </c>
      <c r="B1191" t="s">
        <v>1542</v>
      </c>
      <c r="C1191" t="s">
        <v>17</v>
      </c>
      <c r="D1191" t="s">
        <v>18</v>
      </c>
      <c r="E1191">
        <v>750</v>
      </c>
      <c r="F1191">
        <v>0</v>
      </c>
      <c r="G1191">
        <v>39.950000000000003</v>
      </c>
      <c r="H1191">
        <v>29962.5</v>
      </c>
      <c r="I1191" t="s">
        <v>1551</v>
      </c>
      <c r="J1191">
        <v>30.08</v>
      </c>
      <c r="K1191">
        <v>10.64</v>
      </c>
      <c r="L1191">
        <v>0</v>
      </c>
      <c r="M1191">
        <v>0.03</v>
      </c>
      <c r="N1191">
        <v>290</v>
      </c>
      <c r="O1191">
        <v>54.14</v>
      </c>
      <c r="P1191">
        <v>384.89</v>
      </c>
      <c r="Q1191" s="18">
        <f>YEAR(A1191)</f>
        <v>2025</v>
      </c>
      <c r="R1191" s="18">
        <f>MONTH(A1191)</f>
        <v>9</v>
      </c>
      <c r="S1191" s="18">
        <f>IF(R1191&lt;4,Q1191-1,Q1191)</f>
        <v>2025</v>
      </c>
      <c r="T1191" s="18">
        <f>IF(R1191&lt;4,R1191+9,R1191-3)</f>
        <v>6</v>
      </c>
      <c r="U1191" s="18" t="str">
        <f>IF(LEN(T1191)=1,_xlfn.CONCAT(0,T1191),T1191)</f>
        <v>06</v>
      </c>
      <c r="V1191" s="18" t="str">
        <f>_xlfn.CONCAT(S1191,U1191)</f>
        <v>202506</v>
      </c>
      <c r="W1191" s="18" t="str">
        <f>_xlfn.CONCAT(TEXT(A1191,"MMM"),"-",MID(Q1191,3,2))</f>
        <v>Sep-25</v>
      </c>
      <c r="X1191" s="19">
        <f>IFERROR(IF(D1191="Sell",(H1191-P1191),-(H1191+P1191)),0)</f>
        <v>29577.61</v>
      </c>
      <c r="Y1191" s="19">
        <f>X1191/1000</f>
        <v>29.57761</v>
      </c>
    </row>
    <row r="1192" spans="1:25" x14ac:dyDescent="0.25">
      <c r="A1192" s="1">
        <v>45904</v>
      </c>
      <c r="B1192" t="s">
        <v>1542</v>
      </c>
      <c r="C1192" t="s">
        <v>17</v>
      </c>
      <c r="D1192" t="s">
        <v>22</v>
      </c>
      <c r="E1192">
        <v>375</v>
      </c>
      <c r="F1192">
        <v>0</v>
      </c>
      <c r="G1192">
        <v>40.450000000000003</v>
      </c>
      <c r="H1192">
        <v>15168.75</v>
      </c>
      <c r="I1192" t="s">
        <v>1552</v>
      </c>
      <c r="J1192">
        <v>0</v>
      </c>
      <c r="K1192">
        <v>5.39</v>
      </c>
      <c r="L1192">
        <v>0.92</v>
      </c>
      <c r="M1192">
        <v>0.01</v>
      </c>
      <c r="N1192">
        <v>145</v>
      </c>
      <c r="O1192">
        <v>27.08</v>
      </c>
      <c r="P1192">
        <v>178.4</v>
      </c>
      <c r="Q1192" s="18">
        <f>YEAR(A1192)</f>
        <v>2025</v>
      </c>
      <c r="R1192" s="18">
        <f>MONTH(A1192)</f>
        <v>9</v>
      </c>
      <c r="S1192" s="18">
        <f>IF(R1192&lt;4,Q1192-1,Q1192)</f>
        <v>2025</v>
      </c>
      <c r="T1192" s="18">
        <f>IF(R1192&lt;4,R1192+9,R1192-3)</f>
        <v>6</v>
      </c>
      <c r="U1192" s="18" t="str">
        <f>IF(LEN(T1192)=1,_xlfn.CONCAT(0,T1192),T1192)</f>
        <v>06</v>
      </c>
      <c r="V1192" s="18" t="str">
        <f>_xlfn.CONCAT(S1192,U1192)</f>
        <v>202506</v>
      </c>
      <c r="W1192" s="18" t="str">
        <f>_xlfn.CONCAT(TEXT(A1192,"MMM"),"-",MID(Q1192,3,2))</f>
        <v>Sep-25</v>
      </c>
      <c r="X1192" s="19">
        <f>IFERROR(IF(D1192="Sell",(H1192-P1192),-(H1192+P1192)),0)</f>
        <v>-15347.15</v>
      </c>
      <c r="Y1192" s="19">
        <f>X1192/1000</f>
        <v>-15.347149999999999</v>
      </c>
    </row>
    <row r="1193" spans="1:25" x14ac:dyDescent="0.25">
      <c r="A1193" s="1">
        <v>45904</v>
      </c>
      <c r="B1193" t="s">
        <v>1542</v>
      </c>
      <c r="C1193" t="s">
        <v>17</v>
      </c>
      <c r="D1193" t="s">
        <v>22</v>
      </c>
      <c r="E1193">
        <v>225</v>
      </c>
      <c r="F1193">
        <v>0</v>
      </c>
      <c r="G1193">
        <v>41.55</v>
      </c>
      <c r="H1193">
        <v>9348.75</v>
      </c>
      <c r="I1193" t="s">
        <v>1553</v>
      </c>
      <c r="J1193">
        <v>0</v>
      </c>
      <c r="K1193">
        <v>3.32</v>
      </c>
      <c r="L1193">
        <v>0</v>
      </c>
      <c r="M1193">
        <v>0.01</v>
      </c>
      <c r="N1193">
        <v>87</v>
      </c>
      <c r="O1193">
        <v>16.260000000000002</v>
      </c>
      <c r="P1193">
        <v>106.59</v>
      </c>
      <c r="Q1193" s="18">
        <f>YEAR(A1193)</f>
        <v>2025</v>
      </c>
      <c r="R1193" s="18">
        <f>MONTH(A1193)</f>
        <v>9</v>
      </c>
      <c r="S1193" s="18">
        <f>IF(R1193&lt;4,Q1193-1,Q1193)</f>
        <v>2025</v>
      </c>
      <c r="T1193" s="18">
        <f>IF(R1193&lt;4,R1193+9,R1193-3)</f>
        <v>6</v>
      </c>
      <c r="U1193" s="18" t="str">
        <f>IF(LEN(T1193)=1,_xlfn.CONCAT(0,T1193),T1193)</f>
        <v>06</v>
      </c>
      <c r="V1193" s="18" t="str">
        <f>_xlfn.CONCAT(S1193,U1193)</f>
        <v>202506</v>
      </c>
      <c r="W1193" s="18" t="str">
        <f>_xlfn.CONCAT(TEXT(A1193,"MMM"),"-",MID(Q1193,3,2))</f>
        <v>Sep-25</v>
      </c>
      <c r="X1193" s="19">
        <f>IFERROR(IF(D1193="Sell",(H1193-P1193),-(H1193+P1193)),0)</f>
        <v>-9455.34</v>
      </c>
      <c r="Y1193" s="19">
        <f>X1193/1000</f>
        <v>-9.4553399999999996</v>
      </c>
    </row>
    <row r="1194" spans="1:25" x14ac:dyDescent="0.25">
      <c r="A1194" s="1">
        <v>45904</v>
      </c>
      <c r="B1194" t="s">
        <v>1542</v>
      </c>
      <c r="C1194" t="s">
        <v>17</v>
      </c>
      <c r="D1194" t="s">
        <v>22</v>
      </c>
      <c r="E1194">
        <v>150</v>
      </c>
      <c r="F1194">
        <v>0</v>
      </c>
      <c r="G1194">
        <v>41</v>
      </c>
      <c r="H1194">
        <v>6150</v>
      </c>
      <c r="I1194" t="s">
        <v>1554</v>
      </c>
      <c r="J1194">
        <v>0</v>
      </c>
      <c r="K1194">
        <v>2.19</v>
      </c>
      <c r="L1194">
        <v>0</v>
      </c>
      <c r="M1194">
        <v>0.01</v>
      </c>
      <c r="N1194">
        <v>58</v>
      </c>
      <c r="O1194">
        <v>10.84</v>
      </c>
      <c r="P1194">
        <v>71.040000000000006</v>
      </c>
      <c r="Q1194" s="18">
        <f>YEAR(A1194)</f>
        <v>2025</v>
      </c>
      <c r="R1194" s="18">
        <f>MONTH(A1194)</f>
        <v>9</v>
      </c>
      <c r="S1194" s="18">
        <f>IF(R1194&lt;4,Q1194-1,Q1194)</f>
        <v>2025</v>
      </c>
      <c r="T1194" s="18">
        <f>IF(R1194&lt;4,R1194+9,R1194-3)</f>
        <v>6</v>
      </c>
      <c r="U1194" s="18" t="str">
        <f>IF(LEN(T1194)=1,_xlfn.CONCAT(0,T1194),T1194)</f>
        <v>06</v>
      </c>
      <c r="V1194" s="18" t="str">
        <f>_xlfn.CONCAT(S1194,U1194)</f>
        <v>202506</v>
      </c>
      <c r="W1194" s="18" t="str">
        <f>_xlfn.CONCAT(TEXT(A1194,"MMM"),"-",MID(Q1194,3,2))</f>
        <v>Sep-25</v>
      </c>
      <c r="X1194" s="19">
        <f>IFERROR(IF(D1194="Sell",(H1194-P1194),-(H1194+P1194)),0)</f>
        <v>-6221.04</v>
      </c>
      <c r="Y1194" s="19">
        <f>X1194/1000</f>
        <v>-6.2210400000000003</v>
      </c>
    </row>
    <row r="1195" spans="1:25" x14ac:dyDescent="0.25">
      <c r="A1195" s="1">
        <v>45905</v>
      </c>
      <c r="B1195" t="s">
        <v>1539</v>
      </c>
      <c r="C1195" t="s">
        <v>17</v>
      </c>
      <c r="D1195" t="s">
        <v>18</v>
      </c>
      <c r="E1195">
        <v>150</v>
      </c>
      <c r="F1195">
        <v>0</v>
      </c>
      <c r="G1195">
        <v>139.25</v>
      </c>
      <c r="H1195">
        <v>20887.5</v>
      </c>
      <c r="I1195" t="s">
        <v>1540</v>
      </c>
      <c r="J1195">
        <v>20.89</v>
      </c>
      <c r="K1195">
        <v>7.42</v>
      </c>
      <c r="L1195">
        <v>0</v>
      </c>
      <c r="M1195">
        <v>0.02</v>
      </c>
      <c r="N1195">
        <v>58</v>
      </c>
      <c r="O1195">
        <v>11.78</v>
      </c>
      <c r="P1195">
        <v>98.11</v>
      </c>
      <c r="Q1195" s="18">
        <f>YEAR(A1195)</f>
        <v>2025</v>
      </c>
      <c r="R1195" s="18">
        <f>MONTH(A1195)</f>
        <v>9</v>
      </c>
      <c r="S1195" s="18">
        <f>IF(R1195&lt;4,Q1195-1,Q1195)</f>
        <v>2025</v>
      </c>
      <c r="T1195" s="18">
        <f>IF(R1195&lt;4,R1195+9,R1195-3)</f>
        <v>6</v>
      </c>
      <c r="U1195" s="18" t="str">
        <f>IF(LEN(T1195)=1,_xlfn.CONCAT(0,T1195),T1195)</f>
        <v>06</v>
      </c>
      <c r="V1195" s="18" t="str">
        <f>_xlfn.CONCAT(S1195,U1195)</f>
        <v>202506</v>
      </c>
      <c r="W1195" s="18" t="str">
        <f>_xlfn.CONCAT(TEXT(A1195,"MMM"),"-",MID(Q1195,3,2))</f>
        <v>Sep-25</v>
      </c>
      <c r="X1195" s="19">
        <f>IFERROR(IF(D1195="Sell",(H1195-P1195),-(H1195+P1195)),0)</f>
        <v>20789.39</v>
      </c>
      <c r="Y1195" s="19">
        <f>X1195/1000</f>
        <v>20.789390000000001</v>
      </c>
    </row>
    <row r="1196" spans="1:25" x14ac:dyDescent="0.25">
      <c r="A1196" s="1">
        <v>45905</v>
      </c>
      <c r="B1196" t="s">
        <v>1539</v>
      </c>
      <c r="C1196" t="s">
        <v>17</v>
      </c>
      <c r="D1196" t="s">
        <v>22</v>
      </c>
      <c r="E1196">
        <v>150</v>
      </c>
      <c r="F1196">
        <v>0</v>
      </c>
      <c r="G1196">
        <v>132.19999999999999</v>
      </c>
      <c r="H1196">
        <v>19830</v>
      </c>
      <c r="I1196" t="s">
        <v>1541</v>
      </c>
      <c r="J1196">
        <v>0</v>
      </c>
      <c r="K1196">
        <v>7.04</v>
      </c>
      <c r="L1196">
        <v>0.59</v>
      </c>
      <c r="M1196">
        <v>0.02</v>
      </c>
      <c r="N1196">
        <v>58</v>
      </c>
      <c r="O1196">
        <v>11.72</v>
      </c>
      <c r="P1196">
        <v>77.37</v>
      </c>
      <c r="Q1196" s="18">
        <f>YEAR(A1196)</f>
        <v>2025</v>
      </c>
      <c r="R1196" s="18">
        <f>MONTH(A1196)</f>
        <v>9</v>
      </c>
      <c r="S1196" s="18">
        <f>IF(R1196&lt;4,Q1196-1,Q1196)</f>
        <v>2025</v>
      </c>
      <c r="T1196" s="18">
        <f>IF(R1196&lt;4,R1196+9,R1196-3)</f>
        <v>6</v>
      </c>
      <c r="U1196" s="18" t="str">
        <f>IF(LEN(T1196)=1,_xlfn.CONCAT(0,T1196),T1196)</f>
        <v>06</v>
      </c>
      <c r="V1196" s="18" t="str">
        <f>_xlfn.CONCAT(S1196,U1196)</f>
        <v>202506</v>
      </c>
      <c r="W1196" s="18" t="str">
        <f>_xlfn.CONCAT(TEXT(A1196,"MMM"),"-",MID(Q1196,3,2))</f>
        <v>Sep-25</v>
      </c>
      <c r="X1196" s="19">
        <f>IFERROR(IF(D1196="Sell",(H1196-P1196),-(H1196+P1196)),0)</f>
        <v>-19907.37</v>
      </c>
      <c r="Y1196" s="19">
        <f>X1196/1000</f>
        <v>-19.90737</v>
      </c>
    </row>
    <row r="1197" spans="1:25" x14ac:dyDescent="0.25">
      <c r="A1197" s="1">
        <v>45905</v>
      </c>
      <c r="B1197" t="s">
        <v>1542</v>
      </c>
      <c r="C1197" t="s">
        <v>17</v>
      </c>
      <c r="D1197" t="s">
        <v>18</v>
      </c>
      <c r="E1197">
        <v>975</v>
      </c>
      <c r="F1197">
        <v>0</v>
      </c>
      <c r="G1197">
        <v>69.45</v>
      </c>
      <c r="H1197">
        <v>67713.75</v>
      </c>
      <c r="I1197" t="s">
        <v>1543</v>
      </c>
      <c r="J1197">
        <v>68.12</v>
      </c>
      <c r="K1197">
        <v>24.05</v>
      </c>
      <c r="L1197">
        <v>0</v>
      </c>
      <c r="M1197">
        <v>7.0000000000000007E-2</v>
      </c>
      <c r="N1197">
        <v>377</v>
      </c>
      <c r="O1197">
        <v>72.2</v>
      </c>
      <c r="P1197">
        <v>541.44000000000005</v>
      </c>
      <c r="Q1197" s="18">
        <f>YEAR(A1197)</f>
        <v>2025</v>
      </c>
      <c r="R1197" s="18">
        <f>MONTH(A1197)</f>
        <v>9</v>
      </c>
      <c r="S1197" s="18">
        <f>IF(R1197&lt;4,Q1197-1,Q1197)</f>
        <v>2025</v>
      </c>
      <c r="T1197" s="18">
        <f>IF(R1197&lt;4,R1197+9,R1197-3)</f>
        <v>6</v>
      </c>
      <c r="U1197" s="18" t="str">
        <f>IF(LEN(T1197)=1,_xlfn.CONCAT(0,T1197),T1197)</f>
        <v>06</v>
      </c>
      <c r="V1197" s="18" t="str">
        <f>_xlfn.CONCAT(S1197,U1197)</f>
        <v>202506</v>
      </c>
      <c r="W1197" s="18" t="str">
        <f>_xlfn.CONCAT(TEXT(A1197,"MMM"),"-",MID(Q1197,3,2))</f>
        <v>Sep-25</v>
      </c>
      <c r="X1197" s="19">
        <f>IFERROR(IF(D1197="Sell",(H1197-P1197),-(H1197+P1197)),0)</f>
        <v>67172.31</v>
      </c>
      <c r="Y1197" s="19">
        <f>X1197/1000</f>
        <v>67.172309999999996</v>
      </c>
    </row>
    <row r="1198" spans="1:25" x14ac:dyDescent="0.25">
      <c r="A1198" s="1">
        <v>45905</v>
      </c>
      <c r="B1198" t="s">
        <v>1542</v>
      </c>
      <c r="C1198" t="s">
        <v>17</v>
      </c>
      <c r="D1198" t="s">
        <v>22</v>
      </c>
      <c r="E1198">
        <v>225</v>
      </c>
      <c r="F1198">
        <v>0</v>
      </c>
      <c r="G1198">
        <v>60.9</v>
      </c>
      <c r="H1198">
        <v>13702.5</v>
      </c>
      <c r="I1198" t="s">
        <v>1544</v>
      </c>
      <c r="J1198">
        <v>0</v>
      </c>
      <c r="K1198">
        <v>4.87</v>
      </c>
      <c r="L1198">
        <v>0</v>
      </c>
      <c r="M1198">
        <v>0.01</v>
      </c>
      <c r="N1198">
        <v>87</v>
      </c>
      <c r="O1198">
        <v>16.54</v>
      </c>
      <c r="P1198">
        <v>108.42</v>
      </c>
      <c r="Q1198" s="18">
        <f>YEAR(A1198)</f>
        <v>2025</v>
      </c>
      <c r="R1198" s="18">
        <f>MONTH(A1198)</f>
        <v>9</v>
      </c>
      <c r="S1198" s="18">
        <f>IF(R1198&lt;4,Q1198-1,Q1198)</f>
        <v>2025</v>
      </c>
      <c r="T1198" s="18">
        <f>IF(R1198&lt;4,R1198+9,R1198-3)</f>
        <v>6</v>
      </c>
      <c r="U1198" s="18" t="str">
        <f>IF(LEN(T1198)=1,_xlfn.CONCAT(0,T1198),T1198)</f>
        <v>06</v>
      </c>
      <c r="V1198" s="18" t="str">
        <f>_xlfn.CONCAT(S1198,U1198)</f>
        <v>202506</v>
      </c>
      <c r="W1198" s="18" t="str">
        <f>_xlfn.CONCAT(TEXT(A1198,"MMM"),"-",MID(Q1198,3,2))</f>
        <v>Sep-25</v>
      </c>
      <c r="X1198" s="19">
        <f>IFERROR(IF(D1198="Sell",(H1198-P1198),-(H1198+P1198)),0)</f>
        <v>-13810.92</v>
      </c>
      <c r="Y1198" s="19">
        <f>X1198/1000</f>
        <v>-13.810919999999999</v>
      </c>
    </row>
    <row r="1199" spans="1:25" x14ac:dyDescent="0.25">
      <c r="A1199" s="1">
        <v>45905</v>
      </c>
      <c r="B1199" t="s">
        <v>1542</v>
      </c>
      <c r="C1199" t="s">
        <v>17</v>
      </c>
      <c r="D1199" t="s">
        <v>22</v>
      </c>
      <c r="E1199">
        <v>300</v>
      </c>
      <c r="F1199">
        <v>0</v>
      </c>
      <c r="G1199">
        <v>63.8</v>
      </c>
      <c r="H1199">
        <v>19140</v>
      </c>
      <c r="I1199" t="s">
        <v>1545</v>
      </c>
      <c r="J1199">
        <v>0</v>
      </c>
      <c r="K1199">
        <v>6.8</v>
      </c>
      <c r="L1199">
        <v>0</v>
      </c>
      <c r="M1199">
        <v>0</v>
      </c>
      <c r="N1199">
        <v>116</v>
      </c>
      <c r="O1199">
        <v>22.08</v>
      </c>
      <c r="P1199">
        <v>144.88</v>
      </c>
      <c r="Q1199" s="18">
        <f>YEAR(A1199)</f>
        <v>2025</v>
      </c>
      <c r="R1199" s="18">
        <f>MONTH(A1199)</f>
        <v>9</v>
      </c>
      <c r="S1199" s="18">
        <f>IF(R1199&lt;4,Q1199-1,Q1199)</f>
        <v>2025</v>
      </c>
      <c r="T1199" s="18">
        <f>IF(R1199&lt;4,R1199+9,R1199-3)</f>
        <v>6</v>
      </c>
      <c r="U1199" s="18" t="str">
        <f>IF(LEN(T1199)=1,_xlfn.CONCAT(0,T1199),T1199)</f>
        <v>06</v>
      </c>
      <c r="V1199" s="18" t="str">
        <f>_xlfn.CONCAT(S1199,U1199)</f>
        <v>202506</v>
      </c>
      <c r="W1199" s="18" t="str">
        <f>_xlfn.CONCAT(TEXT(A1199,"MMM"),"-",MID(Q1199,3,2))</f>
        <v>Sep-25</v>
      </c>
      <c r="X1199" s="19">
        <f>IFERROR(IF(D1199="Sell",(H1199-P1199),-(H1199+P1199)),0)</f>
        <v>-19284.88</v>
      </c>
      <c r="Y1199" s="19">
        <f>X1199/1000</f>
        <v>-19.284880000000001</v>
      </c>
    </row>
    <row r="1200" spans="1:25" x14ac:dyDescent="0.25">
      <c r="A1200" s="1">
        <v>45905</v>
      </c>
      <c r="B1200" t="s">
        <v>1542</v>
      </c>
      <c r="C1200" t="s">
        <v>17</v>
      </c>
      <c r="D1200" t="s">
        <v>22</v>
      </c>
      <c r="E1200">
        <v>450</v>
      </c>
      <c r="F1200">
        <v>0</v>
      </c>
      <c r="G1200">
        <v>68.3</v>
      </c>
      <c r="H1200">
        <v>30735</v>
      </c>
      <c r="I1200" t="s">
        <v>1546</v>
      </c>
      <c r="J1200">
        <v>0</v>
      </c>
      <c r="K1200">
        <v>10.92</v>
      </c>
      <c r="L1200">
        <v>2.41</v>
      </c>
      <c r="M1200">
        <v>0.04</v>
      </c>
      <c r="N1200">
        <v>174</v>
      </c>
      <c r="O1200">
        <v>33.28</v>
      </c>
      <c r="P1200">
        <v>220.65</v>
      </c>
      <c r="Q1200" s="18">
        <f>YEAR(A1200)</f>
        <v>2025</v>
      </c>
      <c r="R1200" s="18">
        <f>MONTH(A1200)</f>
        <v>9</v>
      </c>
      <c r="S1200" s="18">
        <f>IF(R1200&lt;4,Q1200-1,Q1200)</f>
        <v>2025</v>
      </c>
      <c r="T1200" s="18">
        <f>IF(R1200&lt;4,R1200+9,R1200-3)</f>
        <v>6</v>
      </c>
      <c r="U1200" s="18" t="str">
        <f>IF(LEN(T1200)=1,_xlfn.CONCAT(0,T1200),T1200)</f>
        <v>06</v>
      </c>
      <c r="V1200" s="18" t="str">
        <f>_xlfn.CONCAT(S1200,U1200)</f>
        <v>202506</v>
      </c>
      <c r="W1200" s="18" t="str">
        <f>_xlfn.CONCAT(TEXT(A1200,"MMM"),"-",MID(Q1200,3,2))</f>
        <v>Sep-25</v>
      </c>
      <c r="X1200" s="19">
        <f>IFERROR(IF(D1200="Sell",(H1200-P1200),-(H1200+P1200)),0)</f>
        <v>-30955.65</v>
      </c>
      <c r="Y1200" s="19">
        <f>X1200/1000</f>
        <v>-30.955650000000002</v>
      </c>
    </row>
    <row r="1201" spans="1:25" x14ac:dyDescent="0.25">
      <c r="A1201" s="1">
        <v>45908</v>
      </c>
      <c r="B1201" t="s">
        <v>1514</v>
      </c>
      <c r="C1201" t="s">
        <v>17</v>
      </c>
      <c r="D1201" t="s">
        <v>18</v>
      </c>
      <c r="E1201">
        <v>975</v>
      </c>
      <c r="F1201">
        <v>0</v>
      </c>
      <c r="G1201">
        <v>18.25</v>
      </c>
      <c r="H1201">
        <v>17793.75</v>
      </c>
      <c r="I1201" t="s">
        <v>1529</v>
      </c>
      <c r="J1201">
        <v>17.809999999999999</v>
      </c>
      <c r="K1201">
        <v>6.33</v>
      </c>
      <c r="L1201">
        <v>0</v>
      </c>
      <c r="M1201">
        <v>0.02</v>
      </c>
      <c r="N1201">
        <v>377</v>
      </c>
      <c r="O1201">
        <v>69.02</v>
      </c>
      <c r="P1201">
        <v>470.18</v>
      </c>
      <c r="Q1201" s="18">
        <f>YEAR(A1201)</f>
        <v>2025</v>
      </c>
      <c r="R1201" s="18">
        <f>MONTH(A1201)</f>
        <v>9</v>
      </c>
      <c r="S1201" s="18">
        <f>IF(R1201&lt;4,Q1201-1,Q1201)</f>
        <v>2025</v>
      </c>
      <c r="T1201" s="18">
        <f>IF(R1201&lt;4,R1201+9,R1201-3)</f>
        <v>6</v>
      </c>
      <c r="U1201" s="18" t="str">
        <f>IF(LEN(T1201)=1,_xlfn.CONCAT(0,T1201),T1201)</f>
        <v>06</v>
      </c>
      <c r="V1201" s="18" t="str">
        <f>_xlfn.CONCAT(S1201,U1201)</f>
        <v>202506</v>
      </c>
      <c r="W1201" s="18" t="str">
        <f>_xlfn.CONCAT(TEXT(A1201,"MMM"),"-",MID(Q1201,3,2))</f>
        <v>Sep-25</v>
      </c>
      <c r="X1201" s="19">
        <f>IFERROR(IF(D1201="Sell",(H1201-P1201),-(H1201+P1201)),0)</f>
        <v>17323.57</v>
      </c>
      <c r="Y1201" s="19">
        <f>X1201/1000</f>
        <v>17.32357</v>
      </c>
    </row>
    <row r="1202" spans="1:25" x14ac:dyDescent="0.25">
      <c r="A1202" s="1">
        <v>45908</v>
      </c>
      <c r="B1202" t="s">
        <v>1514</v>
      </c>
      <c r="C1202" t="s">
        <v>17</v>
      </c>
      <c r="D1202" t="s">
        <v>18</v>
      </c>
      <c r="E1202">
        <v>75</v>
      </c>
      <c r="F1202">
        <v>0</v>
      </c>
      <c r="G1202">
        <v>21.95</v>
      </c>
      <c r="H1202">
        <v>1646.25</v>
      </c>
      <c r="I1202" t="s">
        <v>1530</v>
      </c>
      <c r="J1202">
        <v>1.65</v>
      </c>
      <c r="K1202">
        <v>0.57999999999999996</v>
      </c>
      <c r="L1202">
        <v>0</v>
      </c>
      <c r="M1202">
        <v>0</v>
      </c>
      <c r="N1202">
        <v>29</v>
      </c>
      <c r="O1202">
        <v>5.32</v>
      </c>
      <c r="P1202">
        <v>36.549999999999997</v>
      </c>
      <c r="Q1202" s="18">
        <f>YEAR(A1202)</f>
        <v>2025</v>
      </c>
      <c r="R1202" s="18">
        <f>MONTH(A1202)</f>
        <v>9</v>
      </c>
      <c r="S1202" s="18">
        <f>IF(R1202&lt;4,Q1202-1,Q1202)</f>
        <v>2025</v>
      </c>
      <c r="T1202" s="18">
        <f>IF(R1202&lt;4,R1202+9,R1202-3)</f>
        <v>6</v>
      </c>
      <c r="U1202" s="18" t="str">
        <f>IF(LEN(T1202)=1,_xlfn.CONCAT(0,T1202),T1202)</f>
        <v>06</v>
      </c>
      <c r="V1202" s="18" t="str">
        <f>_xlfn.CONCAT(S1202,U1202)</f>
        <v>202506</v>
      </c>
      <c r="W1202" s="18" t="str">
        <f>_xlfn.CONCAT(TEXT(A1202,"MMM"),"-",MID(Q1202,3,2))</f>
        <v>Sep-25</v>
      </c>
      <c r="X1202" s="19">
        <f>IFERROR(IF(D1202="Sell",(H1202-P1202),-(H1202+P1202)),0)</f>
        <v>1609.7</v>
      </c>
      <c r="Y1202" s="19">
        <f>X1202/1000</f>
        <v>1.6097000000000001</v>
      </c>
    </row>
    <row r="1203" spans="1:25" x14ac:dyDescent="0.25">
      <c r="A1203" s="1">
        <v>45908</v>
      </c>
      <c r="B1203" t="s">
        <v>1514</v>
      </c>
      <c r="C1203" t="s">
        <v>17</v>
      </c>
      <c r="D1203" t="s">
        <v>18</v>
      </c>
      <c r="E1203">
        <v>150</v>
      </c>
      <c r="F1203">
        <v>0</v>
      </c>
      <c r="G1203">
        <v>20.95</v>
      </c>
      <c r="H1203">
        <v>3142.5</v>
      </c>
      <c r="I1203" t="s">
        <v>1531</v>
      </c>
      <c r="J1203">
        <v>3.14</v>
      </c>
      <c r="K1203">
        <v>1.1200000000000001</v>
      </c>
      <c r="L1203">
        <v>0</v>
      </c>
      <c r="M1203">
        <v>0</v>
      </c>
      <c r="N1203">
        <v>58</v>
      </c>
      <c r="O1203">
        <v>10.64</v>
      </c>
      <c r="P1203">
        <v>72.900000000000006</v>
      </c>
      <c r="Q1203" s="18">
        <f>YEAR(A1203)</f>
        <v>2025</v>
      </c>
      <c r="R1203" s="18">
        <f>MONTH(A1203)</f>
        <v>9</v>
      </c>
      <c r="S1203" s="18">
        <f>IF(R1203&lt;4,Q1203-1,Q1203)</f>
        <v>2025</v>
      </c>
      <c r="T1203" s="18">
        <f>IF(R1203&lt;4,R1203+9,R1203-3)</f>
        <v>6</v>
      </c>
      <c r="U1203" s="18" t="str">
        <f>IF(LEN(T1203)=1,_xlfn.CONCAT(0,T1203),T1203)</f>
        <v>06</v>
      </c>
      <c r="V1203" s="18" t="str">
        <f>_xlfn.CONCAT(S1203,U1203)</f>
        <v>202506</v>
      </c>
      <c r="W1203" s="18" t="str">
        <f>_xlfn.CONCAT(TEXT(A1203,"MMM"),"-",MID(Q1203,3,2))</f>
        <v>Sep-25</v>
      </c>
      <c r="X1203" s="19">
        <f>IFERROR(IF(D1203="Sell",(H1203-P1203),-(H1203+P1203)),0)</f>
        <v>3069.6</v>
      </c>
      <c r="Y1203" s="19">
        <f>X1203/1000</f>
        <v>3.0695999999999999</v>
      </c>
    </row>
    <row r="1204" spans="1:25" x14ac:dyDescent="0.25">
      <c r="A1204" s="1">
        <v>45908</v>
      </c>
      <c r="B1204" t="s">
        <v>1514</v>
      </c>
      <c r="C1204" t="s">
        <v>17</v>
      </c>
      <c r="D1204" t="s">
        <v>18</v>
      </c>
      <c r="E1204">
        <v>150</v>
      </c>
      <c r="F1204">
        <v>0</v>
      </c>
      <c r="G1204">
        <v>19.95</v>
      </c>
      <c r="H1204">
        <v>2992.5</v>
      </c>
      <c r="I1204" t="s">
        <v>1532</v>
      </c>
      <c r="J1204">
        <v>2.99</v>
      </c>
      <c r="K1204">
        <v>1.06</v>
      </c>
      <c r="L1204">
        <v>0</v>
      </c>
      <c r="M1204">
        <v>0</v>
      </c>
      <c r="N1204">
        <v>58</v>
      </c>
      <c r="O1204">
        <v>10.64</v>
      </c>
      <c r="P1204">
        <v>72.69</v>
      </c>
      <c r="Q1204" s="18">
        <f>YEAR(A1204)</f>
        <v>2025</v>
      </c>
      <c r="R1204" s="18">
        <f>MONTH(A1204)</f>
        <v>9</v>
      </c>
      <c r="S1204" s="18">
        <f>IF(R1204&lt;4,Q1204-1,Q1204)</f>
        <v>2025</v>
      </c>
      <c r="T1204" s="18">
        <f>IF(R1204&lt;4,R1204+9,R1204-3)</f>
        <v>6</v>
      </c>
      <c r="U1204" s="18" t="str">
        <f>IF(LEN(T1204)=1,_xlfn.CONCAT(0,T1204),T1204)</f>
        <v>06</v>
      </c>
      <c r="V1204" s="18" t="str">
        <f>_xlfn.CONCAT(S1204,U1204)</f>
        <v>202506</v>
      </c>
      <c r="W1204" s="18" t="str">
        <f>_xlfn.CONCAT(TEXT(A1204,"MMM"),"-",MID(Q1204,3,2))</f>
        <v>Sep-25</v>
      </c>
      <c r="X1204" s="19">
        <f>IFERROR(IF(D1204="Sell",(H1204-P1204),-(H1204+P1204)),0)</f>
        <v>2919.81</v>
      </c>
      <c r="Y1204" s="19">
        <f>X1204/1000</f>
        <v>2.91981</v>
      </c>
    </row>
    <row r="1205" spans="1:25" x14ac:dyDescent="0.25">
      <c r="A1205" s="1">
        <v>45908</v>
      </c>
      <c r="B1205" t="s">
        <v>1514</v>
      </c>
      <c r="C1205" t="s">
        <v>17</v>
      </c>
      <c r="D1205" t="s">
        <v>22</v>
      </c>
      <c r="E1205">
        <v>450</v>
      </c>
      <c r="F1205">
        <v>0</v>
      </c>
      <c r="G1205">
        <v>30.4</v>
      </c>
      <c r="H1205">
        <v>13680</v>
      </c>
      <c r="I1205" t="s">
        <v>1533</v>
      </c>
      <c r="J1205">
        <v>0</v>
      </c>
      <c r="K1205">
        <v>4.8600000000000003</v>
      </c>
      <c r="L1205">
        <v>0</v>
      </c>
      <c r="M1205">
        <v>0.01</v>
      </c>
      <c r="N1205">
        <v>174</v>
      </c>
      <c r="O1205">
        <v>32.200000000000003</v>
      </c>
      <c r="P1205">
        <v>211.07</v>
      </c>
      <c r="Q1205" s="18">
        <f>YEAR(A1205)</f>
        <v>2025</v>
      </c>
      <c r="R1205" s="18">
        <f>MONTH(A1205)</f>
        <v>9</v>
      </c>
      <c r="S1205" s="18">
        <f>IF(R1205&lt;4,Q1205-1,Q1205)</f>
        <v>2025</v>
      </c>
      <c r="T1205" s="18">
        <f>IF(R1205&lt;4,R1205+9,R1205-3)</f>
        <v>6</v>
      </c>
      <c r="U1205" s="18" t="str">
        <f>IF(LEN(T1205)=1,_xlfn.CONCAT(0,T1205),T1205)</f>
        <v>06</v>
      </c>
      <c r="V1205" s="18" t="str">
        <f>_xlfn.CONCAT(S1205,U1205)</f>
        <v>202506</v>
      </c>
      <c r="W1205" s="18" t="str">
        <f>_xlfn.CONCAT(TEXT(A1205,"MMM"),"-",MID(Q1205,3,2))</f>
        <v>Sep-25</v>
      </c>
      <c r="X1205" s="19">
        <f>IFERROR(IF(D1205="Sell",(H1205-P1205),-(H1205+P1205)),0)</f>
        <v>-13891.07</v>
      </c>
      <c r="Y1205" s="19">
        <f>X1205/1000</f>
        <v>-13.891069999999999</v>
      </c>
    </row>
    <row r="1206" spans="1:25" x14ac:dyDescent="0.25">
      <c r="A1206" s="1">
        <v>45908</v>
      </c>
      <c r="B1206" t="s">
        <v>1514</v>
      </c>
      <c r="C1206" t="s">
        <v>17</v>
      </c>
      <c r="D1206" t="s">
        <v>22</v>
      </c>
      <c r="E1206">
        <v>450</v>
      </c>
      <c r="F1206">
        <v>0</v>
      </c>
      <c r="G1206">
        <v>31.9</v>
      </c>
      <c r="H1206">
        <v>14355</v>
      </c>
      <c r="I1206" t="s">
        <v>1534</v>
      </c>
      <c r="J1206">
        <v>0</v>
      </c>
      <c r="K1206">
        <v>5.0999999999999996</v>
      </c>
      <c r="L1206">
        <v>2</v>
      </c>
      <c r="M1206">
        <v>0.01</v>
      </c>
      <c r="N1206">
        <v>174</v>
      </c>
      <c r="O1206">
        <v>32.24</v>
      </c>
      <c r="P1206">
        <v>213.35</v>
      </c>
      <c r="Q1206" s="18">
        <f>YEAR(A1206)</f>
        <v>2025</v>
      </c>
      <c r="R1206" s="18">
        <f>MONTH(A1206)</f>
        <v>9</v>
      </c>
      <c r="S1206" s="18">
        <f>IF(R1206&lt;4,Q1206-1,Q1206)</f>
        <v>2025</v>
      </c>
      <c r="T1206" s="18">
        <f>IF(R1206&lt;4,R1206+9,R1206-3)</f>
        <v>6</v>
      </c>
      <c r="U1206" s="18" t="str">
        <f>IF(LEN(T1206)=1,_xlfn.CONCAT(0,T1206),T1206)</f>
        <v>06</v>
      </c>
      <c r="V1206" s="18" t="str">
        <f>_xlfn.CONCAT(S1206,U1206)</f>
        <v>202506</v>
      </c>
      <c r="W1206" s="18" t="str">
        <f>_xlfn.CONCAT(TEXT(A1206,"MMM"),"-",MID(Q1206,3,2))</f>
        <v>Sep-25</v>
      </c>
      <c r="X1206" s="19">
        <f>IFERROR(IF(D1206="Sell",(H1206-P1206),-(H1206+P1206)),0)</f>
        <v>-14568.35</v>
      </c>
      <c r="Y1206" s="19">
        <f>X1206/1000</f>
        <v>-14.568350000000001</v>
      </c>
    </row>
    <row r="1207" spans="1:25" x14ac:dyDescent="0.25">
      <c r="A1207" s="1">
        <v>45908</v>
      </c>
      <c r="B1207" t="s">
        <v>1514</v>
      </c>
      <c r="C1207" t="s">
        <v>17</v>
      </c>
      <c r="D1207" t="s">
        <v>22</v>
      </c>
      <c r="E1207">
        <v>450</v>
      </c>
      <c r="F1207">
        <v>0</v>
      </c>
      <c r="G1207">
        <v>41.05</v>
      </c>
      <c r="H1207">
        <v>18472.5</v>
      </c>
      <c r="I1207" t="s">
        <v>1535</v>
      </c>
      <c r="J1207">
        <v>0</v>
      </c>
      <c r="K1207">
        <v>6.56</v>
      </c>
      <c r="L1207">
        <v>0</v>
      </c>
      <c r="M1207">
        <v>0.02</v>
      </c>
      <c r="N1207">
        <v>174</v>
      </c>
      <c r="O1207">
        <v>32.5</v>
      </c>
      <c r="P1207">
        <v>213.08</v>
      </c>
      <c r="Q1207" s="18">
        <f>YEAR(A1207)</f>
        <v>2025</v>
      </c>
      <c r="R1207" s="18">
        <f>MONTH(A1207)</f>
        <v>9</v>
      </c>
      <c r="S1207" s="18">
        <f>IF(R1207&lt;4,Q1207-1,Q1207)</f>
        <v>2025</v>
      </c>
      <c r="T1207" s="18">
        <f>IF(R1207&lt;4,R1207+9,R1207-3)</f>
        <v>6</v>
      </c>
      <c r="U1207" s="18" t="str">
        <f>IF(LEN(T1207)=1,_xlfn.CONCAT(0,T1207),T1207)</f>
        <v>06</v>
      </c>
      <c r="V1207" s="18" t="str">
        <f>_xlfn.CONCAT(S1207,U1207)</f>
        <v>202506</v>
      </c>
      <c r="W1207" s="18" t="str">
        <f>_xlfn.CONCAT(TEXT(A1207,"MMM"),"-",MID(Q1207,3,2))</f>
        <v>Sep-25</v>
      </c>
      <c r="X1207" s="19">
        <f>IFERROR(IF(D1207="Sell",(H1207-P1207),-(H1207+P1207)),0)</f>
        <v>-18685.580000000002</v>
      </c>
      <c r="Y1207" s="19">
        <f>X1207/1000</f>
        <v>-18.685580000000002</v>
      </c>
    </row>
    <row r="1208" spans="1:25" x14ac:dyDescent="0.25">
      <c r="A1208" s="1">
        <v>45908</v>
      </c>
      <c r="B1208" t="s">
        <v>1514</v>
      </c>
      <c r="C1208" t="s">
        <v>17</v>
      </c>
      <c r="D1208" t="s">
        <v>18</v>
      </c>
      <c r="E1208">
        <v>900</v>
      </c>
      <c r="F1208">
        <v>0</v>
      </c>
      <c r="G1208">
        <v>37.950000000000003</v>
      </c>
      <c r="H1208">
        <v>34155</v>
      </c>
      <c r="I1208" t="s">
        <v>1536</v>
      </c>
      <c r="J1208">
        <v>34.42</v>
      </c>
      <c r="K1208">
        <v>12.14</v>
      </c>
      <c r="L1208">
        <v>0</v>
      </c>
      <c r="M1208">
        <v>0.03</v>
      </c>
      <c r="N1208">
        <v>348</v>
      </c>
      <c r="O1208">
        <v>64.84</v>
      </c>
      <c r="P1208">
        <v>459.43</v>
      </c>
      <c r="Q1208" s="18">
        <f>YEAR(A1208)</f>
        <v>2025</v>
      </c>
      <c r="R1208" s="18">
        <f>MONTH(A1208)</f>
        <v>9</v>
      </c>
      <c r="S1208" s="18">
        <f>IF(R1208&lt;4,Q1208-1,Q1208)</f>
        <v>2025</v>
      </c>
      <c r="T1208" s="18">
        <f>IF(R1208&lt;4,R1208+9,R1208-3)</f>
        <v>6</v>
      </c>
      <c r="U1208" s="18" t="str">
        <f>IF(LEN(T1208)=1,_xlfn.CONCAT(0,T1208),T1208)</f>
        <v>06</v>
      </c>
      <c r="V1208" s="18" t="str">
        <f>_xlfn.CONCAT(S1208,U1208)</f>
        <v>202506</v>
      </c>
      <c r="W1208" s="18" t="str">
        <f>_xlfn.CONCAT(TEXT(A1208,"MMM"),"-",MID(Q1208,3,2))</f>
        <v>Sep-25</v>
      </c>
      <c r="X1208" s="19">
        <f>IFERROR(IF(D1208="Sell",(H1208-P1208),-(H1208+P1208)),0)</f>
        <v>33695.57</v>
      </c>
      <c r="Y1208" s="19">
        <f>X1208/1000</f>
        <v>33.695569999999996</v>
      </c>
    </row>
    <row r="1209" spans="1:25" x14ac:dyDescent="0.25">
      <c r="A1209" s="1">
        <v>45908</v>
      </c>
      <c r="B1209" t="s">
        <v>1514</v>
      </c>
      <c r="C1209" t="s">
        <v>17</v>
      </c>
      <c r="D1209" t="s">
        <v>22</v>
      </c>
      <c r="E1209">
        <v>450</v>
      </c>
      <c r="F1209">
        <v>0</v>
      </c>
      <c r="G1209">
        <v>34.950000000000003</v>
      </c>
      <c r="H1209">
        <v>15727.5</v>
      </c>
      <c r="I1209" t="s">
        <v>1537</v>
      </c>
      <c r="J1209">
        <v>0</v>
      </c>
      <c r="K1209">
        <v>5.58</v>
      </c>
      <c r="L1209">
        <v>0</v>
      </c>
      <c r="M1209">
        <v>0.02</v>
      </c>
      <c r="N1209">
        <v>174</v>
      </c>
      <c r="O1209">
        <v>32.32</v>
      </c>
      <c r="P1209">
        <v>211.92</v>
      </c>
      <c r="Q1209" s="18">
        <f>YEAR(A1209)</f>
        <v>2025</v>
      </c>
      <c r="R1209" s="18">
        <f>MONTH(A1209)</f>
        <v>9</v>
      </c>
      <c r="S1209" s="18">
        <f>IF(R1209&lt;4,Q1209-1,Q1209)</f>
        <v>2025</v>
      </c>
      <c r="T1209" s="18">
        <f>IF(R1209&lt;4,R1209+9,R1209-3)</f>
        <v>6</v>
      </c>
      <c r="U1209" s="18" t="str">
        <f>IF(LEN(T1209)=1,_xlfn.CONCAT(0,T1209),T1209)</f>
        <v>06</v>
      </c>
      <c r="V1209" s="18" t="str">
        <f>_xlfn.CONCAT(S1209,U1209)</f>
        <v>202506</v>
      </c>
      <c r="W1209" s="18" t="str">
        <f>_xlfn.CONCAT(TEXT(A1209,"MMM"),"-",MID(Q1209,3,2))</f>
        <v>Sep-25</v>
      </c>
      <c r="X1209" s="19">
        <f>IFERROR(IF(D1209="Sell",(H1209-P1209),-(H1209+P1209)),0)</f>
        <v>-15939.42</v>
      </c>
      <c r="Y1209" s="19">
        <f>X1209/1000</f>
        <v>-15.93942</v>
      </c>
    </row>
    <row r="1210" spans="1:25" x14ac:dyDescent="0.25">
      <c r="A1210" s="1">
        <v>45908</v>
      </c>
      <c r="B1210" t="s">
        <v>1514</v>
      </c>
      <c r="C1210" t="s">
        <v>17</v>
      </c>
      <c r="D1210" t="s">
        <v>22</v>
      </c>
      <c r="E1210">
        <v>450</v>
      </c>
      <c r="F1210">
        <v>0</v>
      </c>
      <c r="G1210">
        <v>38.65</v>
      </c>
      <c r="H1210">
        <v>17392.5</v>
      </c>
      <c r="I1210" t="s">
        <v>1538</v>
      </c>
      <c r="J1210">
        <v>0</v>
      </c>
      <c r="K1210">
        <v>6.18</v>
      </c>
      <c r="L1210">
        <v>0</v>
      </c>
      <c r="M1210">
        <v>0.01</v>
      </c>
      <c r="N1210">
        <v>174</v>
      </c>
      <c r="O1210">
        <v>32.42</v>
      </c>
      <c r="P1210">
        <v>212.61</v>
      </c>
      <c r="Q1210" s="18">
        <f>YEAR(A1210)</f>
        <v>2025</v>
      </c>
      <c r="R1210" s="18">
        <f>MONTH(A1210)</f>
        <v>9</v>
      </c>
      <c r="S1210" s="18">
        <f>IF(R1210&lt;4,Q1210-1,Q1210)</f>
        <v>2025</v>
      </c>
      <c r="T1210" s="18">
        <f>IF(R1210&lt;4,R1210+9,R1210-3)</f>
        <v>6</v>
      </c>
      <c r="U1210" s="18" t="str">
        <f>IF(LEN(T1210)=1,_xlfn.CONCAT(0,T1210),T1210)</f>
        <v>06</v>
      </c>
      <c r="V1210" s="18" t="str">
        <f>_xlfn.CONCAT(S1210,U1210)</f>
        <v>202506</v>
      </c>
      <c r="W1210" s="18" t="str">
        <f>_xlfn.CONCAT(TEXT(A1210,"MMM"),"-",MID(Q1210,3,2))</f>
        <v>Sep-25</v>
      </c>
      <c r="X1210" s="19">
        <f>IFERROR(IF(D1210="Sell",(H1210-P1210),-(H1210+P1210)),0)</f>
        <v>-17605.11</v>
      </c>
      <c r="Y1210" s="19">
        <f>X1210/1000</f>
        <v>-17.60511</v>
      </c>
    </row>
    <row r="1211" spans="1:25" x14ac:dyDescent="0.25">
      <c r="A1211" s="1">
        <v>45909</v>
      </c>
      <c r="B1211" t="s">
        <v>1514</v>
      </c>
      <c r="C1211" t="s">
        <v>17</v>
      </c>
      <c r="D1211" t="s">
        <v>18</v>
      </c>
      <c r="E1211">
        <v>900</v>
      </c>
      <c r="F1211">
        <v>0</v>
      </c>
      <c r="G1211">
        <v>3.45</v>
      </c>
      <c r="H1211">
        <v>3105</v>
      </c>
      <c r="I1211" t="s">
        <v>1515</v>
      </c>
      <c r="J1211">
        <v>3.11</v>
      </c>
      <c r="K1211">
        <v>1.1000000000000001</v>
      </c>
      <c r="L1211">
        <v>0</v>
      </c>
      <c r="M1211">
        <v>0</v>
      </c>
      <c r="N1211">
        <v>348</v>
      </c>
      <c r="O1211">
        <v>62.84</v>
      </c>
      <c r="P1211">
        <v>415.05</v>
      </c>
      <c r="Q1211" s="18">
        <f>YEAR(A1211)</f>
        <v>2025</v>
      </c>
      <c r="R1211" s="18">
        <f>MONTH(A1211)</f>
        <v>9</v>
      </c>
      <c r="S1211" s="18">
        <f>IF(R1211&lt;4,Q1211-1,Q1211)</f>
        <v>2025</v>
      </c>
      <c r="T1211" s="18">
        <f>IF(R1211&lt;4,R1211+9,R1211-3)</f>
        <v>6</v>
      </c>
      <c r="U1211" s="18" t="str">
        <f>IF(LEN(T1211)=1,_xlfn.CONCAT(0,T1211),T1211)</f>
        <v>06</v>
      </c>
      <c r="V1211" s="18" t="str">
        <f>_xlfn.CONCAT(S1211,U1211)</f>
        <v>202506</v>
      </c>
      <c r="W1211" s="18" t="str">
        <f>_xlfn.CONCAT(TEXT(A1211,"MMM"),"-",MID(Q1211,3,2))</f>
        <v>Sep-25</v>
      </c>
      <c r="X1211" s="19">
        <f>IFERROR(IF(D1211="Sell",(H1211-P1211),-(H1211+P1211)),0)</f>
        <v>2689.95</v>
      </c>
      <c r="Y1211" s="19">
        <f>X1211/1000</f>
        <v>2.6899499999999996</v>
      </c>
    </row>
    <row r="1212" spans="1:25" x14ac:dyDescent="0.25">
      <c r="A1212" s="1">
        <v>45909</v>
      </c>
      <c r="B1212" t="s">
        <v>1514</v>
      </c>
      <c r="C1212" t="s">
        <v>17</v>
      </c>
      <c r="D1212" t="s">
        <v>18</v>
      </c>
      <c r="E1212">
        <v>1500</v>
      </c>
      <c r="F1212">
        <v>0</v>
      </c>
      <c r="G1212">
        <v>3.65</v>
      </c>
      <c r="H1212">
        <v>5475</v>
      </c>
      <c r="I1212" t="s">
        <v>1516</v>
      </c>
      <c r="J1212">
        <v>5.48</v>
      </c>
      <c r="K1212">
        <v>1.95</v>
      </c>
      <c r="L1212">
        <v>0</v>
      </c>
      <c r="M1212">
        <v>0.01</v>
      </c>
      <c r="N1212">
        <v>580</v>
      </c>
      <c r="O1212">
        <v>104.76</v>
      </c>
      <c r="P1212">
        <v>692.2</v>
      </c>
      <c r="Q1212" s="18">
        <f>YEAR(A1212)</f>
        <v>2025</v>
      </c>
      <c r="R1212" s="18">
        <f>MONTH(A1212)</f>
        <v>9</v>
      </c>
      <c r="S1212" s="18">
        <f>IF(R1212&lt;4,Q1212-1,Q1212)</f>
        <v>2025</v>
      </c>
      <c r="T1212" s="18">
        <f>IF(R1212&lt;4,R1212+9,R1212-3)</f>
        <v>6</v>
      </c>
      <c r="U1212" s="18" t="str">
        <f>IF(LEN(T1212)=1,_xlfn.CONCAT(0,T1212),T1212)</f>
        <v>06</v>
      </c>
      <c r="V1212" s="18" t="str">
        <f>_xlfn.CONCAT(S1212,U1212)</f>
        <v>202506</v>
      </c>
      <c r="W1212" s="18" t="str">
        <f>_xlfn.CONCAT(TEXT(A1212,"MMM"),"-",MID(Q1212,3,2))</f>
        <v>Sep-25</v>
      </c>
      <c r="X1212" s="19">
        <f>IFERROR(IF(D1212="Sell",(H1212-P1212),-(H1212+P1212)),0)</f>
        <v>4782.8</v>
      </c>
      <c r="Y1212" s="19">
        <f>X1212/1000</f>
        <v>4.7827999999999999</v>
      </c>
    </row>
    <row r="1213" spans="1:25" x14ac:dyDescent="0.25">
      <c r="A1213" s="1">
        <v>45909</v>
      </c>
      <c r="B1213" t="s">
        <v>1514</v>
      </c>
      <c r="C1213" t="s">
        <v>17</v>
      </c>
      <c r="D1213" t="s">
        <v>18</v>
      </c>
      <c r="E1213">
        <v>1500</v>
      </c>
      <c r="F1213">
        <v>0</v>
      </c>
      <c r="G1213">
        <v>3.3</v>
      </c>
      <c r="H1213">
        <v>4950</v>
      </c>
      <c r="I1213" t="s">
        <v>1517</v>
      </c>
      <c r="J1213">
        <v>4.95</v>
      </c>
      <c r="K1213">
        <v>1.76</v>
      </c>
      <c r="L1213">
        <v>0</v>
      </c>
      <c r="M1213">
        <v>0</v>
      </c>
      <c r="N1213">
        <v>580</v>
      </c>
      <c r="O1213">
        <v>104.72</v>
      </c>
      <c r="P1213">
        <v>691.43</v>
      </c>
      <c r="Q1213" s="18">
        <f>YEAR(A1213)</f>
        <v>2025</v>
      </c>
      <c r="R1213" s="18">
        <f>MONTH(A1213)</f>
        <v>9</v>
      </c>
      <c r="S1213" s="18">
        <f>IF(R1213&lt;4,Q1213-1,Q1213)</f>
        <v>2025</v>
      </c>
      <c r="T1213" s="18">
        <f>IF(R1213&lt;4,R1213+9,R1213-3)</f>
        <v>6</v>
      </c>
      <c r="U1213" s="18" t="str">
        <f>IF(LEN(T1213)=1,_xlfn.CONCAT(0,T1213),T1213)</f>
        <v>06</v>
      </c>
      <c r="V1213" s="18" t="str">
        <f>_xlfn.CONCAT(S1213,U1213)</f>
        <v>202506</v>
      </c>
      <c r="W1213" s="18" t="str">
        <f>_xlfn.CONCAT(TEXT(A1213,"MMM"),"-",MID(Q1213,3,2))</f>
        <v>Sep-25</v>
      </c>
      <c r="X1213" s="19">
        <f>IFERROR(IF(D1213="Sell",(H1213-P1213),-(H1213+P1213)),0)</f>
        <v>4258.57</v>
      </c>
      <c r="Y1213" s="19">
        <f>X1213/1000</f>
        <v>4.2585699999999997</v>
      </c>
    </row>
    <row r="1214" spans="1:25" x14ac:dyDescent="0.25">
      <c r="A1214" s="1">
        <v>45909</v>
      </c>
      <c r="B1214" t="s">
        <v>1514</v>
      </c>
      <c r="C1214" t="s">
        <v>17</v>
      </c>
      <c r="D1214" t="s">
        <v>18</v>
      </c>
      <c r="E1214">
        <v>1500</v>
      </c>
      <c r="F1214">
        <v>0</v>
      </c>
      <c r="G1214">
        <v>3.4</v>
      </c>
      <c r="H1214">
        <v>5100</v>
      </c>
      <c r="I1214" t="s">
        <v>1518</v>
      </c>
      <c r="J1214">
        <v>5.0999999999999996</v>
      </c>
      <c r="K1214">
        <v>1.81</v>
      </c>
      <c r="L1214">
        <v>0</v>
      </c>
      <c r="M1214">
        <v>0</v>
      </c>
      <c r="N1214">
        <v>580</v>
      </c>
      <c r="O1214">
        <v>104.74</v>
      </c>
      <c r="P1214">
        <v>691.65</v>
      </c>
      <c r="Q1214" s="18">
        <f>YEAR(A1214)</f>
        <v>2025</v>
      </c>
      <c r="R1214" s="18">
        <f>MONTH(A1214)</f>
        <v>9</v>
      </c>
      <c r="S1214" s="18">
        <f>IF(R1214&lt;4,Q1214-1,Q1214)</f>
        <v>2025</v>
      </c>
      <c r="T1214" s="18">
        <f>IF(R1214&lt;4,R1214+9,R1214-3)</f>
        <v>6</v>
      </c>
      <c r="U1214" s="18" t="str">
        <f>IF(LEN(T1214)=1,_xlfn.CONCAT(0,T1214),T1214)</f>
        <v>06</v>
      </c>
      <c r="V1214" s="18" t="str">
        <f>_xlfn.CONCAT(S1214,U1214)</f>
        <v>202506</v>
      </c>
      <c r="W1214" s="18" t="str">
        <f>_xlfn.CONCAT(TEXT(A1214,"MMM"),"-",MID(Q1214,3,2))</f>
        <v>Sep-25</v>
      </c>
      <c r="X1214" s="19">
        <f>IFERROR(IF(D1214="Sell",(H1214-P1214),-(H1214+P1214)),0)</f>
        <v>4408.3500000000004</v>
      </c>
      <c r="Y1214" s="19">
        <f>X1214/1000</f>
        <v>4.4083500000000004</v>
      </c>
    </row>
    <row r="1215" spans="1:25" x14ac:dyDescent="0.25">
      <c r="A1215" s="1">
        <v>45909</v>
      </c>
      <c r="B1215" t="s">
        <v>1514</v>
      </c>
      <c r="C1215" t="s">
        <v>17</v>
      </c>
      <c r="D1215" t="s">
        <v>22</v>
      </c>
      <c r="E1215">
        <v>1350</v>
      </c>
      <c r="F1215">
        <v>0</v>
      </c>
      <c r="G1215">
        <v>9.25</v>
      </c>
      <c r="H1215">
        <v>12487.5</v>
      </c>
      <c r="I1215" t="s">
        <v>1519</v>
      </c>
      <c r="J1215">
        <v>0</v>
      </c>
      <c r="K1215">
        <v>4.4400000000000004</v>
      </c>
      <c r="L1215">
        <v>0</v>
      </c>
      <c r="M1215">
        <v>0.01</v>
      </c>
      <c r="N1215">
        <v>522</v>
      </c>
      <c r="O1215">
        <v>94.76</v>
      </c>
      <c r="P1215">
        <v>621.21</v>
      </c>
      <c r="Q1215" s="18">
        <f>YEAR(A1215)</f>
        <v>2025</v>
      </c>
      <c r="R1215" s="18">
        <f>MONTH(A1215)</f>
        <v>9</v>
      </c>
      <c r="S1215" s="18">
        <f>IF(R1215&lt;4,Q1215-1,Q1215)</f>
        <v>2025</v>
      </c>
      <c r="T1215" s="18">
        <f>IF(R1215&lt;4,R1215+9,R1215-3)</f>
        <v>6</v>
      </c>
      <c r="U1215" s="18" t="str">
        <f>IF(LEN(T1215)=1,_xlfn.CONCAT(0,T1215),T1215)</f>
        <v>06</v>
      </c>
      <c r="V1215" s="18" t="str">
        <f>_xlfn.CONCAT(S1215,U1215)</f>
        <v>202506</v>
      </c>
      <c r="W1215" s="18" t="str">
        <f>_xlfn.CONCAT(TEXT(A1215,"MMM"),"-",MID(Q1215,3,2))</f>
        <v>Sep-25</v>
      </c>
      <c r="X1215" s="19">
        <f>IFERROR(IF(D1215="Sell",(H1215-P1215),-(H1215+P1215)),0)</f>
        <v>-13108.71</v>
      </c>
      <c r="Y1215" s="19">
        <f>X1215/1000</f>
        <v>-13.108709999999999</v>
      </c>
    </row>
    <row r="1216" spans="1:25" x14ac:dyDescent="0.25">
      <c r="A1216" s="1">
        <v>45909</v>
      </c>
      <c r="B1216" t="s">
        <v>1514</v>
      </c>
      <c r="C1216" t="s">
        <v>17</v>
      </c>
      <c r="D1216" t="s">
        <v>22</v>
      </c>
      <c r="E1216">
        <v>1350</v>
      </c>
      <c r="F1216">
        <v>0</v>
      </c>
      <c r="G1216">
        <v>10.7</v>
      </c>
      <c r="H1216">
        <v>14445</v>
      </c>
      <c r="I1216" t="s">
        <v>1520</v>
      </c>
      <c r="J1216">
        <v>0</v>
      </c>
      <c r="K1216">
        <v>5.14</v>
      </c>
      <c r="L1216">
        <v>0</v>
      </c>
      <c r="M1216">
        <v>0.01</v>
      </c>
      <c r="N1216">
        <v>522</v>
      </c>
      <c r="O1216">
        <v>94.88</v>
      </c>
      <c r="P1216">
        <v>622.03</v>
      </c>
      <c r="Q1216" s="18">
        <f>YEAR(A1216)</f>
        <v>2025</v>
      </c>
      <c r="R1216" s="18">
        <f>MONTH(A1216)</f>
        <v>9</v>
      </c>
      <c r="S1216" s="18">
        <f>IF(R1216&lt;4,Q1216-1,Q1216)</f>
        <v>2025</v>
      </c>
      <c r="T1216" s="18">
        <f>IF(R1216&lt;4,R1216+9,R1216-3)</f>
        <v>6</v>
      </c>
      <c r="U1216" s="18" t="str">
        <f>IF(LEN(T1216)=1,_xlfn.CONCAT(0,T1216),T1216)</f>
        <v>06</v>
      </c>
      <c r="V1216" s="18" t="str">
        <f>_xlfn.CONCAT(S1216,U1216)</f>
        <v>202506</v>
      </c>
      <c r="W1216" s="18" t="str">
        <f>_xlfn.CONCAT(TEXT(A1216,"MMM"),"-",MID(Q1216,3,2))</f>
        <v>Sep-25</v>
      </c>
      <c r="X1216" s="19">
        <f>IFERROR(IF(D1216="Sell",(H1216-P1216),-(H1216+P1216)),0)</f>
        <v>-15067.03</v>
      </c>
      <c r="Y1216" s="19">
        <f>X1216/1000</f>
        <v>-15.067030000000001</v>
      </c>
    </row>
    <row r="1217" spans="1:25" x14ac:dyDescent="0.25">
      <c r="A1217" s="1">
        <v>45909</v>
      </c>
      <c r="B1217" t="s">
        <v>1514</v>
      </c>
      <c r="C1217" t="s">
        <v>17</v>
      </c>
      <c r="D1217" t="s">
        <v>22</v>
      </c>
      <c r="E1217">
        <v>1350</v>
      </c>
      <c r="F1217">
        <v>0</v>
      </c>
      <c r="G1217">
        <v>14.25</v>
      </c>
      <c r="H1217">
        <v>19237.5</v>
      </c>
      <c r="I1217" t="s">
        <v>1521</v>
      </c>
      <c r="J1217">
        <v>0</v>
      </c>
      <c r="K1217">
        <v>6.84</v>
      </c>
      <c r="L1217">
        <v>2.2200000000000002</v>
      </c>
      <c r="M1217">
        <v>0.02</v>
      </c>
      <c r="N1217">
        <v>522</v>
      </c>
      <c r="O1217">
        <v>95.2</v>
      </c>
      <c r="P1217">
        <v>626.28</v>
      </c>
      <c r="Q1217" s="18">
        <f>YEAR(A1217)</f>
        <v>2025</v>
      </c>
      <c r="R1217" s="18">
        <f>MONTH(A1217)</f>
        <v>9</v>
      </c>
      <c r="S1217" s="18">
        <f>IF(R1217&lt;4,Q1217-1,Q1217)</f>
        <v>2025</v>
      </c>
      <c r="T1217" s="18">
        <f>IF(R1217&lt;4,R1217+9,R1217-3)</f>
        <v>6</v>
      </c>
      <c r="U1217" s="18" t="str">
        <f>IF(LEN(T1217)=1,_xlfn.CONCAT(0,T1217),T1217)</f>
        <v>06</v>
      </c>
      <c r="V1217" s="18" t="str">
        <f>_xlfn.CONCAT(S1217,U1217)</f>
        <v>202506</v>
      </c>
      <c r="W1217" s="18" t="str">
        <f>_xlfn.CONCAT(TEXT(A1217,"MMM"),"-",MID(Q1217,3,2))</f>
        <v>Sep-25</v>
      </c>
      <c r="X1217" s="19">
        <f>IFERROR(IF(D1217="Sell",(H1217-P1217),-(H1217+P1217)),0)</f>
        <v>-19863.78</v>
      </c>
      <c r="Y1217" s="19">
        <f>X1217/1000</f>
        <v>-19.863779999999998</v>
      </c>
    </row>
    <row r="1218" spans="1:25" x14ac:dyDescent="0.25">
      <c r="A1218" s="1">
        <v>45909</v>
      </c>
      <c r="B1218" t="s">
        <v>1514</v>
      </c>
      <c r="C1218" t="s">
        <v>17</v>
      </c>
      <c r="D1218" t="s">
        <v>22</v>
      </c>
      <c r="E1218">
        <v>1350</v>
      </c>
      <c r="F1218">
        <v>0</v>
      </c>
      <c r="G1218">
        <v>16.3</v>
      </c>
      <c r="H1218">
        <v>22005</v>
      </c>
      <c r="I1218" t="s">
        <v>1522</v>
      </c>
      <c r="J1218">
        <v>0</v>
      </c>
      <c r="K1218">
        <v>7.81</v>
      </c>
      <c r="L1218">
        <v>0</v>
      </c>
      <c r="M1218">
        <v>0.02</v>
      </c>
      <c r="N1218">
        <v>522</v>
      </c>
      <c r="O1218">
        <v>95.36</v>
      </c>
      <c r="P1218">
        <v>625.19000000000005</v>
      </c>
      <c r="Q1218" s="18">
        <f>YEAR(A1218)</f>
        <v>2025</v>
      </c>
      <c r="R1218" s="18">
        <f>MONTH(A1218)</f>
        <v>9</v>
      </c>
      <c r="S1218" s="18">
        <f>IF(R1218&lt;4,Q1218-1,Q1218)</f>
        <v>2025</v>
      </c>
      <c r="T1218" s="18">
        <f>IF(R1218&lt;4,R1218+9,R1218-3)</f>
        <v>6</v>
      </c>
      <c r="U1218" s="18" t="str">
        <f>IF(LEN(T1218)=1,_xlfn.CONCAT(0,T1218),T1218)</f>
        <v>06</v>
      </c>
      <c r="V1218" s="18" t="str">
        <f>_xlfn.CONCAT(S1218,U1218)</f>
        <v>202506</v>
      </c>
      <c r="W1218" s="18" t="str">
        <f>_xlfn.CONCAT(TEXT(A1218,"MMM"),"-",MID(Q1218,3,2))</f>
        <v>Sep-25</v>
      </c>
      <c r="X1218" s="19">
        <f>IFERROR(IF(D1218="Sell",(H1218-P1218),-(H1218+P1218)),0)</f>
        <v>-22630.19</v>
      </c>
      <c r="Y1218" s="19">
        <f>X1218/1000</f>
        <v>-22.630189999999999</v>
      </c>
    </row>
    <row r="1219" spans="1:25" x14ac:dyDescent="0.25">
      <c r="A1219" s="1">
        <v>45909</v>
      </c>
      <c r="B1219" t="s">
        <v>1523</v>
      </c>
      <c r="C1219" t="s">
        <v>17</v>
      </c>
      <c r="D1219" t="s">
        <v>18</v>
      </c>
      <c r="E1219">
        <v>450</v>
      </c>
      <c r="F1219">
        <v>0</v>
      </c>
      <c r="G1219">
        <v>57.95</v>
      </c>
      <c r="H1219">
        <v>26077.5</v>
      </c>
      <c r="I1219" t="s">
        <v>1524</v>
      </c>
      <c r="J1219">
        <v>26.09</v>
      </c>
      <c r="K1219">
        <v>9.26</v>
      </c>
      <c r="L1219">
        <v>0</v>
      </c>
      <c r="M1219">
        <v>0.02</v>
      </c>
      <c r="N1219">
        <v>174</v>
      </c>
      <c r="O1219">
        <v>33</v>
      </c>
      <c r="P1219">
        <v>242.37</v>
      </c>
      <c r="Q1219" s="18">
        <f>YEAR(A1219)</f>
        <v>2025</v>
      </c>
      <c r="R1219" s="18">
        <f>MONTH(A1219)</f>
        <v>9</v>
      </c>
      <c r="S1219" s="18">
        <f>IF(R1219&lt;4,Q1219-1,Q1219)</f>
        <v>2025</v>
      </c>
      <c r="T1219" s="18">
        <f>IF(R1219&lt;4,R1219+9,R1219-3)</f>
        <v>6</v>
      </c>
      <c r="U1219" s="18" t="str">
        <f>IF(LEN(T1219)=1,_xlfn.CONCAT(0,T1219),T1219)</f>
        <v>06</v>
      </c>
      <c r="V1219" s="18" t="str">
        <f>_xlfn.CONCAT(S1219,U1219)</f>
        <v>202506</v>
      </c>
      <c r="W1219" s="18" t="str">
        <f>_xlfn.CONCAT(TEXT(A1219,"MMM"),"-",MID(Q1219,3,2))</f>
        <v>Sep-25</v>
      </c>
      <c r="X1219" s="19">
        <f>IFERROR(IF(D1219="Sell",(H1219-P1219),-(H1219+P1219)),0)</f>
        <v>25835.13</v>
      </c>
      <c r="Y1219" s="19">
        <f>X1219/1000</f>
        <v>25.835129999999999</v>
      </c>
    </row>
    <row r="1220" spans="1:25" x14ac:dyDescent="0.25">
      <c r="A1220" s="1">
        <v>45909</v>
      </c>
      <c r="B1220" t="s">
        <v>1523</v>
      </c>
      <c r="C1220" t="s">
        <v>17</v>
      </c>
      <c r="D1220" t="s">
        <v>22</v>
      </c>
      <c r="E1220">
        <v>450</v>
      </c>
      <c r="F1220">
        <v>0</v>
      </c>
      <c r="G1220">
        <v>53.25</v>
      </c>
      <c r="H1220">
        <v>23962.5</v>
      </c>
      <c r="I1220" t="s">
        <v>1525</v>
      </c>
      <c r="J1220">
        <v>0</v>
      </c>
      <c r="K1220">
        <v>8.51</v>
      </c>
      <c r="L1220">
        <v>0.72</v>
      </c>
      <c r="M1220">
        <v>0.02</v>
      </c>
      <c r="N1220">
        <v>174</v>
      </c>
      <c r="O1220">
        <v>32.86</v>
      </c>
      <c r="P1220">
        <v>216.11</v>
      </c>
      <c r="Q1220" s="18">
        <f>YEAR(A1220)</f>
        <v>2025</v>
      </c>
      <c r="R1220" s="18">
        <f>MONTH(A1220)</f>
        <v>9</v>
      </c>
      <c r="S1220" s="18">
        <f>IF(R1220&lt;4,Q1220-1,Q1220)</f>
        <v>2025</v>
      </c>
      <c r="T1220" s="18">
        <f>IF(R1220&lt;4,R1220+9,R1220-3)</f>
        <v>6</v>
      </c>
      <c r="U1220" s="18" t="str">
        <f>IF(LEN(T1220)=1,_xlfn.CONCAT(0,T1220),T1220)</f>
        <v>06</v>
      </c>
      <c r="V1220" s="18" t="str">
        <f>_xlfn.CONCAT(S1220,U1220)</f>
        <v>202506</v>
      </c>
      <c r="W1220" s="18" t="str">
        <f>_xlfn.CONCAT(TEXT(A1220,"MMM"),"-",MID(Q1220,3,2))</f>
        <v>Sep-25</v>
      </c>
      <c r="X1220" s="19">
        <f>IFERROR(IF(D1220="Sell",(H1220-P1220),-(H1220+P1220)),0)</f>
        <v>-24178.61</v>
      </c>
      <c r="Y1220" s="19">
        <f>X1220/1000</f>
        <v>-24.178609999999999</v>
      </c>
    </row>
    <row r="1221" spans="1:25" x14ac:dyDescent="0.25">
      <c r="A1221" s="1">
        <v>45909</v>
      </c>
      <c r="B1221" t="s">
        <v>1526</v>
      </c>
      <c r="C1221" t="s">
        <v>17</v>
      </c>
      <c r="D1221" t="s">
        <v>18</v>
      </c>
      <c r="E1221">
        <v>750</v>
      </c>
      <c r="F1221">
        <v>0</v>
      </c>
      <c r="G1221">
        <v>52.95</v>
      </c>
      <c r="H1221">
        <v>39712.5</v>
      </c>
      <c r="I1221" t="s">
        <v>1527</v>
      </c>
      <c r="J1221">
        <v>39.28</v>
      </c>
      <c r="K1221">
        <v>14.1</v>
      </c>
      <c r="L1221">
        <v>0</v>
      </c>
      <c r="M1221">
        <v>0.02</v>
      </c>
      <c r="N1221">
        <v>290</v>
      </c>
      <c r="O1221">
        <v>54.76</v>
      </c>
      <c r="P1221">
        <v>398.16</v>
      </c>
      <c r="Q1221" s="18">
        <f>YEAR(A1221)</f>
        <v>2025</v>
      </c>
      <c r="R1221" s="18">
        <f>MONTH(A1221)</f>
        <v>9</v>
      </c>
      <c r="S1221" s="18">
        <f>IF(R1221&lt;4,Q1221-1,Q1221)</f>
        <v>2025</v>
      </c>
      <c r="T1221" s="18">
        <f>IF(R1221&lt;4,R1221+9,R1221-3)</f>
        <v>6</v>
      </c>
      <c r="U1221" s="18" t="str">
        <f>IF(LEN(T1221)=1,_xlfn.CONCAT(0,T1221),T1221)</f>
        <v>06</v>
      </c>
      <c r="V1221" s="18" t="str">
        <f>_xlfn.CONCAT(S1221,U1221)</f>
        <v>202506</v>
      </c>
      <c r="W1221" s="18" t="str">
        <f>_xlfn.CONCAT(TEXT(A1221,"MMM"),"-",MID(Q1221,3,2))</f>
        <v>Sep-25</v>
      </c>
      <c r="X1221" s="19">
        <f>IFERROR(IF(D1221="Sell",(H1221-P1221),-(H1221+P1221)),0)</f>
        <v>39314.339999999997</v>
      </c>
      <c r="Y1221" s="19">
        <f>X1221/1000</f>
        <v>39.314339999999994</v>
      </c>
    </row>
    <row r="1222" spans="1:25" x14ac:dyDescent="0.25">
      <c r="A1222" s="1">
        <v>45909</v>
      </c>
      <c r="B1222" t="s">
        <v>1526</v>
      </c>
      <c r="C1222" t="s">
        <v>17</v>
      </c>
      <c r="D1222" t="s">
        <v>22</v>
      </c>
      <c r="E1222">
        <v>750</v>
      </c>
      <c r="F1222">
        <v>0</v>
      </c>
      <c r="G1222">
        <v>47.05</v>
      </c>
      <c r="H1222">
        <v>35287.5</v>
      </c>
      <c r="I1222" t="s">
        <v>1528</v>
      </c>
      <c r="J1222">
        <v>0</v>
      </c>
      <c r="K1222">
        <v>12.54</v>
      </c>
      <c r="L1222">
        <v>1.06</v>
      </c>
      <c r="M1222">
        <v>0.04</v>
      </c>
      <c r="N1222">
        <v>290</v>
      </c>
      <c r="O1222">
        <v>54.48</v>
      </c>
      <c r="P1222">
        <v>358.12</v>
      </c>
      <c r="Q1222" s="18">
        <f>YEAR(A1222)</f>
        <v>2025</v>
      </c>
      <c r="R1222" s="18">
        <f>MONTH(A1222)</f>
        <v>9</v>
      </c>
      <c r="S1222" s="18">
        <f>IF(R1222&lt;4,Q1222-1,Q1222)</f>
        <v>2025</v>
      </c>
      <c r="T1222" s="18">
        <f>IF(R1222&lt;4,R1222+9,R1222-3)</f>
        <v>6</v>
      </c>
      <c r="U1222" s="18" t="str">
        <f>IF(LEN(T1222)=1,_xlfn.CONCAT(0,T1222),T1222)</f>
        <v>06</v>
      </c>
      <c r="V1222" s="18" t="str">
        <f>_xlfn.CONCAT(S1222,U1222)</f>
        <v>202506</v>
      </c>
      <c r="W1222" s="18" t="str">
        <f>_xlfn.CONCAT(TEXT(A1222,"MMM"),"-",MID(Q1222,3,2))</f>
        <v>Sep-25</v>
      </c>
      <c r="X1222" s="19">
        <f>IFERROR(IF(D1222="Sell",(H1222-P1222),-(H1222+P1222)),0)</f>
        <v>-35645.620000000003</v>
      </c>
      <c r="Y1222" s="19">
        <f>X1222/1000</f>
        <v>-35.645620000000001</v>
      </c>
    </row>
    <row r="1223" spans="1:25" x14ac:dyDescent="0.25">
      <c r="A1223" s="1">
        <v>45910</v>
      </c>
      <c r="B1223" t="s">
        <v>1505</v>
      </c>
      <c r="C1223" t="s">
        <v>17</v>
      </c>
      <c r="D1223" t="s">
        <v>18</v>
      </c>
      <c r="E1223">
        <v>225</v>
      </c>
      <c r="F1223">
        <v>0</v>
      </c>
      <c r="G1223">
        <v>87.8</v>
      </c>
      <c r="H1223">
        <v>19755</v>
      </c>
      <c r="I1223" t="s">
        <v>1506</v>
      </c>
      <c r="J1223">
        <v>19.760000000000002</v>
      </c>
      <c r="K1223">
        <v>7.02</v>
      </c>
      <c r="L1223">
        <v>0</v>
      </c>
      <c r="M1223">
        <v>0.02</v>
      </c>
      <c r="N1223">
        <v>87</v>
      </c>
      <c r="O1223">
        <v>16.920000000000002</v>
      </c>
      <c r="P1223">
        <v>130.72</v>
      </c>
      <c r="Q1223" s="18">
        <f>YEAR(A1223)</f>
        <v>2025</v>
      </c>
      <c r="R1223" s="18">
        <f>MONTH(A1223)</f>
        <v>9</v>
      </c>
      <c r="S1223" s="18">
        <f>IF(R1223&lt;4,Q1223-1,Q1223)</f>
        <v>2025</v>
      </c>
      <c r="T1223" s="18">
        <f>IF(R1223&lt;4,R1223+9,R1223-3)</f>
        <v>6</v>
      </c>
      <c r="U1223" s="18" t="str">
        <f>IF(LEN(T1223)=1,_xlfn.CONCAT(0,T1223),T1223)</f>
        <v>06</v>
      </c>
      <c r="V1223" s="18" t="str">
        <f>_xlfn.CONCAT(S1223,U1223)</f>
        <v>202506</v>
      </c>
      <c r="W1223" s="18" t="str">
        <f>_xlfn.CONCAT(TEXT(A1223,"MMM"),"-",MID(Q1223,3,2))</f>
        <v>Sep-25</v>
      </c>
      <c r="X1223" s="19">
        <f>IFERROR(IF(D1223="Sell",(H1223-P1223),-(H1223+P1223)),0)</f>
        <v>19624.28</v>
      </c>
      <c r="Y1223" s="19">
        <f>X1223/1000</f>
        <v>19.624279999999999</v>
      </c>
    </row>
    <row r="1224" spans="1:25" x14ac:dyDescent="0.25">
      <c r="A1224" s="1">
        <v>45910</v>
      </c>
      <c r="B1224" t="s">
        <v>1505</v>
      </c>
      <c r="C1224" t="s">
        <v>17</v>
      </c>
      <c r="D1224" t="s">
        <v>22</v>
      </c>
      <c r="E1224">
        <v>225</v>
      </c>
      <c r="F1224">
        <v>0</v>
      </c>
      <c r="G1224">
        <v>90.8</v>
      </c>
      <c r="H1224">
        <v>20430</v>
      </c>
      <c r="I1224" t="s">
        <v>1507</v>
      </c>
      <c r="J1224">
        <v>0</v>
      </c>
      <c r="K1224">
        <v>7.26</v>
      </c>
      <c r="L1224">
        <v>0.61</v>
      </c>
      <c r="M1224">
        <v>0.02</v>
      </c>
      <c r="N1224">
        <v>87</v>
      </c>
      <c r="O1224">
        <v>16.98</v>
      </c>
      <c r="P1224">
        <v>111.87</v>
      </c>
      <c r="Q1224" s="18">
        <f>YEAR(A1224)</f>
        <v>2025</v>
      </c>
      <c r="R1224" s="18">
        <f>MONTH(A1224)</f>
        <v>9</v>
      </c>
      <c r="S1224" s="18">
        <f>IF(R1224&lt;4,Q1224-1,Q1224)</f>
        <v>2025</v>
      </c>
      <c r="T1224" s="18">
        <f>IF(R1224&lt;4,R1224+9,R1224-3)</f>
        <v>6</v>
      </c>
      <c r="U1224" s="18" t="str">
        <f>IF(LEN(T1224)=1,_xlfn.CONCAT(0,T1224),T1224)</f>
        <v>06</v>
      </c>
      <c r="V1224" s="18" t="str">
        <f>_xlfn.CONCAT(S1224,U1224)</f>
        <v>202506</v>
      </c>
      <c r="W1224" s="18" t="str">
        <f>_xlfn.CONCAT(TEXT(A1224,"MMM"),"-",MID(Q1224,3,2))</f>
        <v>Sep-25</v>
      </c>
      <c r="X1224" s="19">
        <f>IFERROR(IF(D1224="Sell",(H1224-P1224),-(H1224+P1224)),0)</f>
        <v>-20541.87</v>
      </c>
      <c r="Y1224" s="19">
        <f>X1224/1000</f>
        <v>-20.541869999999999</v>
      </c>
    </row>
    <row r="1225" spans="1:25" x14ac:dyDescent="0.25">
      <c r="A1225" s="1">
        <v>45910</v>
      </c>
      <c r="B1225" t="s">
        <v>1508</v>
      </c>
      <c r="C1225" t="s">
        <v>17</v>
      </c>
      <c r="D1225" t="s">
        <v>18</v>
      </c>
      <c r="E1225">
        <v>150</v>
      </c>
      <c r="F1225">
        <v>0</v>
      </c>
      <c r="G1225">
        <v>119</v>
      </c>
      <c r="H1225">
        <v>17850</v>
      </c>
      <c r="I1225" t="s">
        <v>1509</v>
      </c>
      <c r="J1225">
        <v>17.850000000000001</v>
      </c>
      <c r="K1225">
        <v>6.34</v>
      </c>
      <c r="L1225">
        <v>0</v>
      </c>
      <c r="M1225">
        <v>0.02</v>
      </c>
      <c r="N1225">
        <v>58</v>
      </c>
      <c r="O1225">
        <v>11.58</v>
      </c>
      <c r="P1225">
        <v>93.79</v>
      </c>
      <c r="Q1225" s="18">
        <f>YEAR(A1225)</f>
        <v>2025</v>
      </c>
      <c r="R1225" s="18">
        <f>MONTH(A1225)</f>
        <v>9</v>
      </c>
      <c r="S1225" s="18">
        <f>IF(R1225&lt;4,Q1225-1,Q1225)</f>
        <v>2025</v>
      </c>
      <c r="T1225" s="18">
        <f>IF(R1225&lt;4,R1225+9,R1225-3)</f>
        <v>6</v>
      </c>
      <c r="U1225" s="18" t="str">
        <f>IF(LEN(T1225)=1,_xlfn.CONCAT(0,T1225),T1225)</f>
        <v>06</v>
      </c>
      <c r="V1225" s="18" t="str">
        <f>_xlfn.CONCAT(S1225,U1225)</f>
        <v>202506</v>
      </c>
      <c r="W1225" s="18" t="str">
        <f>_xlfn.CONCAT(TEXT(A1225,"MMM"),"-",MID(Q1225,3,2))</f>
        <v>Sep-25</v>
      </c>
      <c r="X1225" s="19">
        <f>IFERROR(IF(D1225="Sell",(H1225-P1225),-(H1225+P1225)),0)</f>
        <v>17756.21</v>
      </c>
      <c r="Y1225" s="19">
        <f>X1225/1000</f>
        <v>17.756209999999999</v>
      </c>
    </row>
    <row r="1226" spans="1:25" x14ac:dyDescent="0.25">
      <c r="A1226" s="1">
        <v>45910</v>
      </c>
      <c r="B1226" t="s">
        <v>1508</v>
      </c>
      <c r="C1226" t="s">
        <v>17</v>
      </c>
      <c r="D1226" t="s">
        <v>22</v>
      </c>
      <c r="E1226">
        <v>150</v>
      </c>
      <c r="F1226">
        <v>0</v>
      </c>
      <c r="G1226">
        <v>121.9</v>
      </c>
      <c r="H1226">
        <v>18285</v>
      </c>
      <c r="I1226" t="s">
        <v>1510</v>
      </c>
      <c r="J1226">
        <v>0</v>
      </c>
      <c r="K1226">
        <v>6.5</v>
      </c>
      <c r="L1226">
        <v>1.39</v>
      </c>
      <c r="M1226">
        <v>0.02</v>
      </c>
      <c r="N1226">
        <v>58</v>
      </c>
      <c r="O1226">
        <v>11.62</v>
      </c>
      <c r="P1226">
        <v>77.53</v>
      </c>
      <c r="Q1226" s="18">
        <f>YEAR(A1226)</f>
        <v>2025</v>
      </c>
      <c r="R1226" s="18">
        <f>MONTH(A1226)</f>
        <v>9</v>
      </c>
      <c r="S1226" s="18">
        <f>IF(R1226&lt;4,Q1226-1,Q1226)</f>
        <v>2025</v>
      </c>
      <c r="T1226" s="18">
        <f>IF(R1226&lt;4,R1226+9,R1226-3)</f>
        <v>6</v>
      </c>
      <c r="U1226" s="18" t="str">
        <f>IF(LEN(T1226)=1,_xlfn.CONCAT(0,T1226),T1226)</f>
        <v>06</v>
      </c>
      <c r="V1226" s="18" t="str">
        <f>_xlfn.CONCAT(S1226,U1226)</f>
        <v>202506</v>
      </c>
      <c r="W1226" s="18" t="str">
        <f>_xlfn.CONCAT(TEXT(A1226,"MMM"),"-",MID(Q1226,3,2))</f>
        <v>Sep-25</v>
      </c>
      <c r="X1226" s="19">
        <f>IFERROR(IF(D1226="Sell",(H1226-P1226),-(H1226+P1226)),0)</f>
        <v>-18362.53</v>
      </c>
      <c r="Y1226" s="19">
        <f>X1226/1000</f>
        <v>-18.36253</v>
      </c>
    </row>
    <row r="1227" spans="1:25" x14ac:dyDescent="0.25">
      <c r="A1227" s="1">
        <v>45910</v>
      </c>
      <c r="B1227" t="s">
        <v>1508</v>
      </c>
      <c r="C1227" t="s">
        <v>17</v>
      </c>
      <c r="D1227" t="s">
        <v>18</v>
      </c>
      <c r="E1227">
        <v>150</v>
      </c>
      <c r="F1227">
        <v>0</v>
      </c>
      <c r="G1227">
        <v>118.7</v>
      </c>
      <c r="H1227">
        <v>17805</v>
      </c>
      <c r="I1227" t="s">
        <v>1511</v>
      </c>
      <c r="J1227">
        <v>17.399999999999999</v>
      </c>
      <c r="K1227">
        <v>6.33</v>
      </c>
      <c r="L1227">
        <v>0</v>
      </c>
      <c r="M1227">
        <v>0.02</v>
      </c>
      <c r="N1227">
        <v>58</v>
      </c>
      <c r="O1227">
        <v>11.58</v>
      </c>
      <c r="P1227">
        <v>93.33</v>
      </c>
      <c r="Q1227" s="18">
        <f>YEAR(A1227)</f>
        <v>2025</v>
      </c>
      <c r="R1227" s="18">
        <f>MONTH(A1227)</f>
        <v>9</v>
      </c>
      <c r="S1227" s="18">
        <f>IF(R1227&lt;4,Q1227-1,Q1227)</f>
        <v>2025</v>
      </c>
      <c r="T1227" s="18">
        <f>IF(R1227&lt;4,R1227+9,R1227-3)</f>
        <v>6</v>
      </c>
      <c r="U1227" s="18" t="str">
        <f>IF(LEN(T1227)=1,_xlfn.CONCAT(0,T1227),T1227)</f>
        <v>06</v>
      </c>
      <c r="V1227" s="18" t="str">
        <f>_xlfn.CONCAT(S1227,U1227)</f>
        <v>202506</v>
      </c>
      <c r="W1227" s="18" t="str">
        <f>_xlfn.CONCAT(TEXT(A1227,"MMM"),"-",MID(Q1227,3,2))</f>
        <v>Sep-25</v>
      </c>
      <c r="X1227" s="19">
        <f>IFERROR(IF(D1227="Sell",(H1227-P1227),-(H1227+P1227)),0)</f>
        <v>17711.669999999998</v>
      </c>
      <c r="Y1227" s="19">
        <f>X1227/1000</f>
        <v>17.711669999999998</v>
      </c>
    </row>
    <row r="1228" spans="1:25" x14ac:dyDescent="0.25">
      <c r="A1228" s="1">
        <v>45910</v>
      </c>
      <c r="B1228" t="s">
        <v>1508</v>
      </c>
      <c r="C1228" t="s">
        <v>17</v>
      </c>
      <c r="D1228" t="s">
        <v>22</v>
      </c>
      <c r="E1228">
        <v>75</v>
      </c>
      <c r="F1228">
        <v>0</v>
      </c>
      <c r="G1228">
        <v>125.05</v>
      </c>
      <c r="H1228">
        <v>9378.75</v>
      </c>
      <c r="I1228" t="s">
        <v>1512</v>
      </c>
      <c r="J1228">
        <v>0</v>
      </c>
      <c r="K1228">
        <v>3.33</v>
      </c>
      <c r="L1228">
        <v>0</v>
      </c>
      <c r="M1228">
        <v>0.01</v>
      </c>
      <c r="N1228">
        <v>29</v>
      </c>
      <c r="O1228">
        <v>5.82</v>
      </c>
      <c r="P1228">
        <v>38.159999999999997</v>
      </c>
      <c r="Q1228" s="18">
        <f>YEAR(A1228)</f>
        <v>2025</v>
      </c>
      <c r="R1228" s="18">
        <f>MONTH(A1228)</f>
        <v>9</v>
      </c>
      <c r="S1228" s="18">
        <f>IF(R1228&lt;4,Q1228-1,Q1228)</f>
        <v>2025</v>
      </c>
      <c r="T1228" s="18">
        <f>IF(R1228&lt;4,R1228+9,R1228-3)</f>
        <v>6</v>
      </c>
      <c r="U1228" s="18" t="str">
        <f>IF(LEN(T1228)=1,_xlfn.CONCAT(0,T1228),T1228)</f>
        <v>06</v>
      </c>
      <c r="V1228" s="18" t="str">
        <f>_xlfn.CONCAT(S1228,U1228)</f>
        <v>202506</v>
      </c>
      <c r="W1228" s="18" t="str">
        <f>_xlfn.CONCAT(TEXT(A1228,"MMM"),"-",MID(Q1228,3,2))</f>
        <v>Sep-25</v>
      </c>
      <c r="X1228" s="19">
        <f>IFERROR(IF(D1228="Sell",(H1228-P1228),-(H1228+P1228)),0)</f>
        <v>-9416.91</v>
      </c>
      <c r="Y1228" s="19">
        <f>X1228/1000</f>
        <v>-9.4169099999999997</v>
      </c>
    </row>
    <row r="1229" spans="1:25" x14ac:dyDescent="0.25">
      <c r="A1229" s="1">
        <v>45910</v>
      </c>
      <c r="B1229" t="s">
        <v>1508</v>
      </c>
      <c r="C1229" t="s">
        <v>17</v>
      </c>
      <c r="D1229" t="s">
        <v>22</v>
      </c>
      <c r="E1229">
        <v>75</v>
      </c>
      <c r="F1229">
        <v>0</v>
      </c>
      <c r="G1229">
        <v>128.5</v>
      </c>
      <c r="H1229">
        <v>9637.5</v>
      </c>
      <c r="I1229" t="s">
        <v>1513</v>
      </c>
      <c r="J1229">
        <v>0</v>
      </c>
      <c r="K1229">
        <v>3.42</v>
      </c>
      <c r="L1229">
        <v>0</v>
      </c>
      <c r="M1229">
        <v>0.01</v>
      </c>
      <c r="N1229">
        <v>29</v>
      </c>
      <c r="O1229">
        <v>5.84</v>
      </c>
      <c r="P1229">
        <v>38.270000000000003</v>
      </c>
      <c r="Q1229" s="18">
        <f>YEAR(A1229)</f>
        <v>2025</v>
      </c>
      <c r="R1229" s="18">
        <f>MONTH(A1229)</f>
        <v>9</v>
      </c>
      <c r="S1229" s="18">
        <f>IF(R1229&lt;4,Q1229-1,Q1229)</f>
        <v>2025</v>
      </c>
      <c r="T1229" s="18">
        <f>IF(R1229&lt;4,R1229+9,R1229-3)</f>
        <v>6</v>
      </c>
      <c r="U1229" s="18" t="str">
        <f>IF(LEN(T1229)=1,_xlfn.CONCAT(0,T1229),T1229)</f>
        <v>06</v>
      </c>
      <c r="V1229" s="18" t="str">
        <f>_xlfn.CONCAT(S1229,U1229)</f>
        <v>202506</v>
      </c>
      <c r="W1229" s="18" t="str">
        <f>_xlfn.CONCAT(TEXT(A1229,"MMM"),"-",MID(Q1229,3,2))</f>
        <v>Sep-25</v>
      </c>
      <c r="X1229" s="19">
        <f>IFERROR(IF(D1229="Sell",(H1229-P1229),-(H1229+P1229)),0)</f>
        <v>-9675.77</v>
      </c>
      <c r="Y1229" s="19">
        <f>X1229/1000</f>
        <v>-9.67577</v>
      </c>
    </row>
    <row r="1230" spans="1:25" x14ac:dyDescent="0.25">
      <c r="A1230" s="1">
        <v>45965</v>
      </c>
      <c r="B1230" t="s">
        <v>1502</v>
      </c>
      <c r="C1230" t="s">
        <v>17</v>
      </c>
      <c r="D1230" t="s">
        <v>18</v>
      </c>
      <c r="E1230">
        <v>450</v>
      </c>
      <c r="F1230">
        <v>0</v>
      </c>
      <c r="G1230">
        <v>78.900000000000006</v>
      </c>
      <c r="H1230">
        <v>35505</v>
      </c>
      <c r="I1230" t="s">
        <v>1503</v>
      </c>
      <c r="J1230">
        <v>36</v>
      </c>
      <c r="K1230">
        <v>12.61</v>
      </c>
      <c r="L1230">
        <v>0</v>
      </c>
      <c r="M1230">
        <v>0.04</v>
      </c>
      <c r="N1230">
        <v>174</v>
      </c>
      <c r="O1230">
        <v>33.6</v>
      </c>
      <c r="P1230">
        <v>256.25</v>
      </c>
      <c r="Q1230" s="18">
        <f>YEAR(A1230)</f>
        <v>2025</v>
      </c>
      <c r="R1230" s="18">
        <f>MONTH(A1230)</f>
        <v>11</v>
      </c>
      <c r="S1230" s="18">
        <f>IF(R1230&lt;4,Q1230-1,Q1230)</f>
        <v>2025</v>
      </c>
      <c r="T1230" s="18">
        <f>IF(R1230&lt;4,R1230+9,R1230-3)</f>
        <v>8</v>
      </c>
      <c r="U1230" s="18" t="str">
        <f>IF(LEN(T1230)=1,_xlfn.CONCAT(0,T1230),T1230)</f>
        <v>08</v>
      </c>
      <c r="V1230" s="18" t="str">
        <f>_xlfn.CONCAT(S1230,U1230)</f>
        <v>202508</v>
      </c>
      <c r="W1230" s="18" t="str">
        <f>_xlfn.CONCAT(TEXT(A1230,"MMM"),"-",MID(Q1230,3,2))</f>
        <v>Nov-25</v>
      </c>
      <c r="X1230" s="19">
        <f>IFERROR(IF(D1230="Sell",(H1230-P1230),-(H1230+P1230)),0)</f>
        <v>35248.75</v>
      </c>
      <c r="Y1230" s="19">
        <f>X1230/1000</f>
        <v>35.248750000000001</v>
      </c>
    </row>
    <row r="1231" spans="1:25" x14ac:dyDescent="0.25">
      <c r="A1231" s="1">
        <v>45965</v>
      </c>
      <c r="B1231" t="s">
        <v>1502</v>
      </c>
      <c r="C1231" t="s">
        <v>17</v>
      </c>
      <c r="D1231" t="s">
        <v>22</v>
      </c>
      <c r="E1231">
        <v>450</v>
      </c>
      <c r="F1231">
        <v>0</v>
      </c>
      <c r="G1231">
        <v>71.25</v>
      </c>
      <c r="H1231">
        <v>32062.5</v>
      </c>
      <c r="I1231" t="s">
        <v>1504</v>
      </c>
      <c r="J1231">
        <v>0</v>
      </c>
      <c r="K1231">
        <v>11.4</v>
      </c>
      <c r="L1231">
        <v>1</v>
      </c>
      <c r="M1231">
        <v>0.04</v>
      </c>
      <c r="N1231">
        <v>174</v>
      </c>
      <c r="O1231">
        <v>33.36</v>
      </c>
      <c r="P1231">
        <v>219.8</v>
      </c>
      <c r="Q1231" s="18">
        <f>YEAR(A1231)</f>
        <v>2025</v>
      </c>
      <c r="R1231" s="18">
        <f>MONTH(A1231)</f>
        <v>11</v>
      </c>
      <c r="S1231" s="18">
        <f>IF(R1231&lt;4,Q1231-1,Q1231)</f>
        <v>2025</v>
      </c>
      <c r="T1231" s="18">
        <f>IF(R1231&lt;4,R1231+9,R1231-3)</f>
        <v>8</v>
      </c>
      <c r="U1231" s="18" t="str">
        <f>IF(LEN(T1231)=1,_xlfn.CONCAT(0,T1231),T1231)</f>
        <v>08</v>
      </c>
      <c r="V1231" s="18" t="str">
        <f>_xlfn.CONCAT(S1231,U1231)</f>
        <v>202508</v>
      </c>
      <c r="W1231" s="18" t="str">
        <f>_xlfn.CONCAT(TEXT(A1231,"MMM"),"-",MID(Q1231,3,2))</f>
        <v>Nov-25</v>
      </c>
      <c r="X1231" s="19">
        <f>IFERROR(IF(D1231="Sell",(H1231-P1231),-(H1231+P1231)),0)</f>
        <v>-32282.3</v>
      </c>
      <c r="Y1231" s="19">
        <f>X1231/1000</f>
        <v>-32.282299999999999</v>
      </c>
    </row>
    <row r="1232" spans="1:25" x14ac:dyDescent="0.25">
      <c r="A1232" s="1">
        <v>45971</v>
      </c>
      <c r="B1232" t="s">
        <v>1496</v>
      </c>
      <c r="C1232" t="s">
        <v>17</v>
      </c>
      <c r="D1232" t="s">
        <v>18</v>
      </c>
      <c r="E1232">
        <v>75</v>
      </c>
      <c r="F1232">
        <v>0</v>
      </c>
      <c r="G1232">
        <v>84.85</v>
      </c>
      <c r="H1232">
        <v>6363.75</v>
      </c>
      <c r="I1232" t="s">
        <v>1497</v>
      </c>
      <c r="J1232">
        <v>6.36</v>
      </c>
      <c r="K1232">
        <v>2.2599999999999998</v>
      </c>
      <c r="L1232">
        <v>0</v>
      </c>
      <c r="M1232">
        <v>0.01</v>
      </c>
      <c r="N1232">
        <v>29</v>
      </c>
      <c r="O1232">
        <v>5.62</v>
      </c>
      <c r="P1232">
        <v>43.25</v>
      </c>
      <c r="Q1232" s="18">
        <f>YEAR(A1232)</f>
        <v>2025</v>
      </c>
      <c r="R1232" s="18">
        <f>MONTH(A1232)</f>
        <v>11</v>
      </c>
      <c r="S1232" s="18">
        <f>IF(R1232&lt;4,Q1232-1,Q1232)</f>
        <v>2025</v>
      </c>
      <c r="T1232" s="18">
        <f>IF(R1232&lt;4,R1232+9,R1232-3)</f>
        <v>8</v>
      </c>
      <c r="U1232" s="18" t="str">
        <f>IF(LEN(T1232)=1,_xlfn.CONCAT(0,T1232),T1232)</f>
        <v>08</v>
      </c>
      <c r="V1232" s="18" t="str">
        <f>_xlfn.CONCAT(S1232,U1232)</f>
        <v>202508</v>
      </c>
      <c r="W1232" s="18" t="str">
        <f>_xlfn.CONCAT(TEXT(A1232,"MMM"),"-",MID(Q1232,3,2))</f>
        <v>Nov-25</v>
      </c>
      <c r="X1232" s="19">
        <f>IFERROR(IF(D1232="Sell",(H1232-P1232),-(H1232+P1232)),0)</f>
        <v>6320.5</v>
      </c>
      <c r="Y1232" s="19">
        <f>X1232/1000</f>
        <v>6.3205</v>
      </c>
    </row>
    <row r="1233" spans="1:25" x14ac:dyDescent="0.25">
      <c r="A1233" s="1">
        <v>45971</v>
      </c>
      <c r="B1233" t="s">
        <v>1496</v>
      </c>
      <c r="C1233" t="s">
        <v>17</v>
      </c>
      <c r="D1233" t="s">
        <v>22</v>
      </c>
      <c r="E1233">
        <v>75</v>
      </c>
      <c r="F1233">
        <v>0</v>
      </c>
      <c r="G1233">
        <v>80.55</v>
      </c>
      <c r="H1233">
        <v>6041.25</v>
      </c>
      <c r="I1233" t="s">
        <v>1498</v>
      </c>
      <c r="J1233">
        <v>0</v>
      </c>
      <c r="K1233">
        <v>2.15</v>
      </c>
      <c r="L1233">
        <v>0</v>
      </c>
      <c r="M1233">
        <v>0.01</v>
      </c>
      <c r="N1233">
        <v>29</v>
      </c>
      <c r="O1233">
        <v>5.6</v>
      </c>
      <c r="P1233">
        <v>36.76</v>
      </c>
      <c r="Q1233" s="18">
        <f>YEAR(A1233)</f>
        <v>2025</v>
      </c>
      <c r="R1233" s="18">
        <f>MONTH(A1233)</f>
        <v>11</v>
      </c>
      <c r="S1233" s="18">
        <f>IF(R1233&lt;4,Q1233-1,Q1233)</f>
        <v>2025</v>
      </c>
      <c r="T1233" s="18">
        <f>IF(R1233&lt;4,R1233+9,R1233-3)</f>
        <v>8</v>
      </c>
      <c r="U1233" s="18" t="str">
        <f>IF(LEN(T1233)=1,_xlfn.CONCAT(0,T1233),T1233)</f>
        <v>08</v>
      </c>
      <c r="V1233" s="18" t="str">
        <f>_xlfn.CONCAT(S1233,U1233)</f>
        <v>202508</v>
      </c>
      <c r="W1233" s="18" t="str">
        <f>_xlfn.CONCAT(TEXT(A1233,"MMM"),"-",MID(Q1233,3,2))</f>
        <v>Nov-25</v>
      </c>
      <c r="X1233" s="19">
        <f>IFERROR(IF(D1233="Sell",(H1233-P1233),-(H1233+P1233)),0)</f>
        <v>-6078.01</v>
      </c>
      <c r="Y1233" s="19">
        <f>X1233/1000</f>
        <v>-6.0780099999999999</v>
      </c>
    </row>
    <row r="1234" spans="1:25" x14ac:dyDescent="0.25">
      <c r="A1234" s="1">
        <v>45971</v>
      </c>
      <c r="B1234" t="s">
        <v>1499</v>
      </c>
      <c r="C1234" t="s">
        <v>17</v>
      </c>
      <c r="D1234" t="s">
        <v>18</v>
      </c>
      <c r="E1234">
        <v>75</v>
      </c>
      <c r="F1234">
        <v>0</v>
      </c>
      <c r="G1234">
        <v>64.25</v>
      </c>
      <c r="H1234">
        <v>4818.75</v>
      </c>
      <c r="I1234" t="s">
        <v>1500</v>
      </c>
      <c r="J1234">
        <v>4.6399999999999997</v>
      </c>
      <c r="K1234">
        <v>1.71</v>
      </c>
      <c r="L1234">
        <v>0</v>
      </c>
      <c r="M1234">
        <v>0</v>
      </c>
      <c r="N1234">
        <v>29</v>
      </c>
      <c r="O1234">
        <v>5.52</v>
      </c>
      <c r="P1234">
        <v>40.869999999999997</v>
      </c>
      <c r="Q1234" s="18">
        <f>YEAR(A1234)</f>
        <v>2025</v>
      </c>
      <c r="R1234" s="18">
        <f>MONTH(A1234)</f>
        <v>11</v>
      </c>
      <c r="S1234" s="18">
        <f>IF(R1234&lt;4,Q1234-1,Q1234)</f>
        <v>2025</v>
      </c>
      <c r="T1234" s="18">
        <f>IF(R1234&lt;4,R1234+9,R1234-3)</f>
        <v>8</v>
      </c>
      <c r="U1234" s="18" t="str">
        <f>IF(LEN(T1234)=1,_xlfn.CONCAT(0,T1234),T1234)</f>
        <v>08</v>
      </c>
      <c r="V1234" s="18" t="str">
        <f>_xlfn.CONCAT(S1234,U1234)</f>
        <v>202508</v>
      </c>
      <c r="W1234" s="18" t="str">
        <f>_xlfn.CONCAT(TEXT(A1234,"MMM"),"-",MID(Q1234,3,2))</f>
        <v>Nov-25</v>
      </c>
      <c r="X1234" s="19">
        <f>IFERROR(IF(D1234="Sell",(H1234-P1234),-(H1234+P1234)),0)</f>
        <v>4777.88</v>
      </c>
      <c r="Y1234" s="19">
        <f>X1234/1000</f>
        <v>4.7778799999999997</v>
      </c>
    </row>
    <row r="1235" spans="1:25" x14ac:dyDescent="0.25">
      <c r="A1235" s="1">
        <v>45971</v>
      </c>
      <c r="B1235" t="s">
        <v>1499</v>
      </c>
      <c r="C1235" t="s">
        <v>17</v>
      </c>
      <c r="D1235" t="s">
        <v>22</v>
      </c>
      <c r="E1235">
        <v>75</v>
      </c>
      <c r="F1235">
        <v>0</v>
      </c>
      <c r="G1235">
        <v>68.3</v>
      </c>
      <c r="H1235">
        <v>5122.5</v>
      </c>
      <c r="I1235" t="s">
        <v>1501</v>
      </c>
      <c r="J1235">
        <v>0</v>
      </c>
      <c r="K1235">
        <v>1.82</v>
      </c>
      <c r="L1235">
        <v>0</v>
      </c>
      <c r="M1235">
        <v>0.01</v>
      </c>
      <c r="N1235">
        <v>29</v>
      </c>
      <c r="O1235">
        <v>5.54</v>
      </c>
      <c r="P1235">
        <v>36.369999999999997</v>
      </c>
      <c r="Q1235" s="18">
        <f>YEAR(A1235)</f>
        <v>2025</v>
      </c>
      <c r="R1235" s="18">
        <f>MONTH(A1235)</f>
        <v>11</v>
      </c>
      <c r="S1235" s="18">
        <f>IF(R1235&lt;4,Q1235-1,Q1235)</f>
        <v>2025</v>
      </c>
      <c r="T1235" s="18">
        <f>IF(R1235&lt;4,R1235+9,R1235-3)</f>
        <v>8</v>
      </c>
      <c r="U1235" s="18" t="str">
        <f>IF(LEN(T1235)=1,_xlfn.CONCAT(0,T1235),T1235)</f>
        <v>08</v>
      </c>
      <c r="V1235" s="18" t="str">
        <f>_xlfn.CONCAT(S1235,U1235)</f>
        <v>202508</v>
      </c>
      <c r="W1235" s="18" t="str">
        <f>_xlfn.CONCAT(TEXT(A1235,"MMM"),"-",MID(Q1235,3,2))</f>
        <v>Nov-25</v>
      </c>
      <c r="X1235" s="19">
        <f>IFERROR(IF(D1235="Sell",(H1235-P1235),-(H1235+P1235)),0)</f>
        <v>-5158.87</v>
      </c>
      <c r="Y1235" s="19">
        <f>X1235/1000</f>
        <v>-5.1588700000000003</v>
      </c>
    </row>
    <row r="1236" spans="1:25" x14ac:dyDescent="0.25">
      <c r="A1236" s="1">
        <v>45973</v>
      </c>
      <c r="B1236" t="s">
        <v>1490</v>
      </c>
      <c r="C1236" t="s">
        <v>17</v>
      </c>
      <c r="D1236" t="s">
        <v>22</v>
      </c>
      <c r="E1236">
        <v>75</v>
      </c>
      <c r="F1236">
        <v>0</v>
      </c>
      <c r="G1236">
        <v>97.35</v>
      </c>
      <c r="H1236">
        <v>7301.25</v>
      </c>
      <c r="I1236" t="s">
        <v>1492</v>
      </c>
      <c r="J1236">
        <v>0</v>
      </c>
      <c r="K1236">
        <v>2.59</v>
      </c>
      <c r="L1236">
        <v>0</v>
      </c>
      <c r="M1236">
        <v>0.01</v>
      </c>
      <c r="N1236">
        <v>29</v>
      </c>
      <c r="O1236">
        <v>5.68</v>
      </c>
      <c r="P1236">
        <v>37.28</v>
      </c>
      <c r="Q1236" s="18">
        <f>YEAR(A1236)</f>
        <v>2025</v>
      </c>
      <c r="R1236" s="18">
        <f>MONTH(A1236)</f>
        <v>11</v>
      </c>
      <c r="S1236" s="18">
        <f>IF(R1236&lt;4,Q1236-1,Q1236)</f>
        <v>2025</v>
      </c>
      <c r="T1236" s="18">
        <f>IF(R1236&lt;4,R1236+9,R1236-3)</f>
        <v>8</v>
      </c>
      <c r="U1236" s="18" t="str">
        <f>IF(LEN(T1236)=1,_xlfn.CONCAT(0,T1236),T1236)</f>
        <v>08</v>
      </c>
      <c r="V1236" s="18" t="str">
        <f>_xlfn.CONCAT(S1236,U1236)</f>
        <v>202508</v>
      </c>
      <c r="W1236" s="18" t="str">
        <f>_xlfn.CONCAT(TEXT(A1236,"MMM"),"-",MID(Q1236,3,2))</f>
        <v>Nov-25</v>
      </c>
      <c r="X1236" s="19">
        <f>IFERROR(IF(D1236="Sell",(H1236-P1236),-(H1236+P1236)),0)</f>
        <v>-7338.53</v>
      </c>
      <c r="Y1236" s="19">
        <f>X1236/1000</f>
        <v>-7.3385299999999996</v>
      </c>
    </row>
    <row r="1237" spans="1:25" x14ac:dyDescent="0.25">
      <c r="A1237" s="1">
        <v>45973</v>
      </c>
      <c r="B1237" t="s">
        <v>1493</v>
      </c>
      <c r="C1237" t="s">
        <v>17</v>
      </c>
      <c r="D1237" t="s">
        <v>18</v>
      </c>
      <c r="E1237">
        <v>75</v>
      </c>
      <c r="F1237">
        <v>0</v>
      </c>
      <c r="G1237">
        <v>102.1</v>
      </c>
      <c r="H1237">
        <v>7657.5</v>
      </c>
      <c r="I1237" t="s">
        <v>1494</v>
      </c>
      <c r="J1237">
        <v>8</v>
      </c>
      <c r="K1237">
        <v>2.72</v>
      </c>
      <c r="L1237">
        <v>0</v>
      </c>
      <c r="M1237">
        <v>0.01</v>
      </c>
      <c r="N1237">
        <v>29</v>
      </c>
      <c r="O1237">
        <v>5.72</v>
      </c>
      <c r="P1237">
        <v>45.45</v>
      </c>
      <c r="Q1237" s="18">
        <f>YEAR(A1237)</f>
        <v>2025</v>
      </c>
      <c r="R1237" s="18">
        <f>MONTH(A1237)</f>
        <v>11</v>
      </c>
      <c r="S1237" s="18">
        <f>IF(R1237&lt;4,Q1237-1,Q1237)</f>
        <v>2025</v>
      </c>
      <c r="T1237" s="18">
        <f>IF(R1237&lt;4,R1237+9,R1237-3)</f>
        <v>8</v>
      </c>
      <c r="U1237" s="18" t="str">
        <f>IF(LEN(T1237)=1,_xlfn.CONCAT(0,T1237),T1237)</f>
        <v>08</v>
      </c>
      <c r="V1237" s="18" t="str">
        <f>_xlfn.CONCAT(S1237,U1237)</f>
        <v>202508</v>
      </c>
      <c r="W1237" s="18" t="str">
        <f>_xlfn.CONCAT(TEXT(A1237,"MMM"),"-",MID(Q1237,3,2))</f>
        <v>Nov-25</v>
      </c>
      <c r="X1237" s="19">
        <f>IFERROR(IF(D1237="Sell",(H1237-P1237),-(H1237+P1237)),0)</f>
        <v>7612.05</v>
      </c>
      <c r="Y1237" s="19">
        <f>X1237/1000</f>
        <v>7.61205</v>
      </c>
    </row>
    <row r="1238" spans="1:25" x14ac:dyDescent="0.25">
      <c r="A1238" s="1">
        <v>45973</v>
      </c>
      <c r="B1238" t="s">
        <v>1493</v>
      </c>
      <c r="C1238" t="s">
        <v>17</v>
      </c>
      <c r="D1238" t="s">
        <v>22</v>
      </c>
      <c r="E1238">
        <v>75</v>
      </c>
      <c r="F1238">
        <v>0</v>
      </c>
      <c r="G1238">
        <v>113.35</v>
      </c>
      <c r="H1238">
        <v>8501.25</v>
      </c>
      <c r="I1238" t="s">
        <v>1495</v>
      </c>
      <c r="J1238">
        <v>0</v>
      </c>
      <c r="K1238">
        <v>3.02</v>
      </c>
      <c r="L1238">
        <v>0</v>
      </c>
      <c r="M1238">
        <v>0.01</v>
      </c>
      <c r="N1238">
        <v>29</v>
      </c>
      <c r="O1238">
        <v>5.76</v>
      </c>
      <c r="P1238">
        <v>37.79</v>
      </c>
      <c r="Q1238" s="18">
        <f>YEAR(A1238)</f>
        <v>2025</v>
      </c>
      <c r="R1238" s="18">
        <f>MONTH(A1238)</f>
        <v>11</v>
      </c>
      <c r="S1238" s="18">
        <f>IF(R1238&lt;4,Q1238-1,Q1238)</f>
        <v>2025</v>
      </c>
      <c r="T1238" s="18">
        <f>IF(R1238&lt;4,R1238+9,R1238-3)</f>
        <v>8</v>
      </c>
      <c r="U1238" s="18" t="str">
        <f>IF(LEN(T1238)=1,_xlfn.CONCAT(0,T1238),T1238)</f>
        <v>08</v>
      </c>
      <c r="V1238" s="18" t="str">
        <f>_xlfn.CONCAT(S1238,U1238)</f>
        <v>202508</v>
      </c>
      <c r="W1238" s="18" t="str">
        <f>_xlfn.CONCAT(TEXT(A1238,"MMM"),"-",MID(Q1238,3,2))</f>
        <v>Nov-25</v>
      </c>
      <c r="X1238" s="19">
        <f>IFERROR(IF(D1238="Sell",(H1238-P1238),-(H1238+P1238)),0)</f>
        <v>-8539.0400000000009</v>
      </c>
      <c r="Y1238" s="19">
        <f>X1238/1000</f>
        <v>-8.5390400000000017</v>
      </c>
    </row>
    <row r="1239" spans="1:25" x14ac:dyDescent="0.25">
      <c r="A1239" s="1">
        <v>45974</v>
      </c>
      <c r="B1239" t="s">
        <v>1490</v>
      </c>
      <c r="C1239" t="s">
        <v>17</v>
      </c>
      <c r="D1239" t="s">
        <v>18</v>
      </c>
      <c r="E1239">
        <v>75</v>
      </c>
      <c r="F1239">
        <v>0</v>
      </c>
      <c r="G1239">
        <v>119</v>
      </c>
      <c r="H1239">
        <v>8925</v>
      </c>
      <c r="I1239" t="s">
        <v>1491</v>
      </c>
      <c r="J1239">
        <v>9</v>
      </c>
      <c r="K1239">
        <v>3.17</v>
      </c>
      <c r="L1239">
        <v>0</v>
      </c>
      <c r="M1239">
        <v>0.01</v>
      </c>
      <c r="N1239">
        <v>29</v>
      </c>
      <c r="O1239">
        <v>5.8</v>
      </c>
      <c r="P1239">
        <v>46.98</v>
      </c>
      <c r="Q1239" s="18">
        <f>YEAR(A1239)</f>
        <v>2025</v>
      </c>
      <c r="R1239" s="18">
        <f>MONTH(A1239)</f>
        <v>11</v>
      </c>
      <c r="S1239" s="18">
        <f>IF(R1239&lt;4,Q1239-1,Q1239)</f>
        <v>2025</v>
      </c>
      <c r="T1239" s="18">
        <f>IF(R1239&lt;4,R1239+9,R1239-3)</f>
        <v>8</v>
      </c>
      <c r="U1239" s="18" t="str">
        <f>IF(LEN(T1239)=1,_xlfn.CONCAT(0,T1239),T1239)</f>
        <v>08</v>
      </c>
      <c r="V1239" s="18" t="str">
        <f>_xlfn.CONCAT(S1239,U1239)</f>
        <v>202508</v>
      </c>
      <c r="W1239" s="18" t="str">
        <f>_xlfn.CONCAT(TEXT(A1239,"MMM"),"-",MID(Q1239,3,2))</f>
        <v>Nov-25</v>
      </c>
      <c r="X1239" s="19">
        <f>IFERROR(IF(D1239="Sell",(H1239-P1239),-(H1239+P1239)),0)</f>
        <v>8878.02</v>
      </c>
      <c r="Y1239" s="19">
        <f>X1239/1000</f>
        <v>8.8780200000000011</v>
      </c>
    </row>
    <row r="1240" spans="1:25" x14ac:dyDescent="0.25">
      <c r="A1240" s="1">
        <v>45975</v>
      </c>
      <c r="B1240" t="s">
        <v>1486</v>
      </c>
      <c r="C1240" t="s">
        <v>17</v>
      </c>
      <c r="D1240" t="s">
        <v>18</v>
      </c>
      <c r="E1240">
        <v>150</v>
      </c>
      <c r="F1240">
        <v>0</v>
      </c>
      <c r="G1240">
        <v>74.900000000000006</v>
      </c>
      <c r="H1240">
        <v>11235</v>
      </c>
      <c r="I1240" t="s">
        <v>1487</v>
      </c>
      <c r="J1240">
        <v>11</v>
      </c>
      <c r="K1240">
        <v>4</v>
      </c>
      <c r="L1240">
        <v>0</v>
      </c>
      <c r="M1240">
        <v>0.02</v>
      </c>
      <c r="N1240">
        <v>58</v>
      </c>
      <c r="O1240">
        <v>11.16</v>
      </c>
      <c r="P1240">
        <v>84.18</v>
      </c>
      <c r="Q1240" s="18">
        <f>YEAR(A1240)</f>
        <v>2025</v>
      </c>
      <c r="R1240" s="18">
        <f>MONTH(A1240)</f>
        <v>11</v>
      </c>
      <c r="S1240" s="18">
        <f>IF(R1240&lt;4,Q1240-1,Q1240)</f>
        <v>2025</v>
      </c>
      <c r="T1240" s="18">
        <f>IF(R1240&lt;4,R1240+9,R1240-3)</f>
        <v>8</v>
      </c>
      <c r="U1240" s="18" t="str">
        <f>IF(LEN(T1240)=1,_xlfn.CONCAT(0,T1240),T1240)</f>
        <v>08</v>
      </c>
      <c r="V1240" s="18" t="str">
        <f>_xlfn.CONCAT(S1240,U1240)</f>
        <v>202508</v>
      </c>
      <c r="W1240" s="18" t="str">
        <f>_xlfn.CONCAT(TEXT(A1240,"MMM"),"-",MID(Q1240,3,2))</f>
        <v>Nov-25</v>
      </c>
      <c r="X1240" s="19">
        <f>IFERROR(IF(D1240="Sell",(H1240-P1240),-(H1240+P1240)),0)</f>
        <v>11150.82</v>
      </c>
      <c r="Y1240" s="19">
        <f>X1240/1000</f>
        <v>11.15082</v>
      </c>
    </row>
    <row r="1241" spans="1:25" x14ac:dyDescent="0.25">
      <c r="A1241" s="1">
        <v>45975</v>
      </c>
      <c r="B1241" t="s">
        <v>1486</v>
      </c>
      <c r="C1241" t="s">
        <v>17</v>
      </c>
      <c r="D1241" t="s">
        <v>22</v>
      </c>
      <c r="E1241">
        <v>75</v>
      </c>
      <c r="F1241">
        <v>0</v>
      </c>
      <c r="G1241">
        <v>62.95</v>
      </c>
      <c r="H1241">
        <v>4721.25</v>
      </c>
      <c r="I1241" t="s">
        <v>1488</v>
      </c>
      <c r="J1241">
        <v>0</v>
      </c>
      <c r="K1241">
        <v>1.68</v>
      </c>
      <c r="L1241">
        <v>0</v>
      </c>
      <c r="M1241">
        <v>0</v>
      </c>
      <c r="N1241">
        <v>29</v>
      </c>
      <c r="O1241">
        <v>5.52</v>
      </c>
      <c r="P1241">
        <v>36.200000000000003</v>
      </c>
      <c r="Q1241" s="18">
        <f>YEAR(A1241)</f>
        <v>2025</v>
      </c>
      <c r="R1241" s="18">
        <f>MONTH(A1241)</f>
        <v>11</v>
      </c>
      <c r="S1241" s="18">
        <f>IF(R1241&lt;4,Q1241-1,Q1241)</f>
        <v>2025</v>
      </c>
      <c r="T1241" s="18">
        <f>IF(R1241&lt;4,R1241+9,R1241-3)</f>
        <v>8</v>
      </c>
      <c r="U1241" s="18" t="str">
        <f>IF(LEN(T1241)=1,_xlfn.CONCAT(0,T1241),T1241)</f>
        <v>08</v>
      </c>
      <c r="V1241" s="18" t="str">
        <f>_xlfn.CONCAT(S1241,U1241)</f>
        <v>202508</v>
      </c>
      <c r="W1241" s="18" t="str">
        <f>_xlfn.CONCAT(TEXT(A1241,"MMM"),"-",MID(Q1241,3,2))</f>
        <v>Nov-25</v>
      </c>
      <c r="X1241" s="19">
        <f>IFERROR(IF(D1241="Sell",(H1241-P1241),-(H1241+P1241)),0)</f>
        <v>-4757.45</v>
      </c>
      <c r="Y1241" s="19">
        <f>X1241/1000</f>
        <v>-4.7574499999999995</v>
      </c>
    </row>
    <row r="1242" spans="1:25" x14ac:dyDescent="0.25">
      <c r="A1242" s="1">
        <v>45975</v>
      </c>
      <c r="B1242" t="s">
        <v>1486</v>
      </c>
      <c r="C1242" t="s">
        <v>17</v>
      </c>
      <c r="D1242" t="s">
        <v>22</v>
      </c>
      <c r="E1242">
        <v>75</v>
      </c>
      <c r="F1242">
        <v>0</v>
      </c>
      <c r="G1242">
        <v>76.349999999999994</v>
      </c>
      <c r="H1242">
        <v>5726.25</v>
      </c>
      <c r="I1242" t="s">
        <v>1489</v>
      </c>
      <c r="J1242">
        <v>0</v>
      </c>
      <c r="K1242">
        <v>2.0299999999999998</v>
      </c>
      <c r="L1242">
        <v>0</v>
      </c>
      <c r="M1242">
        <v>0.01</v>
      </c>
      <c r="N1242">
        <v>29</v>
      </c>
      <c r="O1242">
        <v>5.58</v>
      </c>
      <c r="P1242">
        <v>36.619999999999997</v>
      </c>
      <c r="Q1242" s="18">
        <f>YEAR(A1242)</f>
        <v>2025</v>
      </c>
      <c r="R1242" s="18">
        <f>MONTH(A1242)</f>
        <v>11</v>
      </c>
      <c r="S1242" s="18">
        <f>IF(R1242&lt;4,Q1242-1,Q1242)</f>
        <v>2025</v>
      </c>
      <c r="T1242" s="18">
        <f>IF(R1242&lt;4,R1242+9,R1242-3)</f>
        <v>8</v>
      </c>
      <c r="U1242" s="18" t="str">
        <f>IF(LEN(T1242)=1,_xlfn.CONCAT(0,T1242),T1242)</f>
        <v>08</v>
      </c>
      <c r="V1242" s="18" t="str">
        <f>_xlfn.CONCAT(S1242,U1242)</f>
        <v>202508</v>
      </c>
      <c r="W1242" s="18" t="str">
        <f>_xlfn.CONCAT(TEXT(A1242,"MMM"),"-",MID(Q1242,3,2))</f>
        <v>Nov-25</v>
      </c>
      <c r="X1242" s="19">
        <f>IFERROR(IF(D1242="Sell",(H1242-P1242),-(H1242+P1242)),0)</f>
        <v>-5762.87</v>
      </c>
      <c r="Y1242" s="19">
        <f>X1242/1000</f>
        <v>-5.7628699999999995</v>
      </c>
    </row>
    <row r="1243" spans="1:25" x14ac:dyDescent="0.25">
      <c r="A1243" s="1">
        <v>45978</v>
      </c>
      <c r="B1243" t="s">
        <v>1472</v>
      </c>
      <c r="C1243" t="s">
        <v>17</v>
      </c>
      <c r="D1243" t="s">
        <v>18</v>
      </c>
      <c r="E1243">
        <v>75</v>
      </c>
      <c r="F1243">
        <v>0</v>
      </c>
      <c r="G1243">
        <v>97.25</v>
      </c>
      <c r="H1243">
        <v>7293.75</v>
      </c>
      <c r="I1243" t="s">
        <v>1484</v>
      </c>
      <c r="J1243">
        <v>7</v>
      </c>
      <c r="K1243">
        <v>2.59</v>
      </c>
      <c r="L1243">
        <v>0</v>
      </c>
      <c r="M1243">
        <v>0.01</v>
      </c>
      <c r="N1243">
        <v>29</v>
      </c>
      <c r="O1243">
        <v>5.68</v>
      </c>
      <c r="P1243">
        <v>44.28</v>
      </c>
      <c r="Q1243" s="18">
        <f>YEAR(A1243)</f>
        <v>2025</v>
      </c>
      <c r="R1243" s="18">
        <f>MONTH(A1243)</f>
        <v>11</v>
      </c>
      <c r="S1243" s="18">
        <f>IF(R1243&lt;4,Q1243-1,Q1243)</f>
        <v>2025</v>
      </c>
      <c r="T1243" s="18">
        <f>IF(R1243&lt;4,R1243+9,R1243-3)</f>
        <v>8</v>
      </c>
      <c r="U1243" s="18" t="str">
        <f>IF(LEN(T1243)=1,_xlfn.CONCAT(0,T1243),T1243)</f>
        <v>08</v>
      </c>
      <c r="V1243" s="18" t="str">
        <f>_xlfn.CONCAT(S1243,U1243)</f>
        <v>202508</v>
      </c>
      <c r="W1243" s="18" t="str">
        <f>_xlfn.CONCAT(TEXT(A1243,"MMM"),"-",MID(Q1243,3,2))</f>
        <v>Nov-25</v>
      </c>
      <c r="X1243" s="19">
        <f>IFERROR(IF(D1243="Sell",(H1243-P1243),-(H1243+P1243)),0)</f>
        <v>7249.47</v>
      </c>
      <c r="Y1243" s="19">
        <f>X1243/1000</f>
        <v>7.2494700000000005</v>
      </c>
    </row>
    <row r="1244" spans="1:25" x14ac:dyDescent="0.25">
      <c r="A1244" s="1">
        <v>45978</v>
      </c>
      <c r="B1244" t="s">
        <v>1472</v>
      </c>
      <c r="C1244" t="s">
        <v>17</v>
      </c>
      <c r="D1244" t="s">
        <v>22</v>
      </c>
      <c r="E1244">
        <v>75</v>
      </c>
      <c r="F1244">
        <v>0</v>
      </c>
      <c r="G1244">
        <v>87.1</v>
      </c>
      <c r="H1244">
        <v>6532.5</v>
      </c>
      <c r="I1244" t="s">
        <v>1485</v>
      </c>
      <c r="J1244">
        <v>0</v>
      </c>
      <c r="K1244">
        <v>2.3199999999999998</v>
      </c>
      <c r="L1244">
        <v>0</v>
      </c>
      <c r="M1244">
        <v>0.01</v>
      </c>
      <c r="N1244">
        <v>29</v>
      </c>
      <c r="O1244">
        <v>5.64</v>
      </c>
      <c r="P1244">
        <v>36.97</v>
      </c>
      <c r="Q1244" s="18">
        <f>YEAR(A1244)</f>
        <v>2025</v>
      </c>
      <c r="R1244" s="18">
        <f>MONTH(A1244)</f>
        <v>11</v>
      </c>
      <c r="S1244" s="18">
        <f>IF(R1244&lt;4,Q1244-1,Q1244)</f>
        <v>2025</v>
      </c>
      <c r="T1244" s="18">
        <f>IF(R1244&lt;4,R1244+9,R1244-3)</f>
        <v>8</v>
      </c>
      <c r="U1244" s="18" t="str">
        <f>IF(LEN(T1244)=1,_xlfn.CONCAT(0,T1244),T1244)</f>
        <v>08</v>
      </c>
      <c r="V1244" s="18" t="str">
        <f>_xlfn.CONCAT(S1244,U1244)</f>
        <v>202508</v>
      </c>
      <c r="W1244" s="18" t="str">
        <f>_xlfn.CONCAT(TEXT(A1244,"MMM"),"-",MID(Q1244,3,2))</f>
        <v>Nov-25</v>
      </c>
      <c r="X1244" s="19">
        <f>IFERROR(IF(D1244="Sell",(H1244-P1244),-(H1244+P1244)),0)</f>
        <v>-6569.47</v>
      </c>
      <c r="Y1244" s="19">
        <f>X1244/1000</f>
        <v>-6.5694699999999999</v>
      </c>
    </row>
    <row r="1245" spans="1:25" x14ac:dyDescent="0.25">
      <c r="A1245" s="1">
        <v>45979</v>
      </c>
      <c r="B1245" t="s">
        <v>1472</v>
      </c>
      <c r="C1245" t="s">
        <v>17</v>
      </c>
      <c r="D1245" t="s">
        <v>18</v>
      </c>
      <c r="E1245">
        <v>300</v>
      </c>
      <c r="F1245">
        <v>0</v>
      </c>
      <c r="G1245">
        <v>28.85</v>
      </c>
      <c r="H1245">
        <v>8655</v>
      </c>
      <c r="I1245" t="s">
        <v>1473</v>
      </c>
      <c r="J1245">
        <v>8.66</v>
      </c>
      <c r="K1245">
        <v>3.08</v>
      </c>
      <c r="L1245">
        <v>0</v>
      </c>
      <c r="M1245">
        <v>0</v>
      </c>
      <c r="N1245">
        <v>116</v>
      </c>
      <c r="O1245">
        <v>21.44</v>
      </c>
      <c r="P1245">
        <v>149.18</v>
      </c>
      <c r="Q1245" s="18">
        <f>YEAR(A1245)</f>
        <v>2025</v>
      </c>
      <c r="R1245" s="18">
        <f>MONTH(A1245)</f>
        <v>11</v>
      </c>
      <c r="S1245" s="18">
        <f>IF(R1245&lt;4,Q1245-1,Q1245)</f>
        <v>2025</v>
      </c>
      <c r="T1245" s="18">
        <f>IF(R1245&lt;4,R1245+9,R1245-3)</f>
        <v>8</v>
      </c>
      <c r="U1245" s="18" t="str">
        <f>IF(LEN(T1245)=1,_xlfn.CONCAT(0,T1245),T1245)</f>
        <v>08</v>
      </c>
      <c r="V1245" s="18" t="str">
        <f>_xlfn.CONCAT(S1245,U1245)</f>
        <v>202508</v>
      </c>
      <c r="W1245" s="18" t="str">
        <f>_xlfn.CONCAT(TEXT(A1245,"MMM"),"-",MID(Q1245,3,2))</f>
        <v>Nov-25</v>
      </c>
      <c r="X1245" s="19">
        <f>IFERROR(IF(D1245="Sell",(H1245-P1245),-(H1245+P1245)),0)</f>
        <v>8505.82</v>
      </c>
      <c r="Y1245" s="19">
        <f>X1245/1000</f>
        <v>8.5058199999999999</v>
      </c>
    </row>
    <row r="1246" spans="1:25" x14ac:dyDescent="0.25">
      <c r="A1246" s="1">
        <v>45979</v>
      </c>
      <c r="B1246" t="s">
        <v>1472</v>
      </c>
      <c r="C1246" t="s">
        <v>17</v>
      </c>
      <c r="D1246" t="s">
        <v>18</v>
      </c>
      <c r="E1246">
        <v>75</v>
      </c>
      <c r="F1246">
        <v>0</v>
      </c>
      <c r="G1246">
        <v>45.25</v>
      </c>
      <c r="H1246">
        <v>3393.75</v>
      </c>
      <c r="I1246" t="s">
        <v>1474</v>
      </c>
      <c r="J1246">
        <v>3.39</v>
      </c>
      <c r="K1246">
        <v>1.21</v>
      </c>
      <c r="L1246">
        <v>0</v>
      </c>
      <c r="M1246">
        <v>0</v>
      </c>
      <c r="N1246">
        <v>29</v>
      </c>
      <c r="O1246">
        <v>5.44</v>
      </c>
      <c r="P1246">
        <v>39.04</v>
      </c>
      <c r="Q1246" s="18">
        <f>YEAR(A1246)</f>
        <v>2025</v>
      </c>
      <c r="R1246" s="18">
        <f>MONTH(A1246)</f>
        <v>11</v>
      </c>
      <c r="S1246" s="18">
        <f>IF(R1246&lt;4,Q1246-1,Q1246)</f>
        <v>2025</v>
      </c>
      <c r="T1246" s="18">
        <f>IF(R1246&lt;4,R1246+9,R1246-3)</f>
        <v>8</v>
      </c>
      <c r="U1246" s="18" t="str">
        <f>IF(LEN(T1246)=1,_xlfn.CONCAT(0,T1246),T1246)</f>
        <v>08</v>
      </c>
      <c r="V1246" s="18" t="str">
        <f>_xlfn.CONCAT(S1246,U1246)</f>
        <v>202508</v>
      </c>
      <c r="W1246" s="18" t="str">
        <f>_xlfn.CONCAT(TEXT(A1246,"MMM"),"-",MID(Q1246,3,2))</f>
        <v>Nov-25</v>
      </c>
      <c r="X1246" s="19">
        <f>IFERROR(IF(D1246="Sell",(H1246-P1246),-(H1246+P1246)),0)</f>
        <v>3354.71</v>
      </c>
      <c r="Y1246" s="19">
        <f>X1246/1000</f>
        <v>3.3547099999999999</v>
      </c>
    </row>
    <row r="1247" spans="1:25" x14ac:dyDescent="0.25">
      <c r="A1247" s="1">
        <v>45979</v>
      </c>
      <c r="B1247" t="s">
        <v>1472</v>
      </c>
      <c r="C1247" t="s">
        <v>17</v>
      </c>
      <c r="D1247" t="s">
        <v>22</v>
      </c>
      <c r="E1247">
        <v>75</v>
      </c>
      <c r="F1247">
        <v>0</v>
      </c>
      <c r="G1247">
        <v>76.650000000000006</v>
      </c>
      <c r="H1247">
        <v>5748.75</v>
      </c>
      <c r="I1247" t="s">
        <v>1475</v>
      </c>
      <c r="J1247">
        <v>0</v>
      </c>
      <c r="K1247">
        <v>2.04</v>
      </c>
      <c r="L1247">
        <v>0</v>
      </c>
      <c r="M1247">
        <v>0.01</v>
      </c>
      <c r="N1247">
        <v>29</v>
      </c>
      <c r="O1247">
        <v>5.58</v>
      </c>
      <c r="P1247">
        <v>36.630000000000003</v>
      </c>
      <c r="Q1247" s="18">
        <f>YEAR(A1247)</f>
        <v>2025</v>
      </c>
      <c r="R1247" s="18">
        <f>MONTH(A1247)</f>
        <v>11</v>
      </c>
      <c r="S1247" s="18">
        <f>IF(R1247&lt;4,Q1247-1,Q1247)</f>
        <v>2025</v>
      </c>
      <c r="T1247" s="18">
        <f>IF(R1247&lt;4,R1247+9,R1247-3)</f>
        <v>8</v>
      </c>
      <c r="U1247" s="18" t="str">
        <f>IF(LEN(T1247)=1,_xlfn.CONCAT(0,T1247),T1247)</f>
        <v>08</v>
      </c>
      <c r="V1247" s="18" t="str">
        <f>_xlfn.CONCAT(S1247,U1247)</f>
        <v>202508</v>
      </c>
      <c r="W1247" s="18" t="str">
        <f>_xlfn.CONCAT(TEXT(A1247,"MMM"),"-",MID(Q1247,3,2))</f>
        <v>Nov-25</v>
      </c>
      <c r="X1247" s="19">
        <f>IFERROR(IF(D1247="Sell",(H1247-P1247),-(H1247+P1247)),0)</f>
        <v>-5785.38</v>
      </c>
      <c r="Y1247" s="19">
        <f>X1247/1000</f>
        <v>-5.78538</v>
      </c>
    </row>
    <row r="1248" spans="1:25" x14ac:dyDescent="0.25">
      <c r="A1248" s="1">
        <v>45979</v>
      </c>
      <c r="B1248" t="s">
        <v>1472</v>
      </c>
      <c r="C1248" t="s">
        <v>17</v>
      </c>
      <c r="D1248" t="s">
        <v>22</v>
      </c>
      <c r="E1248">
        <v>300</v>
      </c>
      <c r="F1248">
        <v>0</v>
      </c>
      <c r="G1248">
        <v>79.7</v>
      </c>
      <c r="H1248">
        <v>23910</v>
      </c>
      <c r="I1248" t="s">
        <v>1476</v>
      </c>
      <c r="J1248">
        <v>0</v>
      </c>
      <c r="K1248">
        <v>8.49</v>
      </c>
      <c r="L1248">
        <v>0</v>
      </c>
      <c r="M1248">
        <v>0.03</v>
      </c>
      <c r="N1248">
        <v>116</v>
      </c>
      <c r="O1248">
        <v>22.4</v>
      </c>
      <c r="P1248">
        <v>146.91999999999999</v>
      </c>
      <c r="Q1248" s="18">
        <f>YEAR(A1248)</f>
        <v>2025</v>
      </c>
      <c r="R1248" s="18">
        <f>MONTH(A1248)</f>
        <v>11</v>
      </c>
      <c r="S1248" s="18">
        <f>IF(R1248&lt;4,Q1248-1,Q1248)</f>
        <v>2025</v>
      </c>
      <c r="T1248" s="18">
        <f>IF(R1248&lt;4,R1248+9,R1248-3)</f>
        <v>8</v>
      </c>
      <c r="U1248" s="18" t="str">
        <f>IF(LEN(T1248)=1,_xlfn.CONCAT(0,T1248),T1248)</f>
        <v>08</v>
      </c>
      <c r="V1248" s="18" t="str">
        <f>_xlfn.CONCAT(S1248,U1248)</f>
        <v>202508</v>
      </c>
      <c r="W1248" s="18" t="str">
        <f>_xlfn.CONCAT(TEXT(A1248,"MMM"),"-",MID(Q1248,3,2))</f>
        <v>Nov-25</v>
      </c>
      <c r="X1248" s="19">
        <f>IFERROR(IF(D1248="Sell",(H1248-P1248),-(H1248+P1248)),0)</f>
        <v>-24056.92</v>
      </c>
      <c r="Y1248" s="19">
        <f>X1248/1000</f>
        <v>-24.056919999999998</v>
      </c>
    </row>
    <row r="1249" spans="1:25" x14ac:dyDescent="0.25">
      <c r="A1249" s="1">
        <v>45979</v>
      </c>
      <c r="B1249" t="s">
        <v>1472</v>
      </c>
      <c r="C1249" t="s">
        <v>17</v>
      </c>
      <c r="D1249" t="s">
        <v>18</v>
      </c>
      <c r="E1249">
        <v>375</v>
      </c>
      <c r="F1249">
        <v>0</v>
      </c>
      <c r="G1249">
        <v>59.9</v>
      </c>
      <c r="H1249">
        <v>22462.5</v>
      </c>
      <c r="I1249" t="s">
        <v>1477</v>
      </c>
      <c r="J1249">
        <v>22.46</v>
      </c>
      <c r="K1249">
        <v>7.99</v>
      </c>
      <c r="L1249">
        <v>0</v>
      </c>
      <c r="M1249">
        <v>0.01</v>
      </c>
      <c r="N1249">
        <v>145</v>
      </c>
      <c r="O1249">
        <v>27.52</v>
      </c>
      <c r="P1249">
        <v>202.98</v>
      </c>
      <c r="Q1249" s="18">
        <f>YEAR(A1249)</f>
        <v>2025</v>
      </c>
      <c r="R1249" s="18">
        <f>MONTH(A1249)</f>
        <v>11</v>
      </c>
      <c r="S1249" s="18">
        <f>IF(R1249&lt;4,Q1249-1,Q1249)</f>
        <v>2025</v>
      </c>
      <c r="T1249" s="18">
        <f>IF(R1249&lt;4,R1249+9,R1249-3)</f>
        <v>8</v>
      </c>
      <c r="U1249" s="18" t="str">
        <f>IF(LEN(T1249)=1,_xlfn.CONCAT(0,T1249),T1249)</f>
        <v>08</v>
      </c>
      <c r="V1249" s="18" t="str">
        <f>_xlfn.CONCAT(S1249,U1249)</f>
        <v>202508</v>
      </c>
      <c r="W1249" s="18" t="str">
        <f>_xlfn.CONCAT(TEXT(A1249,"MMM"),"-",MID(Q1249,3,2))</f>
        <v>Nov-25</v>
      </c>
      <c r="X1249" s="19">
        <f>IFERROR(IF(D1249="Sell",(H1249-P1249),-(H1249+P1249)),0)</f>
        <v>22259.52</v>
      </c>
      <c r="Y1249" s="19">
        <f>X1249/1000</f>
        <v>22.259520000000002</v>
      </c>
    </row>
    <row r="1250" spans="1:25" x14ac:dyDescent="0.25">
      <c r="A1250" s="1">
        <v>45979</v>
      </c>
      <c r="B1250" t="s">
        <v>1472</v>
      </c>
      <c r="C1250" t="s">
        <v>17</v>
      </c>
      <c r="D1250" t="s">
        <v>22</v>
      </c>
      <c r="E1250">
        <v>375</v>
      </c>
      <c r="F1250">
        <v>0</v>
      </c>
      <c r="G1250">
        <v>52.25</v>
      </c>
      <c r="H1250">
        <v>19593.75</v>
      </c>
      <c r="I1250" t="s">
        <v>1478</v>
      </c>
      <c r="J1250">
        <v>0</v>
      </c>
      <c r="K1250">
        <v>6.96</v>
      </c>
      <c r="L1250">
        <v>1.0900000000000001</v>
      </c>
      <c r="M1250">
        <v>0.01</v>
      </c>
      <c r="N1250">
        <v>145</v>
      </c>
      <c r="O1250">
        <v>27.38</v>
      </c>
      <c r="P1250">
        <v>180.44</v>
      </c>
      <c r="Q1250" s="18">
        <f>YEAR(A1250)</f>
        <v>2025</v>
      </c>
      <c r="R1250" s="18">
        <f>MONTH(A1250)</f>
        <v>11</v>
      </c>
      <c r="S1250" s="18">
        <f>IF(R1250&lt;4,Q1250-1,Q1250)</f>
        <v>2025</v>
      </c>
      <c r="T1250" s="18">
        <f>IF(R1250&lt;4,R1250+9,R1250-3)</f>
        <v>8</v>
      </c>
      <c r="U1250" s="18" t="str">
        <f>IF(LEN(T1250)=1,_xlfn.CONCAT(0,T1250),T1250)</f>
        <v>08</v>
      </c>
      <c r="V1250" s="18" t="str">
        <f>_xlfn.CONCAT(S1250,U1250)</f>
        <v>202508</v>
      </c>
      <c r="W1250" s="18" t="str">
        <f>_xlfn.CONCAT(TEXT(A1250,"MMM"),"-",MID(Q1250,3,2))</f>
        <v>Nov-25</v>
      </c>
      <c r="X1250" s="19">
        <f>IFERROR(IF(D1250="Sell",(H1250-P1250),-(H1250+P1250)),0)</f>
        <v>-19774.189999999999</v>
      </c>
      <c r="Y1250" s="19">
        <f>X1250/1000</f>
        <v>-19.774189999999997</v>
      </c>
    </row>
    <row r="1251" spans="1:25" x14ac:dyDescent="0.25">
      <c r="A1251" s="1">
        <v>45979</v>
      </c>
      <c r="B1251" t="s">
        <v>1479</v>
      </c>
      <c r="C1251" t="s">
        <v>17</v>
      </c>
      <c r="D1251" t="s">
        <v>18</v>
      </c>
      <c r="E1251">
        <v>750</v>
      </c>
      <c r="F1251">
        <v>0</v>
      </c>
      <c r="G1251">
        <v>30.1</v>
      </c>
      <c r="H1251">
        <v>22575</v>
      </c>
      <c r="I1251" t="s">
        <v>1480</v>
      </c>
      <c r="J1251">
        <v>22.49</v>
      </c>
      <c r="K1251">
        <v>8.02</v>
      </c>
      <c r="L1251">
        <v>0</v>
      </c>
      <c r="M1251">
        <v>0.02</v>
      </c>
      <c r="N1251">
        <v>290</v>
      </c>
      <c r="O1251">
        <v>53.64</v>
      </c>
      <c r="P1251">
        <v>374.17</v>
      </c>
      <c r="Q1251" s="18">
        <f>YEAR(A1251)</f>
        <v>2025</v>
      </c>
      <c r="R1251" s="18">
        <f>MONTH(A1251)</f>
        <v>11</v>
      </c>
      <c r="S1251" s="18">
        <f>IF(R1251&lt;4,Q1251-1,Q1251)</f>
        <v>2025</v>
      </c>
      <c r="T1251" s="18">
        <f>IF(R1251&lt;4,R1251+9,R1251-3)</f>
        <v>8</v>
      </c>
      <c r="U1251" s="18" t="str">
        <f>IF(LEN(T1251)=1,_xlfn.CONCAT(0,T1251),T1251)</f>
        <v>08</v>
      </c>
      <c r="V1251" s="18" t="str">
        <f>_xlfn.CONCAT(S1251,U1251)</f>
        <v>202508</v>
      </c>
      <c r="W1251" s="18" t="str">
        <f>_xlfn.CONCAT(TEXT(A1251,"MMM"),"-",MID(Q1251,3,2))</f>
        <v>Nov-25</v>
      </c>
      <c r="X1251" s="19">
        <f>IFERROR(IF(D1251="Sell",(H1251-P1251),-(H1251+P1251)),0)</f>
        <v>22200.83</v>
      </c>
      <c r="Y1251" s="19">
        <f>X1251/1000</f>
        <v>22.200830000000003</v>
      </c>
    </row>
    <row r="1252" spans="1:25" x14ac:dyDescent="0.25">
      <c r="A1252" s="1">
        <v>45979</v>
      </c>
      <c r="B1252" t="s">
        <v>1479</v>
      </c>
      <c r="C1252" t="s">
        <v>17</v>
      </c>
      <c r="D1252" t="s">
        <v>22</v>
      </c>
      <c r="E1252">
        <v>75</v>
      </c>
      <c r="F1252">
        <v>0</v>
      </c>
      <c r="G1252">
        <v>37.9</v>
      </c>
      <c r="H1252">
        <v>2842.5</v>
      </c>
      <c r="I1252" t="s">
        <v>1481</v>
      </c>
      <c r="J1252">
        <v>0</v>
      </c>
      <c r="K1252">
        <v>1.01</v>
      </c>
      <c r="L1252">
        <v>0</v>
      </c>
      <c r="M1252">
        <v>0</v>
      </c>
      <c r="N1252">
        <v>29</v>
      </c>
      <c r="O1252">
        <v>5.4</v>
      </c>
      <c r="P1252">
        <v>35.409999999999997</v>
      </c>
      <c r="Q1252" s="18">
        <f>YEAR(A1252)</f>
        <v>2025</v>
      </c>
      <c r="R1252" s="18">
        <f>MONTH(A1252)</f>
        <v>11</v>
      </c>
      <c r="S1252" s="18">
        <f>IF(R1252&lt;4,Q1252-1,Q1252)</f>
        <v>2025</v>
      </c>
      <c r="T1252" s="18">
        <f>IF(R1252&lt;4,R1252+9,R1252-3)</f>
        <v>8</v>
      </c>
      <c r="U1252" s="18" t="str">
        <f>IF(LEN(T1252)=1,_xlfn.CONCAT(0,T1252),T1252)</f>
        <v>08</v>
      </c>
      <c r="V1252" s="18" t="str">
        <f>_xlfn.CONCAT(S1252,U1252)</f>
        <v>202508</v>
      </c>
      <c r="W1252" s="18" t="str">
        <f>_xlfn.CONCAT(TEXT(A1252,"MMM"),"-",MID(Q1252,3,2))</f>
        <v>Nov-25</v>
      </c>
      <c r="X1252" s="19">
        <f>IFERROR(IF(D1252="Sell",(H1252-P1252),-(H1252+P1252)),0)</f>
        <v>-2877.91</v>
      </c>
      <c r="Y1252" s="19">
        <f>X1252/1000</f>
        <v>-2.87791</v>
      </c>
    </row>
    <row r="1253" spans="1:25" x14ac:dyDescent="0.25">
      <c r="A1253" s="1">
        <v>45979</v>
      </c>
      <c r="B1253" t="s">
        <v>1479</v>
      </c>
      <c r="C1253" t="s">
        <v>17</v>
      </c>
      <c r="D1253" t="s">
        <v>22</v>
      </c>
      <c r="E1253">
        <v>225</v>
      </c>
      <c r="F1253">
        <v>0</v>
      </c>
      <c r="G1253">
        <v>39.6</v>
      </c>
      <c r="H1253">
        <v>8910</v>
      </c>
      <c r="I1253" t="s">
        <v>1482</v>
      </c>
      <c r="J1253">
        <v>0</v>
      </c>
      <c r="K1253">
        <v>3.17</v>
      </c>
      <c r="L1253">
        <v>0</v>
      </c>
      <c r="M1253">
        <v>0.01</v>
      </c>
      <c r="N1253">
        <v>87</v>
      </c>
      <c r="O1253">
        <v>16.239999999999998</v>
      </c>
      <c r="P1253">
        <v>106.42</v>
      </c>
      <c r="Q1253" s="18">
        <f>YEAR(A1253)</f>
        <v>2025</v>
      </c>
      <c r="R1253" s="18">
        <f>MONTH(A1253)</f>
        <v>11</v>
      </c>
      <c r="S1253" s="18">
        <f>IF(R1253&lt;4,Q1253-1,Q1253)</f>
        <v>2025</v>
      </c>
      <c r="T1253" s="18">
        <f>IF(R1253&lt;4,R1253+9,R1253-3)</f>
        <v>8</v>
      </c>
      <c r="U1253" s="18" t="str">
        <f>IF(LEN(T1253)=1,_xlfn.CONCAT(0,T1253),T1253)</f>
        <v>08</v>
      </c>
      <c r="V1253" s="18" t="str">
        <f>_xlfn.CONCAT(S1253,U1253)</f>
        <v>202508</v>
      </c>
      <c r="W1253" s="18" t="str">
        <f>_xlfn.CONCAT(TEXT(A1253,"MMM"),"-",MID(Q1253,3,2))</f>
        <v>Nov-25</v>
      </c>
      <c r="X1253" s="19">
        <f>IFERROR(IF(D1253="Sell",(H1253-P1253),-(H1253+P1253)),0)</f>
        <v>-9016.42</v>
      </c>
      <c r="Y1253" s="19">
        <f>X1253/1000</f>
        <v>-9.0164200000000001</v>
      </c>
    </row>
    <row r="1254" spans="1:25" x14ac:dyDescent="0.25">
      <c r="A1254" s="1">
        <v>45979</v>
      </c>
      <c r="B1254" t="s">
        <v>1479</v>
      </c>
      <c r="C1254" t="s">
        <v>17</v>
      </c>
      <c r="D1254" t="s">
        <v>22</v>
      </c>
      <c r="E1254">
        <v>450</v>
      </c>
      <c r="F1254">
        <v>0</v>
      </c>
      <c r="G1254">
        <v>40.98</v>
      </c>
      <c r="H1254">
        <v>18438.75</v>
      </c>
      <c r="I1254" t="s">
        <v>1483</v>
      </c>
      <c r="J1254">
        <v>0</v>
      </c>
      <c r="K1254">
        <v>6.55</v>
      </c>
      <c r="L1254">
        <v>0.91</v>
      </c>
      <c r="M1254">
        <v>0.02</v>
      </c>
      <c r="N1254">
        <v>174</v>
      </c>
      <c r="O1254">
        <v>32.520000000000003</v>
      </c>
      <c r="P1254">
        <v>214</v>
      </c>
      <c r="Q1254" s="18">
        <f>YEAR(A1254)</f>
        <v>2025</v>
      </c>
      <c r="R1254" s="18">
        <f>MONTH(A1254)</f>
        <v>11</v>
      </c>
      <c r="S1254" s="18">
        <f>IF(R1254&lt;4,Q1254-1,Q1254)</f>
        <v>2025</v>
      </c>
      <c r="T1254" s="18">
        <f>IF(R1254&lt;4,R1254+9,R1254-3)</f>
        <v>8</v>
      </c>
      <c r="U1254" s="18" t="str">
        <f>IF(LEN(T1254)=1,_xlfn.CONCAT(0,T1254),T1254)</f>
        <v>08</v>
      </c>
      <c r="V1254" s="18" t="str">
        <f>_xlfn.CONCAT(S1254,U1254)</f>
        <v>202508</v>
      </c>
      <c r="W1254" s="18" t="str">
        <f>_xlfn.CONCAT(TEXT(A1254,"MMM"),"-",MID(Q1254,3,2))</f>
        <v>Nov-25</v>
      </c>
      <c r="X1254" s="19">
        <f>IFERROR(IF(D1254="Sell",(H1254-P1254),-(H1254+P1254)),0)</f>
        <v>-18652.75</v>
      </c>
      <c r="Y1254" s="19">
        <f>X1254/1000</f>
        <v>-18.652750000000001</v>
      </c>
    </row>
    <row r="1255" spans="1:25" x14ac:dyDescent="0.25">
      <c r="A1255" s="1">
        <v>45981</v>
      </c>
      <c r="B1255" t="s">
        <v>1467</v>
      </c>
      <c r="C1255" t="s">
        <v>17</v>
      </c>
      <c r="D1255" t="s">
        <v>22</v>
      </c>
      <c r="E1255">
        <v>75</v>
      </c>
      <c r="F1255">
        <v>0</v>
      </c>
      <c r="G1255">
        <v>103.15</v>
      </c>
      <c r="H1255">
        <v>7736.25</v>
      </c>
      <c r="I1255" t="s">
        <v>1471</v>
      </c>
      <c r="J1255">
        <v>0</v>
      </c>
      <c r="K1255">
        <v>2.75</v>
      </c>
      <c r="L1255">
        <v>0</v>
      </c>
      <c r="M1255">
        <v>0.01</v>
      </c>
      <c r="N1255">
        <v>29</v>
      </c>
      <c r="O1255">
        <v>5.72</v>
      </c>
      <c r="P1255">
        <v>37.479999999999997</v>
      </c>
      <c r="Q1255" s="18">
        <f>YEAR(A1255)</f>
        <v>2025</v>
      </c>
      <c r="R1255" s="18">
        <f>MONTH(A1255)</f>
        <v>11</v>
      </c>
      <c r="S1255" s="18">
        <f>IF(R1255&lt;4,Q1255-1,Q1255)</f>
        <v>2025</v>
      </c>
      <c r="T1255" s="18">
        <f>IF(R1255&lt;4,R1255+9,R1255-3)</f>
        <v>8</v>
      </c>
      <c r="U1255" s="18" t="str">
        <f>IF(LEN(T1255)=1,_xlfn.CONCAT(0,T1255),T1255)</f>
        <v>08</v>
      </c>
      <c r="V1255" s="18" t="str">
        <f>_xlfn.CONCAT(S1255,U1255)</f>
        <v>202508</v>
      </c>
      <c r="W1255" s="18" t="str">
        <f>_xlfn.CONCAT(TEXT(A1255,"MMM"),"-",MID(Q1255,3,2))</f>
        <v>Nov-25</v>
      </c>
      <c r="X1255" s="19">
        <f>IFERROR(IF(D1255="Sell",(H1255-P1255),-(H1255+P1255)),0)</f>
        <v>-7773.73</v>
      </c>
      <c r="Y1255" s="19">
        <f>X1255/1000</f>
        <v>-7.7737299999999996</v>
      </c>
    </row>
    <row r="1256" spans="1:25" x14ac:dyDescent="0.25">
      <c r="A1256" s="1">
        <v>45982</v>
      </c>
      <c r="B1256" t="s">
        <v>1467</v>
      </c>
      <c r="C1256" t="s">
        <v>17</v>
      </c>
      <c r="D1256" t="s">
        <v>18</v>
      </c>
      <c r="E1256">
        <v>75</v>
      </c>
      <c r="F1256">
        <v>0</v>
      </c>
      <c r="G1256">
        <v>119.9</v>
      </c>
      <c r="H1256">
        <v>8992.5</v>
      </c>
      <c r="I1256" t="s">
        <v>1470</v>
      </c>
      <c r="J1256">
        <v>9</v>
      </c>
      <c r="K1256">
        <v>3.2</v>
      </c>
      <c r="L1256">
        <v>0</v>
      </c>
      <c r="M1256">
        <v>0.01</v>
      </c>
      <c r="N1256">
        <v>29</v>
      </c>
      <c r="O1256">
        <v>5.8</v>
      </c>
      <c r="P1256">
        <v>47.01</v>
      </c>
      <c r="Q1256" s="18">
        <f>YEAR(A1256)</f>
        <v>2025</v>
      </c>
      <c r="R1256" s="18">
        <f>MONTH(A1256)</f>
        <v>11</v>
      </c>
      <c r="S1256" s="18">
        <f>IF(R1256&lt;4,Q1256-1,Q1256)</f>
        <v>2025</v>
      </c>
      <c r="T1256" s="18">
        <f>IF(R1256&lt;4,R1256+9,R1256-3)</f>
        <v>8</v>
      </c>
      <c r="U1256" s="18" t="str">
        <f>IF(LEN(T1256)=1,_xlfn.CONCAT(0,T1256),T1256)</f>
        <v>08</v>
      </c>
      <c r="V1256" s="18" t="str">
        <f>_xlfn.CONCAT(S1256,U1256)</f>
        <v>202508</v>
      </c>
      <c r="W1256" s="18" t="str">
        <f>_xlfn.CONCAT(TEXT(A1256,"MMM"),"-",MID(Q1256,3,2))</f>
        <v>Nov-25</v>
      </c>
      <c r="X1256" s="19">
        <f>IFERROR(IF(D1256="Sell",(H1256-P1256),-(H1256+P1256)),0)</f>
        <v>8945.49</v>
      </c>
      <c r="Y1256" s="19">
        <f>X1256/1000</f>
        <v>8.9454899999999995</v>
      </c>
    </row>
    <row r="1257" spans="1:25" x14ac:dyDescent="0.25">
      <c r="A1257" s="1">
        <v>45985</v>
      </c>
      <c r="B1257" t="s">
        <v>1467</v>
      </c>
      <c r="C1257" t="s">
        <v>17</v>
      </c>
      <c r="D1257" t="s">
        <v>18</v>
      </c>
      <c r="E1257">
        <v>75</v>
      </c>
      <c r="F1257">
        <v>0</v>
      </c>
      <c r="G1257">
        <v>74.75</v>
      </c>
      <c r="H1257">
        <v>5606.25</v>
      </c>
      <c r="I1257" t="s">
        <v>1468</v>
      </c>
      <c r="J1257">
        <v>6</v>
      </c>
      <c r="K1257">
        <v>1.99</v>
      </c>
      <c r="L1257">
        <v>0</v>
      </c>
      <c r="M1257">
        <v>0.01</v>
      </c>
      <c r="N1257">
        <v>29</v>
      </c>
      <c r="O1257">
        <v>5.58</v>
      </c>
      <c r="P1257">
        <v>42.58</v>
      </c>
      <c r="Q1257" s="18">
        <f>YEAR(A1257)</f>
        <v>2025</v>
      </c>
      <c r="R1257" s="18">
        <f>MONTH(A1257)</f>
        <v>11</v>
      </c>
      <c r="S1257" s="18">
        <f>IF(R1257&lt;4,Q1257-1,Q1257)</f>
        <v>2025</v>
      </c>
      <c r="T1257" s="18">
        <f>IF(R1257&lt;4,R1257+9,R1257-3)</f>
        <v>8</v>
      </c>
      <c r="U1257" s="18" t="str">
        <f>IF(LEN(T1257)=1,_xlfn.CONCAT(0,T1257),T1257)</f>
        <v>08</v>
      </c>
      <c r="V1257" s="18" t="str">
        <f>_xlfn.CONCAT(S1257,U1257)</f>
        <v>202508</v>
      </c>
      <c r="W1257" s="18" t="str">
        <f>_xlfn.CONCAT(TEXT(A1257,"MMM"),"-",MID(Q1257,3,2))</f>
        <v>Nov-25</v>
      </c>
      <c r="X1257" s="19">
        <f>IFERROR(IF(D1257="Sell",(H1257-P1257),-(H1257+P1257)),0)</f>
        <v>5563.67</v>
      </c>
      <c r="Y1257" s="19">
        <f>X1257/1000</f>
        <v>5.5636700000000001</v>
      </c>
    </row>
    <row r="1258" spans="1:25" x14ac:dyDescent="0.25">
      <c r="A1258" s="1">
        <v>45985</v>
      </c>
      <c r="B1258" t="s">
        <v>1467</v>
      </c>
      <c r="C1258" t="s">
        <v>17</v>
      </c>
      <c r="D1258" t="s">
        <v>22</v>
      </c>
      <c r="E1258">
        <v>75</v>
      </c>
      <c r="F1258">
        <v>0</v>
      </c>
      <c r="G1258">
        <v>71.75</v>
      </c>
      <c r="H1258">
        <v>5381.25</v>
      </c>
      <c r="I1258" t="s">
        <v>1469</v>
      </c>
      <c r="J1258">
        <v>0</v>
      </c>
      <c r="K1258">
        <v>1.91</v>
      </c>
      <c r="L1258">
        <v>0</v>
      </c>
      <c r="M1258">
        <v>0.01</v>
      </c>
      <c r="N1258">
        <v>29</v>
      </c>
      <c r="O1258">
        <v>5.56</v>
      </c>
      <c r="P1258">
        <v>36.479999999999997</v>
      </c>
      <c r="Q1258" s="18">
        <f>YEAR(A1258)</f>
        <v>2025</v>
      </c>
      <c r="R1258" s="18">
        <f>MONTH(A1258)</f>
        <v>11</v>
      </c>
      <c r="S1258" s="18">
        <f>IF(R1258&lt;4,Q1258-1,Q1258)</f>
        <v>2025</v>
      </c>
      <c r="T1258" s="18">
        <f>IF(R1258&lt;4,R1258+9,R1258-3)</f>
        <v>8</v>
      </c>
      <c r="U1258" s="18" t="str">
        <f>IF(LEN(T1258)=1,_xlfn.CONCAT(0,T1258),T1258)</f>
        <v>08</v>
      </c>
      <c r="V1258" s="18" t="str">
        <f>_xlfn.CONCAT(S1258,U1258)</f>
        <v>202508</v>
      </c>
      <c r="W1258" s="18" t="str">
        <f>_xlfn.CONCAT(TEXT(A1258,"MMM"),"-",MID(Q1258,3,2))</f>
        <v>Nov-25</v>
      </c>
      <c r="X1258" s="19">
        <f>IFERROR(IF(D1258="Sell",(H1258-P1258),-(H1258+P1258)),0)</f>
        <v>-5417.73</v>
      </c>
      <c r="Y1258" s="19">
        <f>X1258/1000</f>
        <v>-5.4177299999999997</v>
      </c>
    </row>
    <row r="1259" spans="1:25" x14ac:dyDescent="0.25">
      <c r="A1259" s="1">
        <v>45986</v>
      </c>
      <c r="B1259" t="s">
        <v>1464</v>
      </c>
      <c r="C1259" t="s">
        <v>17</v>
      </c>
      <c r="D1259" t="s">
        <v>18</v>
      </c>
      <c r="E1259">
        <v>450</v>
      </c>
      <c r="F1259">
        <v>0</v>
      </c>
      <c r="G1259">
        <v>19.75</v>
      </c>
      <c r="H1259">
        <v>8887.5</v>
      </c>
      <c r="I1259" t="s">
        <v>1465</v>
      </c>
      <c r="J1259">
        <v>9</v>
      </c>
      <c r="K1259">
        <v>3.16</v>
      </c>
      <c r="L1259">
        <v>0</v>
      </c>
      <c r="M1259">
        <v>0.01</v>
      </c>
      <c r="N1259">
        <v>174</v>
      </c>
      <c r="O1259">
        <v>31.9</v>
      </c>
      <c r="P1259">
        <v>218.07</v>
      </c>
      <c r="Q1259" s="18">
        <f>YEAR(A1259)</f>
        <v>2025</v>
      </c>
      <c r="R1259" s="18">
        <f>MONTH(A1259)</f>
        <v>11</v>
      </c>
      <c r="S1259" s="18">
        <f>IF(R1259&lt;4,Q1259-1,Q1259)</f>
        <v>2025</v>
      </c>
      <c r="T1259" s="18">
        <f>IF(R1259&lt;4,R1259+9,R1259-3)</f>
        <v>8</v>
      </c>
      <c r="U1259" s="18" t="str">
        <f>IF(LEN(T1259)=1,_xlfn.CONCAT(0,T1259),T1259)</f>
        <v>08</v>
      </c>
      <c r="V1259" s="18" t="str">
        <f>_xlfn.CONCAT(S1259,U1259)</f>
        <v>202508</v>
      </c>
      <c r="W1259" s="18" t="str">
        <f>_xlfn.CONCAT(TEXT(A1259,"MMM"),"-",MID(Q1259,3,2))</f>
        <v>Nov-25</v>
      </c>
      <c r="X1259" s="19">
        <f>IFERROR(IF(D1259="Sell",(H1259-P1259),-(H1259+P1259)),0)</f>
        <v>8669.43</v>
      </c>
      <c r="Y1259" s="19">
        <f>X1259/1000</f>
        <v>8.6694300000000002</v>
      </c>
    </row>
    <row r="1260" spans="1:25" x14ac:dyDescent="0.25">
      <c r="A1260" s="1">
        <v>45986</v>
      </c>
      <c r="B1260" t="s">
        <v>1464</v>
      </c>
      <c r="C1260" t="s">
        <v>17</v>
      </c>
      <c r="D1260" t="s">
        <v>22</v>
      </c>
      <c r="E1260">
        <v>450</v>
      </c>
      <c r="F1260">
        <v>0</v>
      </c>
      <c r="G1260">
        <v>14.75</v>
      </c>
      <c r="H1260">
        <v>6637.5</v>
      </c>
      <c r="I1260" t="s">
        <v>1466</v>
      </c>
      <c r="J1260">
        <v>0</v>
      </c>
      <c r="K1260">
        <v>2.36</v>
      </c>
      <c r="L1260">
        <v>0</v>
      </c>
      <c r="M1260">
        <v>0</v>
      </c>
      <c r="N1260">
        <v>174</v>
      </c>
      <c r="O1260">
        <v>31.76</v>
      </c>
      <c r="P1260">
        <v>208.12</v>
      </c>
      <c r="Q1260" s="18">
        <f>YEAR(A1260)</f>
        <v>2025</v>
      </c>
      <c r="R1260" s="18">
        <f>MONTH(A1260)</f>
        <v>11</v>
      </c>
      <c r="S1260" s="18">
        <f>IF(R1260&lt;4,Q1260-1,Q1260)</f>
        <v>2025</v>
      </c>
      <c r="T1260" s="18">
        <f>IF(R1260&lt;4,R1260+9,R1260-3)</f>
        <v>8</v>
      </c>
      <c r="U1260" s="18" t="str">
        <f>IF(LEN(T1260)=1,_xlfn.CONCAT(0,T1260),T1260)</f>
        <v>08</v>
      </c>
      <c r="V1260" s="18" t="str">
        <f>_xlfn.CONCAT(S1260,U1260)</f>
        <v>202508</v>
      </c>
      <c r="W1260" s="18" t="str">
        <f>_xlfn.CONCAT(TEXT(A1260,"MMM"),"-",MID(Q1260,3,2))</f>
        <v>Nov-25</v>
      </c>
      <c r="X1260" s="19">
        <f>IFERROR(IF(D1260="Sell",(H1260-P1260),-(H1260+P1260)),0)</f>
        <v>-6845.62</v>
      </c>
      <c r="Y1260" s="19">
        <f>X1260/1000</f>
        <v>-6.8456200000000003</v>
      </c>
    </row>
    <row r="1261" spans="1:25" x14ac:dyDescent="0.25">
      <c r="A1261" s="1">
        <v>45988</v>
      </c>
      <c r="B1261" t="s">
        <v>1451</v>
      </c>
      <c r="C1261" t="s">
        <v>17</v>
      </c>
      <c r="D1261" t="s">
        <v>22</v>
      </c>
      <c r="E1261">
        <v>75</v>
      </c>
      <c r="F1261">
        <v>0</v>
      </c>
      <c r="G1261">
        <v>109</v>
      </c>
      <c r="H1261">
        <v>8175</v>
      </c>
      <c r="I1261" t="s">
        <v>1463</v>
      </c>
      <c r="J1261">
        <v>0</v>
      </c>
      <c r="K1261">
        <v>2.9</v>
      </c>
      <c r="L1261">
        <v>0</v>
      </c>
      <c r="M1261">
        <v>0.01</v>
      </c>
      <c r="N1261">
        <v>29</v>
      </c>
      <c r="O1261">
        <v>5.74</v>
      </c>
      <c r="P1261">
        <v>37.65</v>
      </c>
      <c r="Q1261" s="18">
        <f>YEAR(A1261)</f>
        <v>2025</v>
      </c>
      <c r="R1261" s="18">
        <f>MONTH(A1261)</f>
        <v>11</v>
      </c>
      <c r="S1261" s="18">
        <f>IF(R1261&lt;4,Q1261-1,Q1261)</f>
        <v>2025</v>
      </c>
      <c r="T1261" s="18">
        <f>IF(R1261&lt;4,R1261+9,R1261-3)</f>
        <v>8</v>
      </c>
      <c r="U1261" s="18" t="str">
        <f>IF(LEN(T1261)=1,_xlfn.CONCAT(0,T1261),T1261)</f>
        <v>08</v>
      </c>
      <c r="V1261" s="18" t="str">
        <f>_xlfn.CONCAT(S1261,U1261)</f>
        <v>202508</v>
      </c>
      <c r="W1261" s="18" t="str">
        <f>_xlfn.CONCAT(TEXT(A1261,"MMM"),"-",MID(Q1261,3,2))</f>
        <v>Nov-25</v>
      </c>
      <c r="X1261" s="19">
        <f>IFERROR(IF(D1261="Sell",(H1261-P1261),-(H1261+P1261)),0)</f>
        <v>-8212.65</v>
      </c>
      <c r="Y1261" s="19">
        <f>X1261/1000</f>
        <v>-8.21265</v>
      </c>
    </row>
    <row r="1262" spans="1:25" x14ac:dyDescent="0.25">
      <c r="A1262" s="1">
        <v>45989</v>
      </c>
      <c r="B1262" t="s">
        <v>1453</v>
      </c>
      <c r="C1262" t="s">
        <v>17</v>
      </c>
      <c r="D1262" t="s">
        <v>22</v>
      </c>
      <c r="E1262">
        <v>375</v>
      </c>
      <c r="F1262">
        <v>0</v>
      </c>
      <c r="G1262">
        <v>44.1</v>
      </c>
      <c r="H1262">
        <v>16537.5</v>
      </c>
      <c r="I1262" t="s">
        <v>1458</v>
      </c>
      <c r="J1262">
        <v>0</v>
      </c>
      <c r="K1262">
        <v>5.88</v>
      </c>
      <c r="L1262">
        <v>0.76</v>
      </c>
      <c r="M1262">
        <v>0.02</v>
      </c>
      <c r="N1262">
        <v>145</v>
      </c>
      <c r="O1262">
        <v>27.16</v>
      </c>
      <c r="P1262">
        <v>178.82</v>
      </c>
      <c r="Q1262" s="18">
        <f>YEAR(A1262)</f>
        <v>2025</v>
      </c>
      <c r="R1262" s="18">
        <f>MONTH(A1262)</f>
        <v>11</v>
      </c>
      <c r="S1262" s="18">
        <f>IF(R1262&lt;4,Q1262-1,Q1262)</f>
        <v>2025</v>
      </c>
      <c r="T1262" s="18">
        <f>IF(R1262&lt;4,R1262+9,R1262-3)</f>
        <v>8</v>
      </c>
      <c r="U1262" s="18" t="str">
        <f>IF(LEN(T1262)=1,_xlfn.CONCAT(0,T1262),T1262)</f>
        <v>08</v>
      </c>
      <c r="V1262" s="18" t="str">
        <f>_xlfn.CONCAT(S1262,U1262)</f>
        <v>202508</v>
      </c>
      <c r="W1262" s="18" t="str">
        <f>_xlfn.CONCAT(TEXT(A1262,"MMM"),"-",MID(Q1262,3,2))</f>
        <v>Nov-25</v>
      </c>
      <c r="X1262" s="19">
        <f>IFERROR(IF(D1262="Sell",(H1262-P1262),-(H1262+P1262)),0)</f>
        <v>-16716.32</v>
      </c>
      <c r="Y1262" s="19">
        <f>X1262/1000</f>
        <v>-16.71632</v>
      </c>
    </row>
    <row r="1263" spans="1:25" x14ac:dyDescent="0.25">
      <c r="A1263" s="1">
        <v>45989</v>
      </c>
      <c r="B1263" t="s">
        <v>1453</v>
      </c>
      <c r="C1263" t="s">
        <v>17</v>
      </c>
      <c r="D1263" t="s">
        <v>22</v>
      </c>
      <c r="E1263">
        <v>75</v>
      </c>
      <c r="F1263">
        <v>0</v>
      </c>
      <c r="G1263">
        <v>44.1</v>
      </c>
      <c r="H1263">
        <v>3307.5</v>
      </c>
      <c r="I1263" t="s">
        <v>1459</v>
      </c>
      <c r="J1263">
        <v>0</v>
      </c>
      <c r="K1263">
        <v>1.18</v>
      </c>
      <c r="L1263">
        <v>0</v>
      </c>
      <c r="M1263">
        <v>0</v>
      </c>
      <c r="N1263">
        <v>29</v>
      </c>
      <c r="O1263">
        <v>5.44</v>
      </c>
      <c r="P1263">
        <v>35.619999999999997</v>
      </c>
      <c r="Q1263" s="18">
        <f>YEAR(A1263)</f>
        <v>2025</v>
      </c>
      <c r="R1263" s="18">
        <f>MONTH(A1263)</f>
        <v>11</v>
      </c>
      <c r="S1263" s="18">
        <f>IF(R1263&lt;4,Q1263-1,Q1263)</f>
        <v>2025</v>
      </c>
      <c r="T1263" s="18">
        <f>IF(R1263&lt;4,R1263+9,R1263-3)</f>
        <v>8</v>
      </c>
      <c r="U1263" s="18" t="str">
        <f>IF(LEN(T1263)=1,_xlfn.CONCAT(0,T1263),T1263)</f>
        <v>08</v>
      </c>
      <c r="V1263" s="18" t="str">
        <f>_xlfn.CONCAT(S1263,U1263)</f>
        <v>202508</v>
      </c>
      <c r="W1263" s="18" t="str">
        <f>_xlfn.CONCAT(TEXT(A1263,"MMM"),"-",MID(Q1263,3,2))</f>
        <v>Nov-25</v>
      </c>
      <c r="X1263" s="19">
        <f>IFERROR(IF(D1263="Sell",(H1263-P1263),-(H1263+P1263)),0)</f>
        <v>-3343.12</v>
      </c>
      <c r="Y1263" s="19">
        <f>X1263/1000</f>
        <v>-3.3431199999999999</v>
      </c>
    </row>
    <row r="1264" spans="1:25" x14ac:dyDescent="0.25">
      <c r="A1264" s="1">
        <v>45989</v>
      </c>
      <c r="B1264" t="s">
        <v>1460</v>
      </c>
      <c r="C1264" t="s">
        <v>17</v>
      </c>
      <c r="D1264" t="s">
        <v>18</v>
      </c>
      <c r="E1264">
        <v>75</v>
      </c>
      <c r="F1264">
        <v>0</v>
      </c>
      <c r="G1264">
        <v>105</v>
      </c>
      <c r="H1264">
        <v>7875</v>
      </c>
      <c r="I1264" t="s">
        <v>1461</v>
      </c>
      <c r="J1264">
        <v>8</v>
      </c>
      <c r="K1264">
        <v>2.8</v>
      </c>
      <c r="L1264">
        <v>0</v>
      </c>
      <c r="M1264">
        <v>0.01</v>
      </c>
      <c r="N1264">
        <v>29</v>
      </c>
      <c r="O1264">
        <v>5.72</v>
      </c>
      <c r="P1264">
        <v>45.53</v>
      </c>
      <c r="Q1264" s="18">
        <f>YEAR(A1264)</f>
        <v>2025</v>
      </c>
      <c r="R1264" s="18">
        <f>MONTH(A1264)</f>
        <v>11</v>
      </c>
      <c r="S1264" s="18">
        <f>IF(R1264&lt;4,Q1264-1,Q1264)</f>
        <v>2025</v>
      </c>
      <c r="T1264" s="18">
        <f>IF(R1264&lt;4,R1264+9,R1264-3)</f>
        <v>8</v>
      </c>
      <c r="U1264" s="18" t="str">
        <f>IF(LEN(T1264)=1,_xlfn.CONCAT(0,T1264),T1264)</f>
        <v>08</v>
      </c>
      <c r="V1264" s="18" t="str">
        <f>_xlfn.CONCAT(S1264,U1264)</f>
        <v>202508</v>
      </c>
      <c r="W1264" s="18" t="str">
        <f>_xlfn.CONCAT(TEXT(A1264,"MMM"),"-",MID(Q1264,3,2))</f>
        <v>Nov-25</v>
      </c>
      <c r="X1264" s="19">
        <f>IFERROR(IF(D1264="Sell",(H1264-P1264),-(H1264+P1264)),0)</f>
        <v>7829.47</v>
      </c>
      <c r="Y1264" s="19">
        <f>X1264/1000</f>
        <v>7.8294700000000006</v>
      </c>
    </row>
    <row r="1265" spans="1:25" x14ac:dyDescent="0.25">
      <c r="A1265" s="1">
        <v>45989</v>
      </c>
      <c r="B1265" t="s">
        <v>1460</v>
      </c>
      <c r="C1265" t="s">
        <v>17</v>
      </c>
      <c r="D1265" t="s">
        <v>22</v>
      </c>
      <c r="E1265">
        <v>75</v>
      </c>
      <c r="F1265">
        <v>0</v>
      </c>
      <c r="G1265">
        <v>105.85</v>
      </c>
      <c r="H1265">
        <v>7938.75</v>
      </c>
      <c r="I1265" t="s">
        <v>1462</v>
      </c>
      <c r="J1265">
        <v>0</v>
      </c>
      <c r="K1265">
        <v>2.82</v>
      </c>
      <c r="L1265">
        <v>0.24</v>
      </c>
      <c r="M1265">
        <v>0.01</v>
      </c>
      <c r="N1265">
        <v>29</v>
      </c>
      <c r="O1265">
        <v>5.72</v>
      </c>
      <c r="P1265">
        <v>37.79</v>
      </c>
      <c r="Q1265" s="18">
        <f>YEAR(A1265)</f>
        <v>2025</v>
      </c>
      <c r="R1265" s="18">
        <f>MONTH(A1265)</f>
        <v>11</v>
      </c>
      <c r="S1265" s="18">
        <f>IF(R1265&lt;4,Q1265-1,Q1265)</f>
        <v>2025</v>
      </c>
      <c r="T1265" s="18">
        <f>IF(R1265&lt;4,R1265+9,R1265-3)</f>
        <v>8</v>
      </c>
      <c r="U1265" s="18" t="str">
        <f>IF(LEN(T1265)=1,_xlfn.CONCAT(0,T1265),T1265)</f>
        <v>08</v>
      </c>
      <c r="V1265" s="18" t="str">
        <f>_xlfn.CONCAT(S1265,U1265)</f>
        <v>202508</v>
      </c>
      <c r="W1265" s="18" t="str">
        <f>_xlfn.CONCAT(TEXT(A1265,"MMM"),"-",MID(Q1265,3,2))</f>
        <v>Nov-25</v>
      </c>
      <c r="X1265" s="19">
        <f>IFERROR(IF(D1265="Sell",(H1265-P1265),-(H1265+P1265)),0)</f>
        <v>-7976.54</v>
      </c>
      <c r="Y1265" s="19">
        <f>X1265/1000</f>
        <v>-7.97654</v>
      </c>
    </row>
    <row r="1266" spans="1:25" x14ac:dyDescent="0.25">
      <c r="A1266" s="1">
        <v>45992</v>
      </c>
      <c r="B1266" t="s">
        <v>1451</v>
      </c>
      <c r="C1266" t="s">
        <v>17</v>
      </c>
      <c r="D1266" t="s">
        <v>18</v>
      </c>
      <c r="E1266">
        <v>150</v>
      </c>
      <c r="F1266">
        <v>0</v>
      </c>
      <c r="G1266">
        <v>119.25</v>
      </c>
      <c r="H1266">
        <v>17887.5</v>
      </c>
      <c r="I1266" t="s">
        <v>1452</v>
      </c>
      <c r="J1266">
        <v>17.89</v>
      </c>
      <c r="K1266">
        <v>6.36</v>
      </c>
      <c r="L1266">
        <v>0</v>
      </c>
      <c r="M1266">
        <v>0.02</v>
      </c>
      <c r="N1266">
        <v>58</v>
      </c>
      <c r="O1266">
        <v>11.58</v>
      </c>
      <c r="P1266">
        <v>93.85</v>
      </c>
      <c r="Q1266" s="18">
        <f>YEAR(A1266)</f>
        <v>2025</v>
      </c>
      <c r="R1266" s="18">
        <f>MONTH(A1266)</f>
        <v>12</v>
      </c>
      <c r="S1266" s="18">
        <f>IF(R1266&lt;4,Q1266-1,Q1266)</f>
        <v>2025</v>
      </c>
      <c r="T1266" s="18">
        <f>IF(R1266&lt;4,R1266+9,R1266-3)</f>
        <v>9</v>
      </c>
      <c r="U1266" s="18" t="str">
        <f>IF(LEN(T1266)=1,_xlfn.CONCAT(0,T1266),T1266)</f>
        <v>09</v>
      </c>
      <c r="V1266" s="18" t="str">
        <f>_xlfn.CONCAT(S1266,U1266)</f>
        <v>202509</v>
      </c>
      <c r="W1266" s="18" t="str">
        <f>_xlfn.CONCAT(TEXT(A1266,"MMM"),"-",MID(Q1266,3,2))</f>
        <v>Dec-25</v>
      </c>
      <c r="X1266" s="19">
        <f>IFERROR(IF(D1266="Sell",(H1266-P1266),-(H1266+P1266)),0)</f>
        <v>17793.650000000001</v>
      </c>
      <c r="Y1266" s="19">
        <f>X1266/1000</f>
        <v>17.793650000000003</v>
      </c>
    </row>
    <row r="1267" spans="1:25" x14ac:dyDescent="0.25">
      <c r="A1267" s="1">
        <v>45992</v>
      </c>
      <c r="B1267" t="s">
        <v>1453</v>
      </c>
      <c r="C1267" t="s">
        <v>17</v>
      </c>
      <c r="D1267" t="s">
        <v>18</v>
      </c>
      <c r="E1267">
        <v>1800</v>
      </c>
      <c r="F1267">
        <v>0</v>
      </c>
      <c r="G1267">
        <v>35</v>
      </c>
      <c r="H1267">
        <v>63000</v>
      </c>
      <c r="I1267" t="s">
        <v>1454</v>
      </c>
      <c r="J1267">
        <v>63.12</v>
      </c>
      <c r="K1267">
        <v>22.38</v>
      </c>
      <c r="L1267">
        <v>0</v>
      </c>
      <c r="M1267">
        <v>0.06</v>
      </c>
      <c r="N1267">
        <v>696</v>
      </c>
      <c r="O1267">
        <v>129.32</v>
      </c>
      <c r="P1267">
        <v>910.88</v>
      </c>
      <c r="Q1267" s="18">
        <f>YEAR(A1267)</f>
        <v>2025</v>
      </c>
      <c r="R1267" s="18">
        <f>MONTH(A1267)</f>
        <v>12</v>
      </c>
      <c r="S1267" s="18">
        <f>IF(R1267&lt;4,Q1267-1,Q1267)</f>
        <v>2025</v>
      </c>
      <c r="T1267" s="18">
        <f>IF(R1267&lt;4,R1267+9,R1267-3)</f>
        <v>9</v>
      </c>
      <c r="U1267" s="18" t="str">
        <f>IF(LEN(T1267)=1,_xlfn.CONCAT(0,T1267),T1267)</f>
        <v>09</v>
      </c>
      <c r="V1267" s="18" t="str">
        <f>_xlfn.CONCAT(S1267,U1267)</f>
        <v>202509</v>
      </c>
      <c r="W1267" s="18" t="str">
        <f>_xlfn.CONCAT(TEXT(A1267,"MMM"),"-",MID(Q1267,3,2))</f>
        <v>Dec-25</v>
      </c>
      <c r="X1267" s="19">
        <f>IFERROR(IF(D1267="Sell",(H1267-P1267),-(H1267+P1267)),0)</f>
        <v>62089.120000000003</v>
      </c>
      <c r="Y1267" s="19">
        <f>X1267/1000</f>
        <v>62.089120000000001</v>
      </c>
    </row>
    <row r="1268" spans="1:25" x14ac:dyDescent="0.25">
      <c r="A1268" s="1">
        <v>45992</v>
      </c>
      <c r="B1268" t="s">
        <v>1453</v>
      </c>
      <c r="C1268" t="s">
        <v>17</v>
      </c>
      <c r="D1268" t="s">
        <v>22</v>
      </c>
      <c r="E1268">
        <v>900</v>
      </c>
      <c r="F1268">
        <v>0</v>
      </c>
      <c r="G1268">
        <v>16.25</v>
      </c>
      <c r="H1268">
        <v>14625</v>
      </c>
      <c r="I1268" t="s">
        <v>1455</v>
      </c>
      <c r="J1268">
        <v>0</v>
      </c>
      <c r="K1268">
        <v>5.2</v>
      </c>
      <c r="L1268">
        <v>0.88</v>
      </c>
      <c r="M1268">
        <v>0.01</v>
      </c>
      <c r="N1268">
        <v>348</v>
      </c>
      <c r="O1268">
        <v>63.58</v>
      </c>
      <c r="P1268">
        <v>417.67</v>
      </c>
      <c r="Q1268" s="18">
        <f>YEAR(A1268)</f>
        <v>2025</v>
      </c>
      <c r="R1268" s="18">
        <f>MONTH(A1268)</f>
        <v>12</v>
      </c>
      <c r="S1268" s="18">
        <f>IF(R1268&lt;4,Q1268-1,Q1268)</f>
        <v>2025</v>
      </c>
      <c r="T1268" s="18">
        <f>IF(R1268&lt;4,R1268+9,R1268-3)</f>
        <v>9</v>
      </c>
      <c r="U1268" s="18" t="str">
        <f>IF(LEN(T1268)=1,_xlfn.CONCAT(0,T1268),T1268)</f>
        <v>09</v>
      </c>
      <c r="V1268" s="18" t="str">
        <f>_xlfn.CONCAT(S1268,U1268)</f>
        <v>202509</v>
      </c>
      <c r="W1268" s="18" t="str">
        <f>_xlfn.CONCAT(TEXT(A1268,"MMM"),"-",MID(Q1268,3,2))</f>
        <v>Dec-25</v>
      </c>
      <c r="X1268" s="19">
        <f>IFERROR(IF(D1268="Sell",(H1268-P1268),-(H1268+P1268)),0)</f>
        <v>-15042.67</v>
      </c>
      <c r="Y1268" s="19">
        <f>X1268/1000</f>
        <v>-15.042669999999999</v>
      </c>
    </row>
    <row r="1269" spans="1:25" x14ac:dyDescent="0.25">
      <c r="A1269" s="1">
        <v>45992</v>
      </c>
      <c r="B1269" t="s">
        <v>1451</v>
      </c>
      <c r="C1269" t="s">
        <v>17</v>
      </c>
      <c r="D1269" t="s">
        <v>22</v>
      </c>
      <c r="E1269">
        <v>75</v>
      </c>
      <c r="F1269">
        <v>0</v>
      </c>
      <c r="G1269">
        <v>52.95</v>
      </c>
      <c r="H1269">
        <v>3971.25</v>
      </c>
      <c r="I1269" t="s">
        <v>1456</v>
      </c>
      <c r="J1269">
        <v>0</v>
      </c>
      <c r="K1269">
        <v>1.41</v>
      </c>
      <c r="L1269">
        <v>0.12</v>
      </c>
      <c r="M1269">
        <v>0</v>
      </c>
      <c r="N1269">
        <v>29</v>
      </c>
      <c r="O1269">
        <v>5.48</v>
      </c>
      <c r="P1269">
        <v>36.01</v>
      </c>
      <c r="Q1269" s="18">
        <f>YEAR(A1269)</f>
        <v>2025</v>
      </c>
      <c r="R1269" s="18">
        <f>MONTH(A1269)</f>
        <v>12</v>
      </c>
      <c r="S1269" s="18">
        <f>IF(R1269&lt;4,Q1269-1,Q1269)</f>
        <v>2025</v>
      </c>
      <c r="T1269" s="18">
        <f>IF(R1269&lt;4,R1269+9,R1269-3)</f>
        <v>9</v>
      </c>
      <c r="U1269" s="18" t="str">
        <f>IF(LEN(T1269)=1,_xlfn.CONCAT(0,T1269),T1269)</f>
        <v>09</v>
      </c>
      <c r="V1269" s="18" t="str">
        <f>_xlfn.CONCAT(S1269,U1269)</f>
        <v>202509</v>
      </c>
      <c r="W1269" s="18" t="str">
        <f>_xlfn.CONCAT(TEXT(A1269,"MMM"),"-",MID(Q1269,3,2))</f>
        <v>Dec-25</v>
      </c>
      <c r="X1269" s="19">
        <f>IFERROR(IF(D1269="Sell",(H1269-P1269),-(H1269+P1269)),0)</f>
        <v>-4007.26</v>
      </c>
      <c r="Y1269" s="19">
        <f>X1269/1000</f>
        <v>-4.0072600000000005</v>
      </c>
    </row>
    <row r="1270" spans="1:25" x14ac:dyDescent="0.25">
      <c r="A1270" s="1">
        <v>45992</v>
      </c>
      <c r="B1270" t="s">
        <v>1453</v>
      </c>
      <c r="C1270" t="s">
        <v>17</v>
      </c>
      <c r="D1270" t="s">
        <v>22</v>
      </c>
      <c r="E1270">
        <v>450</v>
      </c>
      <c r="F1270">
        <v>0</v>
      </c>
      <c r="G1270">
        <v>18.899999999999999</v>
      </c>
      <c r="H1270">
        <v>8505</v>
      </c>
      <c r="I1270" t="s">
        <v>1457</v>
      </c>
      <c r="J1270">
        <v>0</v>
      </c>
      <c r="K1270">
        <v>3.02</v>
      </c>
      <c r="L1270">
        <v>0</v>
      </c>
      <c r="M1270">
        <v>0.01</v>
      </c>
      <c r="N1270">
        <v>174</v>
      </c>
      <c r="O1270">
        <v>31.88</v>
      </c>
      <c r="P1270">
        <v>208.91</v>
      </c>
      <c r="Q1270" s="18">
        <f>YEAR(A1270)</f>
        <v>2025</v>
      </c>
      <c r="R1270" s="18">
        <f>MONTH(A1270)</f>
        <v>12</v>
      </c>
      <c r="S1270" s="18">
        <f>IF(R1270&lt;4,Q1270-1,Q1270)</f>
        <v>2025</v>
      </c>
      <c r="T1270" s="18">
        <f>IF(R1270&lt;4,R1270+9,R1270-3)</f>
        <v>9</v>
      </c>
      <c r="U1270" s="18" t="str">
        <f>IF(LEN(T1270)=1,_xlfn.CONCAT(0,T1270),T1270)</f>
        <v>09</v>
      </c>
      <c r="V1270" s="18" t="str">
        <f>_xlfn.CONCAT(S1270,U1270)</f>
        <v>202509</v>
      </c>
      <c r="W1270" s="18" t="str">
        <f>_xlfn.CONCAT(TEXT(A1270,"MMM"),"-",MID(Q1270,3,2))</f>
        <v>Dec-25</v>
      </c>
      <c r="X1270" s="19">
        <f>IFERROR(IF(D1270="Sell",(H1270-P1270),-(H1270+P1270)),0)</f>
        <v>-8713.91</v>
      </c>
      <c r="Y1270" s="19">
        <f>X1270/1000</f>
        <v>-8.7139100000000003</v>
      </c>
    </row>
    <row r="1271" spans="1:25" x14ac:dyDescent="0.25">
      <c r="A1271" s="1">
        <v>45993</v>
      </c>
      <c r="B1271" t="s">
        <v>1447</v>
      </c>
      <c r="C1271" t="s">
        <v>17</v>
      </c>
      <c r="D1271" t="s">
        <v>18</v>
      </c>
      <c r="E1271">
        <v>300</v>
      </c>
      <c r="F1271">
        <v>0</v>
      </c>
      <c r="G1271">
        <v>39.25</v>
      </c>
      <c r="H1271">
        <v>11775</v>
      </c>
      <c r="I1271" t="s">
        <v>1448</v>
      </c>
      <c r="J1271">
        <v>12</v>
      </c>
      <c r="K1271">
        <v>4.18</v>
      </c>
      <c r="L1271">
        <v>0</v>
      </c>
      <c r="M1271">
        <v>0.01</v>
      </c>
      <c r="N1271">
        <v>116</v>
      </c>
      <c r="O1271">
        <v>21.64</v>
      </c>
      <c r="P1271">
        <v>153.83000000000001</v>
      </c>
      <c r="Q1271" s="18">
        <f>YEAR(A1271)</f>
        <v>2025</v>
      </c>
      <c r="R1271" s="18">
        <f>MONTH(A1271)</f>
        <v>12</v>
      </c>
      <c r="S1271" s="18">
        <f>IF(R1271&lt;4,Q1271-1,Q1271)</f>
        <v>2025</v>
      </c>
      <c r="T1271" s="18">
        <f>IF(R1271&lt;4,R1271+9,R1271-3)</f>
        <v>9</v>
      </c>
      <c r="U1271" s="18" t="str">
        <f>IF(LEN(T1271)=1,_xlfn.CONCAT(0,T1271),T1271)</f>
        <v>09</v>
      </c>
      <c r="V1271" s="18" t="str">
        <f>_xlfn.CONCAT(S1271,U1271)</f>
        <v>202509</v>
      </c>
      <c r="W1271" s="18" t="str">
        <f>_xlfn.CONCAT(TEXT(A1271,"MMM"),"-",MID(Q1271,3,2))</f>
        <v>Dec-25</v>
      </c>
      <c r="X1271" s="19">
        <f>IFERROR(IF(D1271="Sell",(H1271-P1271),-(H1271+P1271)),0)</f>
        <v>11621.17</v>
      </c>
      <c r="Y1271" s="19">
        <f>X1271/1000</f>
        <v>11.621169999999999</v>
      </c>
    </row>
    <row r="1272" spans="1:25" x14ac:dyDescent="0.25">
      <c r="A1272" s="1">
        <v>45993</v>
      </c>
      <c r="B1272" t="s">
        <v>1447</v>
      </c>
      <c r="C1272" t="s">
        <v>17</v>
      </c>
      <c r="D1272" t="s">
        <v>22</v>
      </c>
      <c r="E1272">
        <v>225</v>
      </c>
      <c r="F1272">
        <v>0</v>
      </c>
      <c r="G1272">
        <v>30.1</v>
      </c>
      <c r="H1272">
        <v>6772.5</v>
      </c>
      <c r="I1272" t="s">
        <v>1449</v>
      </c>
      <c r="J1272">
        <v>0</v>
      </c>
      <c r="K1272">
        <v>2.41</v>
      </c>
      <c r="L1272">
        <v>0</v>
      </c>
      <c r="M1272">
        <v>0.01</v>
      </c>
      <c r="N1272">
        <v>87</v>
      </c>
      <c r="O1272">
        <v>16.100000000000001</v>
      </c>
      <c r="P1272">
        <v>105.52</v>
      </c>
      <c r="Q1272" s="18">
        <f>YEAR(A1272)</f>
        <v>2025</v>
      </c>
      <c r="R1272" s="18">
        <f>MONTH(A1272)</f>
        <v>12</v>
      </c>
      <c r="S1272" s="18">
        <f>IF(R1272&lt;4,Q1272-1,Q1272)</f>
        <v>2025</v>
      </c>
      <c r="T1272" s="18">
        <f>IF(R1272&lt;4,R1272+9,R1272-3)</f>
        <v>9</v>
      </c>
      <c r="U1272" s="18" t="str">
        <f>IF(LEN(T1272)=1,_xlfn.CONCAT(0,T1272),T1272)</f>
        <v>09</v>
      </c>
      <c r="V1272" s="18" t="str">
        <f>_xlfn.CONCAT(S1272,U1272)</f>
        <v>202509</v>
      </c>
      <c r="W1272" s="18" t="str">
        <f>_xlfn.CONCAT(TEXT(A1272,"MMM"),"-",MID(Q1272,3,2))</f>
        <v>Dec-25</v>
      </c>
      <c r="X1272" s="19">
        <f>IFERROR(IF(D1272="Sell",(H1272-P1272),-(H1272+P1272)),0)</f>
        <v>-6878.02</v>
      </c>
      <c r="Y1272" s="19">
        <f>X1272/1000</f>
        <v>-6.8780200000000002</v>
      </c>
    </row>
    <row r="1273" spans="1:25" x14ac:dyDescent="0.25">
      <c r="A1273" s="1">
        <v>45993</v>
      </c>
      <c r="B1273" t="s">
        <v>1447</v>
      </c>
      <c r="C1273" t="s">
        <v>17</v>
      </c>
      <c r="D1273" t="s">
        <v>22</v>
      </c>
      <c r="E1273">
        <v>75</v>
      </c>
      <c r="F1273">
        <v>0</v>
      </c>
      <c r="G1273">
        <v>34</v>
      </c>
      <c r="H1273">
        <v>2550</v>
      </c>
      <c r="I1273" t="s">
        <v>1450</v>
      </c>
      <c r="J1273">
        <v>0</v>
      </c>
      <c r="K1273">
        <v>0.91</v>
      </c>
      <c r="L1273">
        <v>0</v>
      </c>
      <c r="M1273">
        <v>0</v>
      </c>
      <c r="N1273">
        <v>29</v>
      </c>
      <c r="O1273">
        <v>5.38</v>
      </c>
      <c r="P1273">
        <v>35.29</v>
      </c>
      <c r="Q1273" s="18">
        <f>YEAR(A1273)</f>
        <v>2025</v>
      </c>
      <c r="R1273" s="18">
        <f>MONTH(A1273)</f>
        <v>12</v>
      </c>
      <c r="S1273" s="18">
        <f>IF(R1273&lt;4,Q1273-1,Q1273)</f>
        <v>2025</v>
      </c>
      <c r="T1273" s="18">
        <f>IF(R1273&lt;4,R1273+9,R1273-3)</f>
        <v>9</v>
      </c>
      <c r="U1273" s="18" t="str">
        <f>IF(LEN(T1273)=1,_xlfn.CONCAT(0,T1273),T1273)</f>
        <v>09</v>
      </c>
      <c r="V1273" s="18" t="str">
        <f>_xlfn.CONCAT(S1273,U1273)</f>
        <v>202509</v>
      </c>
      <c r="W1273" s="18" t="str">
        <f>_xlfn.CONCAT(TEXT(A1273,"MMM"),"-",MID(Q1273,3,2))</f>
        <v>Dec-25</v>
      </c>
      <c r="X1273" s="19">
        <f>IFERROR(IF(D1273="Sell",(H1273-P1273),-(H1273+P1273)),0)</f>
        <v>-2585.29</v>
      </c>
      <c r="Y1273" s="19">
        <f>X1273/1000</f>
        <v>-2.5852900000000001</v>
      </c>
    </row>
    <row r="1274" spans="1:25" x14ac:dyDescent="0.25">
      <c r="A1274" s="1">
        <v>45994</v>
      </c>
      <c r="B1274" t="s">
        <v>1441</v>
      </c>
      <c r="C1274" t="s">
        <v>17</v>
      </c>
      <c r="D1274" t="s">
        <v>22</v>
      </c>
      <c r="E1274">
        <v>75</v>
      </c>
      <c r="F1274">
        <v>0</v>
      </c>
      <c r="G1274">
        <v>123.6</v>
      </c>
      <c r="H1274">
        <v>9270</v>
      </c>
      <c r="I1274" t="s">
        <v>1443</v>
      </c>
      <c r="J1274">
        <v>0</v>
      </c>
      <c r="K1274">
        <v>3.29</v>
      </c>
      <c r="L1274">
        <v>0.28000000000000003</v>
      </c>
      <c r="M1274">
        <v>0.01</v>
      </c>
      <c r="N1274">
        <v>29</v>
      </c>
      <c r="O1274">
        <v>5.82</v>
      </c>
      <c r="P1274">
        <v>38.4</v>
      </c>
      <c r="Q1274" s="18">
        <f>YEAR(A1274)</f>
        <v>2025</v>
      </c>
      <c r="R1274" s="18">
        <f>MONTH(A1274)</f>
        <v>12</v>
      </c>
      <c r="S1274" s="18">
        <f>IF(R1274&lt;4,Q1274-1,Q1274)</f>
        <v>2025</v>
      </c>
      <c r="T1274" s="18">
        <f>IF(R1274&lt;4,R1274+9,R1274-3)</f>
        <v>9</v>
      </c>
      <c r="U1274" s="18" t="str">
        <f>IF(LEN(T1274)=1,_xlfn.CONCAT(0,T1274),T1274)</f>
        <v>09</v>
      </c>
      <c r="V1274" s="18" t="str">
        <f>_xlfn.CONCAT(S1274,U1274)</f>
        <v>202509</v>
      </c>
      <c r="W1274" s="18" t="str">
        <f>_xlfn.CONCAT(TEXT(A1274,"MMM"),"-",MID(Q1274,3,2))</f>
        <v>Dec-25</v>
      </c>
      <c r="X1274" s="19">
        <f>IFERROR(IF(D1274="Sell",(H1274-P1274),-(H1274+P1274)),0)</f>
        <v>-9308.4</v>
      </c>
      <c r="Y1274" s="19">
        <f>X1274/1000</f>
        <v>-9.3083999999999989</v>
      </c>
    </row>
    <row r="1275" spans="1:25" x14ac:dyDescent="0.25">
      <c r="A1275" s="1">
        <v>45994</v>
      </c>
      <c r="B1275" t="s">
        <v>1444</v>
      </c>
      <c r="C1275" t="s">
        <v>17</v>
      </c>
      <c r="D1275" t="s">
        <v>18</v>
      </c>
      <c r="E1275">
        <v>75</v>
      </c>
      <c r="F1275">
        <v>0</v>
      </c>
      <c r="G1275">
        <v>149.9</v>
      </c>
      <c r="H1275">
        <v>11242.5</v>
      </c>
      <c r="I1275" t="s">
        <v>1445</v>
      </c>
      <c r="J1275">
        <v>11</v>
      </c>
      <c r="K1275">
        <v>3.99</v>
      </c>
      <c r="L1275">
        <v>0</v>
      </c>
      <c r="M1275">
        <v>0.01</v>
      </c>
      <c r="N1275">
        <v>29</v>
      </c>
      <c r="O1275">
        <v>5.94</v>
      </c>
      <c r="P1275">
        <v>49.94</v>
      </c>
      <c r="Q1275" s="18">
        <f>YEAR(A1275)</f>
        <v>2025</v>
      </c>
      <c r="R1275" s="18">
        <f>MONTH(A1275)</f>
        <v>12</v>
      </c>
      <c r="S1275" s="18">
        <f>IF(R1275&lt;4,Q1275-1,Q1275)</f>
        <v>2025</v>
      </c>
      <c r="T1275" s="18">
        <f>IF(R1275&lt;4,R1275+9,R1275-3)</f>
        <v>9</v>
      </c>
      <c r="U1275" s="18" t="str">
        <f>IF(LEN(T1275)=1,_xlfn.CONCAT(0,T1275),T1275)</f>
        <v>09</v>
      </c>
      <c r="V1275" s="18" t="str">
        <f>_xlfn.CONCAT(S1275,U1275)</f>
        <v>202509</v>
      </c>
      <c r="W1275" s="18" t="str">
        <f>_xlfn.CONCAT(TEXT(A1275,"MMM"),"-",MID(Q1275,3,2))</f>
        <v>Dec-25</v>
      </c>
      <c r="X1275" s="19">
        <f>IFERROR(IF(D1275="Sell",(H1275-P1275),-(H1275+P1275)),0)</f>
        <v>11192.56</v>
      </c>
      <c r="Y1275" s="19">
        <f>X1275/1000</f>
        <v>11.19256</v>
      </c>
    </row>
    <row r="1276" spans="1:25" x14ac:dyDescent="0.25">
      <c r="A1276" s="1">
        <v>45994</v>
      </c>
      <c r="B1276" t="s">
        <v>1444</v>
      </c>
      <c r="C1276" t="s">
        <v>17</v>
      </c>
      <c r="D1276" t="s">
        <v>22</v>
      </c>
      <c r="E1276">
        <v>75</v>
      </c>
      <c r="F1276">
        <v>0</v>
      </c>
      <c r="G1276">
        <v>144</v>
      </c>
      <c r="H1276">
        <v>10800</v>
      </c>
      <c r="I1276" t="s">
        <v>1446</v>
      </c>
      <c r="J1276">
        <v>0</v>
      </c>
      <c r="K1276">
        <v>3.84</v>
      </c>
      <c r="L1276">
        <v>0.72</v>
      </c>
      <c r="M1276">
        <v>0.01</v>
      </c>
      <c r="N1276">
        <v>29</v>
      </c>
      <c r="O1276">
        <v>5.92</v>
      </c>
      <c r="P1276">
        <v>39.49</v>
      </c>
      <c r="Q1276" s="18">
        <f>YEAR(A1276)</f>
        <v>2025</v>
      </c>
      <c r="R1276" s="18">
        <f>MONTH(A1276)</f>
        <v>12</v>
      </c>
      <c r="S1276" s="18">
        <f>IF(R1276&lt;4,Q1276-1,Q1276)</f>
        <v>2025</v>
      </c>
      <c r="T1276" s="18">
        <f>IF(R1276&lt;4,R1276+9,R1276-3)</f>
        <v>9</v>
      </c>
      <c r="U1276" s="18" t="str">
        <f>IF(LEN(T1276)=1,_xlfn.CONCAT(0,T1276),T1276)</f>
        <v>09</v>
      </c>
      <c r="V1276" s="18" t="str">
        <f>_xlfn.CONCAT(S1276,U1276)</f>
        <v>202509</v>
      </c>
      <c r="W1276" s="18" t="str">
        <f>_xlfn.CONCAT(TEXT(A1276,"MMM"),"-",MID(Q1276,3,2))</f>
        <v>Dec-25</v>
      </c>
      <c r="X1276" s="19">
        <f>IFERROR(IF(D1276="Sell",(H1276-P1276),-(H1276+P1276)),0)</f>
        <v>-10839.49</v>
      </c>
      <c r="Y1276" s="19">
        <f>X1276/1000</f>
        <v>-10.83949</v>
      </c>
    </row>
    <row r="1277" spans="1:25" x14ac:dyDescent="0.25">
      <c r="A1277" s="1">
        <v>45995</v>
      </c>
      <c r="B1277" t="s">
        <v>1441</v>
      </c>
      <c r="C1277" t="s">
        <v>17</v>
      </c>
      <c r="D1277" t="s">
        <v>18</v>
      </c>
      <c r="E1277">
        <v>75</v>
      </c>
      <c r="F1277">
        <v>0</v>
      </c>
      <c r="G1277">
        <v>63.95</v>
      </c>
      <c r="H1277">
        <v>4796.25</v>
      </c>
      <c r="I1277" t="s">
        <v>1442</v>
      </c>
      <c r="J1277">
        <v>5</v>
      </c>
      <c r="K1277">
        <v>1.7</v>
      </c>
      <c r="L1277">
        <v>0</v>
      </c>
      <c r="M1277">
        <v>0</v>
      </c>
      <c r="N1277">
        <v>29</v>
      </c>
      <c r="O1277">
        <v>5.52</v>
      </c>
      <c r="P1277">
        <v>41.22</v>
      </c>
      <c r="Q1277" s="18">
        <f>YEAR(A1277)</f>
        <v>2025</v>
      </c>
      <c r="R1277" s="18">
        <f>MONTH(A1277)</f>
        <v>12</v>
      </c>
      <c r="S1277" s="18">
        <f>IF(R1277&lt;4,Q1277-1,Q1277)</f>
        <v>2025</v>
      </c>
      <c r="T1277" s="18">
        <f>IF(R1277&lt;4,R1277+9,R1277-3)</f>
        <v>9</v>
      </c>
      <c r="U1277" s="18" t="str">
        <f>IF(LEN(T1277)=1,_xlfn.CONCAT(0,T1277),T1277)</f>
        <v>09</v>
      </c>
      <c r="V1277" s="18" t="str">
        <f>_xlfn.CONCAT(S1277,U1277)</f>
        <v>202509</v>
      </c>
      <c r="W1277" s="18" t="str">
        <f>_xlfn.CONCAT(TEXT(A1277,"MMM"),"-",MID(Q1277,3,2))</f>
        <v>Dec-25</v>
      </c>
      <c r="X1277" s="19">
        <f>IFERROR(IF(D1277="Sell",(H1277-P1277),-(H1277+P1277)),0)</f>
        <v>4755.03</v>
      </c>
      <c r="Y1277" s="19">
        <f>X1277/1000</f>
        <v>4.7550299999999996</v>
      </c>
    </row>
    <row r="1278" spans="1:25" x14ac:dyDescent="0.25">
      <c r="A1278" s="1">
        <v>45996</v>
      </c>
      <c r="B1278" t="s">
        <v>1438</v>
      </c>
      <c r="C1278" t="s">
        <v>17</v>
      </c>
      <c r="D1278" t="s">
        <v>22</v>
      </c>
      <c r="E1278">
        <v>75</v>
      </c>
      <c r="F1278">
        <v>0</v>
      </c>
      <c r="G1278">
        <v>67.25</v>
      </c>
      <c r="H1278">
        <v>5043.75</v>
      </c>
      <c r="I1278" t="s">
        <v>1440</v>
      </c>
      <c r="J1278">
        <v>0</v>
      </c>
      <c r="K1278">
        <v>1.79</v>
      </c>
      <c r="L1278">
        <v>0</v>
      </c>
      <c r="M1278">
        <v>0.01</v>
      </c>
      <c r="N1278">
        <v>29</v>
      </c>
      <c r="O1278">
        <v>5.54</v>
      </c>
      <c r="P1278">
        <v>36.340000000000003</v>
      </c>
      <c r="Q1278" s="18">
        <f>YEAR(A1278)</f>
        <v>2025</v>
      </c>
      <c r="R1278" s="18">
        <f>MONTH(A1278)</f>
        <v>12</v>
      </c>
      <c r="S1278" s="18">
        <f>IF(R1278&lt;4,Q1278-1,Q1278)</f>
        <v>2025</v>
      </c>
      <c r="T1278" s="18">
        <f>IF(R1278&lt;4,R1278+9,R1278-3)</f>
        <v>9</v>
      </c>
      <c r="U1278" s="18" t="str">
        <f>IF(LEN(T1278)=1,_xlfn.CONCAT(0,T1278),T1278)</f>
        <v>09</v>
      </c>
      <c r="V1278" s="18" t="str">
        <f>_xlfn.CONCAT(S1278,U1278)</f>
        <v>202509</v>
      </c>
      <c r="W1278" s="18" t="str">
        <f>_xlfn.CONCAT(TEXT(A1278,"MMM"),"-",MID(Q1278,3,2))</f>
        <v>Dec-25</v>
      </c>
      <c r="X1278" s="19">
        <f>IFERROR(IF(D1278="Sell",(H1278-P1278),-(H1278+P1278)),0)</f>
        <v>-5080.09</v>
      </c>
      <c r="Y1278" s="19">
        <f>X1278/1000</f>
        <v>-5.0800900000000002</v>
      </c>
    </row>
    <row r="1279" spans="1:25" x14ac:dyDescent="0.25">
      <c r="A1279" s="1">
        <v>45999</v>
      </c>
      <c r="B1279" t="s">
        <v>1438</v>
      </c>
      <c r="C1279" t="s">
        <v>17</v>
      </c>
      <c r="D1279" t="s">
        <v>18</v>
      </c>
      <c r="E1279">
        <v>75</v>
      </c>
      <c r="F1279">
        <v>0</v>
      </c>
      <c r="G1279">
        <v>77.25</v>
      </c>
      <c r="H1279">
        <v>5793.75</v>
      </c>
      <c r="I1279" t="s">
        <v>1439</v>
      </c>
      <c r="J1279">
        <v>6</v>
      </c>
      <c r="K1279">
        <v>2.06</v>
      </c>
      <c r="L1279">
        <v>0</v>
      </c>
      <c r="M1279">
        <v>0.01</v>
      </c>
      <c r="N1279">
        <v>29</v>
      </c>
      <c r="O1279">
        <v>5.6</v>
      </c>
      <c r="P1279">
        <v>42.67</v>
      </c>
      <c r="Q1279" s="18">
        <f>YEAR(A1279)</f>
        <v>2025</v>
      </c>
      <c r="R1279" s="18">
        <f>MONTH(A1279)</f>
        <v>12</v>
      </c>
      <c r="S1279" s="18">
        <f>IF(R1279&lt;4,Q1279-1,Q1279)</f>
        <v>2025</v>
      </c>
      <c r="T1279" s="18">
        <f>IF(R1279&lt;4,R1279+9,R1279-3)</f>
        <v>9</v>
      </c>
      <c r="U1279" s="18" t="str">
        <f>IF(LEN(T1279)=1,_xlfn.CONCAT(0,T1279),T1279)</f>
        <v>09</v>
      </c>
      <c r="V1279" s="18" t="str">
        <f>_xlfn.CONCAT(S1279,U1279)</f>
        <v>202509</v>
      </c>
      <c r="W1279" s="18" t="str">
        <f>_xlfn.CONCAT(TEXT(A1279,"MMM"),"-",MID(Q1279,3,2))</f>
        <v>Dec-25</v>
      </c>
      <c r="X1279" s="19">
        <f>IFERROR(IF(D1279="Sell",(H1279-P1279),-(H1279+P1279)),0)</f>
        <v>5751.08</v>
      </c>
      <c r="Y1279" s="19">
        <f>X1279/1000</f>
        <v>5.75108</v>
      </c>
    </row>
    <row r="1280" spans="1:25" x14ac:dyDescent="0.25">
      <c r="A1280" s="1">
        <v>46002</v>
      </c>
      <c r="B1280" t="s">
        <v>1429</v>
      </c>
      <c r="C1280" t="s">
        <v>17</v>
      </c>
      <c r="D1280" t="s">
        <v>22</v>
      </c>
      <c r="E1280">
        <v>75</v>
      </c>
      <c r="F1280">
        <v>0</v>
      </c>
      <c r="G1280">
        <v>61.25</v>
      </c>
      <c r="H1280">
        <v>4593.75</v>
      </c>
      <c r="I1280" t="s">
        <v>1436</v>
      </c>
      <c r="J1280">
        <v>0</v>
      </c>
      <c r="K1280">
        <v>1.63</v>
      </c>
      <c r="L1280">
        <v>0</v>
      </c>
      <c r="M1280">
        <v>0</v>
      </c>
      <c r="N1280">
        <v>29</v>
      </c>
      <c r="O1280">
        <v>5.52</v>
      </c>
      <c r="P1280">
        <v>36.15</v>
      </c>
      <c r="Q1280" s="18">
        <f>YEAR(A1280)</f>
        <v>2025</v>
      </c>
      <c r="R1280" s="18">
        <f>MONTH(A1280)</f>
        <v>12</v>
      </c>
      <c r="S1280" s="18">
        <f>IF(R1280&lt;4,Q1280-1,Q1280)</f>
        <v>2025</v>
      </c>
      <c r="T1280" s="18">
        <f>IF(R1280&lt;4,R1280+9,R1280-3)</f>
        <v>9</v>
      </c>
      <c r="U1280" s="18" t="str">
        <f>IF(LEN(T1280)=1,_xlfn.CONCAT(0,T1280),T1280)</f>
        <v>09</v>
      </c>
      <c r="V1280" s="18" t="str">
        <f>_xlfn.CONCAT(S1280,U1280)</f>
        <v>202509</v>
      </c>
      <c r="W1280" s="18" t="str">
        <f>_xlfn.CONCAT(TEXT(A1280,"MMM"),"-",MID(Q1280,3,2))</f>
        <v>Dec-25</v>
      </c>
      <c r="X1280" s="19">
        <f>IFERROR(IF(D1280="Sell",(H1280-P1280),-(H1280+P1280)),0)</f>
        <v>-4629.8999999999996</v>
      </c>
      <c r="Y1280" s="19">
        <f>X1280/1000</f>
        <v>-4.6298999999999992</v>
      </c>
    </row>
    <row r="1281" spans="1:25" x14ac:dyDescent="0.25">
      <c r="A1281" s="1">
        <v>46002</v>
      </c>
      <c r="B1281" t="s">
        <v>1429</v>
      </c>
      <c r="C1281" t="s">
        <v>17</v>
      </c>
      <c r="D1281" t="s">
        <v>22</v>
      </c>
      <c r="E1281">
        <v>75</v>
      </c>
      <c r="F1281">
        <v>0</v>
      </c>
      <c r="G1281">
        <v>82.25</v>
      </c>
      <c r="H1281">
        <v>6168.75</v>
      </c>
      <c r="I1281" t="s">
        <v>1437</v>
      </c>
      <c r="J1281">
        <v>0</v>
      </c>
      <c r="K1281">
        <v>2.19</v>
      </c>
      <c r="L1281">
        <v>0</v>
      </c>
      <c r="M1281">
        <v>0.01</v>
      </c>
      <c r="N1281">
        <v>29</v>
      </c>
      <c r="O1281">
        <v>5.62</v>
      </c>
      <c r="P1281">
        <v>36.82</v>
      </c>
      <c r="Q1281" s="18">
        <f>YEAR(A1281)</f>
        <v>2025</v>
      </c>
      <c r="R1281" s="18">
        <f>MONTH(A1281)</f>
        <v>12</v>
      </c>
      <c r="S1281" s="18">
        <f>IF(R1281&lt;4,Q1281-1,Q1281)</f>
        <v>2025</v>
      </c>
      <c r="T1281" s="18">
        <f>IF(R1281&lt;4,R1281+9,R1281-3)</f>
        <v>9</v>
      </c>
      <c r="U1281" s="18" t="str">
        <f>IF(LEN(T1281)=1,_xlfn.CONCAT(0,T1281),T1281)</f>
        <v>09</v>
      </c>
      <c r="V1281" s="18" t="str">
        <f>_xlfn.CONCAT(S1281,U1281)</f>
        <v>202509</v>
      </c>
      <c r="W1281" s="18" t="str">
        <f>_xlfn.CONCAT(TEXT(A1281,"MMM"),"-",MID(Q1281,3,2))</f>
        <v>Dec-25</v>
      </c>
      <c r="X1281" s="19">
        <f>IFERROR(IF(D1281="Sell",(H1281-P1281),-(H1281+P1281)),0)</f>
        <v>-6205.57</v>
      </c>
      <c r="Y1281" s="19">
        <f>X1281/1000</f>
        <v>-6.2055699999999998</v>
      </c>
    </row>
    <row r="1282" spans="1:25" x14ac:dyDescent="0.25">
      <c r="A1282" s="1">
        <v>46003</v>
      </c>
      <c r="B1282" t="s">
        <v>1429</v>
      </c>
      <c r="C1282" t="s">
        <v>17</v>
      </c>
      <c r="D1282" t="s">
        <v>18</v>
      </c>
      <c r="E1282">
        <v>750</v>
      </c>
      <c r="F1282">
        <v>0</v>
      </c>
      <c r="G1282">
        <v>13</v>
      </c>
      <c r="H1282">
        <v>9750</v>
      </c>
      <c r="I1282" t="s">
        <v>1430</v>
      </c>
      <c r="J1282">
        <v>10</v>
      </c>
      <c r="K1282">
        <v>3.46</v>
      </c>
      <c r="L1282">
        <v>0</v>
      </c>
      <c r="M1282">
        <v>0.01</v>
      </c>
      <c r="N1282">
        <v>290</v>
      </c>
      <c r="O1282">
        <v>52.82</v>
      </c>
      <c r="P1282">
        <v>356.29</v>
      </c>
      <c r="Q1282" s="18">
        <f>YEAR(A1282)</f>
        <v>2025</v>
      </c>
      <c r="R1282" s="18">
        <f>MONTH(A1282)</f>
        <v>12</v>
      </c>
      <c r="S1282" s="18">
        <f>IF(R1282&lt;4,Q1282-1,Q1282)</f>
        <v>2025</v>
      </c>
      <c r="T1282" s="18">
        <f>IF(R1282&lt;4,R1282+9,R1282-3)</f>
        <v>9</v>
      </c>
      <c r="U1282" s="18" t="str">
        <f>IF(LEN(T1282)=1,_xlfn.CONCAT(0,T1282),T1282)</f>
        <v>09</v>
      </c>
      <c r="V1282" s="18" t="str">
        <f>_xlfn.CONCAT(S1282,U1282)</f>
        <v>202509</v>
      </c>
      <c r="W1282" s="18" t="str">
        <f>_xlfn.CONCAT(TEXT(A1282,"MMM"),"-",MID(Q1282,3,2))</f>
        <v>Dec-25</v>
      </c>
      <c r="X1282" s="19">
        <f>IFERROR(IF(D1282="Sell",(H1282-P1282),-(H1282+P1282)),0)</f>
        <v>9393.7099999999991</v>
      </c>
      <c r="Y1282" s="19">
        <f>X1282/1000</f>
        <v>9.3937099999999987</v>
      </c>
    </row>
    <row r="1283" spans="1:25" x14ac:dyDescent="0.25">
      <c r="A1283" s="1">
        <v>46003</v>
      </c>
      <c r="B1283" t="s">
        <v>1429</v>
      </c>
      <c r="C1283" t="s">
        <v>17</v>
      </c>
      <c r="D1283" t="s">
        <v>22</v>
      </c>
      <c r="E1283">
        <v>150</v>
      </c>
      <c r="F1283">
        <v>0</v>
      </c>
      <c r="G1283">
        <v>18.100000000000001</v>
      </c>
      <c r="H1283">
        <v>2715</v>
      </c>
      <c r="I1283" t="s">
        <v>1431</v>
      </c>
      <c r="J1283">
        <v>0</v>
      </c>
      <c r="K1283">
        <v>0.96</v>
      </c>
      <c r="L1283">
        <v>0</v>
      </c>
      <c r="M1283">
        <v>0</v>
      </c>
      <c r="N1283">
        <v>58</v>
      </c>
      <c r="O1283">
        <v>10.62</v>
      </c>
      <c r="P1283">
        <v>69.58</v>
      </c>
      <c r="Q1283" s="18">
        <f>YEAR(A1283)</f>
        <v>2025</v>
      </c>
      <c r="R1283" s="18">
        <f>MONTH(A1283)</f>
        <v>12</v>
      </c>
      <c r="S1283" s="18">
        <f>IF(R1283&lt;4,Q1283-1,Q1283)</f>
        <v>2025</v>
      </c>
      <c r="T1283" s="18">
        <f>IF(R1283&lt;4,R1283+9,R1283-3)</f>
        <v>9</v>
      </c>
      <c r="U1283" s="18" t="str">
        <f>IF(LEN(T1283)=1,_xlfn.CONCAT(0,T1283),T1283)</f>
        <v>09</v>
      </c>
      <c r="V1283" s="18" t="str">
        <f>_xlfn.CONCAT(S1283,U1283)</f>
        <v>202509</v>
      </c>
      <c r="W1283" s="18" t="str">
        <f>_xlfn.CONCAT(TEXT(A1283,"MMM"),"-",MID(Q1283,3,2))</f>
        <v>Dec-25</v>
      </c>
      <c r="X1283" s="19">
        <f>IFERROR(IF(D1283="Sell",(H1283-P1283),-(H1283+P1283)),0)</f>
        <v>-2784.58</v>
      </c>
      <c r="Y1283" s="19">
        <f>X1283/1000</f>
        <v>-2.7845800000000001</v>
      </c>
    </row>
    <row r="1284" spans="1:25" x14ac:dyDescent="0.25">
      <c r="A1284" s="1">
        <v>46003</v>
      </c>
      <c r="B1284" t="s">
        <v>1429</v>
      </c>
      <c r="C1284" t="s">
        <v>17</v>
      </c>
      <c r="D1284" t="s">
        <v>22</v>
      </c>
      <c r="E1284">
        <v>150</v>
      </c>
      <c r="F1284">
        <v>0</v>
      </c>
      <c r="G1284">
        <v>19.25</v>
      </c>
      <c r="H1284">
        <v>2887.5</v>
      </c>
      <c r="I1284" t="s">
        <v>1432</v>
      </c>
      <c r="J1284">
        <v>0</v>
      </c>
      <c r="K1284">
        <v>1.02</v>
      </c>
      <c r="L1284">
        <v>0</v>
      </c>
      <c r="M1284">
        <v>0</v>
      </c>
      <c r="N1284">
        <v>58</v>
      </c>
      <c r="O1284">
        <v>10.64</v>
      </c>
      <c r="P1284">
        <v>69.66</v>
      </c>
      <c r="Q1284" s="18">
        <f>YEAR(A1284)</f>
        <v>2025</v>
      </c>
      <c r="R1284" s="18">
        <f>MONTH(A1284)</f>
        <v>12</v>
      </c>
      <c r="S1284" s="18">
        <f>IF(R1284&lt;4,Q1284-1,Q1284)</f>
        <v>2025</v>
      </c>
      <c r="T1284" s="18">
        <f>IF(R1284&lt;4,R1284+9,R1284-3)</f>
        <v>9</v>
      </c>
      <c r="U1284" s="18" t="str">
        <f>IF(LEN(T1284)=1,_xlfn.CONCAT(0,T1284),T1284)</f>
        <v>09</v>
      </c>
      <c r="V1284" s="18" t="str">
        <f>_xlfn.CONCAT(S1284,U1284)</f>
        <v>202509</v>
      </c>
      <c r="W1284" s="18" t="str">
        <f>_xlfn.CONCAT(TEXT(A1284,"MMM"),"-",MID(Q1284,3,2))</f>
        <v>Dec-25</v>
      </c>
      <c r="X1284" s="19">
        <f>IFERROR(IF(D1284="Sell",(H1284-P1284),-(H1284+P1284)),0)</f>
        <v>-2957.16</v>
      </c>
      <c r="Y1284" s="19">
        <f>X1284/1000</f>
        <v>-2.95716</v>
      </c>
    </row>
    <row r="1285" spans="1:25" x14ac:dyDescent="0.25">
      <c r="A1285" s="1">
        <v>46003</v>
      </c>
      <c r="B1285" t="s">
        <v>1429</v>
      </c>
      <c r="C1285" t="s">
        <v>17</v>
      </c>
      <c r="D1285" t="s">
        <v>22</v>
      </c>
      <c r="E1285">
        <v>150</v>
      </c>
      <c r="F1285">
        <v>0</v>
      </c>
      <c r="G1285">
        <v>21.25</v>
      </c>
      <c r="H1285">
        <v>3187.5</v>
      </c>
      <c r="I1285" t="s">
        <v>1433</v>
      </c>
      <c r="J1285">
        <v>0</v>
      </c>
      <c r="K1285">
        <v>1.1299999999999999</v>
      </c>
      <c r="L1285">
        <v>0</v>
      </c>
      <c r="M1285">
        <v>0</v>
      </c>
      <c r="N1285">
        <v>58</v>
      </c>
      <c r="O1285">
        <v>10.64</v>
      </c>
      <c r="P1285">
        <v>69.77</v>
      </c>
      <c r="Q1285" s="18">
        <f>YEAR(A1285)</f>
        <v>2025</v>
      </c>
      <c r="R1285" s="18">
        <f>MONTH(A1285)</f>
        <v>12</v>
      </c>
      <c r="S1285" s="18">
        <f>IF(R1285&lt;4,Q1285-1,Q1285)</f>
        <v>2025</v>
      </c>
      <c r="T1285" s="18">
        <f>IF(R1285&lt;4,R1285+9,R1285-3)</f>
        <v>9</v>
      </c>
      <c r="U1285" s="18" t="str">
        <f>IF(LEN(T1285)=1,_xlfn.CONCAT(0,T1285),T1285)</f>
        <v>09</v>
      </c>
      <c r="V1285" s="18" t="str">
        <f>_xlfn.CONCAT(S1285,U1285)</f>
        <v>202509</v>
      </c>
      <c r="W1285" s="18" t="str">
        <f>_xlfn.CONCAT(TEXT(A1285,"MMM"),"-",MID(Q1285,3,2))</f>
        <v>Dec-25</v>
      </c>
      <c r="X1285" s="19">
        <f>IFERROR(IF(D1285="Sell",(H1285-P1285),-(H1285+P1285)),0)</f>
        <v>-3257.27</v>
      </c>
      <c r="Y1285" s="19">
        <f>X1285/1000</f>
        <v>-3.2572700000000001</v>
      </c>
    </row>
    <row r="1286" spans="1:25" x14ac:dyDescent="0.25">
      <c r="A1286" s="1">
        <v>46003</v>
      </c>
      <c r="B1286" t="s">
        <v>1429</v>
      </c>
      <c r="C1286" t="s">
        <v>17</v>
      </c>
      <c r="D1286" t="s">
        <v>22</v>
      </c>
      <c r="E1286">
        <v>75</v>
      </c>
      <c r="F1286">
        <v>0</v>
      </c>
      <c r="G1286">
        <v>21.25</v>
      </c>
      <c r="H1286">
        <v>1593.75</v>
      </c>
      <c r="I1286" t="s">
        <v>1434</v>
      </c>
      <c r="J1286">
        <v>0</v>
      </c>
      <c r="K1286">
        <v>0.56999999999999995</v>
      </c>
      <c r="L1286">
        <v>0</v>
      </c>
      <c r="M1286">
        <v>0</v>
      </c>
      <c r="N1286">
        <v>29</v>
      </c>
      <c r="O1286">
        <v>5.32</v>
      </c>
      <c r="P1286">
        <v>34.89</v>
      </c>
      <c r="Q1286" s="18">
        <f>YEAR(A1286)</f>
        <v>2025</v>
      </c>
      <c r="R1286" s="18">
        <f>MONTH(A1286)</f>
        <v>12</v>
      </c>
      <c r="S1286" s="18">
        <f>IF(R1286&lt;4,Q1286-1,Q1286)</f>
        <v>2025</v>
      </c>
      <c r="T1286" s="18">
        <f>IF(R1286&lt;4,R1286+9,R1286-3)</f>
        <v>9</v>
      </c>
      <c r="U1286" s="18" t="str">
        <f>IF(LEN(T1286)=1,_xlfn.CONCAT(0,T1286),T1286)</f>
        <v>09</v>
      </c>
      <c r="V1286" s="18" t="str">
        <f>_xlfn.CONCAT(S1286,U1286)</f>
        <v>202509</v>
      </c>
      <c r="W1286" s="18" t="str">
        <f>_xlfn.CONCAT(TEXT(A1286,"MMM"),"-",MID(Q1286,3,2))</f>
        <v>Dec-25</v>
      </c>
      <c r="X1286" s="19">
        <f>IFERROR(IF(D1286="Sell",(H1286-P1286),-(H1286+P1286)),0)</f>
        <v>-1628.64</v>
      </c>
      <c r="Y1286" s="19">
        <f>X1286/1000</f>
        <v>-1.6286400000000001</v>
      </c>
    </row>
    <row r="1287" spans="1:25" x14ac:dyDescent="0.25">
      <c r="A1287" s="1">
        <v>46003</v>
      </c>
      <c r="B1287" t="s">
        <v>1429</v>
      </c>
      <c r="C1287" t="s">
        <v>17</v>
      </c>
      <c r="D1287" t="s">
        <v>22</v>
      </c>
      <c r="E1287">
        <v>75</v>
      </c>
      <c r="F1287">
        <v>0</v>
      </c>
      <c r="G1287">
        <v>29.1</v>
      </c>
      <c r="H1287">
        <v>2182.5</v>
      </c>
      <c r="I1287" t="s">
        <v>1435</v>
      </c>
      <c r="J1287">
        <v>0</v>
      </c>
      <c r="K1287">
        <v>0.78</v>
      </c>
      <c r="L1287">
        <v>0</v>
      </c>
      <c r="M1287">
        <v>0</v>
      </c>
      <c r="N1287">
        <v>29</v>
      </c>
      <c r="O1287">
        <v>5.36</v>
      </c>
      <c r="P1287">
        <v>35.14</v>
      </c>
      <c r="Q1287" s="18">
        <f>YEAR(A1287)</f>
        <v>2025</v>
      </c>
      <c r="R1287" s="18">
        <f>MONTH(A1287)</f>
        <v>12</v>
      </c>
      <c r="S1287" s="18">
        <f>IF(R1287&lt;4,Q1287-1,Q1287)</f>
        <v>2025</v>
      </c>
      <c r="T1287" s="18">
        <f>IF(R1287&lt;4,R1287+9,R1287-3)</f>
        <v>9</v>
      </c>
      <c r="U1287" s="18" t="str">
        <f>IF(LEN(T1287)=1,_xlfn.CONCAT(0,T1287),T1287)</f>
        <v>09</v>
      </c>
      <c r="V1287" s="18" t="str">
        <f>_xlfn.CONCAT(S1287,U1287)</f>
        <v>202509</v>
      </c>
      <c r="W1287" s="18" t="str">
        <f>_xlfn.CONCAT(TEXT(A1287,"MMM"),"-",MID(Q1287,3,2))</f>
        <v>Dec-25</v>
      </c>
      <c r="X1287" s="19">
        <f>IFERROR(IF(D1287="Sell",(H1287-P1287),-(H1287+P1287)),0)</f>
        <v>-2217.64</v>
      </c>
      <c r="Y1287" s="19">
        <f>X1287/1000</f>
        <v>-2.2176399999999998</v>
      </c>
    </row>
    <row r="1288" spans="1:25" x14ac:dyDescent="0.25">
      <c r="A1288" s="1">
        <v>46035</v>
      </c>
      <c r="B1288" t="s">
        <v>1949</v>
      </c>
      <c r="C1288" t="s">
        <v>17</v>
      </c>
      <c r="D1288" t="s">
        <v>22</v>
      </c>
      <c r="E1288">
        <v>65</v>
      </c>
      <c r="F1288">
        <v>0</v>
      </c>
      <c r="G1288">
        <v>67.25</v>
      </c>
      <c r="H1288">
        <v>4371.25</v>
      </c>
      <c r="I1288" t="s">
        <v>1951</v>
      </c>
      <c r="J1288">
        <v>0</v>
      </c>
      <c r="K1288">
        <v>1.55</v>
      </c>
      <c r="L1288">
        <v>0</v>
      </c>
      <c r="M1288">
        <v>0</v>
      </c>
      <c r="N1288">
        <v>29</v>
      </c>
      <c r="O1288">
        <v>5.5</v>
      </c>
      <c r="P1288">
        <v>36.049999999999997</v>
      </c>
      <c r="Q1288" s="18">
        <f>YEAR(A1288)</f>
        <v>2026</v>
      </c>
      <c r="R1288" s="18">
        <f>MONTH(A1288)</f>
        <v>1</v>
      </c>
      <c r="S1288" s="18">
        <f>IF(R1288&lt;4,Q1288-1,Q1288)</f>
        <v>2025</v>
      </c>
      <c r="T1288" s="18">
        <f>IF(R1288&lt;4,R1288+9,R1288-3)</f>
        <v>10</v>
      </c>
      <c r="U1288" s="18">
        <f>IF(LEN(T1288)=1,_xlfn.CONCAT(0,T1288),T1288)</f>
        <v>10</v>
      </c>
      <c r="V1288" s="18" t="str">
        <f>_xlfn.CONCAT(S1288,U1288)</f>
        <v>202510</v>
      </c>
      <c r="W1288" s="18" t="str">
        <f>_xlfn.CONCAT(TEXT(A1288,"MMM"),"-",MID(Q1288,3,2))</f>
        <v>Jan-26</v>
      </c>
      <c r="X1288" s="19">
        <f>IFERROR(IF(D1288="Sell",(H1288-P1288),-(H1288+P1288)),0)</f>
        <v>-4407.3</v>
      </c>
      <c r="Y1288" s="19">
        <f>X1288/1000</f>
        <v>-4.4073000000000002</v>
      </c>
    </row>
    <row r="1289" spans="1:25" x14ac:dyDescent="0.25">
      <c r="A1289" s="1">
        <v>46041</v>
      </c>
      <c r="B1289" t="s">
        <v>1949</v>
      </c>
      <c r="C1289" t="s">
        <v>17</v>
      </c>
      <c r="D1289" t="s">
        <v>18</v>
      </c>
      <c r="E1289">
        <v>65</v>
      </c>
      <c r="F1289">
        <v>0</v>
      </c>
      <c r="G1289">
        <v>4.4000000000000004</v>
      </c>
      <c r="H1289">
        <v>286</v>
      </c>
      <c r="I1289" t="s">
        <v>1950</v>
      </c>
      <c r="J1289">
        <v>0</v>
      </c>
      <c r="K1289">
        <v>0.1</v>
      </c>
      <c r="L1289">
        <v>0</v>
      </c>
      <c r="M1289">
        <v>0</v>
      </c>
      <c r="N1289">
        <v>29</v>
      </c>
      <c r="O1289">
        <v>5.24</v>
      </c>
      <c r="P1289">
        <v>34.340000000000003</v>
      </c>
      <c r="Q1289" s="18">
        <f>YEAR(A1289)</f>
        <v>2026</v>
      </c>
      <c r="R1289" s="18">
        <f>MONTH(A1289)</f>
        <v>1</v>
      </c>
      <c r="S1289" s="18">
        <f>IF(R1289&lt;4,Q1289-1,Q1289)</f>
        <v>2025</v>
      </c>
      <c r="T1289" s="18">
        <f>IF(R1289&lt;4,R1289+9,R1289-3)</f>
        <v>10</v>
      </c>
      <c r="U1289" s="18">
        <f>IF(LEN(T1289)=1,_xlfn.CONCAT(0,T1289),T1289)</f>
        <v>10</v>
      </c>
      <c r="V1289" s="18" t="str">
        <f>_xlfn.CONCAT(S1289,U1289)</f>
        <v>202510</v>
      </c>
      <c r="W1289" s="18" t="str">
        <f>_xlfn.CONCAT(TEXT(A1289,"MMM"),"-",MID(Q1289,3,2))</f>
        <v>Jan-26</v>
      </c>
      <c r="X1289" s="19">
        <f>IFERROR(IF(D1289="Sell",(H1289-P1289),-(H1289+P1289)),0)</f>
        <v>251.66</v>
      </c>
      <c r="Y1289" s="19">
        <f>X1289/1000</f>
        <v>0.25165999999999999</v>
      </c>
    </row>
    <row r="1290" spans="1:25" x14ac:dyDescent="0.25">
      <c r="A1290" s="1">
        <v>46049</v>
      </c>
      <c r="B1290" t="s">
        <v>1940</v>
      </c>
      <c r="C1290" t="s">
        <v>17</v>
      </c>
      <c r="D1290" t="s">
        <v>18</v>
      </c>
      <c r="E1290">
        <v>130</v>
      </c>
      <c r="F1290">
        <v>0</v>
      </c>
      <c r="G1290">
        <v>89.9</v>
      </c>
      <c r="H1290">
        <v>11687</v>
      </c>
      <c r="I1290" t="s">
        <v>1941</v>
      </c>
      <c r="J1290">
        <v>11.69</v>
      </c>
      <c r="K1290">
        <v>4.1500000000000004</v>
      </c>
      <c r="L1290">
        <v>0</v>
      </c>
      <c r="M1290">
        <v>0.01</v>
      </c>
      <c r="N1290">
        <v>58</v>
      </c>
      <c r="O1290">
        <v>11.18</v>
      </c>
      <c r="P1290">
        <v>85.03</v>
      </c>
      <c r="Q1290" s="18">
        <f>YEAR(A1290)</f>
        <v>2026</v>
      </c>
      <c r="R1290" s="18">
        <f>MONTH(A1290)</f>
        <v>1</v>
      </c>
      <c r="S1290" s="18">
        <f>IF(R1290&lt;4,Q1290-1,Q1290)</f>
        <v>2025</v>
      </c>
      <c r="T1290" s="18">
        <f>IF(R1290&lt;4,R1290+9,R1290-3)</f>
        <v>10</v>
      </c>
      <c r="U1290" s="18">
        <f>IF(LEN(T1290)=1,_xlfn.CONCAT(0,T1290),T1290)</f>
        <v>10</v>
      </c>
      <c r="V1290" s="18" t="str">
        <f>_xlfn.CONCAT(S1290,U1290)</f>
        <v>202510</v>
      </c>
      <c r="W1290" s="18" t="str">
        <f>_xlfn.CONCAT(TEXT(A1290,"MMM"),"-",MID(Q1290,3,2))</f>
        <v>Jan-26</v>
      </c>
      <c r="X1290" s="19">
        <f>IFERROR(IF(D1290="Sell",(H1290-P1290),-(H1290+P1290)),0)</f>
        <v>11601.97</v>
      </c>
      <c r="Y1290" s="19">
        <f>X1290/1000</f>
        <v>11.60197</v>
      </c>
    </row>
    <row r="1291" spans="1:25" x14ac:dyDescent="0.25">
      <c r="A1291" s="1">
        <v>46049</v>
      </c>
      <c r="B1291" t="s">
        <v>1940</v>
      </c>
      <c r="C1291" t="s">
        <v>17</v>
      </c>
      <c r="D1291" t="s">
        <v>22</v>
      </c>
      <c r="E1291">
        <v>65</v>
      </c>
      <c r="F1291">
        <v>0</v>
      </c>
      <c r="G1291">
        <v>82</v>
      </c>
      <c r="H1291">
        <v>5330</v>
      </c>
      <c r="I1291" t="s">
        <v>1942</v>
      </c>
      <c r="J1291">
        <v>0</v>
      </c>
      <c r="K1291">
        <v>1.89</v>
      </c>
      <c r="L1291">
        <v>0.34</v>
      </c>
      <c r="M1291">
        <v>0.01</v>
      </c>
      <c r="N1291">
        <v>29</v>
      </c>
      <c r="O1291">
        <v>5.56</v>
      </c>
      <c r="P1291">
        <v>36.799999999999997</v>
      </c>
      <c r="Q1291" s="18">
        <f>YEAR(A1291)</f>
        <v>2026</v>
      </c>
      <c r="R1291" s="18">
        <f>MONTH(A1291)</f>
        <v>1</v>
      </c>
      <c r="S1291" s="18">
        <f>IF(R1291&lt;4,Q1291-1,Q1291)</f>
        <v>2025</v>
      </c>
      <c r="T1291" s="18">
        <f>IF(R1291&lt;4,R1291+9,R1291-3)</f>
        <v>10</v>
      </c>
      <c r="U1291" s="18">
        <f>IF(LEN(T1291)=1,_xlfn.CONCAT(0,T1291),T1291)</f>
        <v>10</v>
      </c>
      <c r="V1291" s="18" t="str">
        <f>_xlfn.CONCAT(S1291,U1291)</f>
        <v>202510</v>
      </c>
      <c r="W1291" s="18" t="str">
        <f>_xlfn.CONCAT(TEXT(A1291,"MMM"),"-",MID(Q1291,3,2))</f>
        <v>Jan-26</v>
      </c>
      <c r="X1291" s="19">
        <f>IFERROR(IF(D1291="Sell",(H1291-P1291),-(H1291+P1291)),0)</f>
        <v>-5366.8</v>
      </c>
      <c r="Y1291" s="19">
        <f>X1291/1000</f>
        <v>-5.3668000000000005</v>
      </c>
    </row>
    <row r="1292" spans="1:25" x14ac:dyDescent="0.25">
      <c r="A1292" s="1">
        <v>46049</v>
      </c>
      <c r="B1292" t="s">
        <v>1940</v>
      </c>
      <c r="C1292" t="s">
        <v>17</v>
      </c>
      <c r="D1292" t="s">
        <v>22</v>
      </c>
      <c r="E1292">
        <v>65</v>
      </c>
      <c r="F1292">
        <v>0</v>
      </c>
      <c r="G1292">
        <v>91</v>
      </c>
      <c r="H1292">
        <v>5915</v>
      </c>
      <c r="I1292" t="s">
        <v>1943</v>
      </c>
      <c r="J1292">
        <v>0</v>
      </c>
      <c r="K1292">
        <v>2.1</v>
      </c>
      <c r="L1292">
        <v>0</v>
      </c>
      <c r="M1292">
        <v>0.01</v>
      </c>
      <c r="N1292">
        <v>29</v>
      </c>
      <c r="O1292">
        <v>5.6</v>
      </c>
      <c r="P1292">
        <v>36.71</v>
      </c>
      <c r="Q1292" s="18">
        <f>YEAR(A1292)</f>
        <v>2026</v>
      </c>
      <c r="R1292" s="18">
        <f>MONTH(A1292)</f>
        <v>1</v>
      </c>
      <c r="S1292" s="18">
        <f>IF(R1292&lt;4,Q1292-1,Q1292)</f>
        <v>2025</v>
      </c>
      <c r="T1292" s="18">
        <f>IF(R1292&lt;4,R1292+9,R1292-3)</f>
        <v>10</v>
      </c>
      <c r="U1292" s="18">
        <f>IF(LEN(T1292)=1,_xlfn.CONCAT(0,T1292),T1292)</f>
        <v>10</v>
      </c>
      <c r="V1292" s="18" t="str">
        <f>_xlfn.CONCAT(S1292,U1292)</f>
        <v>202510</v>
      </c>
      <c r="W1292" s="18" t="str">
        <f>_xlfn.CONCAT(TEXT(A1292,"MMM"),"-",MID(Q1292,3,2))</f>
        <v>Jan-26</v>
      </c>
      <c r="X1292" s="19">
        <f>IFERROR(IF(D1292="Sell",(H1292-P1292),-(H1292+P1292)),0)</f>
        <v>-5951.71</v>
      </c>
      <c r="Y1292" s="19">
        <f>X1292/1000</f>
        <v>-5.9517100000000003</v>
      </c>
    </row>
    <row r="1293" spans="1:25" x14ac:dyDescent="0.25">
      <c r="A1293" s="1">
        <v>46049</v>
      </c>
      <c r="B1293" t="s">
        <v>1944</v>
      </c>
      <c r="C1293" t="s">
        <v>17</v>
      </c>
      <c r="D1293" t="s">
        <v>18</v>
      </c>
      <c r="E1293">
        <v>65</v>
      </c>
      <c r="F1293">
        <v>0</v>
      </c>
      <c r="G1293">
        <v>195.25</v>
      </c>
      <c r="H1293">
        <v>12691.25</v>
      </c>
      <c r="I1293" t="s">
        <v>1945</v>
      </c>
      <c r="J1293">
        <v>12.69</v>
      </c>
      <c r="K1293">
        <v>4.51</v>
      </c>
      <c r="L1293">
        <v>0</v>
      </c>
      <c r="M1293">
        <v>0.01</v>
      </c>
      <c r="N1293">
        <v>29</v>
      </c>
      <c r="O1293">
        <v>6.04</v>
      </c>
      <c r="P1293">
        <v>52.25</v>
      </c>
      <c r="Q1293" s="18">
        <f>YEAR(A1293)</f>
        <v>2026</v>
      </c>
      <c r="R1293" s="18">
        <f>MONTH(A1293)</f>
        <v>1</v>
      </c>
      <c r="S1293" s="18">
        <f>IF(R1293&lt;4,Q1293-1,Q1293)</f>
        <v>2025</v>
      </c>
      <c r="T1293" s="18">
        <f>IF(R1293&lt;4,R1293+9,R1293-3)</f>
        <v>10</v>
      </c>
      <c r="U1293" s="18">
        <f>IF(LEN(T1293)=1,_xlfn.CONCAT(0,T1293),T1293)</f>
        <v>10</v>
      </c>
      <c r="V1293" s="18" t="str">
        <f>_xlfn.CONCAT(S1293,U1293)</f>
        <v>202510</v>
      </c>
      <c r="W1293" s="18" t="str">
        <f>_xlfn.CONCAT(TEXT(A1293,"MMM"),"-",MID(Q1293,3,2))</f>
        <v>Jan-26</v>
      </c>
      <c r="X1293" s="19">
        <f>IFERROR(IF(D1293="Sell",(H1293-P1293),-(H1293+P1293)),0)</f>
        <v>12639</v>
      </c>
      <c r="Y1293" s="19">
        <f>X1293/1000</f>
        <v>12.638999999999999</v>
      </c>
    </row>
    <row r="1294" spans="1:25" x14ac:dyDescent="0.25">
      <c r="A1294" s="1">
        <v>46049</v>
      </c>
      <c r="B1294" t="s">
        <v>1944</v>
      </c>
      <c r="C1294" t="s">
        <v>17</v>
      </c>
      <c r="D1294" t="s">
        <v>18</v>
      </c>
      <c r="E1294">
        <v>65</v>
      </c>
      <c r="F1294">
        <v>0</v>
      </c>
      <c r="G1294">
        <v>181.25</v>
      </c>
      <c r="H1294">
        <v>11781.25</v>
      </c>
      <c r="I1294" t="s">
        <v>1946</v>
      </c>
      <c r="J1294">
        <v>11.62</v>
      </c>
      <c r="K1294">
        <v>4.1900000000000004</v>
      </c>
      <c r="L1294">
        <v>0</v>
      </c>
      <c r="M1294">
        <v>0.01</v>
      </c>
      <c r="N1294">
        <v>29</v>
      </c>
      <c r="O1294">
        <v>5.98</v>
      </c>
      <c r="P1294">
        <v>50.8</v>
      </c>
      <c r="Q1294" s="18">
        <f>YEAR(A1294)</f>
        <v>2026</v>
      </c>
      <c r="R1294" s="18">
        <f>MONTH(A1294)</f>
        <v>1</v>
      </c>
      <c r="S1294" s="18">
        <f>IF(R1294&lt;4,Q1294-1,Q1294)</f>
        <v>2025</v>
      </c>
      <c r="T1294" s="18">
        <f>IF(R1294&lt;4,R1294+9,R1294-3)</f>
        <v>10</v>
      </c>
      <c r="U1294" s="18">
        <f>IF(LEN(T1294)=1,_xlfn.CONCAT(0,T1294),T1294)</f>
        <v>10</v>
      </c>
      <c r="V1294" s="18" t="str">
        <f>_xlfn.CONCAT(S1294,U1294)</f>
        <v>202510</v>
      </c>
      <c r="W1294" s="18" t="str">
        <f>_xlfn.CONCAT(TEXT(A1294,"MMM"),"-",MID(Q1294,3,2))</f>
        <v>Jan-26</v>
      </c>
      <c r="X1294" s="19">
        <f>IFERROR(IF(D1294="Sell",(H1294-P1294),-(H1294+P1294)),0)</f>
        <v>11730.45</v>
      </c>
      <c r="Y1294" s="19">
        <f>X1294/1000</f>
        <v>11.730450000000001</v>
      </c>
    </row>
    <row r="1295" spans="1:25" x14ac:dyDescent="0.25">
      <c r="A1295" s="1">
        <v>46049</v>
      </c>
      <c r="B1295" t="s">
        <v>1944</v>
      </c>
      <c r="C1295" t="s">
        <v>17</v>
      </c>
      <c r="D1295" t="s">
        <v>22</v>
      </c>
      <c r="E1295">
        <v>65</v>
      </c>
      <c r="F1295">
        <v>0</v>
      </c>
      <c r="G1295">
        <v>191.25</v>
      </c>
      <c r="H1295">
        <v>12431.25</v>
      </c>
      <c r="I1295" t="s">
        <v>1947</v>
      </c>
      <c r="J1295">
        <v>0</v>
      </c>
      <c r="K1295">
        <v>4.42</v>
      </c>
      <c r="L1295">
        <v>0</v>
      </c>
      <c r="M1295">
        <v>0.01</v>
      </c>
      <c r="N1295">
        <v>29</v>
      </c>
      <c r="O1295">
        <v>6.02</v>
      </c>
      <c r="P1295">
        <v>39.450000000000003</v>
      </c>
      <c r="Q1295" s="18">
        <f>YEAR(A1295)</f>
        <v>2026</v>
      </c>
      <c r="R1295" s="18">
        <f>MONTH(A1295)</f>
        <v>1</v>
      </c>
      <c r="S1295" s="18">
        <f>IF(R1295&lt;4,Q1295-1,Q1295)</f>
        <v>2025</v>
      </c>
      <c r="T1295" s="18">
        <f>IF(R1295&lt;4,R1295+9,R1295-3)</f>
        <v>10</v>
      </c>
      <c r="U1295" s="18">
        <f>IF(LEN(T1295)=1,_xlfn.CONCAT(0,T1295),T1295)</f>
        <v>10</v>
      </c>
      <c r="V1295" s="18" t="str">
        <f>_xlfn.CONCAT(S1295,U1295)</f>
        <v>202510</v>
      </c>
      <c r="W1295" s="18" t="str">
        <f>_xlfn.CONCAT(TEXT(A1295,"MMM"),"-",MID(Q1295,3,2))</f>
        <v>Jan-26</v>
      </c>
      <c r="X1295" s="19">
        <f>IFERROR(IF(D1295="Sell",(H1295-P1295),-(H1295+P1295)),0)</f>
        <v>-12470.7</v>
      </c>
      <c r="Y1295" s="19">
        <f>X1295/1000</f>
        <v>-12.470700000000001</v>
      </c>
    </row>
    <row r="1296" spans="1:25" x14ac:dyDescent="0.25">
      <c r="A1296" s="1">
        <v>46049</v>
      </c>
      <c r="B1296" t="s">
        <v>1944</v>
      </c>
      <c r="C1296" t="s">
        <v>17</v>
      </c>
      <c r="D1296" t="s">
        <v>22</v>
      </c>
      <c r="E1296">
        <v>65</v>
      </c>
      <c r="F1296">
        <v>0</v>
      </c>
      <c r="G1296">
        <v>109.3</v>
      </c>
      <c r="H1296">
        <v>7104.5</v>
      </c>
      <c r="I1296" t="s">
        <v>1948</v>
      </c>
      <c r="J1296">
        <v>0</v>
      </c>
      <c r="K1296">
        <v>2.52</v>
      </c>
      <c r="L1296">
        <v>0.66</v>
      </c>
      <c r="M1296">
        <v>0.01</v>
      </c>
      <c r="N1296">
        <v>29</v>
      </c>
      <c r="O1296">
        <v>5.68</v>
      </c>
      <c r="P1296">
        <v>37.869999999999997</v>
      </c>
      <c r="Q1296" s="18">
        <f>YEAR(A1296)</f>
        <v>2026</v>
      </c>
      <c r="R1296" s="18">
        <f>MONTH(A1296)</f>
        <v>1</v>
      </c>
      <c r="S1296" s="18">
        <f>IF(R1296&lt;4,Q1296-1,Q1296)</f>
        <v>2025</v>
      </c>
      <c r="T1296" s="18">
        <f>IF(R1296&lt;4,R1296+9,R1296-3)</f>
        <v>10</v>
      </c>
      <c r="U1296" s="18">
        <f>IF(LEN(T1296)=1,_xlfn.CONCAT(0,T1296),T1296)</f>
        <v>10</v>
      </c>
      <c r="V1296" s="18" t="str">
        <f>_xlfn.CONCAT(S1296,U1296)</f>
        <v>202510</v>
      </c>
      <c r="W1296" s="18" t="str">
        <f>_xlfn.CONCAT(TEXT(A1296,"MMM"),"-",MID(Q1296,3,2))</f>
        <v>Jan-26</v>
      </c>
      <c r="X1296" s="19">
        <f>IFERROR(IF(D1296="Sell",(H1296-P1296),-(H1296+P1296)),0)</f>
        <v>-7142.37</v>
      </c>
      <c r="Y1296" s="19">
        <f>X1296/1000</f>
        <v>-7.1423699999999997</v>
      </c>
    </row>
    <row r="1297" spans="1:25" x14ac:dyDescent="0.25">
      <c r="A1297" s="1">
        <v>46050</v>
      </c>
      <c r="B1297" t="s">
        <v>1922</v>
      </c>
      <c r="C1297" t="s">
        <v>17</v>
      </c>
      <c r="D1297" t="s">
        <v>18</v>
      </c>
      <c r="E1297">
        <v>195</v>
      </c>
      <c r="F1297">
        <v>0</v>
      </c>
      <c r="G1297">
        <v>209.9</v>
      </c>
      <c r="H1297">
        <v>40930.5</v>
      </c>
      <c r="I1297" t="s">
        <v>1932</v>
      </c>
      <c r="J1297">
        <v>40.93</v>
      </c>
      <c r="K1297">
        <v>14.54</v>
      </c>
      <c r="L1297">
        <v>0</v>
      </c>
      <c r="M1297">
        <v>0.04</v>
      </c>
      <c r="N1297">
        <v>87</v>
      </c>
      <c r="O1297">
        <v>18.28</v>
      </c>
      <c r="P1297">
        <v>160.79</v>
      </c>
      <c r="Q1297" s="18">
        <f>YEAR(A1297)</f>
        <v>2026</v>
      </c>
      <c r="R1297" s="18">
        <f>MONTH(A1297)</f>
        <v>1</v>
      </c>
      <c r="S1297" s="18">
        <f>IF(R1297&lt;4,Q1297-1,Q1297)</f>
        <v>2025</v>
      </c>
      <c r="T1297" s="18">
        <f>IF(R1297&lt;4,R1297+9,R1297-3)</f>
        <v>10</v>
      </c>
      <c r="U1297" s="18">
        <f>IF(LEN(T1297)=1,_xlfn.CONCAT(0,T1297),T1297)</f>
        <v>10</v>
      </c>
      <c r="V1297" s="18" t="str">
        <f>_xlfn.CONCAT(S1297,U1297)</f>
        <v>202510</v>
      </c>
      <c r="W1297" s="18" t="str">
        <f>_xlfn.CONCAT(TEXT(A1297,"MMM"),"-",MID(Q1297,3,2))</f>
        <v>Jan-26</v>
      </c>
      <c r="X1297" s="19">
        <f>IFERROR(IF(D1297="Sell",(H1297-P1297),-(H1297+P1297)),0)</f>
        <v>40769.71</v>
      </c>
      <c r="Y1297" s="19">
        <f>X1297/1000</f>
        <v>40.769709999999996</v>
      </c>
    </row>
    <row r="1298" spans="1:25" x14ac:dyDescent="0.25">
      <c r="A1298" s="1">
        <v>46050</v>
      </c>
      <c r="B1298" t="s">
        <v>1922</v>
      </c>
      <c r="C1298" t="s">
        <v>17</v>
      </c>
      <c r="D1298" t="s">
        <v>22</v>
      </c>
      <c r="E1298">
        <v>195</v>
      </c>
      <c r="F1298">
        <v>0</v>
      </c>
      <c r="G1298">
        <v>202.4</v>
      </c>
      <c r="H1298">
        <v>39468</v>
      </c>
      <c r="I1298" t="s">
        <v>1933</v>
      </c>
      <c r="J1298">
        <v>0</v>
      </c>
      <c r="K1298">
        <v>14.01</v>
      </c>
      <c r="L1298">
        <v>0</v>
      </c>
      <c r="M1298">
        <v>0.03</v>
      </c>
      <c r="N1298">
        <v>87</v>
      </c>
      <c r="O1298">
        <v>18.18</v>
      </c>
      <c r="P1298">
        <v>119.22</v>
      </c>
      <c r="Q1298" s="18">
        <f>YEAR(A1298)</f>
        <v>2026</v>
      </c>
      <c r="R1298" s="18">
        <f>MONTH(A1298)</f>
        <v>1</v>
      </c>
      <c r="S1298" s="18">
        <f>IF(R1298&lt;4,Q1298-1,Q1298)</f>
        <v>2025</v>
      </c>
      <c r="T1298" s="18">
        <f>IF(R1298&lt;4,R1298+9,R1298-3)</f>
        <v>10</v>
      </c>
      <c r="U1298" s="18">
        <f>IF(LEN(T1298)=1,_xlfn.CONCAT(0,T1298),T1298)</f>
        <v>10</v>
      </c>
      <c r="V1298" s="18" t="str">
        <f>_xlfn.CONCAT(S1298,U1298)</f>
        <v>202510</v>
      </c>
      <c r="W1298" s="18" t="str">
        <f>_xlfn.CONCAT(TEXT(A1298,"MMM"),"-",MID(Q1298,3,2))</f>
        <v>Jan-26</v>
      </c>
      <c r="X1298" s="19">
        <f>IFERROR(IF(D1298="Sell",(H1298-P1298),-(H1298+P1298)),0)</f>
        <v>-39587.22</v>
      </c>
      <c r="Y1298" s="19">
        <f>X1298/1000</f>
        <v>-39.587220000000002</v>
      </c>
    </row>
    <row r="1299" spans="1:25" x14ac:dyDescent="0.25">
      <c r="A1299" s="1">
        <v>46050</v>
      </c>
      <c r="B1299" t="s">
        <v>1934</v>
      </c>
      <c r="C1299" t="s">
        <v>17</v>
      </c>
      <c r="D1299" t="s">
        <v>18</v>
      </c>
      <c r="E1299">
        <v>195</v>
      </c>
      <c r="F1299">
        <v>0</v>
      </c>
      <c r="G1299">
        <v>179.25</v>
      </c>
      <c r="H1299">
        <v>34953.75</v>
      </c>
      <c r="I1299" t="s">
        <v>1935</v>
      </c>
      <c r="J1299">
        <v>34.950000000000003</v>
      </c>
      <c r="K1299">
        <v>12.42</v>
      </c>
      <c r="L1299">
        <v>0</v>
      </c>
      <c r="M1299">
        <v>0.04</v>
      </c>
      <c r="N1299">
        <v>87</v>
      </c>
      <c r="O1299">
        <v>17.899999999999999</v>
      </c>
      <c r="P1299">
        <v>152.31</v>
      </c>
      <c r="Q1299" s="18">
        <f>YEAR(A1299)</f>
        <v>2026</v>
      </c>
      <c r="R1299" s="18">
        <f>MONTH(A1299)</f>
        <v>1</v>
      </c>
      <c r="S1299" s="18">
        <f>IF(R1299&lt;4,Q1299-1,Q1299)</f>
        <v>2025</v>
      </c>
      <c r="T1299" s="18">
        <f>IF(R1299&lt;4,R1299+9,R1299-3)</f>
        <v>10</v>
      </c>
      <c r="U1299" s="18">
        <f>IF(LEN(T1299)=1,_xlfn.CONCAT(0,T1299),T1299)</f>
        <v>10</v>
      </c>
      <c r="V1299" s="18" t="str">
        <f>_xlfn.CONCAT(S1299,U1299)</f>
        <v>202510</v>
      </c>
      <c r="W1299" s="18" t="str">
        <f>_xlfn.CONCAT(TEXT(A1299,"MMM"),"-",MID(Q1299,3,2))</f>
        <v>Jan-26</v>
      </c>
      <c r="X1299" s="19">
        <f>IFERROR(IF(D1299="Sell",(H1299-P1299),-(H1299+P1299)),0)</f>
        <v>34801.440000000002</v>
      </c>
      <c r="Y1299" s="19">
        <f>X1299/1000</f>
        <v>34.801439999999999</v>
      </c>
    </row>
    <row r="1300" spans="1:25" x14ac:dyDescent="0.25">
      <c r="A1300" s="1">
        <v>46050</v>
      </c>
      <c r="B1300" t="s">
        <v>1934</v>
      </c>
      <c r="C1300" t="s">
        <v>17</v>
      </c>
      <c r="D1300" t="s">
        <v>22</v>
      </c>
      <c r="E1300">
        <v>65</v>
      </c>
      <c r="F1300">
        <v>0</v>
      </c>
      <c r="G1300">
        <v>190.25</v>
      </c>
      <c r="H1300">
        <v>12366.25</v>
      </c>
      <c r="I1300" t="s">
        <v>1936</v>
      </c>
      <c r="J1300">
        <v>0</v>
      </c>
      <c r="K1300">
        <v>4.3899999999999997</v>
      </c>
      <c r="L1300">
        <v>0</v>
      </c>
      <c r="M1300">
        <v>0.01</v>
      </c>
      <c r="N1300">
        <v>29</v>
      </c>
      <c r="O1300">
        <v>6.02</v>
      </c>
      <c r="P1300">
        <v>39.42</v>
      </c>
      <c r="Q1300" s="18">
        <f>YEAR(A1300)</f>
        <v>2026</v>
      </c>
      <c r="R1300" s="18">
        <f>MONTH(A1300)</f>
        <v>1</v>
      </c>
      <c r="S1300" s="18">
        <f>IF(R1300&lt;4,Q1300-1,Q1300)</f>
        <v>2025</v>
      </c>
      <c r="T1300" s="18">
        <f>IF(R1300&lt;4,R1300+9,R1300-3)</f>
        <v>10</v>
      </c>
      <c r="U1300" s="18">
        <f>IF(LEN(T1300)=1,_xlfn.CONCAT(0,T1300),T1300)</f>
        <v>10</v>
      </c>
      <c r="V1300" s="18" t="str">
        <f>_xlfn.CONCAT(S1300,U1300)</f>
        <v>202510</v>
      </c>
      <c r="W1300" s="18" t="str">
        <f>_xlfn.CONCAT(TEXT(A1300,"MMM"),"-",MID(Q1300,3,2))</f>
        <v>Jan-26</v>
      </c>
      <c r="X1300" s="19">
        <f>IFERROR(IF(D1300="Sell",(H1300-P1300),-(H1300+P1300)),0)</f>
        <v>-12405.67</v>
      </c>
      <c r="Y1300" s="19">
        <f>X1300/1000</f>
        <v>-12.405670000000001</v>
      </c>
    </row>
    <row r="1301" spans="1:25" x14ac:dyDescent="0.25">
      <c r="A1301" s="1">
        <v>46050</v>
      </c>
      <c r="B1301" t="s">
        <v>1934</v>
      </c>
      <c r="C1301" t="s">
        <v>17</v>
      </c>
      <c r="D1301" t="s">
        <v>22</v>
      </c>
      <c r="E1301">
        <v>130</v>
      </c>
      <c r="F1301">
        <v>0</v>
      </c>
      <c r="G1301">
        <v>200.4</v>
      </c>
      <c r="H1301">
        <v>26052</v>
      </c>
      <c r="I1301" t="s">
        <v>1937</v>
      </c>
      <c r="J1301">
        <v>0</v>
      </c>
      <c r="K1301">
        <v>9.26</v>
      </c>
      <c r="L1301">
        <v>1.1499999999999999</v>
      </c>
      <c r="M1301">
        <v>0.03</v>
      </c>
      <c r="N1301">
        <v>58</v>
      </c>
      <c r="O1301">
        <v>12.12</v>
      </c>
      <c r="P1301">
        <v>80.56</v>
      </c>
      <c r="Q1301" s="18">
        <f>YEAR(A1301)</f>
        <v>2026</v>
      </c>
      <c r="R1301" s="18">
        <f>MONTH(A1301)</f>
        <v>1</v>
      </c>
      <c r="S1301" s="18">
        <f>IF(R1301&lt;4,Q1301-1,Q1301)</f>
        <v>2025</v>
      </c>
      <c r="T1301" s="18">
        <f>IF(R1301&lt;4,R1301+9,R1301-3)</f>
        <v>10</v>
      </c>
      <c r="U1301" s="18">
        <f>IF(LEN(T1301)=1,_xlfn.CONCAT(0,T1301),T1301)</f>
        <v>10</v>
      </c>
      <c r="V1301" s="18" t="str">
        <f>_xlfn.CONCAT(S1301,U1301)</f>
        <v>202510</v>
      </c>
      <c r="W1301" s="18" t="str">
        <f>_xlfn.CONCAT(TEXT(A1301,"MMM"),"-",MID(Q1301,3,2))</f>
        <v>Jan-26</v>
      </c>
      <c r="X1301" s="19">
        <f>IFERROR(IF(D1301="Sell",(H1301-P1301),-(H1301+P1301)),0)</f>
        <v>-26132.560000000001</v>
      </c>
      <c r="Y1301" s="19">
        <f>X1301/1000</f>
        <v>-26.132560000000002</v>
      </c>
    </row>
    <row r="1302" spans="1:25" x14ac:dyDescent="0.25">
      <c r="A1302" s="1">
        <v>46050</v>
      </c>
      <c r="B1302" t="s">
        <v>1922</v>
      </c>
      <c r="C1302" t="s">
        <v>17</v>
      </c>
      <c r="D1302" t="s">
        <v>18</v>
      </c>
      <c r="E1302">
        <v>65</v>
      </c>
      <c r="F1302">
        <v>0</v>
      </c>
      <c r="G1302">
        <v>219.9</v>
      </c>
      <c r="H1302">
        <v>14293.5</v>
      </c>
      <c r="I1302" t="s">
        <v>1938</v>
      </c>
      <c r="J1302">
        <v>14.12</v>
      </c>
      <c r="K1302">
        <v>5.08</v>
      </c>
      <c r="L1302">
        <v>0</v>
      </c>
      <c r="M1302">
        <v>0.01</v>
      </c>
      <c r="N1302">
        <v>29</v>
      </c>
      <c r="O1302">
        <v>6.14</v>
      </c>
      <c r="P1302">
        <v>54.35</v>
      </c>
      <c r="Q1302" s="18">
        <f>YEAR(A1302)</f>
        <v>2026</v>
      </c>
      <c r="R1302" s="18">
        <f>MONTH(A1302)</f>
        <v>1</v>
      </c>
      <c r="S1302" s="18">
        <f>IF(R1302&lt;4,Q1302-1,Q1302)</f>
        <v>2025</v>
      </c>
      <c r="T1302" s="18">
        <f>IF(R1302&lt;4,R1302+9,R1302-3)</f>
        <v>10</v>
      </c>
      <c r="U1302" s="18">
        <f>IF(LEN(T1302)=1,_xlfn.CONCAT(0,T1302),T1302)</f>
        <v>10</v>
      </c>
      <c r="V1302" s="18" t="str">
        <f>_xlfn.CONCAT(S1302,U1302)</f>
        <v>202510</v>
      </c>
      <c r="W1302" s="18" t="str">
        <f>_xlfn.CONCAT(TEXT(A1302,"MMM"),"-",MID(Q1302,3,2))</f>
        <v>Jan-26</v>
      </c>
      <c r="X1302" s="19">
        <f>IFERROR(IF(D1302="Sell",(H1302-P1302),-(H1302+P1302)),0)</f>
        <v>14239.15</v>
      </c>
      <c r="Y1302" s="19">
        <f>X1302/1000</f>
        <v>14.23915</v>
      </c>
    </row>
    <row r="1303" spans="1:25" x14ac:dyDescent="0.25">
      <c r="A1303" s="1">
        <v>46050</v>
      </c>
      <c r="B1303" t="s">
        <v>1922</v>
      </c>
      <c r="C1303" t="s">
        <v>17</v>
      </c>
      <c r="D1303" t="s">
        <v>22</v>
      </c>
      <c r="E1303">
        <v>65</v>
      </c>
      <c r="F1303">
        <v>0</v>
      </c>
      <c r="G1303">
        <v>203.1</v>
      </c>
      <c r="H1303">
        <v>13201.5</v>
      </c>
      <c r="I1303" t="s">
        <v>1939</v>
      </c>
      <c r="J1303">
        <v>0</v>
      </c>
      <c r="K1303">
        <v>4.6900000000000004</v>
      </c>
      <c r="L1303">
        <v>1.85</v>
      </c>
      <c r="M1303">
        <v>0.01</v>
      </c>
      <c r="N1303">
        <v>29</v>
      </c>
      <c r="O1303">
        <v>6.06</v>
      </c>
      <c r="P1303">
        <v>41.61</v>
      </c>
      <c r="Q1303" s="18">
        <f>YEAR(A1303)</f>
        <v>2026</v>
      </c>
      <c r="R1303" s="18">
        <f>MONTH(A1303)</f>
        <v>1</v>
      </c>
      <c r="S1303" s="18">
        <f>IF(R1303&lt;4,Q1303-1,Q1303)</f>
        <v>2025</v>
      </c>
      <c r="T1303" s="18">
        <f>IF(R1303&lt;4,R1303+9,R1303-3)</f>
        <v>10</v>
      </c>
      <c r="U1303" s="18">
        <f>IF(LEN(T1303)=1,_xlfn.CONCAT(0,T1303),T1303)</f>
        <v>10</v>
      </c>
      <c r="V1303" s="18" t="str">
        <f>_xlfn.CONCAT(S1303,U1303)</f>
        <v>202510</v>
      </c>
      <c r="W1303" s="18" t="str">
        <f>_xlfn.CONCAT(TEXT(A1303,"MMM"),"-",MID(Q1303,3,2))</f>
        <v>Jan-26</v>
      </c>
      <c r="X1303" s="19">
        <f>IFERROR(IF(D1303="Sell",(H1303-P1303),-(H1303+P1303)),0)</f>
        <v>-13243.11</v>
      </c>
      <c r="Y1303" s="19">
        <f>X1303/1000</f>
        <v>-13.24311</v>
      </c>
    </row>
    <row r="1304" spans="1:25" x14ac:dyDescent="0.25">
      <c r="A1304" s="1">
        <v>46051</v>
      </c>
      <c r="B1304" t="s">
        <v>1927</v>
      </c>
      <c r="C1304" t="s">
        <v>17</v>
      </c>
      <c r="D1304" t="s">
        <v>18</v>
      </c>
      <c r="E1304">
        <v>130</v>
      </c>
      <c r="F1304">
        <v>0</v>
      </c>
      <c r="G1304">
        <v>167.8</v>
      </c>
      <c r="H1304">
        <v>21814</v>
      </c>
      <c r="I1304" t="s">
        <v>1928</v>
      </c>
      <c r="J1304">
        <v>21.81</v>
      </c>
      <c r="K1304">
        <v>7.75</v>
      </c>
      <c r="L1304">
        <v>0</v>
      </c>
      <c r="M1304">
        <v>0.02</v>
      </c>
      <c r="N1304">
        <v>58</v>
      </c>
      <c r="O1304">
        <v>11.84</v>
      </c>
      <c r="P1304">
        <v>99.42</v>
      </c>
      <c r="Q1304" s="18">
        <f>YEAR(A1304)</f>
        <v>2026</v>
      </c>
      <c r="R1304" s="18">
        <f>MONTH(A1304)</f>
        <v>1</v>
      </c>
      <c r="S1304" s="18">
        <f>IF(R1304&lt;4,Q1304-1,Q1304)</f>
        <v>2025</v>
      </c>
      <c r="T1304" s="18">
        <f>IF(R1304&lt;4,R1304+9,R1304-3)</f>
        <v>10</v>
      </c>
      <c r="U1304" s="18">
        <f>IF(LEN(T1304)=1,_xlfn.CONCAT(0,T1304),T1304)</f>
        <v>10</v>
      </c>
      <c r="V1304" s="18" t="str">
        <f>_xlfn.CONCAT(S1304,U1304)</f>
        <v>202510</v>
      </c>
      <c r="W1304" s="18" t="str">
        <f>_xlfn.CONCAT(TEXT(A1304,"MMM"),"-",MID(Q1304,3,2))</f>
        <v>Jan-26</v>
      </c>
      <c r="X1304" s="19">
        <f>IFERROR(IF(D1304="Sell",(H1304-P1304),-(H1304+P1304)),0)</f>
        <v>21714.58</v>
      </c>
      <c r="Y1304" s="19">
        <f>X1304/1000</f>
        <v>21.714580000000002</v>
      </c>
    </row>
    <row r="1305" spans="1:25" x14ac:dyDescent="0.25">
      <c r="A1305" s="1">
        <v>46051</v>
      </c>
      <c r="B1305" t="s">
        <v>1927</v>
      </c>
      <c r="C1305" t="s">
        <v>17</v>
      </c>
      <c r="D1305" t="s">
        <v>22</v>
      </c>
      <c r="E1305">
        <v>130</v>
      </c>
      <c r="F1305">
        <v>0</v>
      </c>
      <c r="G1305">
        <v>178.75</v>
      </c>
      <c r="H1305">
        <v>23237.5</v>
      </c>
      <c r="I1305" t="s">
        <v>1929</v>
      </c>
      <c r="J1305">
        <v>0</v>
      </c>
      <c r="K1305">
        <v>8.26</v>
      </c>
      <c r="L1305">
        <v>0.61</v>
      </c>
      <c r="M1305">
        <v>0.02</v>
      </c>
      <c r="N1305">
        <v>58</v>
      </c>
      <c r="O1305">
        <v>11.92</v>
      </c>
      <c r="P1305">
        <v>78.81</v>
      </c>
      <c r="Q1305" s="18">
        <f>YEAR(A1305)</f>
        <v>2026</v>
      </c>
      <c r="R1305" s="18">
        <f>MONTH(A1305)</f>
        <v>1</v>
      </c>
      <c r="S1305" s="18">
        <f>IF(R1305&lt;4,Q1305-1,Q1305)</f>
        <v>2025</v>
      </c>
      <c r="T1305" s="18">
        <f>IF(R1305&lt;4,R1305+9,R1305-3)</f>
        <v>10</v>
      </c>
      <c r="U1305" s="18">
        <f>IF(LEN(T1305)=1,_xlfn.CONCAT(0,T1305),T1305)</f>
        <v>10</v>
      </c>
      <c r="V1305" s="18" t="str">
        <f>_xlfn.CONCAT(S1305,U1305)</f>
        <v>202510</v>
      </c>
      <c r="W1305" s="18" t="str">
        <f>_xlfn.CONCAT(TEXT(A1305,"MMM"),"-",MID(Q1305,3,2))</f>
        <v>Jan-26</v>
      </c>
      <c r="X1305" s="19">
        <f>IFERROR(IF(D1305="Sell",(H1305-P1305),-(H1305+P1305)),0)</f>
        <v>-23316.31</v>
      </c>
      <c r="Y1305" s="19">
        <f>X1305/1000</f>
        <v>-23.316310000000001</v>
      </c>
    </row>
    <row r="1306" spans="1:25" x14ac:dyDescent="0.25">
      <c r="A1306" s="1">
        <v>46051</v>
      </c>
      <c r="B1306" t="s">
        <v>1909</v>
      </c>
      <c r="C1306" t="s">
        <v>17</v>
      </c>
      <c r="D1306" t="s">
        <v>18</v>
      </c>
      <c r="E1306">
        <v>65</v>
      </c>
      <c r="F1306">
        <v>0</v>
      </c>
      <c r="G1306">
        <v>161.55000000000001</v>
      </c>
      <c r="H1306">
        <v>10500.75</v>
      </c>
      <c r="I1306" t="s">
        <v>1930</v>
      </c>
      <c r="J1306">
        <v>10.19</v>
      </c>
      <c r="K1306">
        <v>3.73</v>
      </c>
      <c r="L1306">
        <v>0</v>
      </c>
      <c r="M1306">
        <v>0.01</v>
      </c>
      <c r="N1306">
        <v>29</v>
      </c>
      <c r="O1306">
        <v>5.9</v>
      </c>
      <c r="P1306">
        <v>48.83</v>
      </c>
      <c r="Q1306" s="18">
        <f>YEAR(A1306)</f>
        <v>2026</v>
      </c>
      <c r="R1306" s="18">
        <f>MONTH(A1306)</f>
        <v>1</v>
      </c>
      <c r="S1306" s="18">
        <f>IF(R1306&lt;4,Q1306-1,Q1306)</f>
        <v>2025</v>
      </c>
      <c r="T1306" s="18">
        <f>IF(R1306&lt;4,R1306+9,R1306-3)</f>
        <v>10</v>
      </c>
      <c r="U1306" s="18">
        <f>IF(LEN(T1306)=1,_xlfn.CONCAT(0,T1306),T1306)</f>
        <v>10</v>
      </c>
      <c r="V1306" s="18" t="str">
        <f>_xlfn.CONCAT(S1306,U1306)</f>
        <v>202510</v>
      </c>
      <c r="W1306" s="18" t="str">
        <f>_xlfn.CONCAT(TEXT(A1306,"MMM"),"-",MID(Q1306,3,2))</f>
        <v>Jan-26</v>
      </c>
      <c r="X1306" s="19">
        <f>IFERROR(IF(D1306="Sell",(H1306-P1306),-(H1306+P1306)),0)</f>
        <v>10451.92</v>
      </c>
      <c r="Y1306" s="19">
        <f>X1306/1000</f>
        <v>10.451919999999999</v>
      </c>
    </row>
    <row r="1307" spans="1:25" x14ac:dyDescent="0.25">
      <c r="A1307" s="1">
        <v>46051</v>
      </c>
      <c r="B1307" t="s">
        <v>1909</v>
      </c>
      <c r="C1307" t="s">
        <v>17</v>
      </c>
      <c r="D1307" t="s">
        <v>22</v>
      </c>
      <c r="E1307">
        <v>65</v>
      </c>
      <c r="F1307">
        <v>0</v>
      </c>
      <c r="G1307">
        <v>199.6</v>
      </c>
      <c r="H1307">
        <v>12974</v>
      </c>
      <c r="I1307" t="s">
        <v>1931</v>
      </c>
      <c r="J1307">
        <v>0</v>
      </c>
      <c r="K1307">
        <v>4.6100000000000003</v>
      </c>
      <c r="L1307">
        <v>0.39</v>
      </c>
      <c r="M1307">
        <v>0.01</v>
      </c>
      <c r="N1307">
        <v>29</v>
      </c>
      <c r="O1307">
        <v>6.06</v>
      </c>
      <c r="P1307">
        <v>40.07</v>
      </c>
      <c r="Q1307" s="18">
        <f>YEAR(A1307)</f>
        <v>2026</v>
      </c>
      <c r="R1307" s="18">
        <f>MONTH(A1307)</f>
        <v>1</v>
      </c>
      <c r="S1307" s="18">
        <f>IF(R1307&lt;4,Q1307-1,Q1307)</f>
        <v>2025</v>
      </c>
      <c r="T1307" s="18">
        <f>IF(R1307&lt;4,R1307+9,R1307-3)</f>
        <v>10</v>
      </c>
      <c r="U1307" s="18">
        <f>IF(LEN(T1307)=1,_xlfn.CONCAT(0,T1307),T1307)</f>
        <v>10</v>
      </c>
      <c r="V1307" s="18" t="str">
        <f>_xlfn.CONCAT(S1307,U1307)</f>
        <v>202510</v>
      </c>
      <c r="W1307" s="18" t="str">
        <f>_xlfn.CONCAT(TEXT(A1307,"MMM"),"-",MID(Q1307,3,2))</f>
        <v>Jan-26</v>
      </c>
      <c r="X1307" s="19">
        <f>IFERROR(IF(D1307="Sell",(H1307-P1307),-(H1307+P1307)),0)</f>
        <v>-13014.07</v>
      </c>
      <c r="Y1307" s="19">
        <f>X1307/1000</f>
        <v>-13.01407</v>
      </c>
    </row>
    <row r="1308" spans="1:25" x14ac:dyDescent="0.25">
      <c r="A1308" s="1">
        <v>46052</v>
      </c>
      <c r="B1308" t="s">
        <v>1917</v>
      </c>
      <c r="C1308" t="s">
        <v>17</v>
      </c>
      <c r="D1308" t="s">
        <v>18</v>
      </c>
      <c r="E1308">
        <v>65</v>
      </c>
      <c r="F1308">
        <v>0</v>
      </c>
      <c r="G1308">
        <v>251.55</v>
      </c>
      <c r="H1308">
        <v>16350.75</v>
      </c>
      <c r="I1308" t="s">
        <v>1918</v>
      </c>
      <c r="J1308">
        <v>16</v>
      </c>
      <c r="K1308">
        <v>5.81</v>
      </c>
      <c r="L1308">
        <v>0</v>
      </c>
      <c r="M1308">
        <v>0.02</v>
      </c>
      <c r="N1308">
        <v>29</v>
      </c>
      <c r="O1308">
        <v>6.26</v>
      </c>
      <c r="P1308">
        <v>57.09</v>
      </c>
      <c r="Q1308" s="18">
        <f>YEAR(A1308)</f>
        <v>2026</v>
      </c>
      <c r="R1308" s="18">
        <f>MONTH(A1308)</f>
        <v>1</v>
      </c>
      <c r="S1308" s="18">
        <f>IF(R1308&lt;4,Q1308-1,Q1308)</f>
        <v>2025</v>
      </c>
      <c r="T1308" s="18">
        <f>IF(R1308&lt;4,R1308+9,R1308-3)</f>
        <v>10</v>
      </c>
      <c r="U1308" s="18">
        <f>IF(LEN(T1308)=1,_xlfn.CONCAT(0,T1308),T1308)</f>
        <v>10</v>
      </c>
      <c r="V1308" s="18" t="str">
        <f>_xlfn.CONCAT(S1308,U1308)</f>
        <v>202510</v>
      </c>
      <c r="W1308" s="18" t="str">
        <f>_xlfn.CONCAT(TEXT(A1308,"MMM"),"-",MID(Q1308,3,2))</f>
        <v>Jan-26</v>
      </c>
      <c r="X1308" s="19">
        <f>IFERROR(IF(D1308="Sell",(H1308-P1308),-(H1308+P1308)),0)</f>
        <v>16293.66</v>
      </c>
      <c r="Y1308" s="19">
        <f>X1308/1000</f>
        <v>16.293659999999999</v>
      </c>
    </row>
    <row r="1309" spans="1:25" x14ac:dyDescent="0.25">
      <c r="A1309" s="1">
        <v>46052</v>
      </c>
      <c r="B1309" t="s">
        <v>1917</v>
      </c>
      <c r="C1309" t="s">
        <v>17</v>
      </c>
      <c r="D1309" t="s">
        <v>22</v>
      </c>
      <c r="E1309">
        <v>65</v>
      </c>
      <c r="F1309">
        <v>0</v>
      </c>
      <c r="G1309">
        <v>250.55</v>
      </c>
      <c r="H1309">
        <v>16285.75</v>
      </c>
      <c r="I1309" t="s">
        <v>1919</v>
      </c>
      <c r="J1309">
        <v>0</v>
      </c>
      <c r="K1309">
        <v>5.79</v>
      </c>
      <c r="L1309">
        <v>0</v>
      </c>
      <c r="M1309">
        <v>0.02</v>
      </c>
      <c r="N1309">
        <v>29</v>
      </c>
      <c r="O1309">
        <v>6.26</v>
      </c>
      <c r="P1309">
        <v>41.07</v>
      </c>
      <c r="Q1309" s="18">
        <f>YEAR(A1309)</f>
        <v>2026</v>
      </c>
      <c r="R1309" s="18">
        <f>MONTH(A1309)</f>
        <v>1</v>
      </c>
      <c r="S1309" s="18">
        <f>IF(R1309&lt;4,Q1309-1,Q1309)</f>
        <v>2025</v>
      </c>
      <c r="T1309" s="18">
        <f>IF(R1309&lt;4,R1309+9,R1309-3)</f>
        <v>10</v>
      </c>
      <c r="U1309" s="18">
        <f>IF(LEN(T1309)=1,_xlfn.CONCAT(0,T1309),T1309)</f>
        <v>10</v>
      </c>
      <c r="V1309" s="18" t="str">
        <f>_xlfn.CONCAT(S1309,U1309)</f>
        <v>202510</v>
      </c>
      <c r="W1309" s="18" t="str">
        <f>_xlfn.CONCAT(TEXT(A1309,"MMM"),"-",MID(Q1309,3,2))</f>
        <v>Jan-26</v>
      </c>
      <c r="X1309" s="19">
        <f>IFERROR(IF(D1309="Sell",(H1309-P1309),-(H1309+P1309)),0)</f>
        <v>-16326.82</v>
      </c>
      <c r="Y1309" s="19">
        <f>X1309/1000</f>
        <v>-16.326820000000001</v>
      </c>
    </row>
    <row r="1310" spans="1:25" x14ac:dyDescent="0.25">
      <c r="A1310" s="1">
        <v>46052</v>
      </c>
      <c r="B1310" t="s">
        <v>1917</v>
      </c>
      <c r="C1310" t="s">
        <v>17</v>
      </c>
      <c r="D1310" t="s">
        <v>18</v>
      </c>
      <c r="E1310">
        <v>65</v>
      </c>
      <c r="F1310">
        <v>0</v>
      </c>
      <c r="G1310">
        <v>259.89999999999998</v>
      </c>
      <c r="H1310">
        <v>16893.5</v>
      </c>
      <c r="I1310" t="s">
        <v>1920</v>
      </c>
      <c r="J1310">
        <v>16.89</v>
      </c>
      <c r="K1310">
        <v>6</v>
      </c>
      <c r="L1310">
        <v>0</v>
      </c>
      <c r="M1310">
        <v>0.02</v>
      </c>
      <c r="N1310">
        <v>29</v>
      </c>
      <c r="O1310">
        <v>6.3</v>
      </c>
      <c r="P1310">
        <v>58.21</v>
      </c>
      <c r="Q1310" s="18">
        <f>YEAR(A1310)</f>
        <v>2026</v>
      </c>
      <c r="R1310" s="18">
        <f>MONTH(A1310)</f>
        <v>1</v>
      </c>
      <c r="S1310" s="18">
        <f>IF(R1310&lt;4,Q1310-1,Q1310)</f>
        <v>2025</v>
      </c>
      <c r="T1310" s="18">
        <f>IF(R1310&lt;4,R1310+9,R1310-3)</f>
        <v>10</v>
      </c>
      <c r="U1310" s="18">
        <f>IF(LEN(T1310)=1,_xlfn.CONCAT(0,T1310),T1310)</f>
        <v>10</v>
      </c>
      <c r="V1310" s="18" t="str">
        <f>_xlfn.CONCAT(S1310,U1310)</f>
        <v>202510</v>
      </c>
      <c r="W1310" s="18" t="str">
        <f>_xlfn.CONCAT(TEXT(A1310,"MMM"),"-",MID(Q1310,3,2))</f>
        <v>Jan-26</v>
      </c>
      <c r="X1310" s="19">
        <f>IFERROR(IF(D1310="Sell",(H1310-P1310),-(H1310+P1310)),0)</f>
        <v>16835.29</v>
      </c>
      <c r="Y1310" s="19">
        <f>X1310/1000</f>
        <v>16.835290000000001</v>
      </c>
    </row>
    <row r="1311" spans="1:25" x14ac:dyDescent="0.25">
      <c r="A1311" s="1">
        <v>46052</v>
      </c>
      <c r="B1311" t="s">
        <v>1917</v>
      </c>
      <c r="C1311" t="s">
        <v>17</v>
      </c>
      <c r="D1311" t="s">
        <v>22</v>
      </c>
      <c r="E1311">
        <v>65</v>
      </c>
      <c r="F1311">
        <v>0</v>
      </c>
      <c r="G1311">
        <v>234.8</v>
      </c>
      <c r="H1311">
        <v>15262</v>
      </c>
      <c r="I1311" t="s">
        <v>1921</v>
      </c>
      <c r="J1311">
        <v>0</v>
      </c>
      <c r="K1311">
        <v>5.42</v>
      </c>
      <c r="L1311">
        <v>0</v>
      </c>
      <c r="M1311">
        <v>0.02</v>
      </c>
      <c r="N1311">
        <v>29</v>
      </c>
      <c r="O1311">
        <v>6.2</v>
      </c>
      <c r="P1311">
        <v>40.64</v>
      </c>
      <c r="Q1311" s="18">
        <f>YEAR(A1311)</f>
        <v>2026</v>
      </c>
      <c r="R1311" s="18">
        <f>MONTH(A1311)</f>
        <v>1</v>
      </c>
      <c r="S1311" s="18">
        <f>IF(R1311&lt;4,Q1311-1,Q1311)</f>
        <v>2025</v>
      </c>
      <c r="T1311" s="18">
        <f>IF(R1311&lt;4,R1311+9,R1311-3)</f>
        <v>10</v>
      </c>
      <c r="U1311" s="18">
        <f>IF(LEN(T1311)=1,_xlfn.CONCAT(0,T1311),T1311)</f>
        <v>10</v>
      </c>
      <c r="V1311" s="18" t="str">
        <f>_xlfn.CONCAT(S1311,U1311)</f>
        <v>202510</v>
      </c>
      <c r="W1311" s="18" t="str">
        <f>_xlfn.CONCAT(TEXT(A1311,"MMM"),"-",MID(Q1311,3,2))</f>
        <v>Jan-26</v>
      </c>
      <c r="X1311" s="19">
        <f>IFERROR(IF(D1311="Sell",(H1311-P1311),-(H1311+P1311)),0)</f>
        <v>-15302.64</v>
      </c>
      <c r="Y1311" s="19">
        <f>X1311/1000</f>
        <v>-15.30264</v>
      </c>
    </row>
    <row r="1312" spans="1:25" x14ac:dyDescent="0.25">
      <c r="A1312" s="1">
        <v>46052</v>
      </c>
      <c r="B1312" t="s">
        <v>1922</v>
      </c>
      <c r="C1312" t="s">
        <v>17</v>
      </c>
      <c r="D1312" t="s">
        <v>18</v>
      </c>
      <c r="E1312">
        <v>65</v>
      </c>
      <c r="F1312">
        <v>0</v>
      </c>
      <c r="G1312">
        <v>208.8</v>
      </c>
      <c r="H1312">
        <v>13572</v>
      </c>
      <c r="I1312" t="s">
        <v>1923</v>
      </c>
      <c r="J1312">
        <v>13.57</v>
      </c>
      <c r="K1312">
        <v>4.82</v>
      </c>
      <c r="L1312">
        <v>0</v>
      </c>
      <c r="M1312">
        <v>0.01</v>
      </c>
      <c r="N1312">
        <v>29</v>
      </c>
      <c r="O1312">
        <v>6.1</v>
      </c>
      <c r="P1312">
        <v>53.5</v>
      </c>
      <c r="Q1312" s="18">
        <f>YEAR(A1312)</f>
        <v>2026</v>
      </c>
      <c r="R1312" s="18">
        <f>MONTH(A1312)</f>
        <v>1</v>
      </c>
      <c r="S1312" s="18">
        <f>IF(R1312&lt;4,Q1312-1,Q1312)</f>
        <v>2025</v>
      </c>
      <c r="T1312" s="18">
        <f>IF(R1312&lt;4,R1312+9,R1312-3)</f>
        <v>10</v>
      </c>
      <c r="U1312" s="18">
        <f>IF(LEN(T1312)=1,_xlfn.CONCAT(0,T1312),T1312)</f>
        <v>10</v>
      </c>
      <c r="V1312" s="18" t="str">
        <f>_xlfn.CONCAT(S1312,U1312)</f>
        <v>202510</v>
      </c>
      <c r="W1312" s="18" t="str">
        <f>_xlfn.CONCAT(TEXT(A1312,"MMM"),"-",MID(Q1312,3,2))</f>
        <v>Jan-26</v>
      </c>
      <c r="X1312" s="19">
        <f>IFERROR(IF(D1312="Sell",(H1312-P1312),-(H1312+P1312)),0)</f>
        <v>13518.5</v>
      </c>
      <c r="Y1312" s="19">
        <f>X1312/1000</f>
        <v>13.5185</v>
      </c>
    </row>
    <row r="1313" spans="1:25" x14ac:dyDescent="0.25">
      <c r="A1313" s="1">
        <v>46052</v>
      </c>
      <c r="B1313" t="s">
        <v>1922</v>
      </c>
      <c r="C1313" t="s">
        <v>17</v>
      </c>
      <c r="D1313" t="s">
        <v>22</v>
      </c>
      <c r="E1313">
        <v>65</v>
      </c>
      <c r="F1313">
        <v>0</v>
      </c>
      <c r="G1313">
        <v>217.6</v>
      </c>
      <c r="H1313">
        <v>14144</v>
      </c>
      <c r="I1313" t="s">
        <v>1924</v>
      </c>
      <c r="J1313">
        <v>0</v>
      </c>
      <c r="K1313">
        <v>5.03</v>
      </c>
      <c r="L1313">
        <v>0.42</v>
      </c>
      <c r="M1313">
        <v>0.01</v>
      </c>
      <c r="N1313">
        <v>29</v>
      </c>
      <c r="O1313">
        <v>6.12</v>
      </c>
      <c r="P1313">
        <v>40.58</v>
      </c>
      <c r="Q1313" s="18">
        <f>YEAR(A1313)</f>
        <v>2026</v>
      </c>
      <c r="R1313" s="18">
        <f>MONTH(A1313)</f>
        <v>1</v>
      </c>
      <c r="S1313" s="18">
        <f>IF(R1313&lt;4,Q1313-1,Q1313)</f>
        <v>2025</v>
      </c>
      <c r="T1313" s="18">
        <f>IF(R1313&lt;4,R1313+9,R1313-3)</f>
        <v>10</v>
      </c>
      <c r="U1313" s="18">
        <f>IF(LEN(T1313)=1,_xlfn.CONCAT(0,T1313),T1313)</f>
        <v>10</v>
      </c>
      <c r="V1313" s="18" t="str">
        <f>_xlfn.CONCAT(S1313,U1313)</f>
        <v>202510</v>
      </c>
      <c r="W1313" s="18" t="str">
        <f>_xlfn.CONCAT(TEXT(A1313,"MMM"),"-",MID(Q1313,3,2))</f>
        <v>Jan-26</v>
      </c>
      <c r="X1313" s="19">
        <f>IFERROR(IF(D1313="Sell",(H1313-P1313),-(H1313+P1313)),0)</f>
        <v>-14184.58</v>
      </c>
      <c r="Y1313" s="19">
        <f>X1313/1000</f>
        <v>-14.18458</v>
      </c>
    </row>
    <row r="1314" spans="1:25" x14ac:dyDescent="0.25">
      <c r="A1314" s="1">
        <v>46052</v>
      </c>
      <c r="B1314" t="s">
        <v>1917</v>
      </c>
      <c r="C1314" t="s">
        <v>17</v>
      </c>
      <c r="D1314" t="s">
        <v>18</v>
      </c>
      <c r="E1314">
        <v>130</v>
      </c>
      <c r="F1314">
        <v>0</v>
      </c>
      <c r="G1314">
        <v>234.9</v>
      </c>
      <c r="H1314">
        <v>30537</v>
      </c>
      <c r="I1314" t="s">
        <v>1925</v>
      </c>
      <c r="J1314">
        <v>30.54</v>
      </c>
      <c r="K1314">
        <v>10.85</v>
      </c>
      <c r="L1314">
        <v>0</v>
      </c>
      <c r="M1314">
        <v>0.03</v>
      </c>
      <c r="N1314">
        <v>58</v>
      </c>
      <c r="O1314">
        <v>12.4</v>
      </c>
      <c r="P1314">
        <v>111.82</v>
      </c>
      <c r="Q1314" s="18">
        <f>YEAR(A1314)</f>
        <v>2026</v>
      </c>
      <c r="R1314" s="18">
        <f>MONTH(A1314)</f>
        <v>1</v>
      </c>
      <c r="S1314" s="18">
        <f>IF(R1314&lt;4,Q1314-1,Q1314)</f>
        <v>2025</v>
      </c>
      <c r="T1314" s="18">
        <f>IF(R1314&lt;4,R1314+9,R1314-3)</f>
        <v>10</v>
      </c>
      <c r="U1314" s="18">
        <f>IF(LEN(T1314)=1,_xlfn.CONCAT(0,T1314),T1314)</f>
        <v>10</v>
      </c>
      <c r="V1314" s="18" t="str">
        <f>_xlfn.CONCAT(S1314,U1314)</f>
        <v>202510</v>
      </c>
      <c r="W1314" s="18" t="str">
        <f>_xlfn.CONCAT(TEXT(A1314,"MMM"),"-",MID(Q1314,3,2))</f>
        <v>Jan-26</v>
      </c>
      <c r="X1314" s="19">
        <f>IFERROR(IF(D1314="Sell",(H1314-P1314),-(H1314+P1314)),0)</f>
        <v>30425.18</v>
      </c>
      <c r="Y1314" s="19">
        <f>X1314/1000</f>
        <v>30.425180000000001</v>
      </c>
    </row>
    <row r="1315" spans="1:25" x14ac:dyDescent="0.25">
      <c r="A1315" s="1">
        <v>46052</v>
      </c>
      <c r="B1315" t="s">
        <v>1917</v>
      </c>
      <c r="C1315" t="s">
        <v>17</v>
      </c>
      <c r="D1315" t="s">
        <v>22</v>
      </c>
      <c r="E1315">
        <v>130</v>
      </c>
      <c r="F1315">
        <v>0</v>
      </c>
      <c r="G1315">
        <v>201.25</v>
      </c>
      <c r="H1315">
        <v>26162.5</v>
      </c>
      <c r="I1315" t="s">
        <v>1926</v>
      </c>
      <c r="J1315">
        <v>0</v>
      </c>
      <c r="K1315">
        <v>9.3000000000000007</v>
      </c>
      <c r="L1315">
        <v>1.58</v>
      </c>
      <c r="M1315">
        <v>0.02</v>
      </c>
      <c r="N1315">
        <v>58</v>
      </c>
      <c r="O1315">
        <v>12.12</v>
      </c>
      <c r="P1315">
        <v>81.02</v>
      </c>
      <c r="Q1315" s="18">
        <f>YEAR(A1315)</f>
        <v>2026</v>
      </c>
      <c r="R1315" s="18">
        <f>MONTH(A1315)</f>
        <v>1</v>
      </c>
      <c r="S1315" s="18">
        <f>IF(R1315&lt;4,Q1315-1,Q1315)</f>
        <v>2025</v>
      </c>
      <c r="T1315" s="18">
        <f>IF(R1315&lt;4,R1315+9,R1315-3)</f>
        <v>10</v>
      </c>
      <c r="U1315" s="18">
        <f>IF(LEN(T1315)=1,_xlfn.CONCAT(0,T1315),T1315)</f>
        <v>10</v>
      </c>
      <c r="V1315" s="18" t="str">
        <f>_xlfn.CONCAT(S1315,U1315)</f>
        <v>202510</v>
      </c>
      <c r="W1315" s="18" t="str">
        <f>_xlfn.CONCAT(TEXT(A1315,"MMM"),"-",MID(Q1315,3,2))</f>
        <v>Jan-26</v>
      </c>
      <c r="X1315" s="19">
        <f>IFERROR(IF(D1315="Sell",(H1315-P1315),-(H1315+P1315)),0)</f>
        <v>-26243.52</v>
      </c>
      <c r="Y1315" s="19">
        <f>X1315/1000</f>
        <v>-26.24352</v>
      </c>
    </row>
    <row r="1316" spans="1:25" x14ac:dyDescent="0.25">
      <c r="A1316" s="1">
        <v>46054</v>
      </c>
      <c r="B1316" t="s">
        <v>1906</v>
      </c>
      <c r="C1316" t="s">
        <v>17</v>
      </c>
      <c r="D1316" t="s">
        <v>18</v>
      </c>
      <c r="E1316">
        <v>65</v>
      </c>
      <c r="F1316">
        <v>0</v>
      </c>
      <c r="G1316">
        <v>197.25</v>
      </c>
      <c r="H1316">
        <v>12821.25</v>
      </c>
      <c r="I1316" t="s">
        <v>1907</v>
      </c>
      <c r="J1316">
        <v>12.82</v>
      </c>
      <c r="K1316">
        <v>4.5599999999999996</v>
      </c>
      <c r="L1316">
        <v>0</v>
      </c>
      <c r="M1316">
        <v>0.01</v>
      </c>
      <c r="N1316">
        <v>29</v>
      </c>
      <c r="O1316">
        <v>6.04</v>
      </c>
      <c r="P1316">
        <v>52.43</v>
      </c>
      <c r="Q1316" s="18">
        <f>YEAR(A1316)</f>
        <v>2026</v>
      </c>
      <c r="R1316" s="18">
        <f>MONTH(A1316)</f>
        <v>2</v>
      </c>
      <c r="S1316" s="18">
        <f>IF(R1316&lt;4,Q1316-1,Q1316)</f>
        <v>2025</v>
      </c>
      <c r="T1316" s="18">
        <f>IF(R1316&lt;4,R1316+9,R1316-3)</f>
        <v>11</v>
      </c>
      <c r="U1316" s="18">
        <f>IF(LEN(T1316)=1,_xlfn.CONCAT(0,T1316),T1316)</f>
        <v>11</v>
      </c>
      <c r="V1316" s="18" t="str">
        <f>_xlfn.CONCAT(S1316,U1316)</f>
        <v>202511</v>
      </c>
      <c r="W1316" s="18" t="str">
        <f>_xlfn.CONCAT(TEXT(A1316,"MMM"),"-",MID(Q1316,3,2))</f>
        <v>Feb-26</v>
      </c>
      <c r="X1316" s="19">
        <f>IFERROR(IF(D1316="Sell",(H1316-P1316),-(H1316+P1316)),0)</f>
        <v>12768.82</v>
      </c>
      <c r="Y1316" s="19">
        <f>X1316/1000</f>
        <v>12.76882</v>
      </c>
    </row>
    <row r="1317" spans="1:25" x14ac:dyDescent="0.25">
      <c r="A1317" s="1">
        <v>46054</v>
      </c>
      <c r="B1317" t="s">
        <v>1906</v>
      </c>
      <c r="C1317" t="s">
        <v>17</v>
      </c>
      <c r="D1317" t="s">
        <v>22</v>
      </c>
      <c r="E1317">
        <v>65</v>
      </c>
      <c r="F1317">
        <v>0</v>
      </c>
      <c r="G1317">
        <v>182.5</v>
      </c>
      <c r="H1317">
        <v>11862.5</v>
      </c>
      <c r="I1317" t="s">
        <v>1908</v>
      </c>
      <c r="J1317">
        <v>0</v>
      </c>
      <c r="K1317">
        <v>4.21</v>
      </c>
      <c r="L1317">
        <v>0.36</v>
      </c>
      <c r="M1317">
        <v>0.01</v>
      </c>
      <c r="N1317">
        <v>29</v>
      </c>
      <c r="O1317">
        <v>5.98</v>
      </c>
      <c r="P1317">
        <v>39.56</v>
      </c>
      <c r="Q1317" s="18">
        <f>YEAR(A1317)</f>
        <v>2026</v>
      </c>
      <c r="R1317" s="18">
        <f>MONTH(A1317)</f>
        <v>2</v>
      </c>
      <c r="S1317" s="18">
        <f>IF(R1317&lt;4,Q1317-1,Q1317)</f>
        <v>2025</v>
      </c>
      <c r="T1317" s="18">
        <f>IF(R1317&lt;4,R1317+9,R1317-3)</f>
        <v>11</v>
      </c>
      <c r="U1317" s="18">
        <f>IF(LEN(T1317)=1,_xlfn.CONCAT(0,T1317),T1317)</f>
        <v>11</v>
      </c>
      <c r="V1317" s="18" t="str">
        <f>_xlfn.CONCAT(S1317,U1317)</f>
        <v>202511</v>
      </c>
      <c r="W1317" s="18" t="str">
        <f>_xlfn.CONCAT(TEXT(A1317,"MMM"),"-",MID(Q1317,3,2))</f>
        <v>Feb-26</v>
      </c>
      <c r="X1317" s="19">
        <f>IFERROR(IF(D1317="Sell",(H1317-P1317),-(H1317+P1317)),0)</f>
        <v>-11902.06</v>
      </c>
      <c r="Y1317" s="19">
        <f>X1317/1000</f>
        <v>-11.902059999999999</v>
      </c>
    </row>
    <row r="1318" spans="1:25" x14ac:dyDescent="0.25">
      <c r="A1318" s="1">
        <v>46054</v>
      </c>
      <c r="B1318" t="s">
        <v>1909</v>
      </c>
      <c r="C1318" t="s">
        <v>17</v>
      </c>
      <c r="D1318" t="s">
        <v>18</v>
      </c>
      <c r="E1318">
        <v>130</v>
      </c>
      <c r="F1318">
        <v>0</v>
      </c>
      <c r="G1318">
        <v>80.849999999999994</v>
      </c>
      <c r="H1318">
        <v>10510.5</v>
      </c>
      <c r="I1318" t="s">
        <v>1910</v>
      </c>
      <c r="J1318">
        <v>10.52</v>
      </c>
      <c r="K1318">
        <v>3.74</v>
      </c>
      <c r="L1318">
        <v>0</v>
      </c>
      <c r="M1318">
        <v>0.02</v>
      </c>
      <c r="N1318">
        <v>58</v>
      </c>
      <c r="O1318">
        <v>11.12</v>
      </c>
      <c r="P1318">
        <v>83.4</v>
      </c>
      <c r="Q1318" s="18">
        <f>YEAR(A1318)</f>
        <v>2026</v>
      </c>
      <c r="R1318" s="18">
        <f>MONTH(A1318)</f>
        <v>2</v>
      </c>
      <c r="S1318" s="18">
        <f>IF(R1318&lt;4,Q1318-1,Q1318)</f>
        <v>2025</v>
      </c>
      <c r="T1318" s="18">
        <f>IF(R1318&lt;4,R1318+9,R1318-3)</f>
        <v>11</v>
      </c>
      <c r="U1318" s="18">
        <f>IF(LEN(T1318)=1,_xlfn.CONCAT(0,T1318),T1318)</f>
        <v>11</v>
      </c>
      <c r="V1318" s="18" t="str">
        <f>_xlfn.CONCAT(S1318,U1318)</f>
        <v>202511</v>
      </c>
      <c r="W1318" s="18" t="str">
        <f>_xlfn.CONCAT(TEXT(A1318,"MMM"),"-",MID(Q1318,3,2))</f>
        <v>Feb-26</v>
      </c>
      <c r="X1318" s="19">
        <f>IFERROR(IF(D1318="Sell",(H1318-P1318),-(H1318+P1318)),0)</f>
        <v>10427.1</v>
      </c>
      <c r="Y1318" s="19">
        <f>X1318/1000</f>
        <v>10.427100000000001</v>
      </c>
    </row>
    <row r="1319" spans="1:25" x14ac:dyDescent="0.25">
      <c r="A1319" s="1">
        <v>46054</v>
      </c>
      <c r="B1319" t="s">
        <v>1909</v>
      </c>
      <c r="C1319" t="s">
        <v>17</v>
      </c>
      <c r="D1319" t="s">
        <v>22</v>
      </c>
      <c r="E1319">
        <v>130</v>
      </c>
      <c r="F1319">
        <v>0</v>
      </c>
      <c r="G1319">
        <v>67.150000000000006</v>
      </c>
      <c r="H1319">
        <v>8729.5</v>
      </c>
      <c r="I1319" t="s">
        <v>1911</v>
      </c>
      <c r="J1319">
        <v>0</v>
      </c>
      <c r="K1319">
        <v>3.1</v>
      </c>
      <c r="L1319">
        <v>0.23</v>
      </c>
      <c r="M1319">
        <v>0.01</v>
      </c>
      <c r="N1319">
        <v>58</v>
      </c>
      <c r="O1319">
        <v>11</v>
      </c>
      <c r="P1319">
        <v>72.34</v>
      </c>
      <c r="Q1319" s="18">
        <f>YEAR(A1319)</f>
        <v>2026</v>
      </c>
      <c r="R1319" s="18">
        <f>MONTH(A1319)</f>
        <v>2</v>
      </c>
      <c r="S1319" s="18">
        <f>IF(R1319&lt;4,Q1319-1,Q1319)</f>
        <v>2025</v>
      </c>
      <c r="T1319" s="18">
        <f>IF(R1319&lt;4,R1319+9,R1319-3)</f>
        <v>11</v>
      </c>
      <c r="U1319" s="18">
        <f>IF(LEN(T1319)=1,_xlfn.CONCAT(0,T1319),T1319)</f>
        <v>11</v>
      </c>
      <c r="V1319" s="18" t="str">
        <f>_xlfn.CONCAT(S1319,U1319)</f>
        <v>202511</v>
      </c>
      <c r="W1319" s="18" t="str">
        <f>_xlfn.CONCAT(TEXT(A1319,"MMM"),"-",MID(Q1319,3,2))</f>
        <v>Feb-26</v>
      </c>
      <c r="X1319" s="19">
        <f>IFERROR(IF(D1319="Sell",(H1319-P1319),-(H1319+P1319)),0)</f>
        <v>-8801.84</v>
      </c>
      <c r="Y1319" s="19">
        <f>X1319/1000</f>
        <v>-8.8018400000000003</v>
      </c>
    </row>
    <row r="1320" spans="1:25" x14ac:dyDescent="0.25">
      <c r="A1320" s="1">
        <v>46054</v>
      </c>
      <c r="B1320" t="s">
        <v>1912</v>
      </c>
      <c r="C1320" t="s">
        <v>17</v>
      </c>
      <c r="D1320" t="s">
        <v>18</v>
      </c>
      <c r="E1320">
        <v>65</v>
      </c>
      <c r="F1320">
        <v>0</v>
      </c>
      <c r="G1320">
        <v>202</v>
      </c>
      <c r="H1320">
        <v>13130</v>
      </c>
      <c r="I1320" t="s">
        <v>1913</v>
      </c>
      <c r="J1320">
        <v>13.13</v>
      </c>
      <c r="K1320">
        <v>4.67</v>
      </c>
      <c r="L1320">
        <v>0</v>
      </c>
      <c r="M1320">
        <v>0.01</v>
      </c>
      <c r="N1320">
        <v>29</v>
      </c>
      <c r="O1320">
        <v>6.06</v>
      </c>
      <c r="P1320">
        <v>52.87</v>
      </c>
      <c r="Q1320" s="18">
        <f>YEAR(A1320)</f>
        <v>2026</v>
      </c>
      <c r="R1320" s="18">
        <f>MONTH(A1320)</f>
        <v>2</v>
      </c>
      <c r="S1320" s="18">
        <f>IF(R1320&lt;4,Q1320-1,Q1320)</f>
        <v>2025</v>
      </c>
      <c r="T1320" s="18">
        <f>IF(R1320&lt;4,R1320+9,R1320-3)</f>
        <v>11</v>
      </c>
      <c r="U1320" s="18">
        <f>IF(LEN(T1320)=1,_xlfn.CONCAT(0,T1320),T1320)</f>
        <v>11</v>
      </c>
      <c r="V1320" s="18" t="str">
        <f>_xlfn.CONCAT(S1320,U1320)</f>
        <v>202511</v>
      </c>
      <c r="W1320" s="18" t="str">
        <f>_xlfn.CONCAT(TEXT(A1320,"MMM"),"-",MID(Q1320,3,2))</f>
        <v>Feb-26</v>
      </c>
      <c r="X1320" s="19">
        <f>IFERROR(IF(D1320="Sell",(H1320-P1320),-(H1320+P1320)),0)</f>
        <v>13077.13</v>
      </c>
      <c r="Y1320" s="19">
        <f>X1320/1000</f>
        <v>13.077129999999999</v>
      </c>
    </row>
    <row r="1321" spans="1:25" x14ac:dyDescent="0.25">
      <c r="A1321" s="1">
        <v>46054</v>
      </c>
      <c r="B1321" t="s">
        <v>1912</v>
      </c>
      <c r="C1321" t="s">
        <v>17</v>
      </c>
      <c r="D1321" t="s">
        <v>22</v>
      </c>
      <c r="E1321">
        <v>65</v>
      </c>
      <c r="F1321">
        <v>0</v>
      </c>
      <c r="G1321">
        <v>208.65</v>
      </c>
      <c r="H1321">
        <v>13562.25</v>
      </c>
      <c r="I1321" t="s">
        <v>1914</v>
      </c>
      <c r="J1321">
        <v>0</v>
      </c>
      <c r="K1321">
        <v>4.82</v>
      </c>
      <c r="L1321">
        <v>0.41</v>
      </c>
      <c r="M1321">
        <v>0.01</v>
      </c>
      <c r="N1321">
        <v>29</v>
      </c>
      <c r="O1321">
        <v>6.1</v>
      </c>
      <c r="P1321">
        <v>40.340000000000003</v>
      </c>
      <c r="Q1321" s="18">
        <f>YEAR(A1321)</f>
        <v>2026</v>
      </c>
      <c r="R1321" s="18">
        <f>MONTH(A1321)</f>
        <v>2</v>
      </c>
      <c r="S1321" s="18">
        <f>IF(R1321&lt;4,Q1321-1,Q1321)</f>
        <v>2025</v>
      </c>
      <c r="T1321" s="18">
        <f>IF(R1321&lt;4,R1321+9,R1321-3)</f>
        <v>11</v>
      </c>
      <c r="U1321" s="18">
        <f>IF(LEN(T1321)=1,_xlfn.CONCAT(0,T1321),T1321)</f>
        <v>11</v>
      </c>
      <c r="V1321" s="18" t="str">
        <f>_xlfn.CONCAT(S1321,U1321)</f>
        <v>202511</v>
      </c>
      <c r="W1321" s="18" t="str">
        <f>_xlfn.CONCAT(TEXT(A1321,"MMM"),"-",MID(Q1321,3,2))</f>
        <v>Feb-26</v>
      </c>
      <c r="X1321" s="19">
        <f>IFERROR(IF(D1321="Sell",(H1321-P1321),-(H1321+P1321)),0)</f>
        <v>-13602.59</v>
      </c>
      <c r="Y1321" s="19">
        <f>X1321/1000</f>
        <v>-13.602589999999999</v>
      </c>
    </row>
    <row r="1322" spans="1:25" x14ac:dyDescent="0.25">
      <c r="A1322" s="1">
        <v>46054</v>
      </c>
      <c r="B1322" t="s">
        <v>1909</v>
      </c>
      <c r="C1322" t="s">
        <v>17</v>
      </c>
      <c r="D1322" t="s">
        <v>18</v>
      </c>
      <c r="E1322">
        <v>65</v>
      </c>
      <c r="F1322">
        <v>0</v>
      </c>
      <c r="G1322">
        <v>208</v>
      </c>
      <c r="H1322">
        <v>13520</v>
      </c>
      <c r="I1322" t="s">
        <v>1915</v>
      </c>
      <c r="J1322">
        <v>13.54</v>
      </c>
      <c r="K1322">
        <v>4.8</v>
      </c>
      <c r="L1322">
        <v>0</v>
      </c>
      <c r="M1322">
        <v>0.01</v>
      </c>
      <c r="N1322">
        <v>29</v>
      </c>
      <c r="O1322">
        <v>6.08</v>
      </c>
      <c r="P1322">
        <v>53.43</v>
      </c>
      <c r="Q1322" s="18">
        <f>YEAR(A1322)</f>
        <v>2026</v>
      </c>
      <c r="R1322" s="18">
        <f>MONTH(A1322)</f>
        <v>2</v>
      </c>
      <c r="S1322" s="18">
        <f>IF(R1322&lt;4,Q1322-1,Q1322)</f>
        <v>2025</v>
      </c>
      <c r="T1322" s="18">
        <f>IF(R1322&lt;4,R1322+9,R1322-3)</f>
        <v>11</v>
      </c>
      <c r="U1322" s="18">
        <f>IF(LEN(T1322)=1,_xlfn.CONCAT(0,T1322),T1322)</f>
        <v>11</v>
      </c>
      <c r="V1322" s="18" t="str">
        <f>_xlfn.CONCAT(S1322,U1322)</f>
        <v>202511</v>
      </c>
      <c r="W1322" s="18" t="str">
        <f>_xlfn.CONCAT(TEXT(A1322,"MMM"),"-",MID(Q1322,3,2))</f>
        <v>Feb-26</v>
      </c>
      <c r="X1322" s="19">
        <f>IFERROR(IF(D1322="Sell",(H1322-P1322),-(H1322+P1322)),0)</f>
        <v>13466.57</v>
      </c>
      <c r="Y1322" s="19">
        <f>X1322/1000</f>
        <v>13.466569999999999</v>
      </c>
    </row>
    <row r="1323" spans="1:25" x14ac:dyDescent="0.25">
      <c r="A1323" s="1">
        <v>46054</v>
      </c>
      <c r="B1323" t="s">
        <v>1909</v>
      </c>
      <c r="C1323" t="s">
        <v>17</v>
      </c>
      <c r="D1323" t="s">
        <v>22</v>
      </c>
      <c r="E1323">
        <v>65</v>
      </c>
      <c r="F1323">
        <v>0</v>
      </c>
      <c r="G1323">
        <v>203.65</v>
      </c>
      <c r="H1323">
        <v>13237.25</v>
      </c>
      <c r="I1323" t="s">
        <v>1916</v>
      </c>
      <c r="J1323">
        <v>0</v>
      </c>
      <c r="K1323">
        <v>4.7</v>
      </c>
      <c r="L1323">
        <v>0</v>
      </c>
      <c r="M1323">
        <v>0.01</v>
      </c>
      <c r="N1323">
        <v>29</v>
      </c>
      <c r="O1323">
        <v>6.06</v>
      </c>
      <c r="P1323">
        <v>39.770000000000003</v>
      </c>
      <c r="Q1323" s="18">
        <f>YEAR(A1323)</f>
        <v>2026</v>
      </c>
      <c r="R1323" s="18">
        <f>MONTH(A1323)</f>
        <v>2</v>
      </c>
      <c r="S1323" s="18">
        <f>IF(R1323&lt;4,Q1323-1,Q1323)</f>
        <v>2025</v>
      </c>
      <c r="T1323" s="18">
        <f>IF(R1323&lt;4,R1323+9,R1323-3)</f>
        <v>11</v>
      </c>
      <c r="U1323" s="18">
        <f>IF(LEN(T1323)=1,_xlfn.CONCAT(0,T1323),T1323)</f>
        <v>11</v>
      </c>
      <c r="V1323" s="18" t="str">
        <f>_xlfn.CONCAT(S1323,U1323)</f>
        <v>202511</v>
      </c>
      <c r="W1323" s="18" t="str">
        <f>_xlfn.CONCAT(TEXT(A1323,"MMM"),"-",MID(Q1323,3,2))</f>
        <v>Feb-26</v>
      </c>
      <c r="X1323" s="19">
        <f>IFERROR(IF(D1323="Sell",(H1323-P1323),-(H1323+P1323)),0)</f>
        <v>-13277.02</v>
      </c>
      <c r="Y1323" s="19">
        <f>X1323/1000</f>
        <v>-13.27702</v>
      </c>
    </row>
    <row r="1324" spans="1:25" x14ac:dyDescent="0.25">
      <c r="A1324" s="1">
        <v>46055</v>
      </c>
      <c r="B1324" t="s">
        <v>1895</v>
      </c>
      <c r="C1324" t="s">
        <v>17</v>
      </c>
      <c r="D1324" t="s">
        <v>18</v>
      </c>
      <c r="E1324">
        <v>130</v>
      </c>
      <c r="F1324">
        <v>0</v>
      </c>
      <c r="G1324">
        <v>147.9</v>
      </c>
      <c r="H1324">
        <v>19227</v>
      </c>
      <c r="I1324" t="s">
        <v>1896</v>
      </c>
      <c r="J1324">
        <v>19.22</v>
      </c>
      <c r="K1324">
        <v>6.84</v>
      </c>
      <c r="L1324">
        <v>0</v>
      </c>
      <c r="M1324">
        <v>0.02</v>
      </c>
      <c r="N1324">
        <v>58</v>
      </c>
      <c r="O1324">
        <v>11.68</v>
      </c>
      <c r="P1324">
        <v>95.76</v>
      </c>
      <c r="Q1324" s="18">
        <f>YEAR(A1324)</f>
        <v>2026</v>
      </c>
      <c r="R1324" s="18">
        <f>MONTH(A1324)</f>
        <v>2</v>
      </c>
      <c r="S1324" s="18">
        <f>IF(R1324&lt;4,Q1324-1,Q1324)</f>
        <v>2025</v>
      </c>
      <c r="T1324" s="18">
        <f>IF(R1324&lt;4,R1324+9,R1324-3)</f>
        <v>11</v>
      </c>
      <c r="U1324" s="18">
        <f>IF(LEN(T1324)=1,_xlfn.CONCAT(0,T1324),T1324)</f>
        <v>11</v>
      </c>
      <c r="V1324" s="18" t="str">
        <f>_xlfn.CONCAT(S1324,U1324)</f>
        <v>202511</v>
      </c>
      <c r="W1324" s="18" t="str">
        <f>_xlfn.CONCAT(TEXT(A1324,"MMM"),"-",MID(Q1324,3,2))</f>
        <v>Feb-26</v>
      </c>
      <c r="X1324" s="19">
        <f>IFERROR(IF(D1324="Sell",(H1324-P1324),-(H1324+P1324)),0)</f>
        <v>19131.240000000002</v>
      </c>
      <c r="Y1324" s="19">
        <f>X1324/1000</f>
        <v>19.131240000000002</v>
      </c>
    </row>
    <row r="1325" spans="1:25" x14ac:dyDescent="0.25">
      <c r="A1325" s="1">
        <v>46055</v>
      </c>
      <c r="B1325" t="s">
        <v>1895</v>
      </c>
      <c r="C1325" t="s">
        <v>17</v>
      </c>
      <c r="D1325" t="s">
        <v>22</v>
      </c>
      <c r="E1325">
        <v>130</v>
      </c>
      <c r="F1325">
        <v>0</v>
      </c>
      <c r="G1325">
        <v>121.75</v>
      </c>
      <c r="H1325">
        <v>15827.5</v>
      </c>
      <c r="I1325" t="s">
        <v>1897</v>
      </c>
      <c r="J1325">
        <v>0</v>
      </c>
      <c r="K1325">
        <v>5.62</v>
      </c>
      <c r="L1325">
        <v>0.47</v>
      </c>
      <c r="M1325">
        <v>0.02</v>
      </c>
      <c r="N1325">
        <v>58</v>
      </c>
      <c r="O1325">
        <v>11.46</v>
      </c>
      <c r="P1325">
        <v>75.569999999999993</v>
      </c>
      <c r="Q1325" s="18">
        <f>YEAR(A1325)</f>
        <v>2026</v>
      </c>
      <c r="R1325" s="18">
        <f>MONTH(A1325)</f>
        <v>2</v>
      </c>
      <c r="S1325" s="18">
        <f>IF(R1325&lt;4,Q1325-1,Q1325)</f>
        <v>2025</v>
      </c>
      <c r="T1325" s="18">
        <f>IF(R1325&lt;4,R1325+9,R1325-3)</f>
        <v>11</v>
      </c>
      <c r="U1325" s="18">
        <f>IF(LEN(T1325)=1,_xlfn.CONCAT(0,T1325),T1325)</f>
        <v>11</v>
      </c>
      <c r="V1325" s="18" t="str">
        <f>_xlfn.CONCAT(S1325,U1325)</f>
        <v>202511</v>
      </c>
      <c r="W1325" s="18" t="str">
        <f>_xlfn.CONCAT(TEXT(A1325,"MMM"),"-",MID(Q1325,3,2))</f>
        <v>Feb-26</v>
      </c>
      <c r="X1325" s="19">
        <f>IFERROR(IF(D1325="Sell",(H1325-P1325),-(H1325+P1325)),0)</f>
        <v>-15903.07</v>
      </c>
      <c r="Y1325" s="19">
        <f>X1325/1000</f>
        <v>-15.90307</v>
      </c>
    </row>
    <row r="1326" spans="1:25" x14ac:dyDescent="0.25">
      <c r="A1326" s="1">
        <v>46055</v>
      </c>
      <c r="B1326" t="s">
        <v>1898</v>
      </c>
      <c r="C1326" t="s">
        <v>17</v>
      </c>
      <c r="D1326" t="s">
        <v>18</v>
      </c>
      <c r="E1326">
        <v>65</v>
      </c>
      <c r="F1326">
        <v>0</v>
      </c>
      <c r="G1326">
        <v>209.9</v>
      </c>
      <c r="H1326">
        <v>13643.5</v>
      </c>
      <c r="I1326" t="s">
        <v>1899</v>
      </c>
      <c r="J1326">
        <v>13.64</v>
      </c>
      <c r="K1326">
        <v>4.8499999999999996</v>
      </c>
      <c r="L1326">
        <v>0</v>
      </c>
      <c r="M1326">
        <v>0.01</v>
      </c>
      <c r="N1326">
        <v>29</v>
      </c>
      <c r="O1326">
        <v>6.1</v>
      </c>
      <c r="P1326">
        <v>53.6</v>
      </c>
      <c r="Q1326" s="18">
        <f>YEAR(A1326)</f>
        <v>2026</v>
      </c>
      <c r="R1326" s="18">
        <f>MONTH(A1326)</f>
        <v>2</v>
      </c>
      <c r="S1326" s="18">
        <f>IF(R1326&lt;4,Q1326-1,Q1326)</f>
        <v>2025</v>
      </c>
      <c r="T1326" s="18">
        <f>IF(R1326&lt;4,R1326+9,R1326-3)</f>
        <v>11</v>
      </c>
      <c r="U1326" s="18">
        <f>IF(LEN(T1326)=1,_xlfn.CONCAT(0,T1326),T1326)</f>
        <v>11</v>
      </c>
      <c r="V1326" s="18" t="str">
        <f>_xlfn.CONCAT(S1326,U1326)</f>
        <v>202511</v>
      </c>
      <c r="W1326" s="18" t="str">
        <f>_xlfn.CONCAT(TEXT(A1326,"MMM"),"-",MID(Q1326,3,2))</f>
        <v>Feb-26</v>
      </c>
      <c r="X1326" s="19">
        <f>IFERROR(IF(D1326="Sell",(H1326-P1326),-(H1326+P1326)),0)</f>
        <v>13589.9</v>
      </c>
      <c r="Y1326" s="19">
        <f>X1326/1000</f>
        <v>13.5899</v>
      </c>
    </row>
    <row r="1327" spans="1:25" x14ac:dyDescent="0.25">
      <c r="A1327" s="1">
        <v>46055</v>
      </c>
      <c r="B1327" t="s">
        <v>1898</v>
      </c>
      <c r="C1327" t="s">
        <v>17</v>
      </c>
      <c r="D1327" t="s">
        <v>22</v>
      </c>
      <c r="E1327">
        <v>65</v>
      </c>
      <c r="F1327">
        <v>0</v>
      </c>
      <c r="G1327">
        <v>192.55</v>
      </c>
      <c r="H1327">
        <v>12515.75</v>
      </c>
      <c r="I1327" t="s">
        <v>1900</v>
      </c>
      <c r="J1327">
        <v>0</v>
      </c>
      <c r="K1327">
        <v>4.45</v>
      </c>
      <c r="L1327">
        <v>0</v>
      </c>
      <c r="M1327">
        <v>0.01</v>
      </c>
      <c r="N1327">
        <v>29</v>
      </c>
      <c r="O1327">
        <v>6.02</v>
      </c>
      <c r="P1327">
        <v>39.479999999999997</v>
      </c>
      <c r="Q1327" s="18">
        <f>YEAR(A1327)</f>
        <v>2026</v>
      </c>
      <c r="R1327" s="18">
        <f>MONTH(A1327)</f>
        <v>2</v>
      </c>
      <c r="S1327" s="18">
        <f>IF(R1327&lt;4,Q1327-1,Q1327)</f>
        <v>2025</v>
      </c>
      <c r="T1327" s="18">
        <f>IF(R1327&lt;4,R1327+9,R1327-3)</f>
        <v>11</v>
      </c>
      <c r="U1327" s="18">
        <f>IF(LEN(T1327)=1,_xlfn.CONCAT(0,T1327),T1327)</f>
        <v>11</v>
      </c>
      <c r="V1327" s="18" t="str">
        <f>_xlfn.CONCAT(S1327,U1327)</f>
        <v>202511</v>
      </c>
      <c r="W1327" s="18" t="str">
        <f>_xlfn.CONCAT(TEXT(A1327,"MMM"),"-",MID(Q1327,3,2))</f>
        <v>Feb-26</v>
      </c>
      <c r="X1327" s="19">
        <f>IFERROR(IF(D1327="Sell",(H1327-P1327),-(H1327+P1327)),0)</f>
        <v>-12555.23</v>
      </c>
      <c r="Y1327" s="19">
        <f>X1327/1000</f>
        <v>-12.55523</v>
      </c>
    </row>
    <row r="1328" spans="1:25" x14ac:dyDescent="0.25">
      <c r="A1328" s="1">
        <v>46055</v>
      </c>
      <c r="B1328" t="s">
        <v>1898</v>
      </c>
      <c r="C1328" t="s">
        <v>17</v>
      </c>
      <c r="D1328" t="s">
        <v>18</v>
      </c>
      <c r="E1328">
        <v>65</v>
      </c>
      <c r="F1328">
        <v>0</v>
      </c>
      <c r="G1328">
        <v>114.15</v>
      </c>
      <c r="H1328">
        <v>7419.75</v>
      </c>
      <c r="I1328" t="s">
        <v>1901</v>
      </c>
      <c r="J1328">
        <v>7.42</v>
      </c>
      <c r="K1328">
        <v>2.64</v>
      </c>
      <c r="L1328">
        <v>0</v>
      </c>
      <c r="M1328">
        <v>0.01</v>
      </c>
      <c r="N1328">
        <v>29</v>
      </c>
      <c r="O1328">
        <v>5.7</v>
      </c>
      <c r="P1328">
        <v>44.77</v>
      </c>
      <c r="Q1328" s="18">
        <f>YEAR(A1328)</f>
        <v>2026</v>
      </c>
      <c r="R1328" s="18">
        <f>MONTH(A1328)</f>
        <v>2</v>
      </c>
      <c r="S1328" s="18">
        <f>IF(R1328&lt;4,Q1328-1,Q1328)</f>
        <v>2025</v>
      </c>
      <c r="T1328" s="18">
        <f>IF(R1328&lt;4,R1328+9,R1328-3)</f>
        <v>11</v>
      </c>
      <c r="U1328" s="18">
        <f>IF(LEN(T1328)=1,_xlfn.CONCAT(0,T1328),T1328)</f>
        <v>11</v>
      </c>
      <c r="V1328" s="18" t="str">
        <f>_xlfn.CONCAT(S1328,U1328)</f>
        <v>202511</v>
      </c>
      <c r="W1328" s="18" t="str">
        <f>_xlfn.CONCAT(TEXT(A1328,"MMM"),"-",MID(Q1328,3,2))</f>
        <v>Feb-26</v>
      </c>
      <c r="X1328" s="19">
        <f>IFERROR(IF(D1328="Sell",(H1328-P1328),-(H1328+P1328)),0)</f>
        <v>7374.98</v>
      </c>
      <c r="Y1328" s="19">
        <f>X1328/1000</f>
        <v>7.3749799999999999</v>
      </c>
    </row>
    <row r="1329" spans="1:25" x14ac:dyDescent="0.25">
      <c r="A1329" s="1">
        <v>46055</v>
      </c>
      <c r="B1329" t="s">
        <v>1898</v>
      </c>
      <c r="C1329" t="s">
        <v>17</v>
      </c>
      <c r="D1329" t="s">
        <v>22</v>
      </c>
      <c r="E1329">
        <v>65</v>
      </c>
      <c r="F1329">
        <v>0</v>
      </c>
      <c r="G1329">
        <v>116.4</v>
      </c>
      <c r="H1329">
        <v>7566</v>
      </c>
      <c r="I1329" t="s">
        <v>1902</v>
      </c>
      <c r="J1329">
        <v>0</v>
      </c>
      <c r="K1329">
        <v>2.69</v>
      </c>
      <c r="L1329">
        <v>0.19</v>
      </c>
      <c r="M1329">
        <v>0.01</v>
      </c>
      <c r="N1329">
        <v>29</v>
      </c>
      <c r="O1329">
        <v>5.7</v>
      </c>
      <c r="P1329">
        <v>37.590000000000003</v>
      </c>
      <c r="Q1329" s="18">
        <f>YEAR(A1329)</f>
        <v>2026</v>
      </c>
      <c r="R1329" s="18">
        <f>MONTH(A1329)</f>
        <v>2</v>
      </c>
      <c r="S1329" s="18">
        <f>IF(R1329&lt;4,Q1329-1,Q1329)</f>
        <v>2025</v>
      </c>
      <c r="T1329" s="18">
        <f>IF(R1329&lt;4,R1329+9,R1329-3)</f>
        <v>11</v>
      </c>
      <c r="U1329" s="18">
        <f>IF(LEN(T1329)=1,_xlfn.CONCAT(0,T1329),T1329)</f>
        <v>11</v>
      </c>
      <c r="V1329" s="18" t="str">
        <f>_xlfn.CONCAT(S1329,U1329)</f>
        <v>202511</v>
      </c>
      <c r="W1329" s="18" t="str">
        <f>_xlfn.CONCAT(TEXT(A1329,"MMM"),"-",MID(Q1329,3,2))</f>
        <v>Feb-26</v>
      </c>
      <c r="X1329" s="19">
        <f>IFERROR(IF(D1329="Sell",(H1329-P1329),-(H1329+P1329)),0)</f>
        <v>-7603.59</v>
      </c>
      <c r="Y1329" s="19">
        <f>X1329/1000</f>
        <v>-7.6035900000000005</v>
      </c>
    </row>
    <row r="1330" spans="1:25" x14ac:dyDescent="0.25">
      <c r="A1330" s="1">
        <v>46055</v>
      </c>
      <c r="B1330" t="s">
        <v>1903</v>
      </c>
      <c r="C1330" t="s">
        <v>17</v>
      </c>
      <c r="D1330" t="s">
        <v>18</v>
      </c>
      <c r="E1330">
        <v>65</v>
      </c>
      <c r="F1330">
        <v>0</v>
      </c>
      <c r="G1330">
        <v>196.9</v>
      </c>
      <c r="H1330">
        <v>12798.5</v>
      </c>
      <c r="I1330" t="s">
        <v>1904</v>
      </c>
      <c r="J1330">
        <v>12.71</v>
      </c>
      <c r="K1330">
        <v>4.55</v>
      </c>
      <c r="L1330">
        <v>0</v>
      </c>
      <c r="M1330">
        <v>0.01</v>
      </c>
      <c r="N1330">
        <v>29</v>
      </c>
      <c r="O1330">
        <v>6.04</v>
      </c>
      <c r="P1330">
        <v>52.31</v>
      </c>
      <c r="Q1330" s="18">
        <f>YEAR(A1330)</f>
        <v>2026</v>
      </c>
      <c r="R1330" s="18">
        <f>MONTH(A1330)</f>
        <v>2</v>
      </c>
      <c r="S1330" s="18">
        <f>IF(R1330&lt;4,Q1330-1,Q1330)</f>
        <v>2025</v>
      </c>
      <c r="T1330" s="18">
        <f>IF(R1330&lt;4,R1330+9,R1330-3)</f>
        <v>11</v>
      </c>
      <c r="U1330" s="18">
        <f>IF(LEN(T1330)=1,_xlfn.CONCAT(0,T1330),T1330)</f>
        <v>11</v>
      </c>
      <c r="V1330" s="18" t="str">
        <f>_xlfn.CONCAT(S1330,U1330)</f>
        <v>202511</v>
      </c>
      <c r="W1330" s="18" t="str">
        <f>_xlfn.CONCAT(TEXT(A1330,"MMM"),"-",MID(Q1330,3,2))</f>
        <v>Feb-26</v>
      </c>
      <c r="X1330" s="19">
        <f>IFERROR(IF(D1330="Sell",(H1330-P1330),-(H1330+P1330)),0)</f>
        <v>12746.19</v>
      </c>
      <c r="Y1330" s="19">
        <f>X1330/1000</f>
        <v>12.74619</v>
      </c>
    </row>
    <row r="1331" spans="1:25" x14ac:dyDescent="0.25">
      <c r="A1331" s="1">
        <v>46055</v>
      </c>
      <c r="B1331" t="s">
        <v>1903</v>
      </c>
      <c r="C1331" t="s">
        <v>17</v>
      </c>
      <c r="D1331" t="s">
        <v>22</v>
      </c>
      <c r="E1331">
        <v>65</v>
      </c>
      <c r="F1331">
        <v>0</v>
      </c>
      <c r="G1331">
        <v>176.65</v>
      </c>
      <c r="H1331">
        <v>11482.25</v>
      </c>
      <c r="I1331" t="s">
        <v>1905</v>
      </c>
      <c r="J1331">
        <v>0</v>
      </c>
      <c r="K1331">
        <v>4.08</v>
      </c>
      <c r="L1331">
        <v>0.34</v>
      </c>
      <c r="M1331">
        <v>0.01</v>
      </c>
      <c r="N1331">
        <v>29</v>
      </c>
      <c r="O1331">
        <v>5.96</v>
      </c>
      <c r="P1331">
        <v>39.39</v>
      </c>
      <c r="Q1331" s="18">
        <f>YEAR(A1331)</f>
        <v>2026</v>
      </c>
      <c r="R1331" s="18">
        <f>MONTH(A1331)</f>
        <v>2</v>
      </c>
      <c r="S1331" s="18">
        <f>IF(R1331&lt;4,Q1331-1,Q1331)</f>
        <v>2025</v>
      </c>
      <c r="T1331" s="18">
        <f>IF(R1331&lt;4,R1331+9,R1331-3)</f>
        <v>11</v>
      </c>
      <c r="U1331" s="18">
        <f>IF(LEN(T1331)=1,_xlfn.CONCAT(0,T1331),T1331)</f>
        <v>11</v>
      </c>
      <c r="V1331" s="18" t="str">
        <f>_xlfn.CONCAT(S1331,U1331)</f>
        <v>202511</v>
      </c>
      <c r="W1331" s="18" t="str">
        <f>_xlfn.CONCAT(TEXT(A1331,"MMM"),"-",MID(Q1331,3,2))</f>
        <v>Feb-26</v>
      </c>
      <c r="X1331" s="19">
        <f>IFERROR(IF(D1331="Sell",(H1331-P1331),-(H1331+P1331)),0)</f>
        <v>-11521.64</v>
      </c>
      <c r="Y1331" s="19">
        <f>X1331/1000</f>
        <v>-11.52164</v>
      </c>
    </row>
    <row r="1332" spans="1:25" x14ac:dyDescent="0.25">
      <c r="A1332" s="1">
        <v>46056</v>
      </c>
      <c r="B1332" t="s">
        <v>1890</v>
      </c>
      <c r="C1332" t="s">
        <v>17</v>
      </c>
      <c r="D1332" t="s">
        <v>18</v>
      </c>
      <c r="E1332">
        <v>195</v>
      </c>
      <c r="F1332">
        <v>0</v>
      </c>
      <c r="G1332">
        <v>109.9</v>
      </c>
      <c r="H1332">
        <v>21430.5</v>
      </c>
      <c r="I1332" t="s">
        <v>1891</v>
      </c>
      <c r="J1332">
        <v>21</v>
      </c>
      <c r="K1332">
        <v>7.61</v>
      </c>
      <c r="L1332">
        <v>0</v>
      </c>
      <c r="M1332">
        <v>0.02</v>
      </c>
      <c r="N1332">
        <v>87</v>
      </c>
      <c r="O1332">
        <v>17.04</v>
      </c>
      <c r="P1332">
        <v>132.66999999999999</v>
      </c>
      <c r="Q1332" s="18">
        <f>YEAR(A1332)</f>
        <v>2026</v>
      </c>
      <c r="R1332" s="18">
        <f>MONTH(A1332)</f>
        <v>2</v>
      </c>
      <c r="S1332" s="18">
        <f>IF(R1332&lt;4,Q1332-1,Q1332)</f>
        <v>2025</v>
      </c>
      <c r="T1332" s="18">
        <f>IF(R1332&lt;4,R1332+9,R1332-3)</f>
        <v>11</v>
      </c>
      <c r="U1332" s="18">
        <f>IF(LEN(T1332)=1,_xlfn.CONCAT(0,T1332),T1332)</f>
        <v>11</v>
      </c>
      <c r="V1332" s="18" t="str">
        <f>_xlfn.CONCAT(S1332,U1332)</f>
        <v>202511</v>
      </c>
      <c r="W1332" s="18" t="str">
        <f>_xlfn.CONCAT(TEXT(A1332,"MMM"),"-",MID(Q1332,3,2))</f>
        <v>Feb-26</v>
      </c>
      <c r="X1332" s="19">
        <f>IFERROR(IF(D1332="Sell",(H1332-P1332),-(H1332+P1332)),0)</f>
        <v>21297.83</v>
      </c>
      <c r="Y1332" s="19">
        <f>X1332/1000</f>
        <v>21.297830000000001</v>
      </c>
    </row>
    <row r="1333" spans="1:25" x14ac:dyDescent="0.25">
      <c r="A1333" s="1">
        <v>46056</v>
      </c>
      <c r="B1333" t="s">
        <v>1890</v>
      </c>
      <c r="C1333" t="s">
        <v>17</v>
      </c>
      <c r="D1333" t="s">
        <v>22</v>
      </c>
      <c r="E1333">
        <v>65</v>
      </c>
      <c r="F1333">
        <v>0</v>
      </c>
      <c r="G1333">
        <v>102.35</v>
      </c>
      <c r="H1333">
        <v>6652.75</v>
      </c>
      <c r="I1333" t="s">
        <v>1892</v>
      </c>
      <c r="J1333">
        <v>0</v>
      </c>
      <c r="K1333">
        <v>2.36</v>
      </c>
      <c r="L1333">
        <v>0</v>
      </c>
      <c r="M1333">
        <v>0.01</v>
      </c>
      <c r="N1333">
        <v>29</v>
      </c>
      <c r="O1333">
        <v>5.64</v>
      </c>
      <c r="P1333">
        <v>37.01</v>
      </c>
      <c r="Q1333" s="18">
        <f>YEAR(A1333)</f>
        <v>2026</v>
      </c>
      <c r="R1333" s="18">
        <f>MONTH(A1333)</f>
        <v>2</v>
      </c>
      <c r="S1333" s="18">
        <f>IF(R1333&lt;4,Q1333-1,Q1333)</f>
        <v>2025</v>
      </c>
      <c r="T1333" s="18">
        <f>IF(R1333&lt;4,R1333+9,R1333-3)</f>
        <v>11</v>
      </c>
      <c r="U1333" s="18">
        <f>IF(LEN(T1333)=1,_xlfn.CONCAT(0,T1333),T1333)</f>
        <v>11</v>
      </c>
      <c r="V1333" s="18" t="str">
        <f>_xlfn.CONCAT(S1333,U1333)</f>
        <v>202511</v>
      </c>
      <c r="W1333" s="18" t="str">
        <f>_xlfn.CONCAT(TEXT(A1333,"MMM"),"-",MID(Q1333,3,2))</f>
        <v>Feb-26</v>
      </c>
      <c r="X1333" s="19">
        <f>IFERROR(IF(D1333="Sell",(H1333-P1333),-(H1333+P1333)),0)</f>
        <v>-6689.76</v>
      </c>
      <c r="Y1333" s="19">
        <f>X1333/1000</f>
        <v>-6.6897600000000006</v>
      </c>
    </row>
    <row r="1334" spans="1:25" x14ac:dyDescent="0.25">
      <c r="A1334" s="1">
        <v>46056</v>
      </c>
      <c r="B1334" t="s">
        <v>1890</v>
      </c>
      <c r="C1334" t="s">
        <v>17</v>
      </c>
      <c r="D1334" t="s">
        <v>22</v>
      </c>
      <c r="E1334">
        <v>65</v>
      </c>
      <c r="F1334">
        <v>0</v>
      </c>
      <c r="G1334">
        <v>161.1</v>
      </c>
      <c r="H1334">
        <v>10471.5</v>
      </c>
      <c r="I1334" t="s">
        <v>1893</v>
      </c>
      <c r="J1334">
        <v>0</v>
      </c>
      <c r="K1334">
        <v>3.72</v>
      </c>
      <c r="L1334">
        <v>0</v>
      </c>
      <c r="M1334">
        <v>0.01</v>
      </c>
      <c r="N1334">
        <v>29</v>
      </c>
      <c r="O1334">
        <v>5.9</v>
      </c>
      <c r="P1334">
        <v>38.630000000000003</v>
      </c>
      <c r="Q1334" s="18">
        <f>YEAR(A1334)</f>
        <v>2026</v>
      </c>
      <c r="R1334" s="18">
        <f>MONTH(A1334)</f>
        <v>2</v>
      </c>
      <c r="S1334" s="18">
        <f>IF(R1334&lt;4,Q1334-1,Q1334)</f>
        <v>2025</v>
      </c>
      <c r="T1334" s="18">
        <f>IF(R1334&lt;4,R1334+9,R1334-3)</f>
        <v>11</v>
      </c>
      <c r="U1334" s="18">
        <f>IF(LEN(T1334)=1,_xlfn.CONCAT(0,T1334),T1334)</f>
        <v>11</v>
      </c>
      <c r="V1334" s="18" t="str">
        <f>_xlfn.CONCAT(S1334,U1334)</f>
        <v>202511</v>
      </c>
      <c r="W1334" s="18" t="str">
        <f>_xlfn.CONCAT(TEXT(A1334,"MMM"),"-",MID(Q1334,3,2))</f>
        <v>Feb-26</v>
      </c>
      <c r="X1334" s="19">
        <f>IFERROR(IF(D1334="Sell",(H1334-P1334),-(H1334+P1334)),0)</f>
        <v>-10510.13</v>
      </c>
      <c r="Y1334" s="19">
        <f>X1334/1000</f>
        <v>-10.510129999999998</v>
      </c>
    </row>
    <row r="1335" spans="1:25" x14ac:dyDescent="0.25">
      <c r="A1335" s="1">
        <v>46056</v>
      </c>
      <c r="B1335" t="s">
        <v>1890</v>
      </c>
      <c r="C1335" t="s">
        <v>17</v>
      </c>
      <c r="D1335" t="s">
        <v>22</v>
      </c>
      <c r="E1335">
        <v>65</v>
      </c>
      <c r="F1335">
        <v>0</v>
      </c>
      <c r="G1335">
        <v>149.30000000000001</v>
      </c>
      <c r="H1335">
        <v>9704.5</v>
      </c>
      <c r="I1335" t="s">
        <v>1894</v>
      </c>
      <c r="J1335">
        <v>0</v>
      </c>
      <c r="K1335">
        <v>3.45</v>
      </c>
      <c r="L1335">
        <v>1</v>
      </c>
      <c r="M1335">
        <v>0.01</v>
      </c>
      <c r="N1335">
        <v>29</v>
      </c>
      <c r="O1335">
        <v>5.84</v>
      </c>
      <c r="P1335">
        <v>39.299999999999997</v>
      </c>
      <c r="Q1335" s="18">
        <f>YEAR(A1335)</f>
        <v>2026</v>
      </c>
      <c r="R1335" s="18">
        <f>MONTH(A1335)</f>
        <v>2</v>
      </c>
      <c r="S1335" s="18">
        <f>IF(R1335&lt;4,Q1335-1,Q1335)</f>
        <v>2025</v>
      </c>
      <c r="T1335" s="18">
        <f>IF(R1335&lt;4,R1335+9,R1335-3)</f>
        <v>11</v>
      </c>
      <c r="U1335" s="18">
        <f>IF(LEN(T1335)=1,_xlfn.CONCAT(0,T1335),T1335)</f>
        <v>11</v>
      </c>
      <c r="V1335" s="18" t="str">
        <f>_xlfn.CONCAT(S1335,U1335)</f>
        <v>202511</v>
      </c>
      <c r="W1335" s="18" t="str">
        <f>_xlfn.CONCAT(TEXT(A1335,"MMM"),"-",MID(Q1335,3,2))</f>
        <v>Feb-26</v>
      </c>
      <c r="X1335" s="19">
        <f>IFERROR(IF(D1335="Sell",(H1335-P1335),-(H1335+P1335)),0)</f>
        <v>-9743.7999999999993</v>
      </c>
      <c r="Y1335" s="19">
        <f>X1335/1000</f>
        <v>-9.7437999999999985</v>
      </c>
    </row>
    <row r="1336" spans="1:25" x14ac:dyDescent="0.25">
      <c r="A1336" s="1">
        <v>46057</v>
      </c>
      <c r="B1336" t="s">
        <v>1880</v>
      </c>
      <c r="C1336" t="s">
        <v>17</v>
      </c>
      <c r="D1336" t="s">
        <v>18</v>
      </c>
      <c r="E1336">
        <v>65</v>
      </c>
      <c r="F1336">
        <v>0</v>
      </c>
      <c r="G1336">
        <v>174</v>
      </c>
      <c r="H1336">
        <v>11310</v>
      </c>
      <c r="I1336" t="s">
        <v>1881</v>
      </c>
      <c r="J1336">
        <v>11.31</v>
      </c>
      <c r="K1336">
        <v>4.0199999999999996</v>
      </c>
      <c r="L1336">
        <v>0</v>
      </c>
      <c r="M1336">
        <v>0.01</v>
      </c>
      <c r="N1336">
        <v>29</v>
      </c>
      <c r="O1336">
        <v>5.94</v>
      </c>
      <c r="P1336">
        <v>50.28</v>
      </c>
      <c r="Q1336" s="18">
        <f>YEAR(A1336)</f>
        <v>2026</v>
      </c>
      <c r="R1336" s="18">
        <f>MONTH(A1336)</f>
        <v>2</v>
      </c>
      <c r="S1336" s="18">
        <f>IF(R1336&lt;4,Q1336-1,Q1336)</f>
        <v>2025</v>
      </c>
      <c r="T1336" s="18">
        <f>IF(R1336&lt;4,R1336+9,R1336-3)</f>
        <v>11</v>
      </c>
      <c r="U1336" s="18">
        <f>IF(LEN(T1336)=1,_xlfn.CONCAT(0,T1336),T1336)</f>
        <v>11</v>
      </c>
      <c r="V1336" s="18" t="str">
        <f>_xlfn.CONCAT(S1336,U1336)</f>
        <v>202511</v>
      </c>
      <c r="W1336" s="18" t="str">
        <f>_xlfn.CONCAT(TEXT(A1336,"MMM"),"-",MID(Q1336,3,2))</f>
        <v>Feb-26</v>
      </c>
      <c r="X1336" s="19">
        <f>IFERROR(IF(D1336="Sell",(H1336-P1336),-(H1336+P1336)),0)</f>
        <v>11259.72</v>
      </c>
      <c r="Y1336" s="19">
        <f>X1336/1000</f>
        <v>11.25972</v>
      </c>
    </row>
    <row r="1337" spans="1:25" x14ac:dyDescent="0.25">
      <c r="A1337" s="1">
        <v>46057</v>
      </c>
      <c r="B1337" t="s">
        <v>1880</v>
      </c>
      <c r="C1337" t="s">
        <v>17</v>
      </c>
      <c r="D1337" t="s">
        <v>22</v>
      </c>
      <c r="E1337">
        <v>65</v>
      </c>
      <c r="F1337">
        <v>0</v>
      </c>
      <c r="G1337">
        <v>174.5</v>
      </c>
      <c r="H1337">
        <v>11342.5</v>
      </c>
      <c r="I1337" t="s">
        <v>1882</v>
      </c>
      <c r="J1337">
        <v>0</v>
      </c>
      <c r="K1337">
        <v>4.03</v>
      </c>
      <c r="L1337">
        <v>0.34</v>
      </c>
      <c r="M1337">
        <v>0.01</v>
      </c>
      <c r="N1337">
        <v>29</v>
      </c>
      <c r="O1337">
        <v>5.94</v>
      </c>
      <c r="P1337">
        <v>39.32</v>
      </c>
      <c r="Q1337" s="18">
        <f>YEAR(A1337)</f>
        <v>2026</v>
      </c>
      <c r="R1337" s="18">
        <f>MONTH(A1337)</f>
        <v>2</v>
      </c>
      <c r="S1337" s="18">
        <f>IF(R1337&lt;4,Q1337-1,Q1337)</f>
        <v>2025</v>
      </c>
      <c r="T1337" s="18">
        <f>IF(R1337&lt;4,R1337+9,R1337-3)</f>
        <v>11</v>
      </c>
      <c r="U1337" s="18">
        <f>IF(LEN(T1337)=1,_xlfn.CONCAT(0,T1337),T1337)</f>
        <v>11</v>
      </c>
      <c r="V1337" s="18" t="str">
        <f>_xlfn.CONCAT(S1337,U1337)</f>
        <v>202511</v>
      </c>
      <c r="W1337" s="18" t="str">
        <f>_xlfn.CONCAT(TEXT(A1337,"MMM"),"-",MID(Q1337,3,2))</f>
        <v>Feb-26</v>
      </c>
      <c r="X1337" s="19">
        <f>IFERROR(IF(D1337="Sell",(H1337-P1337),-(H1337+P1337)),0)</f>
        <v>-11381.82</v>
      </c>
      <c r="Y1337" s="19">
        <f>X1337/1000</f>
        <v>-11.381819999999999</v>
      </c>
    </row>
    <row r="1338" spans="1:25" x14ac:dyDescent="0.25">
      <c r="A1338" s="1">
        <v>46057</v>
      </c>
      <c r="B1338" t="s">
        <v>1883</v>
      </c>
      <c r="C1338" t="s">
        <v>17</v>
      </c>
      <c r="D1338" t="s">
        <v>18</v>
      </c>
      <c r="E1338">
        <v>65</v>
      </c>
      <c r="F1338">
        <v>0</v>
      </c>
      <c r="G1338">
        <v>169.9</v>
      </c>
      <c r="H1338">
        <v>11043.5</v>
      </c>
      <c r="I1338" t="s">
        <v>1884</v>
      </c>
      <c r="J1338">
        <v>11.04</v>
      </c>
      <c r="K1338">
        <v>3.92</v>
      </c>
      <c r="L1338">
        <v>0</v>
      </c>
      <c r="M1338">
        <v>0.01</v>
      </c>
      <c r="N1338">
        <v>29</v>
      </c>
      <c r="O1338">
        <v>5.92</v>
      </c>
      <c r="P1338">
        <v>49.89</v>
      </c>
      <c r="Q1338" s="18">
        <f>YEAR(A1338)</f>
        <v>2026</v>
      </c>
      <c r="R1338" s="18">
        <f>MONTH(A1338)</f>
        <v>2</v>
      </c>
      <c r="S1338" s="18">
        <f>IF(R1338&lt;4,Q1338-1,Q1338)</f>
        <v>2025</v>
      </c>
      <c r="T1338" s="18">
        <f>IF(R1338&lt;4,R1338+9,R1338-3)</f>
        <v>11</v>
      </c>
      <c r="U1338" s="18">
        <f>IF(LEN(T1338)=1,_xlfn.CONCAT(0,T1338),T1338)</f>
        <v>11</v>
      </c>
      <c r="V1338" s="18" t="str">
        <f>_xlfn.CONCAT(S1338,U1338)</f>
        <v>202511</v>
      </c>
      <c r="W1338" s="18" t="str">
        <f>_xlfn.CONCAT(TEXT(A1338,"MMM"),"-",MID(Q1338,3,2))</f>
        <v>Feb-26</v>
      </c>
      <c r="X1338" s="19">
        <f>IFERROR(IF(D1338="Sell",(H1338-P1338),-(H1338+P1338)),0)</f>
        <v>10993.61</v>
      </c>
      <c r="Y1338" s="19">
        <f>X1338/1000</f>
        <v>10.99361</v>
      </c>
    </row>
    <row r="1339" spans="1:25" x14ac:dyDescent="0.25">
      <c r="A1339" s="1">
        <v>46057</v>
      </c>
      <c r="B1339" t="s">
        <v>1883</v>
      </c>
      <c r="C1339" t="s">
        <v>17</v>
      </c>
      <c r="D1339" t="s">
        <v>22</v>
      </c>
      <c r="E1339">
        <v>65</v>
      </c>
      <c r="F1339">
        <v>0</v>
      </c>
      <c r="G1339">
        <v>160.25</v>
      </c>
      <c r="H1339">
        <v>10416.25</v>
      </c>
      <c r="I1339" t="s">
        <v>1885</v>
      </c>
      <c r="J1339">
        <v>0</v>
      </c>
      <c r="K1339">
        <v>3.7</v>
      </c>
      <c r="L1339">
        <v>0.31</v>
      </c>
      <c r="M1339">
        <v>0.01</v>
      </c>
      <c r="N1339">
        <v>29</v>
      </c>
      <c r="O1339">
        <v>5.88</v>
      </c>
      <c r="P1339">
        <v>38.9</v>
      </c>
      <c r="Q1339" s="18">
        <f>YEAR(A1339)</f>
        <v>2026</v>
      </c>
      <c r="R1339" s="18">
        <f>MONTH(A1339)</f>
        <v>2</v>
      </c>
      <c r="S1339" s="18">
        <f>IF(R1339&lt;4,Q1339-1,Q1339)</f>
        <v>2025</v>
      </c>
      <c r="T1339" s="18">
        <f>IF(R1339&lt;4,R1339+9,R1339-3)</f>
        <v>11</v>
      </c>
      <c r="U1339" s="18">
        <f>IF(LEN(T1339)=1,_xlfn.CONCAT(0,T1339),T1339)</f>
        <v>11</v>
      </c>
      <c r="V1339" s="18" t="str">
        <f>_xlfn.CONCAT(S1339,U1339)</f>
        <v>202511</v>
      </c>
      <c r="W1339" s="18" t="str">
        <f>_xlfn.CONCAT(TEXT(A1339,"MMM"),"-",MID(Q1339,3,2))</f>
        <v>Feb-26</v>
      </c>
      <c r="X1339" s="19">
        <f>IFERROR(IF(D1339="Sell",(H1339-P1339),-(H1339+P1339)),0)</f>
        <v>-10455.15</v>
      </c>
      <c r="Y1339" s="19">
        <f>X1339/1000</f>
        <v>-10.45515</v>
      </c>
    </row>
    <row r="1340" spans="1:25" x14ac:dyDescent="0.25">
      <c r="A1340" s="1">
        <v>46057</v>
      </c>
      <c r="B1340" t="s">
        <v>1886</v>
      </c>
      <c r="C1340" t="s">
        <v>17</v>
      </c>
      <c r="D1340" t="s">
        <v>18</v>
      </c>
      <c r="E1340">
        <v>130</v>
      </c>
      <c r="F1340">
        <v>0</v>
      </c>
      <c r="G1340">
        <v>199.9</v>
      </c>
      <c r="H1340">
        <v>25987</v>
      </c>
      <c r="I1340" t="s">
        <v>1887</v>
      </c>
      <c r="J1340">
        <v>25.64</v>
      </c>
      <c r="K1340">
        <v>9.24</v>
      </c>
      <c r="L1340">
        <v>0</v>
      </c>
      <c r="M1340">
        <v>0.02</v>
      </c>
      <c r="N1340">
        <v>58</v>
      </c>
      <c r="O1340">
        <v>12.12</v>
      </c>
      <c r="P1340">
        <v>105.02</v>
      </c>
      <c r="Q1340" s="18">
        <f>YEAR(A1340)</f>
        <v>2026</v>
      </c>
      <c r="R1340" s="18">
        <f>MONTH(A1340)</f>
        <v>2</v>
      </c>
      <c r="S1340" s="18">
        <f>IF(R1340&lt;4,Q1340-1,Q1340)</f>
        <v>2025</v>
      </c>
      <c r="T1340" s="18">
        <f>IF(R1340&lt;4,R1340+9,R1340-3)</f>
        <v>11</v>
      </c>
      <c r="U1340" s="18">
        <f>IF(LEN(T1340)=1,_xlfn.CONCAT(0,T1340),T1340)</f>
        <v>11</v>
      </c>
      <c r="V1340" s="18" t="str">
        <f>_xlfn.CONCAT(S1340,U1340)</f>
        <v>202511</v>
      </c>
      <c r="W1340" s="18" t="str">
        <f>_xlfn.CONCAT(TEXT(A1340,"MMM"),"-",MID(Q1340,3,2))</f>
        <v>Feb-26</v>
      </c>
      <c r="X1340" s="19">
        <f>IFERROR(IF(D1340="Sell",(H1340-P1340),-(H1340+P1340)),0)</f>
        <v>25881.98</v>
      </c>
      <c r="Y1340" s="19">
        <f>X1340/1000</f>
        <v>25.881979999999999</v>
      </c>
    </row>
    <row r="1341" spans="1:25" x14ac:dyDescent="0.25">
      <c r="A1341" s="1">
        <v>46057</v>
      </c>
      <c r="B1341" t="s">
        <v>1886</v>
      </c>
      <c r="C1341" t="s">
        <v>17</v>
      </c>
      <c r="D1341" t="s">
        <v>22</v>
      </c>
      <c r="E1341">
        <v>65</v>
      </c>
      <c r="F1341">
        <v>0</v>
      </c>
      <c r="G1341">
        <v>179.95</v>
      </c>
      <c r="H1341">
        <v>11696.75</v>
      </c>
      <c r="I1341" t="s">
        <v>1888</v>
      </c>
      <c r="J1341">
        <v>0</v>
      </c>
      <c r="K1341">
        <v>4.16</v>
      </c>
      <c r="L1341">
        <v>0</v>
      </c>
      <c r="M1341">
        <v>0.01</v>
      </c>
      <c r="N1341">
        <v>29</v>
      </c>
      <c r="O1341">
        <v>5.98</v>
      </c>
      <c r="P1341">
        <v>39.15</v>
      </c>
      <c r="Q1341" s="18">
        <f>YEAR(A1341)</f>
        <v>2026</v>
      </c>
      <c r="R1341" s="18">
        <f>MONTH(A1341)</f>
        <v>2</v>
      </c>
      <c r="S1341" s="18">
        <f>IF(R1341&lt;4,Q1341-1,Q1341)</f>
        <v>2025</v>
      </c>
      <c r="T1341" s="18">
        <f>IF(R1341&lt;4,R1341+9,R1341-3)</f>
        <v>11</v>
      </c>
      <c r="U1341" s="18">
        <f>IF(LEN(T1341)=1,_xlfn.CONCAT(0,T1341),T1341)</f>
        <v>11</v>
      </c>
      <c r="V1341" s="18" t="str">
        <f>_xlfn.CONCAT(S1341,U1341)</f>
        <v>202511</v>
      </c>
      <c r="W1341" s="18" t="str">
        <f>_xlfn.CONCAT(TEXT(A1341,"MMM"),"-",MID(Q1341,3,2))</f>
        <v>Feb-26</v>
      </c>
      <c r="X1341" s="19">
        <f>IFERROR(IF(D1341="Sell",(H1341-P1341),-(H1341+P1341)),0)</f>
        <v>-11735.9</v>
      </c>
      <c r="Y1341" s="19">
        <f>X1341/1000</f>
        <v>-11.735899999999999</v>
      </c>
    </row>
    <row r="1342" spans="1:25" x14ac:dyDescent="0.25">
      <c r="A1342" s="1">
        <v>46057</v>
      </c>
      <c r="B1342" t="s">
        <v>1886</v>
      </c>
      <c r="C1342" t="s">
        <v>17</v>
      </c>
      <c r="D1342" t="s">
        <v>22</v>
      </c>
      <c r="E1342">
        <v>65</v>
      </c>
      <c r="F1342">
        <v>0</v>
      </c>
      <c r="G1342">
        <v>190.75</v>
      </c>
      <c r="H1342">
        <v>12398.75</v>
      </c>
      <c r="I1342" t="s">
        <v>1889</v>
      </c>
      <c r="J1342">
        <v>0</v>
      </c>
      <c r="K1342">
        <v>4.41</v>
      </c>
      <c r="L1342">
        <v>0.35</v>
      </c>
      <c r="M1342">
        <v>0.01</v>
      </c>
      <c r="N1342">
        <v>29</v>
      </c>
      <c r="O1342">
        <v>6.02</v>
      </c>
      <c r="P1342">
        <v>39.79</v>
      </c>
      <c r="Q1342" s="18">
        <f>YEAR(A1342)</f>
        <v>2026</v>
      </c>
      <c r="R1342" s="18">
        <f>MONTH(A1342)</f>
        <v>2</v>
      </c>
      <c r="S1342" s="18">
        <f>IF(R1342&lt;4,Q1342-1,Q1342)</f>
        <v>2025</v>
      </c>
      <c r="T1342" s="18">
        <f>IF(R1342&lt;4,R1342+9,R1342-3)</f>
        <v>11</v>
      </c>
      <c r="U1342" s="18">
        <f>IF(LEN(T1342)=1,_xlfn.CONCAT(0,T1342),T1342)</f>
        <v>11</v>
      </c>
      <c r="V1342" s="18" t="str">
        <f>_xlfn.CONCAT(S1342,U1342)</f>
        <v>202511</v>
      </c>
      <c r="W1342" s="18" t="str">
        <f>_xlfn.CONCAT(TEXT(A1342,"MMM"),"-",MID(Q1342,3,2))</f>
        <v>Feb-26</v>
      </c>
      <c r="X1342" s="19">
        <f>IFERROR(IF(D1342="Sell",(H1342-P1342),-(H1342+P1342)),0)</f>
        <v>-12438.54</v>
      </c>
      <c r="Y1342" s="19">
        <f>X1342/1000</f>
        <v>-12.438540000000001</v>
      </c>
    </row>
    <row r="1343" spans="1:25" x14ac:dyDescent="0.25">
      <c r="A1343" s="1">
        <v>46058</v>
      </c>
      <c r="B1343" t="s">
        <v>1870</v>
      </c>
      <c r="C1343" t="s">
        <v>17</v>
      </c>
      <c r="D1343" t="s">
        <v>22</v>
      </c>
      <c r="E1343">
        <v>130</v>
      </c>
      <c r="F1343">
        <v>0</v>
      </c>
      <c r="G1343">
        <v>202.35</v>
      </c>
      <c r="H1343">
        <v>26305.5</v>
      </c>
      <c r="I1343" t="s">
        <v>1871</v>
      </c>
      <c r="J1343">
        <v>0</v>
      </c>
      <c r="K1343">
        <v>9.35</v>
      </c>
      <c r="L1343">
        <v>1.35</v>
      </c>
      <c r="M1343">
        <v>0.03</v>
      </c>
      <c r="N1343">
        <v>58</v>
      </c>
      <c r="O1343">
        <v>12.12</v>
      </c>
      <c r="P1343">
        <v>80.849999999999994</v>
      </c>
      <c r="Q1343" s="18">
        <f>YEAR(A1343)</f>
        <v>2026</v>
      </c>
      <c r="R1343" s="18">
        <f>MONTH(A1343)</f>
        <v>2</v>
      </c>
      <c r="S1343" s="18">
        <f>IF(R1343&lt;4,Q1343-1,Q1343)</f>
        <v>2025</v>
      </c>
      <c r="T1343" s="18">
        <f>IF(R1343&lt;4,R1343+9,R1343-3)</f>
        <v>11</v>
      </c>
      <c r="U1343" s="18">
        <f>IF(LEN(T1343)=1,_xlfn.CONCAT(0,T1343),T1343)</f>
        <v>11</v>
      </c>
      <c r="V1343" s="18" t="str">
        <f>_xlfn.CONCAT(S1343,U1343)</f>
        <v>202511</v>
      </c>
      <c r="W1343" s="18" t="str">
        <f>_xlfn.CONCAT(TEXT(A1343,"MMM"),"-",MID(Q1343,3,2))</f>
        <v>Feb-26</v>
      </c>
      <c r="X1343" s="19">
        <f>IFERROR(IF(D1343="Sell",(H1343-P1343),-(H1343+P1343)),0)</f>
        <v>-26386.35</v>
      </c>
      <c r="Y1343" s="19">
        <f>X1343/1000</f>
        <v>-26.38635</v>
      </c>
    </row>
    <row r="1344" spans="1:25" x14ac:dyDescent="0.25">
      <c r="A1344" s="1">
        <v>46058</v>
      </c>
      <c r="B1344" t="s">
        <v>1870</v>
      </c>
      <c r="C1344" t="s">
        <v>17</v>
      </c>
      <c r="D1344" t="s">
        <v>18</v>
      </c>
      <c r="E1344">
        <v>65</v>
      </c>
      <c r="F1344">
        <v>0</v>
      </c>
      <c r="G1344">
        <v>201</v>
      </c>
      <c r="H1344">
        <v>13065</v>
      </c>
      <c r="I1344" t="s">
        <v>1872</v>
      </c>
      <c r="J1344">
        <v>13.07</v>
      </c>
      <c r="K1344">
        <v>4.6399999999999997</v>
      </c>
      <c r="L1344">
        <v>0</v>
      </c>
      <c r="M1344">
        <v>0.01</v>
      </c>
      <c r="N1344">
        <v>29</v>
      </c>
      <c r="O1344">
        <v>6.06</v>
      </c>
      <c r="P1344">
        <v>52.78</v>
      </c>
      <c r="Q1344" s="18">
        <f>YEAR(A1344)</f>
        <v>2026</v>
      </c>
      <c r="R1344" s="18">
        <f>MONTH(A1344)</f>
        <v>2</v>
      </c>
      <c r="S1344" s="18">
        <f>IF(R1344&lt;4,Q1344-1,Q1344)</f>
        <v>2025</v>
      </c>
      <c r="T1344" s="18">
        <f>IF(R1344&lt;4,R1344+9,R1344-3)</f>
        <v>11</v>
      </c>
      <c r="U1344" s="18">
        <f>IF(LEN(T1344)=1,_xlfn.CONCAT(0,T1344),T1344)</f>
        <v>11</v>
      </c>
      <c r="V1344" s="18" t="str">
        <f>_xlfn.CONCAT(S1344,U1344)</f>
        <v>202511</v>
      </c>
      <c r="W1344" s="18" t="str">
        <f>_xlfn.CONCAT(TEXT(A1344,"MMM"),"-",MID(Q1344,3,2))</f>
        <v>Feb-26</v>
      </c>
      <c r="X1344" s="19">
        <f>IFERROR(IF(D1344="Sell",(H1344-P1344),-(H1344+P1344)),0)</f>
        <v>13012.22</v>
      </c>
      <c r="Y1344" s="19">
        <f>X1344/1000</f>
        <v>13.012219999999999</v>
      </c>
    </row>
    <row r="1345" spans="1:25" x14ac:dyDescent="0.25">
      <c r="A1345" s="1">
        <v>46058</v>
      </c>
      <c r="B1345" t="s">
        <v>1870</v>
      </c>
      <c r="C1345" t="s">
        <v>17</v>
      </c>
      <c r="D1345" t="s">
        <v>22</v>
      </c>
      <c r="E1345">
        <v>65</v>
      </c>
      <c r="F1345">
        <v>0</v>
      </c>
      <c r="G1345">
        <v>200.1</v>
      </c>
      <c r="H1345">
        <v>13006.5</v>
      </c>
      <c r="I1345" t="s">
        <v>1873</v>
      </c>
      <c r="J1345">
        <v>0</v>
      </c>
      <c r="K1345">
        <v>4.62</v>
      </c>
      <c r="L1345">
        <v>0</v>
      </c>
      <c r="M1345">
        <v>0.01</v>
      </c>
      <c r="N1345">
        <v>29</v>
      </c>
      <c r="O1345">
        <v>6.06</v>
      </c>
      <c r="P1345">
        <v>39.69</v>
      </c>
      <c r="Q1345" s="18">
        <f>YEAR(A1345)</f>
        <v>2026</v>
      </c>
      <c r="R1345" s="18">
        <f>MONTH(A1345)</f>
        <v>2</v>
      </c>
      <c r="S1345" s="18">
        <f>IF(R1345&lt;4,Q1345-1,Q1345)</f>
        <v>2025</v>
      </c>
      <c r="T1345" s="18">
        <f>IF(R1345&lt;4,R1345+9,R1345-3)</f>
        <v>11</v>
      </c>
      <c r="U1345" s="18">
        <f>IF(LEN(T1345)=1,_xlfn.CONCAT(0,T1345),T1345)</f>
        <v>11</v>
      </c>
      <c r="V1345" s="18" t="str">
        <f>_xlfn.CONCAT(S1345,U1345)</f>
        <v>202511</v>
      </c>
      <c r="W1345" s="18" t="str">
        <f>_xlfn.CONCAT(TEXT(A1345,"MMM"),"-",MID(Q1345,3,2))</f>
        <v>Feb-26</v>
      </c>
      <c r="X1345" s="19">
        <f>IFERROR(IF(D1345="Sell",(H1345-P1345),-(H1345+P1345)),0)</f>
        <v>-13046.19</v>
      </c>
      <c r="Y1345" s="19">
        <f>X1345/1000</f>
        <v>-13.046190000000001</v>
      </c>
    </row>
    <row r="1346" spans="1:25" x14ac:dyDescent="0.25">
      <c r="A1346" s="1">
        <v>46058</v>
      </c>
      <c r="B1346" t="s">
        <v>1874</v>
      </c>
      <c r="C1346" t="s">
        <v>17</v>
      </c>
      <c r="D1346" t="s">
        <v>18</v>
      </c>
      <c r="E1346">
        <v>65</v>
      </c>
      <c r="F1346">
        <v>0</v>
      </c>
      <c r="G1346">
        <v>153.5</v>
      </c>
      <c r="H1346">
        <v>9977.5</v>
      </c>
      <c r="I1346" t="s">
        <v>1875</v>
      </c>
      <c r="J1346">
        <v>9.98</v>
      </c>
      <c r="K1346">
        <v>3.55</v>
      </c>
      <c r="L1346">
        <v>0</v>
      </c>
      <c r="M1346">
        <v>0.01</v>
      </c>
      <c r="N1346">
        <v>29</v>
      </c>
      <c r="O1346">
        <v>5.86</v>
      </c>
      <c r="P1346">
        <v>48.4</v>
      </c>
      <c r="Q1346" s="18">
        <f>YEAR(A1346)</f>
        <v>2026</v>
      </c>
      <c r="R1346" s="18">
        <f>MONTH(A1346)</f>
        <v>2</v>
      </c>
      <c r="S1346" s="18">
        <f>IF(R1346&lt;4,Q1346-1,Q1346)</f>
        <v>2025</v>
      </c>
      <c r="T1346" s="18">
        <f>IF(R1346&lt;4,R1346+9,R1346-3)</f>
        <v>11</v>
      </c>
      <c r="U1346" s="18">
        <f>IF(LEN(T1346)=1,_xlfn.CONCAT(0,T1346),T1346)</f>
        <v>11</v>
      </c>
      <c r="V1346" s="18" t="str">
        <f>_xlfn.CONCAT(S1346,U1346)</f>
        <v>202511</v>
      </c>
      <c r="W1346" s="18" t="str">
        <f>_xlfn.CONCAT(TEXT(A1346,"MMM"),"-",MID(Q1346,3,2))</f>
        <v>Feb-26</v>
      </c>
      <c r="X1346" s="19">
        <f>IFERROR(IF(D1346="Sell",(H1346-P1346),-(H1346+P1346)),0)</f>
        <v>9929.1</v>
      </c>
      <c r="Y1346" s="19">
        <f>X1346/1000</f>
        <v>9.9291</v>
      </c>
    </row>
    <row r="1347" spans="1:25" x14ac:dyDescent="0.25">
      <c r="A1347" s="1">
        <v>46058</v>
      </c>
      <c r="B1347" t="s">
        <v>1874</v>
      </c>
      <c r="C1347" t="s">
        <v>17</v>
      </c>
      <c r="D1347" t="s">
        <v>22</v>
      </c>
      <c r="E1347">
        <v>65</v>
      </c>
      <c r="F1347">
        <v>0</v>
      </c>
      <c r="G1347">
        <v>167.05</v>
      </c>
      <c r="H1347">
        <v>10858.25</v>
      </c>
      <c r="I1347" t="s">
        <v>1876</v>
      </c>
      <c r="J1347">
        <v>0</v>
      </c>
      <c r="K1347">
        <v>3.86</v>
      </c>
      <c r="L1347">
        <v>0</v>
      </c>
      <c r="M1347">
        <v>0.01</v>
      </c>
      <c r="N1347">
        <v>29</v>
      </c>
      <c r="O1347">
        <v>5.92</v>
      </c>
      <c r="P1347">
        <v>38.79</v>
      </c>
      <c r="Q1347" s="18">
        <f>YEAR(A1347)</f>
        <v>2026</v>
      </c>
      <c r="R1347" s="18">
        <f>MONTH(A1347)</f>
        <v>2</v>
      </c>
      <c r="S1347" s="18">
        <f>IF(R1347&lt;4,Q1347-1,Q1347)</f>
        <v>2025</v>
      </c>
      <c r="T1347" s="18">
        <f>IF(R1347&lt;4,R1347+9,R1347-3)</f>
        <v>11</v>
      </c>
      <c r="U1347" s="18">
        <f>IF(LEN(T1347)=1,_xlfn.CONCAT(0,T1347),T1347)</f>
        <v>11</v>
      </c>
      <c r="V1347" s="18" t="str">
        <f>_xlfn.CONCAT(S1347,U1347)</f>
        <v>202511</v>
      </c>
      <c r="W1347" s="18" t="str">
        <f>_xlfn.CONCAT(TEXT(A1347,"MMM"),"-",MID(Q1347,3,2))</f>
        <v>Feb-26</v>
      </c>
      <c r="X1347" s="19">
        <f>IFERROR(IF(D1347="Sell",(H1347-P1347),-(H1347+P1347)),0)</f>
        <v>-10897.04</v>
      </c>
      <c r="Y1347" s="19">
        <f>X1347/1000</f>
        <v>-10.897040000000001</v>
      </c>
    </row>
    <row r="1348" spans="1:25" x14ac:dyDescent="0.25">
      <c r="A1348" s="1">
        <v>46058</v>
      </c>
      <c r="B1348" t="s">
        <v>1874</v>
      </c>
      <c r="C1348" t="s">
        <v>17</v>
      </c>
      <c r="D1348" t="s">
        <v>18</v>
      </c>
      <c r="E1348">
        <v>65</v>
      </c>
      <c r="F1348">
        <v>0</v>
      </c>
      <c r="G1348">
        <v>187.9</v>
      </c>
      <c r="H1348">
        <v>12213.5</v>
      </c>
      <c r="I1348" t="s">
        <v>1877</v>
      </c>
      <c r="J1348">
        <v>12.37</v>
      </c>
      <c r="K1348">
        <v>4.34</v>
      </c>
      <c r="L1348">
        <v>0</v>
      </c>
      <c r="M1348">
        <v>0.01</v>
      </c>
      <c r="N1348">
        <v>29</v>
      </c>
      <c r="O1348">
        <v>6</v>
      </c>
      <c r="P1348">
        <v>51.72</v>
      </c>
      <c r="Q1348" s="18">
        <f>YEAR(A1348)</f>
        <v>2026</v>
      </c>
      <c r="R1348" s="18">
        <f>MONTH(A1348)</f>
        <v>2</v>
      </c>
      <c r="S1348" s="18">
        <f>IF(R1348&lt;4,Q1348-1,Q1348)</f>
        <v>2025</v>
      </c>
      <c r="T1348" s="18">
        <f>IF(R1348&lt;4,R1348+9,R1348-3)</f>
        <v>11</v>
      </c>
      <c r="U1348" s="18">
        <f>IF(LEN(T1348)=1,_xlfn.CONCAT(0,T1348),T1348)</f>
        <v>11</v>
      </c>
      <c r="V1348" s="18" t="str">
        <f>_xlfn.CONCAT(S1348,U1348)</f>
        <v>202511</v>
      </c>
      <c r="W1348" s="18" t="str">
        <f>_xlfn.CONCAT(TEXT(A1348,"MMM"),"-",MID(Q1348,3,2))</f>
        <v>Feb-26</v>
      </c>
      <c r="X1348" s="19">
        <f>IFERROR(IF(D1348="Sell",(H1348-P1348),-(H1348+P1348)),0)</f>
        <v>12161.78</v>
      </c>
      <c r="Y1348" s="19">
        <f>X1348/1000</f>
        <v>12.16178</v>
      </c>
    </row>
    <row r="1349" spans="1:25" x14ac:dyDescent="0.25">
      <c r="A1349" s="1">
        <v>46058</v>
      </c>
      <c r="B1349" t="s">
        <v>1874</v>
      </c>
      <c r="C1349" t="s">
        <v>17</v>
      </c>
      <c r="D1349" t="s">
        <v>22</v>
      </c>
      <c r="E1349">
        <v>65</v>
      </c>
      <c r="F1349">
        <v>0</v>
      </c>
      <c r="G1349">
        <v>167.6</v>
      </c>
      <c r="H1349">
        <v>10894</v>
      </c>
      <c r="I1349" t="s">
        <v>1878</v>
      </c>
      <c r="J1349">
        <v>0</v>
      </c>
      <c r="K1349">
        <v>3.87</v>
      </c>
      <c r="L1349">
        <v>0.65</v>
      </c>
      <c r="M1349">
        <v>0.01</v>
      </c>
      <c r="N1349">
        <v>29</v>
      </c>
      <c r="O1349">
        <v>5.92</v>
      </c>
      <c r="P1349">
        <v>39.450000000000003</v>
      </c>
      <c r="Q1349" s="18">
        <f>YEAR(A1349)</f>
        <v>2026</v>
      </c>
      <c r="R1349" s="18">
        <f>MONTH(A1349)</f>
        <v>2</v>
      </c>
      <c r="S1349" s="18">
        <f>IF(R1349&lt;4,Q1349-1,Q1349)</f>
        <v>2025</v>
      </c>
      <c r="T1349" s="18">
        <f>IF(R1349&lt;4,R1349+9,R1349-3)</f>
        <v>11</v>
      </c>
      <c r="U1349" s="18">
        <f>IF(LEN(T1349)=1,_xlfn.CONCAT(0,T1349),T1349)</f>
        <v>11</v>
      </c>
      <c r="V1349" s="18" t="str">
        <f>_xlfn.CONCAT(S1349,U1349)</f>
        <v>202511</v>
      </c>
      <c r="W1349" s="18" t="str">
        <f>_xlfn.CONCAT(TEXT(A1349,"MMM"),"-",MID(Q1349,3,2))</f>
        <v>Feb-26</v>
      </c>
      <c r="X1349" s="19">
        <f>IFERROR(IF(D1349="Sell",(H1349-P1349),-(H1349+P1349)),0)</f>
        <v>-10933.45</v>
      </c>
      <c r="Y1349" s="19">
        <f>X1349/1000</f>
        <v>-10.933450000000001</v>
      </c>
    </row>
    <row r="1350" spans="1:25" x14ac:dyDescent="0.25">
      <c r="A1350" s="1">
        <v>46058</v>
      </c>
      <c r="B1350" t="s">
        <v>1870</v>
      </c>
      <c r="C1350" t="s">
        <v>17</v>
      </c>
      <c r="D1350" t="s">
        <v>18</v>
      </c>
      <c r="E1350">
        <v>130</v>
      </c>
      <c r="F1350">
        <v>0</v>
      </c>
      <c r="G1350">
        <v>219.9</v>
      </c>
      <c r="H1350">
        <v>28587</v>
      </c>
      <c r="I1350" t="s">
        <v>1879</v>
      </c>
      <c r="J1350">
        <v>28.59</v>
      </c>
      <c r="K1350">
        <v>10.16</v>
      </c>
      <c r="L1350">
        <v>0</v>
      </c>
      <c r="M1350">
        <v>0.03</v>
      </c>
      <c r="N1350">
        <v>58</v>
      </c>
      <c r="O1350">
        <v>12.28</v>
      </c>
      <c r="P1350">
        <v>109.06</v>
      </c>
      <c r="Q1350" s="18">
        <f>YEAR(A1350)</f>
        <v>2026</v>
      </c>
      <c r="R1350" s="18">
        <f>MONTH(A1350)</f>
        <v>2</v>
      </c>
      <c r="S1350" s="18">
        <f>IF(R1350&lt;4,Q1350-1,Q1350)</f>
        <v>2025</v>
      </c>
      <c r="T1350" s="18">
        <f>IF(R1350&lt;4,R1350+9,R1350-3)</f>
        <v>11</v>
      </c>
      <c r="U1350" s="18">
        <f>IF(LEN(T1350)=1,_xlfn.CONCAT(0,T1350),T1350)</f>
        <v>11</v>
      </c>
      <c r="V1350" s="18" t="str">
        <f>_xlfn.CONCAT(S1350,U1350)</f>
        <v>202511</v>
      </c>
      <c r="W1350" s="18" t="str">
        <f>_xlfn.CONCAT(TEXT(A1350,"MMM"),"-",MID(Q1350,3,2))</f>
        <v>Feb-26</v>
      </c>
      <c r="X1350" s="19">
        <f>IFERROR(IF(D1350="Sell",(H1350-P1350),-(H1350+P1350)),0)</f>
        <v>28477.94</v>
      </c>
      <c r="Y1350" s="19">
        <f>X1350/1000</f>
        <v>28.47794</v>
      </c>
    </row>
    <row r="1351" spans="1:25" x14ac:dyDescent="0.25">
      <c r="A1351" s="1">
        <v>46064</v>
      </c>
      <c r="B1351" t="s">
        <v>1866</v>
      </c>
      <c r="C1351" t="s">
        <v>17</v>
      </c>
      <c r="D1351" t="s">
        <v>22</v>
      </c>
      <c r="E1351">
        <v>700</v>
      </c>
      <c r="F1351">
        <v>0</v>
      </c>
      <c r="G1351">
        <v>5.15</v>
      </c>
      <c r="H1351">
        <v>3605</v>
      </c>
      <c r="I1351" t="s">
        <v>1869</v>
      </c>
      <c r="J1351">
        <v>0</v>
      </c>
      <c r="K1351">
        <v>1.28</v>
      </c>
      <c r="L1351">
        <v>0</v>
      </c>
      <c r="M1351">
        <v>0</v>
      </c>
      <c r="N1351">
        <v>29</v>
      </c>
      <c r="O1351">
        <v>5.46</v>
      </c>
      <c r="P1351">
        <v>35.74</v>
      </c>
      <c r="Q1351" s="18">
        <f>YEAR(A1351)</f>
        <v>2026</v>
      </c>
      <c r="R1351" s="18">
        <f>MONTH(A1351)</f>
        <v>2</v>
      </c>
      <c r="S1351" s="18">
        <f>IF(R1351&lt;4,Q1351-1,Q1351)</f>
        <v>2025</v>
      </c>
      <c r="T1351" s="18">
        <f>IF(R1351&lt;4,R1351+9,R1351-3)</f>
        <v>11</v>
      </c>
      <c r="U1351" s="18">
        <f>IF(LEN(T1351)=1,_xlfn.CONCAT(0,T1351),T1351)</f>
        <v>11</v>
      </c>
      <c r="V1351" s="18" t="str">
        <f>_xlfn.CONCAT(S1351,U1351)</f>
        <v>202511</v>
      </c>
      <c r="W1351" s="18" t="str">
        <f>_xlfn.CONCAT(TEXT(A1351,"MMM"),"-",MID(Q1351,3,2))</f>
        <v>Feb-26</v>
      </c>
      <c r="X1351" s="19">
        <f>IFERROR(IF(D1351="Sell",(H1351-P1351),-(H1351+P1351)),0)</f>
        <v>-3640.74</v>
      </c>
      <c r="Y1351" s="19">
        <f>X1351/1000</f>
        <v>-3.6407399999999996</v>
      </c>
    </row>
    <row r="1352" spans="1:25" x14ac:dyDescent="0.25">
      <c r="A1352" s="1">
        <v>46065</v>
      </c>
      <c r="B1352" t="s">
        <v>1866</v>
      </c>
      <c r="C1352" t="s">
        <v>17</v>
      </c>
      <c r="D1352" t="s">
        <v>22</v>
      </c>
      <c r="E1352">
        <v>1400</v>
      </c>
      <c r="F1352">
        <v>0</v>
      </c>
      <c r="G1352">
        <v>3.1</v>
      </c>
      <c r="H1352">
        <v>4340</v>
      </c>
      <c r="I1352" t="s">
        <v>1868</v>
      </c>
      <c r="J1352">
        <v>0</v>
      </c>
      <c r="K1352">
        <v>1.54</v>
      </c>
      <c r="L1352">
        <v>0</v>
      </c>
      <c r="M1352">
        <v>0</v>
      </c>
      <c r="N1352">
        <v>58</v>
      </c>
      <c r="O1352">
        <v>10.72</v>
      </c>
      <c r="P1352">
        <v>70.260000000000005</v>
      </c>
      <c r="Q1352" s="18">
        <f>YEAR(A1352)</f>
        <v>2026</v>
      </c>
      <c r="R1352" s="18">
        <f>MONTH(A1352)</f>
        <v>2</v>
      </c>
      <c r="S1352" s="18">
        <f>IF(R1352&lt;4,Q1352-1,Q1352)</f>
        <v>2025</v>
      </c>
      <c r="T1352" s="18">
        <f>IF(R1352&lt;4,R1352+9,R1352-3)</f>
        <v>11</v>
      </c>
      <c r="U1352" s="18">
        <f>IF(LEN(T1352)=1,_xlfn.CONCAT(0,T1352),T1352)</f>
        <v>11</v>
      </c>
      <c r="V1352" s="18" t="str">
        <f>_xlfn.CONCAT(S1352,U1352)</f>
        <v>202511</v>
      </c>
      <c r="W1352" s="18" t="str">
        <f>_xlfn.CONCAT(TEXT(A1352,"MMM"),"-",MID(Q1352,3,2))</f>
        <v>Feb-26</v>
      </c>
      <c r="X1352" s="19">
        <f>IFERROR(IF(D1352="Sell",(H1352-P1352),-(H1352+P1352)),0)</f>
        <v>-4410.26</v>
      </c>
      <c r="Y1352" s="19">
        <f>X1352/1000</f>
        <v>-4.4102600000000001</v>
      </c>
    </row>
    <row r="1353" spans="1:25" x14ac:dyDescent="0.25">
      <c r="A1353" s="1">
        <v>46069</v>
      </c>
      <c r="B1353" t="s">
        <v>1866</v>
      </c>
      <c r="C1353" t="s">
        <v>17</v>
      </c>
      <c r="D1353" t="s">
        <v>18</v>
      </c>
      <c r="E1353">
        <v>2100</v>
      </c>
      <c r="F1353">
        <v>0</v>
      </c>
      <c r="G1353">
        <v>3.9</v>
      </c>
      <c r="H1353">
        <v>8190</v>
      </c>
      <c r="I1353" t="s">
        <v>1867</v>
      </c>
      <c r="J1353">
        <v>8</v>
      </c>
      <c r="K1353">
        <v>2.91</v>
      </c>
      <c r="L1353">
        <v>0</v>
      </c>
      <c r="M1353">
        <v>0</v>
      </c>
      <c r="N1353">
        <v>87</v>
      </c>
      <c r="O1353">
        <v>16.2</v>
      </c>
      <c r="P1353">
        <v>114.11</v>
      </c>
      <c r="Q1353" s="18">
        <f>YEAR(A1353)</f>
        <v>2026</v>
      </c>
      <c r="R1353" s="18">
        <f>MONTH(A1353)</f>
        <v>2</v>
      </c>
      <c r="S1353" s="18">
        <f>IF(R1353&lt;4,Q1353-1,Q1353)</f>
        <v>2025</v>
      </c>
      <c r="T1353" s="18">
        <f>IF(R1353&lt;4,R1353+9,R1353-3)</f>
        <v>11</v>
      </c>
      <c r="U1353" s="18">
        <f>IF(LEN(T1353)=1,_xlfn.CONCAT(0,T1353),T1353)</f>
        <v>11</v>
      </c>
      <c r="V1353" s="18" t="str">
        <f>_xlfn.CONCAT(S1353,U1353)</f>
        <v>202511</v>
      </c>
      <c r="W1353" s="18" t="str">
        <f>_xlfn.CONCAT(TEXT(A1353,"MMM"),"-",MID(Q1353,3,2))</f>
        <v>Feb-26</v>
      </c>
      <c r="X1353" s="19">
        <f>IFERROR(IF(D1353="Sell",(H1353-P1353),-(H1353+P1353)),0)</f>
        <v>8075.89</v>
      </c>
      <c r="Y1353" s="19">
        <f>X1353/1000</f>
        <v>8.0758900000000011</v>
      </c>
    </row>
    <row r="1354" spans="1:25" x14ac:dyDescent="0.25">
      <c r="A1354" s="1">
        <v>46070</v>
      </c>
      <c r="B1354" t="s">
        <v>1858</v>
      </c>
      <c r="C1354" t="s">
        <v>17</v>
      </c>
      <c r="D1354" t="s">
        <v>18</v>
      </c>
      <c r="E1354">
        <v>130</v>
      </c>
      <c r="F1354">
        <v>0</v>
      </c>
      <c r="G1354">
        <v>13.05</v>
      </c>
      <c r="H1354">
        <v>1696.5</v>
      </c>
      <c r="I1354" t="s">
        <v>1859</v>
      </c>
      <c r="J1354">
        <v>1.7</v>
      </c>
      <c r="K1354">
        <v>0.6</v>
      </c>
      <c r="L1354">
        <v>0</v>
      </c>
      <c r="M1354">
        <v>0</v>
      </c>
      <c r="N1354">
        <v>58</v>
      </c>
      <c r="O1354">
        <v>10.54</v>
      </c>
      <c r="P1354">
        <v>70.84</v>
      </c>
      <c r="Q1354" s="18">
        <f>YEAR(A1354)</f>
        <v>2026</v>
      </c>
      <c r="R1354" s="18">
        <f>MONTH(A1354)</f>
        <v>2</v>
      </c>
      <c r="S1354" s="18">
        <f>IF(R1354&lt;4,Q1354-1,Q1354)</f>
        <v>2025</v>
      </c>
      <c r="T1354" s="18">
        <f>IF(R1354&lt;4,R1354+9,R1354-3)</f>
        <v>11</v>
      </c>
      <c r="U1354" s="18">
        <f>IF(LEN(T1354)=1,_xlfn.CONCAT(0,T1354),T1354)</f>
        <v>11</v>
      </c>
      <c r="V1354" s="18" t="str">
        <f>_xlfn.CONCAT(S1354,U1354)</f>
        <v>202511</v>
      </c>
      <c r="W1354" s="18" t="str">
        <f>_xlfn.CONCAT(TEXT(A1354,"MMM"),"-",MID(Q1354,3,2))</f>
        <v>Feb-26</v>
      </c>
      <c r="X1354" s="19">
        <f>IFERROR(IF(D1354="Sell",(H1354-P1354),-(H1354+P1354)),0)</f>
        <v>1625.66</v>
      </c>
      <c r="Y1354" s="19">
        <f>X1354/1000</f>
        <v>1.6256600000000001</v>
      </c>
    </row>
    <row r="1355" spans="1:25" x14ac:dyDescent="0.25">
      <c r="A1355" s="1">
        <v>46070</v>
      </c>
      <c r="B1355" t="s">
        <v>1858</v>
      </c>
      <c r="C1355" t="s">
        <v>17</v>
      </c>
      <c r="D1355" t="s">
        <v>22</v>
      </c>
      <c r="E1355">
        <v>130</v>
      </c>
      <c r="F1355">
        <v>0</v>
      </c>
      <c r="G1355">
        <v>37.5</v>
      </c>
      <c r="H1355">
        <v>4875</v>
      </c>
      <c r="I1355" t="s">
        <v>1860</v>
      </c>
      <c r="J1355">
        <v>0</v>
      </c>
      <c r="K1355">
        <v>1.73</v>
      </c>
      <c r="L1355">
        <v>0.15</v>
      </c>
      <c r="M1355">
        <v>0</v>
      </c>
      <c r="N1355">
        <v>58</v>
      </c>
      <c r="O1355">
        <v>10.76</v>
      </c>
      <c r="P1355">
        <v>70.64</v>
      </c>
      <c r="Q1355" s="18">
        <f>YEAR(A1355)</f>
        <v>2026</v>
      </c>
      <c r="R1355" s="18">
        <f>MONTH(A1355)</f>
        <v>2</v>
      </c>
      <c r="S1355" s="18">
        <f>IF(R1355&lt;4,Q1355-1,Q1355)</f>
        <v>2025</v>
      </c>
      <c r="T1355" s="18">
        <f>IF(R1355&lt;4,R1355+9,R1355-3)</f>
        <v>11</v>
      </c>
      <c r="U1355" s="18">
        <f>IF(LEN(T1355)=1,_xlfn.CONCAT(0,T1355),T1355)</f>
        <v>11</v>
      </c>
      <c r="V1355" s="18" t="str">
        <f>_xlfn.CONCAT(S1355,U1355)</f>
        <v>202511</v>
      </c>
      <c r="W1355" s="18" t="str">
        <f>_xlfn.CONCAT(TEXT(A1355,"MMM"),"-",MID(Q1355,3,2))</f>
        <v>Feb-26</v>
      </c>
      <c r="X1355" s="19">
        <f>IFERROR(IF(D1355="Sell",(H1355-P1355),-(H1355+P1355)),0)</f>
        <v>-4945.6400000000003</v>
      </c>
      <c r="Y1355" s="19">
        <f>X1355/1000</f>
        <v>-4.94564</v>
      </c>
    </row>
    <row r="1356" spans="1:25" x14ac:dyDescent="0.25">
      <c r="A1356" s="1">
        <v>46070</v>
      </c>
      <c r="B1356" t="s">
        <v>1861</v>
      </c>
      <c r="C1356" t="s">
        <v>17</v>
      </c>
      <c r="D1356" t="s">
        <v>18</v>
      </c>
      <c r="E1356">
        <v>65</v>
      </c>
      <c r="F1356">
        <v>0</v>
      </c>
      <c r="G1356">
        <v>147.9</v>
      </c>
      <c r="H1356">
        <v>9613.5</v>
      </c>
      <c r="I1356" t="s">
        <v>1862</v>
      </c>
      <c r="J1356">
        <v>9.61</v>
      </c>
      <c r="K1356">
        <v>3.42</v>
      </c>
      <c r="L1356">
        <v>0</v>
      </c>
      <c r="M1356">
        <v>0.01</v>
      </c>
      <c r="N1356">
        <v>29</v>
      </c>
      <c r="O1356">
        <v>5.84</v>
      </c>
      <c r="P1356">
        <v>47.88</v>
      </c>
      <c r="Q1356" s="18">
        <f>YEAR(A1356)</f>
        <v>2026</v>
      </c>
      <c r="R1356" s="18">
        <f>MONTH(A1356)</f>
        <v>2</v>
      </c>
      <c r="S1356" s="18">
        <f>IF(R1356&lt;4,Q1356-1,Q1356)</f>
        <v>2025</v>
      </c>
      <c r="T1356" s="18">
        <f>IF(R1356&lt;4,R1356+9,R1356-3)</f>
        <v>11</v>
      </c>
      <c r="U1356" s="18">
        <f>IF(LEN(T1356)=1,_xlfn.CONCAT(0,T1356),T1356)</f>
        <v>11</v>
      </c>
      <c r="V1356" s="18" t="str">
        <f>_xlfn.CONCAT(S1356,U1356)</f>
        <v>202511</v>
      </c>
      <c r="W1356" s="18" t="str">
        <f>_xlfn.CONCAT(TEXT(A1356,"MMM"),"-",MID(Q1356,3,2))</f>
        <v>Feb-26</v>
      </c>
      <c r="X1356" s="19">
        <f>IFERROR(IF(D1356="Sell",(H1356-P1356),-(H1356+P1356)),0)</f>
        <v>9565.6200000000008</v>
      </c>
      <c r="Y1356" s="19">
        <f>X1356/1000</f>
        <v>9.5656200000000009</v>
      </c>
    </row>
    <row r="1357" spans="1:25" x14ac:dyDescent="0.25">
      <c r="A1357" s="1">
        <v>46070</v>
      </c>
      <c r="B1357" t="s">
        <v>1861</v>
      </c>
      <c r="C1357" t="s">
        <v>17</v>
      </c>
      <c r="D1357" t="s">
        <v>22</v>
      </c>
      <c r="E1357">
        <v>65</v>
      </c>
      <c r="F1357">
        <v>0</v>
      </c>
      <c r="G1357">
        <v>116.9</v>
      </c>
      <c r="H1357">
        <v>7598.5</v>
      </c>
      <c r="I1357" t="s">
        <v>1863</v>
      </c>
      <c r="J1357">
        <v>0</v>
      </c>
      <c r="K1357">
        <v>2.7</v>
      </c>
      <c r="L1357">
        <v>0</v>
      </c>
      <c r="M1357">
        <v>0.01</v>
      </c>
      <c r="N1357">
        <v>29</v>
      </c>
      <c r="O1357">
        <v>5.7</v>
      </c>
      <c r="P1357">
        <v>37.409999999999997</v>
      </c>
      <c r="Q1357" s="18">
        <f>YEAR(A1357)</f>
        <v>2026</v>
      </c>
      <c r="R1357" s="18">
        <f>MONTH(A1357)</f>
        <v>2</v>
      </c>
      <c r="S1357" s="18">
        <f>IF(R1357&lt;4,Q1357-1,Q1357)</f>
        <v>2025</v>
      </c>
      <c r="T1357" s="18">
        <f>IF(R1357&lt;4,R1357+9,R1357-3)</f>
        <v>11</v>
      </c>
      <c r="U1357" s="18">
        <f>IF(LEN(T1357)=1,_xlfn.CONCAT(0,T1357),T1357)</f>
        <v>11</v>
      </c>
      <c r="V1357" s="18" t="str">
        <f>_xlfn.CONCAT(S1357,U1357)</f>
        <v>202511</v>
      </c>
      <c r="W1357" s="18" t="str">
        <f>_xlfn.CONCAT(TEXT(A1357,"MMM"),"-",MID(Q1357,3,2))</f>
        <v>Feb-26</v>
      </c>
      <c r="X1357" s="19">
        <f>IFERROR(IF(D1357="Sell",(H1357-P1357),-(H1357+P1357)),0)</f>
        <v>-7635.91</v>
      </c>
      <c r="Y1357" s="19">
        <f>X1357/1000</f>
        <v>-7.63591</v>
      </c>
    </row>
    <row r="1358" spans="1:25" x14ac:dyDescent="0.25">
      <c r="A1358" s="1">
        <v>46070</v>
      </c>
      <c r="B1358" t="s">
        <v>1861</v>
      </c>
      <c r="C1358" t="s">
        <v>17</v>
      </c>
      <c r="D1358" t="s">
        <v>18</v>
      </c>
      <c r="E1358">
        <v>65</v>
      </c>
      <c r="F1358">
        <v>0</v>
      </c>
      <c r="G1358">
        <v>76.45</v>
      </c>
      <c r="H1358">
        <v>4969.25</v>
      </c>
      <c r="I1358" t="s">
        <v>1864</v>
      </c>
      <c r="J1358">
        <v>4.6900000000000004</v>
      </c>
      <c r="K1358">
        <v>1.77</v>
      </c>
      <c r="L1358">
        <v>0</v>
      </c>
      <c r="M1358">
        <v>0.01</v>
      </c>
      <c r="N1358">
        <v>29</v>
      </c>
      <c r="O1358">
        <v>5.54</v>
      </c>
      <c r="P1358">
        <v>41.01</v>
      </c>
      <c r="Q1358" s="18">
        <f>YEAR(A1358)</f>
        <v>2026</v>
      </c>
      <c r="R1358" s="18">
        <f>MONTH(A1358)</f>
        <v>2</v>
      </c>
      <c r="S1358" s="18">
        <f>IF(R1358&lt;4,Q1358-1,Q1358)</f>
        <v>2025</v>
      </c>
      <c r="T1358" s="18">
        <f>IF(R1358&lt;4,R1358+9,R1358-3)</f>
        <v>11</v>
      </c>
      <c r="U1358" s="18">
        <f>IF(LEN(T1358)=1,_xlfn.CONCAT(0,T1358),T1358)</f>
        <v>11</v>
      </c>
      <c r="V1358" s="18" t="str">
        <f>_xlfn.CONCAT(S1358,U1358)</f>
        <v>202511</v>
      </c>
      <c r="W1358" s="18" t="str">
        <f>_xlfn.CONCAT(TEXT(A1358,"MMM"),"-",MID(Q1358,3,2))</f>
        <v>Feb-26</v>
      </c>
      <c r="X1358" s="19">
        <f>IFERROR(IF(D1358="Sell",(H1358-P1358),-(H1358+P1358)),0)</f>
        <v>4928.24</v>
      </c>
      <c r="Y1358" s="19">
        <f>X1358/1000</f>
        <v>4.9282399999999997</v>
      </c>
    </row>
    <row r="1359" spans="1:25" x14ac:dyDescent="0.25">
      <c r="A1359" s="1">
        <v>46070</v>
      </c>
      <c r="B1359" t="s">
        <v>1861</v>
      </c>
      <c r="C1359" t="s">
        <v>17</v>
      </c>
      <c r="D1359" t="s">
        <v>22</v>
      </c>
      <c r="E1359">
        <v>65</v>
      </c>
      <c r="F1359">
        <v>0</v>
      </c>
      <c r="G1359">
        <v>65.8</v>
      </c>
      <c r="H1359">
        <v>4277</v>
      </c>
      <c r="I1359" t="s">
        <v>1865</v>
      </c>
      <c r="J1359">
        <v>0</v>
      </c>
      <c r="K1359">
        <v>1.52</v>
      </c>
      <c r="L1359">
        <v>0.85</v>
      </c>
      <c r="M1359">
        <v>0</v>
      </c>
      <c r="N1359">
        <v>29</v>
      </c>
      <c r="O1359">
        <v>5.5</v>
      </c>
      <c r="P1359">
        <v>36.869999999999997</v>
      </c>
      <c r="Q1359" s="18">
        <f>YEAR(A1359)</f>
        <v>2026</v>
      </c>
      <c r="R1359" s="18">
        <f>MONTH(A1359)</f>
        <v>2</v>
      </c>
      <c r="S1359" s="18">
        <f>IF(R1359&lt;4,Q1359-1,Q1359)</f>
        <v>2025</v>
      </c>
      <c r="T1359" s="18">
        <f>IF(R1359&lt;4,R1359+9,R1359-3)</f>
        <v>11</v>
      </c>
      <c r="U1359" s="18">
        <f>IF(LEN(T1359)=1,_xlfn.CONCAT(0,T1359),T1359)</f>
        <v>11</v>
      </c>
      <c r="V1359" s="18" t="str">
        <f>_xlfn.CONCAT(S1359,U1359)</f>
        <v>202511</v>
      </c>
      <c r="W1359" s="18" t="str">
        <f>_xlfn.CONCAT(TEXT(A1359,"MMM"),"-",MID(Q1359,3,2))</f>
        <v>Feb-26</v>
      </c>
      <c r="X1359" s="19">
        <f>IFERROR(IF(D1359="Sell",(H1359-P1359),-(H1359+P1359)),0)</f>
        <v>-4313.87</v>
      </c>
      <c r="Y1359" s="19">
        <f>X1359/1000</f>
        <v>-4.3138699999999996</v>
      </c>
    </row>
    <row r="1360" spans="1:25" x14ac:dyDescent="0.25">
      <c r="A1360" s="1">
        <v>46071</v>
      </c>
      <c r="B1360" t="s">
        <v>1845</v>
      </c>
      <c r="C1360" t="s">
        <v>17</v>
      </c>
      <c r="D1360" t="s">
        <v>18</v>
      </c>
      <c r="E1360">
        <v>130</v>
      </c>
      <c r="F1360">
        <v>0</v>
      </c>
      <c r="G1360">
        <v>106.05</v>
      </c>
      <c r="H1360">
        <v>13786.5</v>
      </c>
      <c r="I1360" t="s">
        <v>1846</v>
      </c>
      <c r="J1360">
        <v>13.79</v>
      </c>
      <c r="K1360">
        <v>4.9000000000000004</v>
      </c>
      <c r="L1360">
        <v>0</v>
      </c>
      <c r="M1360">
        <v>0.01</v>
      </c>
      <c r="N1360">
        <v>58</v>
      </c>
      <c r="O1360">
        <v>11.32</v>
      </c>
      <c r="P1360">
        <v>88.02</v>
      </c>
      <c r="Q1360" s="18">
        <f>YEAR(A1360)</f>
        <v>2026</v>
      </c>
      <c r="R1360" s="18">
        <f>MONTH(A1360)</f>
        <v>2</v>
      </c>
      <c r="S1360" s="18">
        <f>IF(R1360&lt;4,Q1360-1,Q1360)</f>
        <v>2025</v>
      </c>
      <c r="T1360" s="18">
        <f>IF(R1360&lt;4,R1360+9,R1360-3)</f>
        <v>11</v>
      </c>
      <c r="U1360" s="18">
        <f>IF(LEN(T1360)=1,_xlfn.CONCAT(0,T1360),T1360)</f>
        <v>11</v>
      </c>
      <c r="V1360" s="18" t="str">
        <f>_xlfn.CONCAT(S1360,U1360)</f>
        <v>202511</v>
      </c>
      <c r="W1360" s="18" t="str">
        <f>_xlfn.CONCAT(TEXT(A1360,"MMM"),"-",MID(Q1360,3,2))</f>
        <v>Feb-26</v>
      </c>
      <c r="X1360" s="19">
        <f>IFERROR(IF(D1360="Sell",(H1360-P1360),-(H1360+P1360)),0)</f>
        <v>13698.48</v>
      </c>
      <c r="Y1360" s="19">
        <f>X1360/1000</f>
        <v>13.69848</v>
      </c>
    </row>
    <row r="1361" spans="1:25" x14ac:dyDescent="0.25">
      <c r="A1361" s="1">
        <v>46071</v>
      </c>
      <c r="B1361" t="s">
        <v>1845</v>
      </c>
      <c r="C1361" t="s">
        <v>17</v>
      </c>
      <c r="D1361" t="s">
        <v>22</v>
      </c>
      <c r="E1361">
        <v>130</v>
      </c>
      <c r="F1361">
        <v>0</v>
      </c>
      <c r="G1361">
        <v>103.8</v>
      </c>
      <c r="H1361">
        <v>13494</v>
      </c>
      <c r="I1361" t="s">
        <v>1847</v>
      </c>
      <c r="J1361">
        <v>0</v>
      </c>
      <c r="K1361">
        <v>4.79</v>
      </c>
      <c r="L1361">
        <v>1.57</v>
      </c>
      <c r="M1361">
        <v>0.01</v>
      </c>
      <c r="N1361">
        <v>58</v>
      </c>
      <c r="O1361">
        <v>11.3</v>
      </c>
      <c r="P1361">
        <v>75.67</v>
      </c>
      <c r="Q1361" s="18">
        <f>YEAR(A1361)</f>
        <v>2026</v>
      </c>
      <c r="R1361" s="18">
        <f>MONTH(A1361)</f>
        <v>2</v>
      </c>
      <c r="S1361" s="18">
        <f>IF(R1361&lt;4,Q1361-1,Q1361)</f>
        <v>2025</v>
      </c>
      <c r="T1361" s="18">
        <f>IF(R1361&lt;4,R1361+9,R1361-3)</f>
        <v>11</v>
      </c>
      <c r="U1361" s="18">
        <f>IF(LEN(T1361)=1,_xlfn.CONCAT(0,T1361),T1361)</f>
        <v>11</v>
      </c>
      <c r="V1361" s="18" t="str">
        <f>_xlfn.CONCAT(S1361,U1361)</f>
        <v>202511</v>
      </c>
      <c r="W1361" s="18" t="str">
        <f>_xlfn.CONCAT(TEXT(A1361,"MMM"),"-",MID(Q1361,3,2))</f>
        <v>Feb-26</v>
      </c>
      <c r="X1361" s="19">
        <f>IFERROR(IF(D1361="Sell",(H1361-P1361),-(H1361+P1361)),0)</f>
        <v>-13569.67</v>
      </c>
      <c r="Y1361" s="19">
        <f>X1361/1000</f>
        <v>-13.56967</v>
      </c>
    </row>
    <row r="1362" spans="1:25" x14ac:dyDescent="0.25">
      <c r="A1362" s="1">
        <v>46071</v>
      </c>
      <c r="B1362" t="s">
        <v>1848</v>
      </c>
      <c r="C1362" t="s">
        <v>17</v>
      </c>
      <c r="D1362" t="s">
        <v>18</v>
      </c>
      <c r="E1362">
        <v>130</v>
      </c>
      <c r="F1362">
        <v>0</v>
      </c>
      <c r="G1362">
        <v>114.9</v>
      </c>
      <c r="H1362">
        <v>14937</v>
      </c>
      <c r="I1362" t="s">
        <v>1849</v>
      </c>
      <c r="J1362">
        <v>14.94</v>
      </c>
      <c r="K1362">
        <v>5.31</v>
      </c>
      <c r="L1362">
        <v>0</v>
      </c>
      <c r="M1362">
        <v>0.01</v>
      </c>
      <c r="N1362">
        <v>58</v>
      </c>
      <c r="O1362">
        <v>11.4</v>
      </c>
      <c r="P1362">
        <v>89.66</v>
      </c>
      <c r="Q1362" s="18">
        <f>YEAR(A1362)</f>
        <v>2026</v>
      </c>
      <c r="R1362" s="18">
        <f>MONTH(A1362)</f>
        <v>2</v>
      </c>
      <c r="S1362" s="18">
        <f>IF(R1362&lt;4,Q1362-1,Q1362)</f>
        <v>2025</v>
      </c>
      <c r="T1362" s="18">
        <f>IF(R1362&lt;4,R1362+9,R1362-3)</f>
        <v>11</v>
      </c>
      <c r="U1362" s="18">
        <f>IF(LEN(T1362)=1,_xlfn.CONCAT(0,T1362),T1362)</f>
        <v>11</v>
      </c>
      <c r="V1362" s="18" t="str">
        <f>_xlfn.CONCAT(S1362,U1362)</f>
        <v>202511</v>
      </c>
      <c r="W1362" s="18" t="str">
        <f>_xlfn.CONCAT(TEXT(A1362,"MMM"),"-",MID(Q1362,3,2))</f>
        <v>Feb-26</v>
      </c>
      <c r="X1362" s="19">
        <f>IFERROR(IF(D1362="Sell",(H1362-P1362),-(H1362+P1362)),0)</f>
        <v>14847.34</v>
      </c>
      <c r="Y1362" s="19">
        <f>X1362/1000</f>
        <v>14.847340000000001</v>
      </c>
    </row>
    <row r="1363" spans="1:25" x14ac:dyDescent="0.25">
      <c r="A1363" s="1">
        <v>46071</v>
      </c>
      <c r="B1363" t="s">
        <v>1848</v>
      </c>
      <c r="C1363" t="s">
        <v>17</v>
      </c>
      <c r="D1363" t="s">
        <v>22</v>
      </c>
      <c r="E1363">
        <v>65</v>
      </c>
      <c r="F1363">
        <v>0</v>
      </c>
      <c r="G1363">
        <v>109.5</v>
      </c>
      <c r="H1363">
        <v>7117.5</v>
      </c>
      <c r="I1363" t="s">
        <v>1850</v>
      </c>
      <c r="J1363">
        <v>0</v>
      </c>
      <c r="K1363">
        <v>2.5299999999999998</v>
      </c>
      <c r="L1363">
        <v>0.43</v>
      </c>
      <c r="M1363">
        <v>0.01</v>
      </c>
      <c r="N1363">
        <v>29</v>
      </c>
      <c r="O1363">
        <v>5.68</v>
      </c>
      <c r="P1363">
        <v>37.65</v>
      </c>
      <c r="Q1363" s="18">
        <f>YEAR(A1363)</f>
        <v>2026</v>
      </c>
      <c r="R1363" s="18">
        <f>MONTH(A1363)</f>
        <v>2</v>
      </c>
      <c r="S1363" s="18">
        <f>IF(R1363&lt;4,Q1363-1,Q1363)</f>
        <v>2025</v>
      </c>
      <c r="T1363" s="18">
        <f>IF(R1363&lt;4,R1363+9,R1363-3)</f>
        <v>11</v>
      </c>
      <c r="U1363" s="18">
        <f>IF(LEN(T1363)=1,_xlfn.CONCAT(0,T1363),T1363)</f>
        <v>11</v>
      </c>
      <c r="V1363" s="18" t="str">
        <f>_xlfn.CONCAT(S1363,U1363)</f>
        <v>202511</v>
      </c>
      <c r="W1363" s="18" t="str">
        <f>_xlfn.CONCAT(TEXT(A1363,"MMM"),"-",MID(Q1363,3,2))</f>
        <v>Feb-26</v>
      </c>
      <c r="X1363" s="19">
        <f>IFERROR(IF(D1363="Sell",(H1363-P1363),-(H1363+P1363)),0)</f>
        <v>-7155.15</v>
      </c>
      <c r="Y1363" s="19">
        <f>X1363/1000</f>
        <v>-7.1551499999999999</v>
      </c>
    </row>
    <row r="1364" spans="1:25" x14ac:dyDescent="0.25">
      <c r="A1364" s="1">
        <v>46071</v>
      </c>
      <c r="B1364" t="s">
        <v>1848</v>
      </c>
      <c r="C1364" t="s">
        <v>17</v>
      </c>
      <c r="D1364" t="s">
        <v>22</v>
      </c>
      <c r="E1364">
        <v>65</v>
      </c>
      <c r="F1364">
        <v>0</v>
      </c>
      <c r="G1364">
        <v>110.4</v>
      </c>
      <c r="H1364">
        <v>7176</v>
      </c>
      <c r="I1364" t="s">
        <v>1851</v>
      </c>
      <c r="J1364">
        <v>0</v>
      </c>
      <c r="K1364">
        <v>2.5499999999999998</v>
      </c>
      <c r="L1364">
        <v>0</v>
      </c>
      <c r="M1364">
        <v>0.01</v>
      </c>
      <c r="N1364">
        <v>29</v>
      </c>
      <c r="O1364">
        <v>5.68</v>
      </c>
      <c r="P1364">
        <v>37.24</v>
      </c>
      <c r="Q1364" s="18">
        <f>YEAR(A1364)</f>
        <v>2026</v>
      </c>
      <c r="R1364" s="18">
        <f>MONTH(A1364)</f>
        <v>2</v>
      </c>
      <c r="S1364" s="18">
        <f>IF(R1364&lt;4,Q1364-1,Q1364)</f>
        <v>2025</v>
      </c>
      <c r="T1364" s="18">
        <f>IF(R1364&lt;4,R1364+9,R1364-3)</f>
        <v>11</v>
      </c>
      <c r="U1364" s="18">
        <f>IF(LEN(T1364)=1,_xlfn.CONCAT(0,T1364),T1364)</f>
        <v>11</v>
      </c>
      <c r="V1364" s="18" t="str">
        <f>_xlfn.CONCAT(S1364,U1364)</f>
        <v>202511</v>
      </c>
      <c r="W1364" s="18" t="str">
        <f>_xlfn.CONCAT(TEXT(A1364,"MMM"),"-",MID(Q1364,3,2))</f>
        <v>Feb-26</v>
      </c>
      <c r="X1364" s="19">
        <f>IFERROR(IF(D1364="Sell",(H1364-P1364),-(H1364+P1364)),0)</f>
        <v>-7213.24</v>
      </c>
      <c r="Y1364" s="19">
        <f>X1364/1000</f>
        <v>-7.2132399999999999</v>
      </c>
    </row>
    <row r="1365" spans="1:25" x14ac:dyDescent="0.25">
      <c r="A1365" s="1">
        <v>46071</v>
      </c>
      <c r="B1365" t="s">
        <v>1845</v>
      </c>
      <c r="C1365" t="s">
        <v>17</v>
      </c>
      <c r="D1365" t="s">
        <v>18</v>
      </c>
      <c r="E1365">
        <v>65</v>
      </c>
      <c r="F1365">
        <v>0</v>
      </c>
      <c r="G1365">
        <v>132</v>
      </c>
      <c r="H1365">
        <v>8580</v>
      </c>
      <c r="I1365" t="s">
        <v>1852</v>
      </c>
      <c r="J1365">
        <v>8.58</v>
      </c>
      <c r="K1365">
        <v>3.05</v>
      </c>
      <c r="L1365">
        <v>0</v>
      </c>
      <c r="M1365">
        <v>0.01</v>
      </c>
      <c r="N1365">
        <v>29</v>
      </c>
      <c r="O1365">
        <v>5.78</v>
      </c>
      <c r="P1365">
        <v>46.42</v>
      </c>
      <c r="Q1365" s="18">
        <f>YEAR(A1365)</f>
        <v>2026</v>
      </c>
      <c r="R1365" s="18">
        <f>MONTH(A1365)</f>
        <v>2</v>
      </c>
      <c r="S1365" s="18">
        <f>IF(R1365&lt;4,Q1365-1,Q1365)</f>
        <v>2025</v>
      </c>
      <c r="T1365" s="18">
        <f>IF(R1365&lt;4,R1365+9,R1365-3)</f>
        <v>11</v>
      </c>
      <c r="U1365" s="18">
        <f>IF(LEN(T1365)=1,_xlfn.CONCAT(0,T1365),T1365)</f>
        <v>11</v>
      </c>
      <c r="V1365" s="18" t="str">
        <f>_xlfn.CONCAT(S1365,U1365)</f>
        <v>202511</v>
      </c>
      <c r="W1365" s="18" t="str">
        <f>_xlfn.CONCAT(TEXT(A1365,"MMM"),"-",MID(Q1365,3,2))</f>
        <v>Feb-26</v>
      </c>
      <c r="X1365" s="19">
        <f>IFERROR(IF(D1365="Sell",(H1365-P1365),-(H1365+P1365)),0)</f>
        <v>8533.58</v>
      </c>
      <c r="Y1365" s="19">
        <f>X1365/1000</f>
        <v>8.5335800000000006</v>
      </c>
    </row>
    <row r="1366" spans="1:25" x14ac:dyDescent="0.25">
      <c r="A1366" s="1">
        <v>46071</v>
      </c>
      <c r="B1366" t="s">
        <v>1845</v>
      </c>
      <c r="C1366" t="s">
        <v>17</v>
      </c>
      <c r="D1366" t="s">
        <v>22</v>
      </c>
      <c r="E1366">
        <v>65</v>
      </c>
      <c r="F1366">
        <v>0</v>
      </c>
      <c r="G1366">
        <v>125.35</v>
      </c>
      <c r="H1366">
        <v>8147.75</v>
      </c>
      <c r="I1366" t="s">
        <v>1853</v>
      </c>
      <c r="J1366">
        <v>0</v>
      </c>
      <c r="K1366">
        <v>2.89</v>
      </c>
      <c r="L1366">
        <v>0</v>
      </c>
      <c r="M1366">
        <v>0.01</v>
      </c>
      <c r="N1366">
        <v>29</v>
      </c>
      <c r="O1366">
        <v>5.74</v>
      </c>
      <c r="P1366">
        <v>37.64</v>
      </c>
      <c r="Q1366" s="18">
        <f>YEAR(A1366)</f>
        <v>2026</v>
      </c>
      <c r="R1366" s="18">
        <f>MONTH(A1366)</f>
        <v>2</v>
      </c>
      <c r="S1366" s="18">
        <f>IF(R1366&lt;4,Q1366-1,Q1366)</f>
        <v>2025</v>
      </c>
      <c r="T1366" s="18">
        <f>IF(R1366&lt;4,R1366+9,R1366-3)</f>
        <v>11</v>
      </c>
      <c r="U1366" s="18">
        <f>IF(LEN(T1366)=1,_xlfn.CONCAT(0,T1366),T1366)</f>
        <v>11</v>
      </c>
      <c r="V1366" s="18" t="str">
        <f>_xlfn.CONCAT(S1366,U1366)</f>
        <v>202511</v>
      </c>
      <c r="W1366" s="18" t="str">
        <f>_xlfn.CONCAT(TEXT(A1366,"MMM"),"-",MID(Q1366,3,2))</f>
        <v>Feb-26</v>
      </c>
      <c r="X1366" s="19">
        <f>IFERROR(IF(D1366="Sell",(H1366-P1366),-(H1366+P1366)),0)</f>
        <v>-8185.39</v>
      </c>
      <c r="Y1366" s="19">
        <f>X1366/1000</f>
        <v>-8.1853899999999999</v>
      </c>
    </row>
    <row r="1367" spans="1:25" x14ac:dyDescent="0.25">
      <c r="A1367" s="1">
        <v>46071</v>
      </c>
      <c r="B1367" t="s">
        <v>1845</v>
      </c>
      <c r="C1367" t="s">
        <v>17</v>
      </c>
      <c r="D1367" t="s">
        <v>18</v>
      </c>
      <c r="E1367">
        <v>65</v>
      </c>
      <c r="F1367">
        <v>0</v>
      </c>
      <c r="G1367">
        <v>139.9</v>
      </c>
      <c r="H1367">
        <v>9093.5</v>
      </c>
      <c r="I1367" t="s">
        <v>1854</v>
      </c>
      <c r="J1367">
        <v>9.09</v>
      </c>
      <c r="K1367">
        <v>3.23</v>
      </c>
      <c r="L1367">
        <v>0</v>
      </c>
      <c r="M1367">
        <v>0.01</v>
      </c>
      <c r="N1367">
        <v>29</v>
      </c>
      <c r="O1367">
        <v>5.8</v>
      </c>
      <c r="P1367">
        <v>47.13</v>
      </c>
      <c r="Q1367" s="18">
        <f>YEAR(A1367)</f>
        <v>2026</v>
      </c>
      <c r="R1367" s="18">
        <f>MONTH(A1367)</f>
        <v>2</v>
      </c>
      <c r="S1367" s="18">
        <f>IF(R1367&lt;4,Q1367-1,Q1367)</f>
        <v>2025</v>
      </c>
      <c r="T1367" s="18">
        <f>IF(R1367&lt;4,R1367+9,R1367-3)</f>
        <v>11</v>
      </c>
      <c r="U1367" s="18">
        <f>IF(LEN(T1367)=1,_xlfn.CONCAT(0,T1367),T1367)</f>
        <v>11</v>
      </c>
      <c r="V1367" s="18" t="str">
        <f>_xlfn.CONCAT(S1367,U1367)</f>
        <v>202511</v>
      </c>
      <c r="W1367" s="18" t="str">
        <f>_xlfn.CONCAT(TEXT(A1367,"MMM"),"-",MID(Q1367,3,2))</f>
        <v>Feb-26</v>
      </c>
      <c r="X1367" s="19">
        <f>IFERROR(IF(D1367="Sell",(H1367-P1367),-(H1367+P1367)),0)</f>
        <v>9046.3700000000008</v>
      </c>
      <c r="Y1367" s="19">
        <f>X1367/1000</f>
        <v>9.0463700000000014</v>
      </c>
    </row>
    <row r="1368" spans="1:25" x14ac:dyDescent="0.25">
      <c r="A1368" s="1">
        <v>46071</v>
      </c>
      <c r="B1368" t="s">
        <v>1845</v>
      </c>
      <c r="C1368" t="s">
        <v>17</v>
      </c>
      <c r="D1368" t="s">
        <v>18</v>
      </c>
      <c r="E1368">
        <v>65</v>
      </c>
      <c r="F1368">
        <v>0</v>
      </c>
      <c r="G1368">
        <v>127.9</v>
      </c>
      <c r="H1368">
        <v>8313.5</v>
      </c>
      <c r="I1368" t="s">
        <v>1855</v>
      </c>
      <c r="J1368">
        <v>8.6</v>
      </c>
      <c r="K1368">
        <v>2.95</v>
      </c>
      <c r="L1368">
        <v>0</v>
      </c>
      <c r="M1368">
        <v>0.01</v>
      </c>
      <c r="N1368">
        <v>29</v>
      </c>
      <c r="O1368">
        <v>5.76</v>
      </c>
      <c r="P1368">
        <v>46.32</v>
      </c>
      <c r="Q1368" s="18">
        <f>YEAR(A1368)</f>
        <v>2026</v>
      </c>
      <c r="R1368" s="18">
        <f>MONTH(A1368)</f>
        <v>2</v>
      </c>
      <c r="S1368" s="18">
        <f>IF(R1368&lt;4,Q1368-1,Q1368)</f>
        <v>2025</v>
      </c>
      <c r="T1368" s="18">
        <f>IF(R1368&lt;4,R1368+9,R1368-3)</f>
        <v>11</v>
      </c>
      <c r="U1368" s="18">
        <f>IF(LEN(T1368)=1,_xlfn.CONCAT(0,T1368),T1368)</f>
        <v>11</v>
      </c>
      <c r="V1368" s="18" t="str">
        <f>_xlfn.CONCAT(S1368,U1368)</f>
        <v>202511</v>
      </c>
      <c r="W1368" s="18" t="str">
        <f>_xlfn.CONCAT(TEXT(A1368,"MMM"),"-",MID(Q1368,3,2))</f>
        <v>Feb-26</v>
      </c>
      <c r="X1368" s="19">
        <f>IFERROR(IF(D1368="Sell",(H1368-P1368),-(H1368+P1368)),0)</f>
        <v>8267.18</v>
      </c>
      <c r="Y1368" s="19">
        <f>X1368/1000</f>
        <v>8.2671799999999998</v>
      </c>
    </row>
    <row r="1369" spans="1:25" x14ac:dyDescent="0.25">
      <c r="A1369" s="1">
        <v>46071</v>
      </c>
      <c r="B1369" t="s">
        <v>1845</v>
      </c>
      <c r="C1369" t="s">
        <v>17</v>
      </c>
      <c r="D1369" t="s">
        <v>22</v>
      </c>
      <c r="E1369">
        <v>65</v>
      </c>
      <c r="F1369">
        <v>0</v>
      </c>
      <c r="G1369">
        <v>118.95</v>
      </c>
      <c r="H1369">
        <v>7731.75</v>
      </c>
      <c r="I1369" t="s">
        <v>1856</v>
      </c>
      <c r="J1369">
        <v>0</v>
      </c>
      <c r="K1369">
        <v>2.75</v>
      </c>
      <c r="L1369">
        <v>0</v>
      </c>
      <c r="M1369">
        <v>0.01</v>
      </c>
      <c r="N1369">
        <v>29</v>
      </c>
      <c r="O1369">
        <v>5.72</v>
      </c>
      <c r="P1369">
        <v>37.479999999999997</v>
      </c>
      <c r="Q1369" s="18">
        <f>YEAR(A1369)</f>
        <v>2026</v>
      </c>
      <c r="R1369" s="18">
        <f>MONTH(A1369)</f>
        <v>2</v>
      </c>
      <c r="S1369" s="18">
        <f>IF(R1369&lt;4,Q1369-1,Q1369)</f>
        <v>2025</v>
      </c>
      <c r="T1369" s="18">
        <f>IF(R1369&lt;4,R1369+9,R1369-3)</f>
        <v>11</v>
      </c>
      <c r="U1369" s="18">
        <f>IF(LEN(T1369)=1,_xlfn.CONCAT(0,T1369),T1369)</f>
        <v>11</v>
      </c>
      <c r="V1369" s="18" t="str">
        <f>_xlfn.CONCAT(S1369,U1369)</f>
        <v>202511</v>
      </c>
      <c r="W1369" s="18" t="str">
        <f>_xlfn.CONCAT(TEXT(A1369,"MMM"),"-",MID(Q1369,3,2))</f>
        <v>Feb-26</v>
      </c>
      <c r="X1369" s="19">
        <f>IFERROR(IF(D1369="Sell",(H1369-P1369),-(H1369+P1369)),0)</f>
        <v>-7769.23</v>
      </c>
      <c r="Y1369" s="19">
        <f>X1369/1000</f>
        <v>-7.7692299999999994</v>
      </c>
    </row>
    <row r="1370" spans="1:25" x14ac:dyDescent="0.25">
      <c r="A1370" s="1">
        <v>46071</v>
      </c>
      <c r="B1370" t="s">
        <v>1845</v>
      </c>
      <c r="C1370" t="s">
        <v>17</v>
      </c>
      <c r="D1370" t="s">
        <v>22</v>
      </c>
      <c r="E1370">
        <v>65</v>
      </c>
      <c r="F1370">
        <v>0</v>
      </c>
      <c r="G1370">
        <v>116.25</v>
      </c>
      <c r="H1370">
        <v>7556.25</v>
      </c>
      <c r="I1370" t="s">
        <v>1857</v>
      </c>
      <c r="J1370">
        <v>0</v>
      </c>
      <c r="K1370">
        <v>2.68</v>
      </c>
      <c r="L1370">
        <v>0</v>
      </c>
      <c r="M1370">
        <v>0.01</v>
      </c>
      <c r="N1370">
        <v>29</v>
      </c>
      <c r="O1370">
        <v>5.7</v>
      </c>
      <c r="P1370">
        <v>37.39</v>
      </c>
      <c r="Q1370" s="18">
        <f>YEAR(A1370)</f>
        <v>2026</v>
      </c>
      <c r="R1370" s="18">
        <f>MONTH(A1370)</f>
        <v>2</v>
      </c>
      <c r="S1370" s="18">
        <f>IF(R1370&lt;4,Q1370-1,Q1370)</f>
        <v>2025</v>
      </c>
      <c r="T1370" s="18">
        <f>IF(R1370&lt;4,R1370+9,R1370-3)</f>
        <v>11</v>
      </c>
      <c r="U1370" s="18">
        <f>IF(LEN(T1370)=1,_xlfn.CONCAT(0,T1370),T1370)</f>
        <v>11</v>
      </c>
      <c r="V1370" s="18" t="str">
        <f>_xlfn.CONCAT(S1370,U1370)</f>
        <v>202511</v>
      </c>
      <c r="W1370" s="18" t="str">
        <f>_xlfn.CONCAT(TEXT(A1370,"MMM"),"-",MID(Q1370,3,2))</f>
        <v>Feb-26</v>
      </c>
      <c r="X1370" s="19">
        <f>IFERROR(IF(D1370="Sell",(H1370-P1370),-(H1370+P1370)),0)</f>
        <v>-7593.64</v>
      </c>
      <c r="Y1370" s="19">
        <f>X1370/1000</f>
        <v>-7.5936400000000006</v>
      </c>
    </row>
    <row r="1371" spans="1:25" x14ac:dyDescent="0.25">
      <c r="A1371" s="1">
        <v>46072</v>
      </c>
      <c r="B1371" t="s">
        <v>1819</v>
      </c>
      <c r="C1371" t="s">
        <v>17</v>
      </c>
      <c r="D1371" t="s">
        <v>22</v>
      </c>
      <c r="E1371">
        <v>130</v>
      </c>
      <c r="F1371">
        <v>0</v>
      </c>
      <c r="G1371">
        <v>122.3</v>
      </c>
      <c r="H1371">
        <v>15899</v>
      </c>
      <c r="I1371" t="s">
        <v>1834</v>
      </c>
      <c r="J1371">
        <v>0</v>
      </c>
      <c r="K1371">
        <v>5.64</v>
      </c>
      <c r="L1371">
        <v>0.48</v>
      </c>
      <c r="M1371">
        <v>0.02</v>
      </c>
      <c r="N1371">
        <v>58</v>
      </c>
      <c r="O1371">
        <v>11.44</v>
      </c>
      <c r="P1371">
        <v>75.58</v>
      </c>
      <c r="Q1371" s="18">
        <f>YEAR(A1371)</f>
        <v>2026</v>
      </c>
      <c r="R1371" s="18">
        <f>MONTH(A1371)</f>
        <v>2</v>
      </c>
      <c r="S1371" s="18">
        <f>IF(R1371&lt;4,Q1371-1,Q1371)</f>
        <v>2025</v>
      </c>
      <c r="T1371" s="18">
        <f>IF(R1371&lt;4,R1371+9,R1371-3)</f>
        <v>11</v>
      </c>
      <c r="U1371" s="18">
        <f>IF(LEN(T1371)=1,_xlfn.CONCAT(0,T1371),T1371)</f>
        <v>11</v>
      </c>
      <c r="V1371" s="18" t="str">
        <f>_xlfn.CONCAT(S1371,U1371)</f>
        <v>202511</v>
      </c>
      <c r="W1371" s="18" t="str">
        <f>_xlfn.CONCAT(TEXT(A1371,"MMM"),"-",MID(Q1371,3,2))</f>
        <v>Feb-26</v>
      </c>
      <c r="X1371" s="19">
        <f>IFERROR(IF(D1371="Sell",(H1371-P1371),-(H1371+P1371)),0)</f>
        <v>-15974.58</v>
      </c>
      <c r="Y1371" s="19">
        <f>X1371/1000</f>
        <v>-15.97458</v>
      </c>
    </row>
    <row r="1372" spans="1:25" x14ac:dyDescent="0.25">
      <c r="A1372" s="1">
        <v>46072</v>
      </c>
      <c r="B1372" t="s">
        <v>1804</v>
      </c>
      <c r="C1372" t="s">
        <v>17</v>
      </c>
      <c r="D1372" t="s">
        <v>18</v>
      </c>
      <c r="E1372">
        <v>65</v>
      </c>
      <c r="F1372">
        <v>0</v>
      </c>
      <c r="G1372">
        <v>189.9</v>
      </c>
      <c r="H1372">
        <v>12343.5</v>
      </c>
      <c r="I1372" t="s">
        <v>1835</v>
      </c>
      <c r="J1372">
        <v>12.34</v>
      </c>
      <c r="K1372">
        <v>4.3899999999999997</v>
      </c>
      <c r="L1372">
        <v>0</v>
      </c>
      <c r="M1372">
        <v>0.01</v>
      </c>
      <c r="N1372">
        <v>29</v>
      </c>
      <c r="O1372">
        <v>6.02</v>
      </c>
      <c r="P1372">
        <v>51.76</v>
      </c>
      <c r="Q1372" s="18">
        <f>YEAR(A1372)</f>
        <v>2026</v>
      </c>
      <c r="R1372" s="18">
        <f>MONTH(A1372)</f>
        <v>2</v>
      </c>
      <c r="S1372" s="18">
        <f>IF(R1372&lt;4,Q1372-1,Q1372)</f>
        <v>2025</v>
      </c>
      <c r="T1372" s="18">
        <f>IF(R1372&lt;4,R1372+9,R1372-3)</f>
        <v>11</v>
      </c>
      <c r="U1372" s="18">
        <f>IF(LEN(T1372)=1,_xlfn.CONCAT(0,T1372),T1372)</f>
        <v>11</v>
      </c>
      <c r="V1372" s="18" t="str">
        <f>_xlfn.CONCAT(S1372,U1372)</f>
        <v>202511</v>
      </c>
      <c r="W1372" s="18" t="str">
        <f>_xlfn.CONCAT(TEXT(A1372,"MMM"),"-",MID(Q1372,3,2))</f>
        <v>Feb-26</v>
      </c>
      <c r="X1372" s="19">
        <f>IFERROR(IF(D1372="Sell",(H1372-P1372),-(H1372+P1372)),0)</f>
        <v>12291.74</v>
      </c>
      <c r="Y1372" s="19">
        <f>X1372/1000</f>
        <v>12.291739999999999</v>
      </c>
    </row>
    <row r="1373" spans="1:25" x14ac:dyDescent="0.25">
      <c r="A1373" s="1">
        <v>46072</v>
      </c>
      <c r="B1373" t="s">
        <v>1804</v>
      </c>
      <c r="C1373" t="s">
        <v>17</v>
      </c>
      <c r="D1373" t="s">
        <v>22</v>
      </c>
      <c r="E1373">
        <v>65</v>
      </c>
      <c r="F1373">
        <v>0</v>
      </c>
      <c r="G1373">
        <v>162.25</v>
      </c>
      <c r="H1373">
        <v>10546.25</v>
      </c>
      <c r="I1373" t="s">
        <v>1836</v>
      </c>
      <c r="J1373">
        <v>0</v>
      </c>
      <c r="K1373">
        <v>3.75</v>
      </c>
      <c r="L1373">
        <v>0.32</v>
      </c>
      <c r="M1373">
        <v>0.01</v>
      </c>
      <c r="N1373">
        <v>29</v>
      </c>
      <c r="O1373">
        <v>5.9</v>
      </c>
      <c r="P1373">
        <v>38.979999999999997</v>
      </c>
      <c r="Q1373" s="18">
        <f>YEAR(A1373)</f>
        <v>2026</v>
      </c>
      <c r="R1373" s="18">
        <f>MONTH(A1373)</f>
        <v>2</v>
      </c>
      <c r="S1373" s="18">
        <f>IF(R1373&lt;4,Q1373-1,Q1373)</f>
        <v>2025</v>
      </c>
      <c r="T1373" s="18">
        <f>IF(R1373&lt;4,R1373+9,R1373-3)</f>
        <v>11</v>
      </c>
      <c r="U1373" s="18">
        <f>IF(LEN(T1373)=1,_xlfn.CONCAT(0,T1373),T1373)</f>
        <v>11</v>
      </c>
      <c r="V1373" s="18" t="str">
        <f>_xlfn.CONCAT(S1373,U1373)</f>
        <v>202511</v>
      </c>
      <c r="W1373" s="18" t="str">
        <f>_xlfn.CONCAT(TEXT(A1373,"MMM"),"-",MID(Q1373,3,2))</f>
        <v>Feb-26</v>
      </c>
      <c r="X1373" s="19">
        <f>IFERROR(IF(D1373="Sell",(H1373-P1373),-(H1373+P1373)),0)</f>
        <v>-10585.23</v>
      </c>
      <c r="Y1373" s="19">
        <f>X1373/1000</f>
        <v>-10.585229999999999</v>
      </c>
    </row>
    <row r="1374" spans="1:25" x14ac:dyDescent="0.25">
      <c r="A1374" s="1">
        <v>46072</v>
      </c>
      <c r="B1374" t="s">
        <v>1837</v>
      </c>
      <c r="C1374" t="s">
        <v>17</v>
      </c>
      <c r="D1374" t="s">
        <v>18</v>
      </c>
      <c r="E1374">
        <v>130</v>
      </c>
      <c r="F1374">
        <v>0</v>
      </c>
      <c r="G1374">
        <v>99.9</v>
      </c>
      <c r="H1374">
        <v>12987</v>
      </c>
      <c r="I1374" t="s">
        <v>1838</v>
      </c>
      <c r="J1374">
        <v>12.98</v>
      </c>
      <c r="K1374">
        <v>4.62</v>
      </c>
      <c r="L1374">
        <v>0</v>
      </c>
      <c r="M1374">
        <v>0.02</v>
      </c>
      <c r="N1374">
        <v>58</v>
      </c>
      <c r="O1374">
        <v>11.28</v>
      </c>
      <c r="P1374">
        <v>86.9</v>
      </c>
      <c r="Q1374" s="18">
        <f>YEAR(A1374)</f>
        <v>2026</v>
      </c>
      <c r="R1374" s="18">
        <f>MONTH(A1374)</f>
        <v>2</v>
      </c>
      <c r="S1374" s="18">
        <f>IF(R1374&lt;4,Q1374-1,Q1374)</f>
        <v>2025</v>
      </c>
      <c r="T1374" s="18">
        <f>IF(R1374&lt;4,R1374+9,R1374-3)</f>
        <v>11</v>
      </c>
      <c r="U1374" s="18">
        <f>IF(LEN(T1374)=1,_xlfn.CONCAT(0,T1374),T1374)</f>
        <v>11</v>
      </c>
      <c r="V1374" s="18" t="str">
        <f>_xlfn.CONCAT(S1374,U1374)</f>
        <v>202511</v>
      </c>
      <c r="W1374" s="18" t="str">
        <f>_xlfn.CONCAT(TEXT(A1374,"MMM"),"-",MID(Q1374,3,2))</f>
        <v>Feb-26</v>
      </c>
      <c r="X1374" s="19">
        <f>IFERROR(IF(D1374="Sell",(H1374-P1374),-(H1374+P1374)),0)</f>
        <v>12900.1</v>
      </c>
      <c r="Y1374" s="19">
        <f>X1374/1000</f>
        <v>12.9001</v>
      </c>
    </row>
    <row r="1375" spans="1:25" x14ac:dyDescent="0.25">
      <c r="A1375" s="1">
        <v>46072</v>
      </c>
      <c r="B1375" t="s">
        <v>1837</v>
      </c>
      <c r="C1375" t="s">
        <v>17</v>
      </c>
      <c r="D1375" t="s">
        <v>22</v>
      </c>
      <c r="E1375">
        <v>130</v>
      </c>
      <c r="F1375">
        <v>0</v>
      </c>
      <c r="G1375">
        <v>97.7</v>
      </c>
      <c r="H1375">
        <v>12701</v>
      </c>
      <c r="I1375" t="s">
        <v>1839</v>
      </c>
      <c r="J1375">
        <v>0</v>
      </c>
      <c r="K1375">
        <v>4.5199999999999996</v>
      </c>
      <c r="L1375">
        <v>0</v>
      </c>
      <c r="M1375">
        <v>0.02</v>
      </c>
      <c r="N1375">
        <v>58</v>
      </c>
      <c r="O1375">
        <v>11.24</v>
      </c>
      <c r="P1375">
        <v>73.78</v>
      </c>
      <c r="Q1375" s="18">
        <f>YEAR(A1375)</f>
        <v>2026</v>
      </c>
      <c r="R1375" s="18">
        <f>MONTH(A1375)</f>
        <v>2</v>
      </c>
      <c r="S1375" s="18">
        <f>IF(R1375&lt;4,Q1375-1,Q1375)</f>
        <v>2025</v>
      </c>
      <c r="T1375" s="18">
        <f>IF(R1375&lt;4,R1375+9,R1375-3)</f>
        <v>11</v>
      </c>
      <c r="U1375" s="18">
        <f>IF(LEN(T1375)=1,_xlfn.CONCAT(0,T1375),T1375)</f>
        <v>11</v>
      </c>
      <c r="V1375" s="18" t="str">
        <f>_xlfn.CONCAT(S1375,U1375)</f>
        <v>202511</v>
      </c>
      <c r="W1375" s="18" t="str">
        <f>_xlfn.CONCAT(TEXT(A1375,"MMM"),"-",MID(Q1375,3,2))</f>
        <v>Feb-26</v>
      </c>
      <c r="X1375" s="19">
        <f>IFERROR(IF(D1375="Sell",(H1375-P1375),-(H1375+P1375)),0)</f>
        <v>-12774.78</v>
      </c>
      <c r="Y1375" s="19">
        <f>X1375/1000</f>
        <v>-12.77478</v>
      </c>
    </row>
    <row r="1376" spans="1:25" x14ac:dyDescent="0.25">
      <c r="A1376" s="1">
        <v>46072</v>
      </c>
      <c r="B1376" t="s">
        <v>1837</v>
      </c>
      <c r="C1376" t="s">
        <v>17</v>
      </c>
      <c r="D1376" t="s">
        <v>18</v>
      </c>
      <c r="E1376">
        <v>65</v>
      </c>
      <c r="F1376">
        <v>0</v>
      </c>
      <c r="G1376">
        <v>107.75</v>
      </c>
      <c r="H1376">
        <v>7003.75</v>
      </c>
      <c r="I1376" t="s">
        <v>1840</v>
      </c>
      <c r="J1376">
        <v>7</v>
      </c>
      <c r="K1376">
        <v>2.4900000000000002</v>
      </c>
      <c r="L1376">
        <v>0</v>
      </c>
      <c r="M1376">
        <v>0.01</v>
      </c>
      <c r="N1376">
        <v>29</v>
      </c>
      <c r="O1376">
        <v>5.66</v>
      </c>
      <c r="P1376">
        <v>44.16</v>
      </c>
      <c r="Q1376" s="18">
        <f>YEAR(A1376)</f>
        <v>2026</v>
      </c>
      <c r="R1376" s="18">
        <f>MONTH(A1376)</f>
        <v>2</v>
      </c>
      <c r="S1376" s="18">
        <f>IF(R1376&lt;4,Q1376-1,Q1376)</f>
        <v>2025</v>
      </c>
      <c r="T1376" s="18">
        <f>IF(R1376&lt;4,R1376+9,R1376-3)</f>
        <v>11</v>
      </c>
      <c r="U1376" s="18">
        <f>IF(LEN(T1376)=1,_xlfn.CONCAT(0,T1376),T1376)</f>
        <v>11</v>
      </c>
      <c r="V1376" s="18" t="str">
        <f>_xlfn.CONCAT(S1376,U1376)</f>
        <v>202511</v>
      </c>
      <c r="W1376" s="18" t="str">
        <f>_xlfn.CONCAT(TEXT(A1376,"MMM"),"-",MID(Q1376,3,2))</f>
        <v>Feb-26</v>
      </c>
      <c r="X1376" s="19">
        <f>IFERROR(IF(D1376="Sell",(H1376-P1376),-(H1376+P1376)),0)</f>
        <v>6959.59</v>
      </c>
      <c r="Y1376" s="19">
        <f>X1376/1000</f>
        <v>6.9595900000000004</v>
      </c>
    </row>
    <row r="1377" spans="1:25" x14ac:dyDescent="0.25">
      <c r="A1377" s="1">
        <v>46072</v>
      </c>
      <c r="B1377" t="s">
        <v>1837</v>
      </c>
      <c r="C1377" t="s">
        <v>17</v>
      </c>
      <c r="D1377" t="s">
        <v>18</v>
      </c>
      <c r="E1377">
        <v>65</v>
      </c>
      <c r="F1377">
        <v>0</v>
      </c>
      <c r="G1377">
        <v>113.9</v>
      </c>
      <c r="H1377">
        <v>7403.5</v>
      </c>
      <c r="I1377" t="s">
        <v>1841</v>
      </c>
      <c r="J1377">
        <v>7.4</v>
      </c>
      <c r="K1377">
        <v>2.63</v>
      </c>
      <c r="L1377">
        <v>0</v>
      </c>
      <c r="M1377">
        <v>0.01</v>
      </c>
      <c r="N1377">
        <v>29</v>
      </c>
      <c r="O1377">
        <v>5.7</v>
      </c>
      <c r="P1377">
        <v>44.74</v>
      </c>
      <c r="Q1377" s="18">
        <f>YEAR(A1377)</f>
        <v>2026</v>
      </c>
      <c r="R1377" s="18">
        <f>MONTH(A1377)</f>
        <v>2</v>
      </c>
      <c r="S1377" s="18">
        <f>IF(R1377&lt;4,Q1377-1,Q1377)</f>
        <v>2025</v>
      </c>
      <c r="T1377" s="18">
        <f>IF(R1377&lt;4,R1377+9,R1377-3)</f>
        <v>11</v>
      </c>
      <c r="U1377" s="18">
        <f>IF(LEN(T1377)=1,_xlfn.CONCAT(0,T1377),T1377)</f>
        <v>11</v>
      </c>
      <c r="V1377" s="18" t="str">
        <f>_xlfn.CONCAT(S1377,U1377)</f>
        <v>202511</v>
      </c>
      <c r="W1377" s="18" t="str">
        <f>_xlfn.CONCAT(TEXT(A1377,"MMM"),"-",MID(Q1377,3,2))</f>
        <v>Feb-26</v>
      </c>
      <c r="X1377" s="19">
        <f>IFERROR(IF(D1377="Sell",(H1377-P1377),-(H1377+P1377)),0)</f>
        <v>7358.76</v>
      </c>
      <c r="Y1377" s="19">
        <f>X1377/1000</f>
        <v>7.3587600000000002</v>
      </c>
    </row>
    <row r="1378" spans="1:25" x14ac:dyDescent="0.25">
      <c r="A1378" s="1">
        <v>46072</v>
      </c>
      <c r="B1378" t="s">
        <v>1837</v>
      </c>
      <c r="C1378" t="s">
        <v>17</v>
      </c>
      <c r="D1378" t="s">
        <v>22</v>
      </c>
      <c r="E1378">
        <v>130</v>
      </c>
      <c r="F1378">
        <v>0</v>
      </c>
      <c r="G1378">
        <v>115.45</v>
      </c>
      <c r="H1378">
        <v>15008.5</v>
      </c>
      <c r="I1378" t="s">
        <v>1842</v>
      </c>
      <c r="J1378">
        <v>0</v>
      </c>
      <c r="K1378">
        <v>5.33</v>
      </c>
      <c r="L1378">
        <v>1.2</v>
      </c>
      <c r="M1378">
        <v>0.02</v>
      </c>
      <c r="N1378">
        <v>58</v>
      </c>
      <c r="O1378">
        <v>11.4</v>
      </c>
      <c r="P1378">
        <v>75.95</v>
      </c>
      <c r="Q1378" s="18">
        <f>YEAR(A1378)</f>
        <v>2026</v>
      </c>
      <c r="R1378" s="18">
        <f>MONTH(A1378)</f>
        <v>2</v>
      </c>
      <c r="S1378" s="18">
        <f>IF(R1378&lt;4,Q1378-1,Q1378)</f>
        <v>2025</v>
      </c>
      <c r="T1378" s="18">
        <f>IF(R1378&lt;4,R1378+9,R1378-3)</f>
        <v>11</v>
      </c>
      <c r="U1378" s="18">
        <f>IF(LEN(T1378)=1,_xlfn.CONCAT(0,T1378),T1378)</f>
        <v>11</v>
      </c>
      <c r="V1378" s="18" t="str">
        <f>_xlfn.CONCAT(S1378,U1378)</f>
        <v>202511</v>
      </c>
      <c r="W1378" s="18" t="str">
        <f>_xlfn.CONCAT(TEXT(A1378,"MMM"),"-",MID(Q1378,3,2))</f>
        <v>Feb-26</v>
      </c>
      <c r="X1378" s="19">
        <f>IFERROR(IF(D1378="Sell",(H1378-P1378),-(H1378+P1378)),0)</f>
        <v>-15084.45</v>
      </c>
      <c r="Y1378" s="19">
        <f>X1378/1000</f>
        <v>-15.08445</v>
      </c>
    </row>
    <row r="1379" spans="1:25" x14ac:dyDescent="0.25">
      <c r="A1379" s="1">
        <v>46072</v>
      </c>
      <c r="B1379" t="s">
        <v>1837</v>
      </c>
      <c r="C1379" t="s">
        <v>17</v>
      </c>
      <c r="D1379" t="s">
        <v>18</v>
      </c>
      <c r="E1379">
        <v>65</v>
      </c>
      <c r="F1379">
        <v>0</v>
      </c>
      <c r="G1379">
        <v>115.9</v>
      </c>
      <c r="H1379">
        <v>7533.5</v>
      </c>
      <c r="I1379" t="s">
        <v>1843</v>
      </c>
      <c r="J1379">
        <v>7.26</v>
      </c>
      <c r="K1379">
        <v>2.68</v>
      </c>
      <c r="L1379">
        <v>0</v>
      </c>
      <c r="M1379">
        <v>0.01</v>
      </c>
      <c r="N1379">
        <v>29</v>
      </c>
      <c r="O1379">
        <v>5.7</v>
      </c>
      <c r="P1379">
        <v>44.65</v>
      </c>
      <c r="Q1379" s="18">
        <f>YEAR(A1379)</f>
        <v>2026</v>
      </c>
      <c r="R1379" s="18">
        <f>MONTH(A1379)</f>
        <v>2</v>
      </c>
      <c r="S1379" s="18">
        <f>IF(R1379&lt;4,Q1379-1,Q1379)</f>
        <v>2025</v>
      </c>
      <c r="T1379" s="18">
        <f>IF(R1379&lt;4,R1379+9,R1379-3)</f>
        <v>11</v>
      </c>
      <c r="U1379" s="18">
        <f>IF(LEN(T1379)=1,_xlfn.CONCAT(0,T1379),T1379)</f>
        <v>11</v>
      </c>
      <c r="V1379" s="18" t="str">
        <f>_xlfn.CONCAT(S1379,U1379)</f>
        <v>202511</v>
      </c>
      <c r="W1379" s="18" t="str">
        <f>_xlfn.CONCAT(TEXT(A1379,"MMM"),"-",MID(Q1379,3,2))</f>
        <v>Feb-26</v>
      </c>
      <c r="X1379" s="19">
        <f>IFERROR(IF(D1379="Sell",(H1379-P1379),-(H1379+P1379)),0)</f>
        <v>7488.85</v>
      </c>
      <c r="Y1379" s="19">
        <f>X1379/1000</f>
        <v>7.4888500000000002</v>
      </c>
    </row>
    <row r="1380" spans="1:25" x14ac:dyDescent="0.25">
      <c r="A1380" s="1">
        <v>46072</v>
      </c>
      <c r="B1380" t="s">
        <v>1837</v>
      </c>
      <c r="C1380" t="s">
        <v>17</v>
      </c>
      <c r="D1380" t="s">
        <v>22</v>
      </c>
      <c r="E1380">
        <v>65</v>
      </c>
      <c r="F1380">
        <v>0</v>
      </c>
      <c r="G1380">
        <v>118.8</v>
      </c>
      <c r="H1380">
        <v>7722</v>
      </c>
      <c r="I1380" t="s">
        <v>1844</v>
      </c>
      <c r="J1380">
        <v>0</v>
      </c>
      <c r="K1380">
        <v>2.74</v>
      </c>
      <c r="L1380">
        <v>0</v>
      </c>
      <c r="M1380">
        <v>0.01</v>
      </c>
      <c r="N1380">
        <v>29</v>
      </c>
      <c r="O1380">
        <v>5.72</v>
      </c>
      <c r="P1380">
        <v>37.47</v>
      </c>
      <c r="Q1380" s="18">
        <f>YEAR(A1380)</f>
        <v>2026</v>
      </c>
      <c r="R1380" s="18">
        <f>MONTH(A1380)</f>
        <v>2</v>
      </c>
      <c r="S1380" s="18">
        <f>IF(R1380&lt;4,Q1380-1,Q1380)</f>
        <v>2025</v>
      </c>
      <c r="T1380" s="18">
        <f>IF(R1380&lt;4,R1380+9,R1380-3)</f>
        <v>11</v>
      </c>
      <c r="U1380" s="18">
        <f>IF(LEN(T1380)=1,_xlfn.CONCAT(0,T1380),T1380)</f>
        <v>11</v>
      </c>
      <c r="V1380" s="18" t="str">
        <f>_xlfn.CONCAT(S1380,U1380)</f>
        <v>202511</v>
      </c>
      <c r="W1380" s="18" t="str">
        <f>_xlfn.CONCAT(TEXT(A1380,"MMM"),"-",MID(Q1380,3,2))</f>
        <v>Feb-26</v>
      </c>
      <c r="X1380" s="19">
        <f>IFERROR(IF(D1380="Sell",(H1380-P1380),-(H1380+P1380)),0)</f>
        <v>-7759.47</v>
      </c>
      <c r="Y1380" s="19">
        <f>X1380/1000</f>
        <v>-7.7594700000000003</v>
      </c>
    </row>
    <row r="1381" spans="1:25" x14ac:dyDescent="0.25">
      <c r="A1381" s="1">
        <v>46073</v>
      </c>
      <c r="B1381" t="s">
        <v>1819</v>
      </c>
      <c r="C1381" t="s">
        <v>17</v>
      </c>
      <c r="D1381" t="s">
        <v>18</v>
      </c>
      <c r="E1381">
        <v>130</v>
      </c>
      <c r="F1381">
        <v>0</v>
      </c>
      <c r="G1381">
        <v>169.25</v>
      </c>
      <c r="H1381">
        <v>22002.5</v>
      </c>
      <c r="I1381" t="s">
        <v>1820</v>
      </c>
      <c r="J1381">
        <v>22</v>
      </c>
      <c r="K1381">
        <v>7.82</v>
      </c>
      <c r="L1381">
        <v>0</v>
      </c>
      <c r="M1381">
        <v>0.02</v>
      </c>
      <c r="N1381">
        <v>58</v>
      </c>
      <c r="O1381">
        <v>11.86</v>
      </c>
      <c r="P1381">
        <v>99.7</v>
      </c>
      <c r="Q1381" s="18">
        <f>YEAR(A1381)</f>
        <v>2026</v>
      </c>
      <c r="R1381" s="18">
        <f>MONTH(A1381)</f>
        <v>2</v>
      </c>
      <c r="S1381" s="18">
        <f>IF(R1381&lt;4,Q1381-1,Q1381)</f>
        <v>2025</v>
      </c>
      <c r="T1381" s="18">
        <f>IF(R1381&lt;4,R1381+9,R1381-3)</f>
        <v>11</v>
      </c>
      <c r="U1381" s="18">
        <f>IF(LEN(T1381)=1,_xlfn.CONCAT(0,T1381),T1381)</f>
        <v>11</v>
      </c>
      <c r="V1381" s="18" t="str">
        <f>_xlfn.CONCAT(S1381,U1381)</f>
        <v>202511</v>
      </c>
      <c r="W1381" s="18" t="str">
        <f>_xlfn.CONCAT(TEXT(A1381,"MMM"),"-",MID(Q1381,3,2))</f>
        <v>Feb-26</v>
      </c>
      <c r="X1381" s="19">
        <f>IFERROR(IF(D1381="Sell",(H1381-P1381),-(H1381+P1381)),0)</f>
        <v>21902.799999999999</v>
      </c>
      <c r="Y1381" s="19">
        <f>X1381/1000</f>
        <v>21.902799999999999</v>
      </c>
    </row>
    <row r="1382" spans="1:25" x14ac:dyDescent="0.25">
      <c r="A1382" s="1">
        <v>46073</v>
      </c>
      <c r="B1382" t="s">
        <v>1819</v>
      </c>
      <c r="C1382" t="s">
        <v>17</v>
      </c>
      <c r="D1382" t="s">
        <v>22</v>
      </c>
      <c r="E1382">
        <v>130</v>
      </c>
      <c r="F1382">
        <v>0</v>
      </c>
      <c r="G1382">
        <v>169.75</v>
      </c>
      <c r="H1382">
        <v>22067.5</v>
      </c>
      <c r="I1382" t="s">
        <v>1821</v>
      </c>
      <c r="J1382">
        <v>0</v>
      </c>
      <c r="K1382">
        <v>7.84</v>
      </c>
      <c r="L1382">
        <v>0</v>
      </c>
      <c r="M1382">
        <v>0.02</v>
      </c>
      <c r="N1382">
        <v>58</v>
      </c>
      <c r="O1382">
        <v>11.84</v>
      </c>
      <c r="P1382">
        <v>77.7</v>
      </c>
      <c r="Q1382" s="18">
        <f>YEAR(A1382)</f>
        <v>2026</v>
      </c>
      <c r="R1382" s="18">
        <f>MONTH(A1382)</f>
        <v>2</v>
      </c>
      <c r="S1382" s="18">
        <f>IF(R1382&lt;4,Q1382-1,Q1382)</f>
        <v>2025</v>
      </c>
      <c r="T1382" s="18">
        <f>IF(R1382&lt;4,R1382+9,R1382-3)</f>
        <v>11</v>
      </c>
      <c r="U1382" s="18">
        <f>IF(LEN(T1382)=1,_xlfn.CONCAT(0,T1382),T1382)</f>
        <v>11</v>
      </c>
      <c r="V1382" s="18" t="str">
        <f>_xlfn.CONCAT(S1382,U1382)</f>
        <v>202511</v>
      </c>
      <c r="W1382" s="18" t="str">
        <f>_xlfn.CONCAT(TEXT(A1382,"MMM"),"-",MID(Q1382,3,2))</f>
        <v>Feb-26</v>
      </c>
      <c r="X1382" s="19">
        <f>IFERROR(IF(D1382="Sell",(H1382-P1382),-(H1382+P1382)),0)</f>
        <v>-22145.200000000001</v>
      </c>
      <c r="Y1382" s="19">
        <f>X1382/1000</f>
        <v>-22.145199999999999</v>
      </c>
    </row>
    <row r="1383" spans="1:25" x14ac:dyDescent="0.25">
      <c r="A1383" s="1">
        <v>46073</v>
      </c>
      <c r="B1383" t="s">
        <v>1815</v>
      </c>
      <c r="C1383" t="s">
        <v>17</v>
      </c>
      <c r="D1383" t="s">
        <v>22</v>
      </c>
      <c r="E1383">
        <v>65</v>
      </c>
      <c r="F1383">
        <v>0</v>
      </c>
      <c r="G1383">
        <v>55.35</v>
      </c>
      <c r="H1383">
        <v>3597.75</v>
      </c>
      <c r="I1383" t="s">
        <v>1822</v>
      </c>
      <c r="J1383">
        <v>0</v>
      </c>
      <c r="K1383">
        <v>1.28</v>
      </c>
      <c r="L1383">
        <v>0</v>
      </c>
      <c r="M1383">
        <v>0</v>
      </c>
      <c r="N1383">
        <v>29</v>
      </c>
      <c r="O1383">
        <v>5.46</v>
      </c>
      <c r="P1383">
        <v>35.74</v>
      </c>
      <c r="Q1383" s="18">
        <f>YEAR(A1383)</f>
        <v>2026</v>
      </c>
      <c r="R1383" s="18">
        <f>MONTH(A1383)</f>
        <v>2</v>
      </c>
      <c r="S1383" s="18">
        <f>IF(R1383&lt;4,Q1383-1,Q1383)</f>
        <v>2025</v>
      </c>
      <c r="T1383" s="18">
        <f>IF(R1383&lt;4,R1383+9,R1383-3)</f>
        <v>11</v>
      </c>
      <c r="U1383" s="18">
        <f>IF(LEN(T1383)=1,_xlfn.CONCAT(0,T1383),T1383)</f>
        <v>11</v>
      </c>
      <c r="V1383" s="18" t="str">
        <f>_xlfn.CONCAT(S1383,U1383)</f>
        <v>202511</v>
      </c>
      <c r="W1383" s="18" t="str">
        <f>_xlfn.CONCAT(TEXT(A1383,"MMM"),"-",MID(Q1383,3,2))</f>
        <v>Feb-26</v>
      </c>
      <c r="X1383" s="19">
        <f>IFERROR(IF(D1383="Sell",(H1383-P1383),-(H1383+P1383)),0)</f>
        <v>-3633.49</v>
      </c>
      <c r="Y1383" s="19">
        <f>X1383/1000</f>
        <v>-3.6334899999999997</v>
      </c>
    </row>
    <row r="1384" spans="1:25" x14ac:dyDescent="0.25">
      <c r="A1384" s="1">
        <v>46073</v>
      </c>
      <c r="B1384" t="s">
        <v>1819</v>
      </c>
      <c r="C1384" t="s">
        <v>17</v>
      </c>
      <c r="D1384" t="s">
        <v>18</v>
      </c>
      <c r="E1384">
        <v>65</v>
      </c>
      <c r="F1384">
        <v>0</v>
      </c>
      <c r="G1384">
        <v>172</v>
      </c>
      <c r="H1384">
        <v>11180</v>
      </c>
      <c r="I1384" t="s">
        <v>1823</v>
      </c>
      <c r="J1384">
        <v>11.18</v>
      </c>
      <c r="K1384">
        <v>3.97</v>
      </c>
      <c r="L1384">
        <v>0</v>
      </c>
      <c r="M1384">
        <v>0.01</v>
      </c>
      <c r="N1384">
        <v>29</v>
      </c>
      <c r="O1384">
        <v>5.94</v>
      </c>
      <c r="P1384">
        <v>50.1</v>
      </c>
      <c r="Q1384" s="18">
        <f>YEAR(A1384)</f>
        <v>2026</v>
      </c>
      <c r="R1384" s="18">
        <f>MONTH(A1384)</f>
        <v>2</v>
      </c>
      <c r="S1384" s="18">
        <f>IF(R1384&lt;4,Q1384-1,Q1384)</f>
        <v>2025</v>
      </c>
      <c r="T1384" s="18">
        <f>IF(R1384&lt;4,R1384+9,R1384-3)</f>
        <v>11</v>
      </c>
      <c r="U1384" s="18">
        <f>IF(LEN(T1384)=1,_xlfn.CONCAT(0,T1384),T1384)</f>
        <v>11</v>
      </c>
      <c r="V1384" s="18" t="str">
        <f>_xlfn.CONCAT(S1384,U1384)</f>
        <v>202511</v>
      </c>
      <c r="W1384" s="18" t="str">
        <f>_xlfn.CONCAT(TEXT(A1384,"MMM"),"-",MID(Q1384,3,2))</f>
        <v>Feb-26</v>
      </c>
      <c r="X1384" s="19">
        <f>IFERROR(IF(D1384="Sell",(H1384-P1384),-(H1384+P1384)),0)</f>
        <v>11129.9</v>
      </c>
      <c r="Y1384" s="19">
        <f>X1384/1000</f>
        <v>11.129899999999999</v>
      </c>
    </row>
    <row r="1385" spans="1:25" x14ac:dyDescent="0.25">
      <c r="A1385" s="1">
        <v>46073</v>
      </c>
      <c r="B1385" t="s">
        <v>1819</v>
      </c>
      <c r="C1385" t="s">
        <v>17</v>
      </c>
      <c r="D1385" t="s">
        <v>22</v>
      </c>
      <c r="E1385">
        <v>65</v>
      </c>
      <c r="F1385">
        <v>0</v>
      </c>
      <c r="G1385">
        <v>182.25</v>
      </c>
      <c r="H1385">
        <v>11846.25</v>
      </c>
      <c r="I1385" t="s">
        <v>1824</v>
      </c>
      <c r="J1385">
        <v>0</v>
      </c>
      <c r="K1385">
        <v>4.21</v>
      </c>
      <c r="L1385">
        <v>0</v>
      </c>
      <c r="M1385">
        <v>0.01</v>
      </c>
      <c r="N1385">
        <v>29</v>
      </c>
      <c r="O1385">
        <v>5.98</v>
      </c>
      <c r="P1385">
        <v>39.200000000000003</v>
      </c>
      <c r="Q1385" s="18">
        <f>YEAR(A1385)</f>
        <v>2026</v>
      </c>
      <c r="R1385" s="18">
        <f>MONTH(A1385)</f>
        <v>2</v>
      </c>
      <c r="S1385" s="18">
        <f>IF(R1385&lt;4,Q1385-1,Q1385)</f>
        <v>2025</v>
      </c>
      <c r="T1385" s="18">
        <f>IF(R1385&lt;4,R1385+9,R1385-3)</f>
        <v>11</v>
      </c>
      <c r="U1385" s="18">
        <f>IF(LEN(T1385)=1,_xlfn.CONCAT(0,T1385),T1385)</f>
        <v>11</v>
      </c>
      <c r="V1385" s="18" t="str">
        <f>_xlfn.CONCAT(S1385,U1385)</f>
        <v>202511</v>
      </c>
      <c r="W1385" s="18" t="str">
        <f>_xlfn.CONCAT(TEXT(A1385,"MMM"),"-",MID(Q1385,3,2))</f>
        <v>Feb-26</v>
      </c>
      <c r="X1385" s="19">
        <f>IFERROR(IF(D1385="Sell",(H1385-P1385),-(H1385+P1385)),0)</f>
        <v>-11885.45</v>
      </c>
      <c r="Y1385" s="19">
        <f>X1385/1000</f>
        <v>-11.885450000000001</v>
      </c>
    </row>
    <row r="1386" spans="1:25" x14ac:dyDescent="0.25">
      <c r="A1386" s="1">
        <v>46073</v>
      </c>
      <c r="B1386" t="s">
        <v>1815</v>
      </c>
      <c r="C1386" t="s">
        <v>17</v>
      </c>
      <c r="D1386" t="s">
        <v>22</v>
      </c>
      <c r="E1386">
        <v>65</v>
      </c>
      <c r="F1386">
        <v>0</v>
      </c>
      <c r="G1386">
        <v>54.35</v>
      </c>
      <c r="H1386">
        <v>3532.75</v>
      </c>
      <c r="I1386" t="s">
        <v>1825</v>
      </c>
      <c r="J1386">
        <v>0</v>
      </c>
      <c r="K1386">
        <v>1.26</v>
      </c>
      <c r="L1386">
        <v>0</v>
      </c>
      <c r="M1386">
        <v>0</v>
      </c>
      <c r="N1386">
        <v>29</v>
      </c>
      <c r="O1386">
        <v>5.44</v>
      </c>
      <c r="P1386">
        <v>35.700000000000003</v>
      </c>
      <c r="Q1386" s="18">
        <f>YEAR(A1386)</f>
        <v>2026</v>
      </c>
      <c r="R1386" s="18">
        <f>MONTH(A1386)</f>
        <v>2</v>
      </c>
      <c r="S1386" s="18">
        <f>IF(R1386&lt;4,Q1386-1,Q1386)</f>
        <v>2025</v>
      </c>
      <c r="T1386" s="18">
        <f>IF(R1386&lt;4,R1386+9,R1386-3)</f>
        <v>11</v>
      </c>
      <c r="U1386" s="18">
        <f>IF(LEN(T1386)=1,_xlfn.CONCAT(0,T1386),T1386)</f>
        <v>11</v>
      </c>
      <c r="V1386" s="18" t="str">
        <f>_xlfn.CONCAT(S1386,U1386)</f>
        <v>202511</v>
      </c>
      <c r="W1386" s="18" t="str">
        <f>_xlfn.CONCAT(TEXT(A1386,"MMM"),"-",MID(Q1386,3,2))</f>
        <v>Feb-26</v>
      </c>
      <c r="X1386" s="19">
        <f>IFERROR(IF(D1386="Sell",(H1386-P1386),-(H1386+P1386)),0)</f>
        <v>-3568.45</v>
      </c>
      <c r="Y1386" s="19">
        <f>X1386/1000</f>
        <v>-3.5684499999999999</v>
      </c>
    </row>
    <row r="1387" spans="1:25" x14ac:dyDescent="0.25">
      <c r="A1387" s="1">
        <v>46073</v>
      </c>
      <c r="B1387" t="s">
        <v>1819</v>
      </c>
      <c r="C1387" t="s">
        <v>17</v>
      </c>
      <c r="D1387" t="s">
        <v>18</v>
      </c>
      <c r="E1387">
        <v>195</v>
      </c>
      <c r="F1387">
        <v>0</v>
      </c>
      <c r="G1387">
        <v>199.9</v>
      </c>
      <c r="H1387">
        <v>38980.5</v>
      </c>
      <c r="I1387" t="s">
        <v>1826</v>
      </c>
      <c r="J1387">
        <v>38.979999999999997</v>
      </c>
      <c r="K1387">
        <v>13.85</v>
      </c>
      <c r="L1387">
        <v>0</v>
      </c>
      <c r="M1387">
        <v>0.04</v>
      </c>
      <c r="N1387">
        <v>87</v>
      </c>
      <c r="O1387">
        <v>18.16</v>
      </c>
      <c r="P1387">
        <v>158.03</v>
      </c>
      <c r="Q1387" s="18">
        <f>YEAR(A1387)</f>
        <v>2026</v>
      </c>
      <c r="R1387" s="18">
        <f>MONTH(A1387)</f>
        <v>2</v>
      </c>
      <c r="S1387" s="18">
        <f>IF(R1387&lt;4,Q1387-1,Q1387)</f>
        <v>2025</v>
      </c>
      <c r="T1387" s="18">
        <f>IF(R1387&lt;4,R1387+9,R1387-3)</f>
        <v>11</v>
      </c>
      <c r="U1387" s="18">
        <f>IF(LEN(T1387)=1,_xlfn.CONCAT(0,T1387),T1387)</f>
        <v>11</v>
      </c>
      <c r="V1387" s="18" t="str">
        <f>_xlfn.CONCAT(S1387,U1387)</f>
        <v>202511</v>
      </c>
      <c r="W1387" s="18" t="str">
        <f>_xlfn.CONCAT(TEXT(A1387,"MMM"),"-",MID(Q1387,3,2))</f>
        <v>Feb-26</v>
      </c>
      <c r="X1387" s="19">
        <f>IFERROR(IF(D1387="Sell",(H1387-P1387),-(H1387+P1387)),0)</f>
        <v>38822.47</v>
      </c>
      <c r="Y1387" s="19">
        <f>X1387/1000</f>
        <v>38.822470000000003</v>
      </c>
    </row>
    <row r="1388" spans="1:25" x14ac:dyDescent="0.25">
      <c r="A1388" s="1">
        <v>46073</v>
      </c>
      <c r="B1388" t="s">
        <v>1815</v>
      </c>
      <c r="C1388" t="s">
        <v>17</v>
      </c>
      <c r="D1388" t="s">
        <v>22</v>
      </c>
      <c r="E1388">
        <v>65</v>
      </c>
      <c r="F1388">
        <v>0</v>
      </c>
      <c r="G1388">
        <v>50.4</v>
      </c>
      <c r="H1388">
        <v>3276</v>
      </c>
      <c r="I1388" t="s">
        <v>1827</v>
      </c>
      <c r="J1388">
        <v>0</v>
      </c>
      <c r="K1388">
        <v>1.1599999999999999</v>
      </c>
      <c r="L1388">
        <v>0</v>
      </c>
      <c r="M1388">
        <v>0</v>
      </c>
      <c r="N1388">
        <v>29</v>
      </c>
      <c r="O1388">
        <v>5.42</v>
      </c>
      <c r="P1388">
        <v>35.58</v>
      </c>
      <c r="Q1388" s="18">
        <f>YEAR(A1388)</f>
        <v>2026</v>
      </c>
      <c r="R1388" s="18">
        <f>MONTH(A1388)</f>
        <v>2</v>
      </c>
      <c r="S1388" s="18">
        <f>IF(R1388&lt;4,Q1388-1,Q1388)</f>
        <v>2025</v>
      </c>
      <c r="T1388" s="18">
        <f>IF(R1388&lt;4,R1388+9,R1388-3)</f>
        <v>11</v>
      </c>
      <c r="U1388" s="18">
        <f>IF(LEN(T1388)=1,_xlfn.CONCAT(0,T1388),T1388)</f>
        <v>11</v>
      </c>
      <c r="V1388" s="18" t="str">
        <f>_xlfn.CONCAT(S1388,U1388)</f>
        <v>202511</v>
      </c>
      <c r="W1388" s="18" t="str">
        <f>_xlfn.CONCAT(TEXT(A1388,"MMM"),"-",MID(Q1388,3,2))</f>
        <v>Feb-26</v>
      </c>
      <c r="X1388" s="19">
        <f>IFERROR(IF(D1388="Sell",(H1388-P1388),-(H1388+P1388)),0)</f>
        <v>-3311.58</v>
      </c>
      <c r="Y1388" s="19">
        <f>X1388/1000</f>
        <v>-3.3115799999999997</v>
      </c>
    </row>
    <row r="1389" spans="1:25" x14ac:dyDescent="0.25">
      <c r="A1389" s="1">
        <v>46073</v>
      </c>
      <c r="B1389" t="s">
        <v>1819</v>
      </c>
      <c r="C1389" t="s">
        <v>17</v>
      </c>
      <c r="D1389" t="s">
        <v>22</v>
      </c>
      <c r="E1389">
        <v>195</v>
      </c>
      <c r="F1389">
        <v>0</v>
      </c>
      <c r="G1389">
        <v>176.45</v>
      </c>
      <c r="H1389">
        <v>34407.75</v>
      </c>
      <c r="I1389" t="s">
        <v>1828</v>
      </c>
      <c r="J1389">
        <v>0</v>
      </c>
      <c r="K1389">
        <v>12.23</v>
      </c>
      <c r="L1389">
        <v>1.61</v>
      </c>
      <c r="M1389">
        <v>0.03</v>
      </c>
      <c r="N1389">
        <v>87</v>
      </c>
      <c r="O1389">
        <v>17.88</v>
      </c>
      <c r="P1389">
        <v>118.75</v>
      </c>
      <c r="Q1389" s="18">
        <f>YEAR(A1389)</f>
        <v>2026</v>
      </c>
      <c r="R1389" s="18">
        <f>MONTH(A1389)</f>
        <v>2</v>
      </c>
      <c r="S1389" s="18">
        <f>IF(R1389&lt;4,Q1389-1,Q1389)</f>
        <v>2025</v>
      </c>
      <c r="T1389" s="18">
        <f>IF(R1389&lt;4,R1389+9,R1389-3)</f>
        <v>11</v>
      </c>
      <c r="U1389" s="18">
        <f>IF(LEN(T1389)=1,_xlfn.CONCAT(0,T1389),T1389)</f>
        <v>11</v>
      </c>
      <c r="V1389" s="18" t="str">
        <f>_xlfn.CONCAT(S1389,U1389)</f>
        <v>202511</v>
      </c>
      <c r="W1389" s="18" t="str">
        <f>_xlfn.CONCAT(TEXT(A1389,"MMM"),"-",MID(Q1389,3,2))</f>
        <v>Feb-26</v>
      </c>
      <c r="X1389" s="19">
        <f>IFERROR(IF(D1389="Sell",(H1389-P1389),-(H1389+P1389)),0)</f>
        <v>-34526.5</v>
      </c>
      <c r="Y1389" s="19">
        <f>X1389/1000</f>
        <v>-34.526499999999999</v>
      </c>
    </row>
    <row r="1390" spans="1:25" x14ac:dyDescent="0.25">
      <c r="A1390" s="1">
        <v>46073</v>
      </c>
      <c r="B1390" t="s">
        <v>1815</v>
      </c>
      <c r="C1390" t="s">
        <v>17</v>
      </c>
      <c r="D1390" t="s">
        <v>22</v>
      </c>
      <c r="E1390">
        <v>65</v>
      </c>
      <c r="F1390">
        <v>0</v>
      </c>
      <c r="G1390">
        <v>60.55</v>
      </c>
      <c r="H1390">
        <v>3935.75</v>
      </c>
      <c r="I1390" t="s">
        <v>1829</v>
      </c>
      <c r="J1390">
        <v>0</v>
      </c>
      <c r="K1390">
        <v>1.4</v>
      </c>
      <c r="L1390">
        <v>0</v>
      </c>
      <c r="M1390">
        <v>0</v>
      </c>
      <c r="N1390">
        <v>29</v>
      </c>
      <c r="O1390">
        <v>5.48</v>
      </c>
      <c r="P1390">
        <v>35.880000000000003</v>
      </c>
      <c r="Q1390" s="18">
        <f>YEAR(A1390)</f>
        <v>2026</v>
      </c>
      <c r="R1390" s="18">
        <f>MONTH(A1390)</f>
        <v>2</v>
      </c>
      <c r="S1390" s="18">
        <f>IF(R1390&lt;4,Q1390-1,Q1390)</f>
        <v>2025</v>
      </c>
      <c r="T1390" s="18">
        <f>IF(R1390&lt;4,R1390+9,R1390-3)</f>
        <v>11</v>
      </c>
      <c r="U1390" s="18">
        <f>IF(LEN(T1390)=1,_xlfn.CONCAT(0,T1390),T1390)</f>
        <v>11</v>
      </c>
      <c r="V1390" s="18" t="str">
        <f>_xlfn.CONCAT(S1390,U1390)</f>
        <v>202511</v>
      </c>
      <c r="W1390" s="18" t="str">
        <f>_xlfn.CONCAT(TEXT(A1390,"MMM"),"-",MID(Q1390,3,2))</f>
        <v>Feb-26</v>
      </c>
      <c r="X1390" s="19">
        <f>IFERROR(IF(D1390="Sell",(H1390-P1390),-(H1390+P1390)),0)</f>
        <v>-3971.63</v>
      </c>
      <c r="Y1390" s="19">
        <f>X1390/1000</f>
        <v>-3.9716300000000002</v>
      </c>
    </row>
    <row r="1391" spans="1:25" x14ac:dyDescent="0.25">
      <c r="A1391" s="1">
        <v>46073</v>
      </c>
      <c r="B1391" t="s">
        <v>1815</v>
      </c>
      <c r="C1391" t="s">
        <v>17</v>
      </c>
      <c r="D1391" t="s">
        <v>22</v>
      </c>
      <c r="E1391">
        <v>65</v>
      </c>
      <c r="F1391">
        <v>0</v>
      </c>
      <c r="G1391">
        <v>55.8</v>
      </c>
      <c r="H1391">
        <v>3627</v>
      </c>
      <c r="I1391" t="s">
        <v>1830</v>
      </c>
      <c r="J1391">
        <v>0</v>
      </c>
      <c r="K1391">
        <v>1.29</v>
      </c>
      <c r="L1391">
        <v>0</v>
      </c>
      <c r="M1391">
        <v>0</v>
      </c>
      <c r="N1391">
        <v>29</v>
      </c>
      <c r="O1391">
        <v>5.46</v>
      </c>
      <c r="P1391">
        <v>35.75</v>
      </c>
      <c r="Q1391" s="18">
        <f>YEAR(A1391)</f>
        <v>2026</v>
      </c>
      <c r="R1391" s="18">
        <f>MONTH(A1391)</f>
        <v>2</v>
      </c>
      <c r="S1391" s="18">
        <f>IF(R1391&lt;4,Q1391-1,Q1391)</f>
        <v>2025</v>
      </c>
      <c r="T1391" s="18">
        <f>IF(R1391&lt;4,R1391+9,R1391-3)</f>
        <v>11</v>
      </c>
      <c r="U1391" s="18">
        <f>IF(LEN(T1391)=1,_xlfn.CONCAT(0,T1391),T1391)</f>
        <v>11</v>
      </c>
      <c r="V1391" s="18" t="str">
        <f>_xlfn.CONCAT(S1391,U1391)</f>
        <v>202511</v>
      </c>
      <c r="W1391" s="18" t="str">
        <f>_xlfn.CONCAT(TEXT(A1391,"MMM"),"-",MID(Q1391,3,2))</f>
        <v>Feb-26</v>
      </c>
      <c r="X1391" s="19">
        <f>IFERROR(IF(D1391="Sell",(H1391-P1391),-(H1391+P1391)),0)</f>
        <v>-3662.75</v>
      </c>
      <c r="Y1391" s="19">
        <f>X1391/1000</f>
        <v>-3.66275</v>
      </c>
    </row>
    <row r="1392" spans="1:25" x14ac:dyDescent="0.25">
      <c r="A1392" s="1">
        <v>46073</v>
      </c>
      <c r="B1392" t="s">
        <v>1815</v>
      </c>
      <c r="C1392" t="s">
        <v>17</v>
      </c>
      <c r="D1392" t="s">
        <v>22</v>
      </c>
      <c r="E1392">
        <v>130</v>
      </c>
      <c r="F1392">
        <v>0</v>
      </c>
      <c r="G1392">
        <v>63</v>
      </c>
      <c r="H1392">
        <v>8190</v>
      </c>
      <c r="I1392" t="s">
        <v>1831</v>
      </c>
      <c r="J1392">
        <v>0</v>
      </c>
      <c r="K1392">
        <v>2.91</v>
      </c>
      <c r="L1392">
        <v>1.39</v>
      </c>
      <c r="M1392">
        <v>0.01</v>
      </c>
      <c r="N1392">
        <v>58</v>
      </c>
      <c r="O1392">
        <v>10.96</v>
      </c>
      <c r="P1392">
        <v>73.27</v>
      </c>
      <c r="Q1392" s="18">
        <f>YEAR(A1392)</f>
        <v>2026</v>
      </c>
      <c r="R1392" s="18">
        <f>MONTH(A1392)</f>
        <v>2</v>
      </c>
      <c r="S1392" s="18">
        <f>IF(R1392&lt;4,Q1392-1,Q1392)</f>
        <v>2025</v>
      </c>
      <c r="T1392" s="18">
        <f>IF(R1392&lt;4,R1392+9,R1392-3)</f>
        <v>11</v>
      </c>
      <c r="U1392" s="18">
        <f>IF(LEN(T1392)=1,_xlfn.CONCAT(0,T1392),T1392)</f>
        <v>11</v>
      </c>
      <c r="V1392" s="18" t="str">
        <f>_xlfn.CONCAT(S1392,U1392)</f>
        <v>202511</v>
      </c>
      <c r="W1392" s="18" t="str">
        <f>_xlfn.CONCAT(TEXT(A1392,"MMM"),"-",MID(Q1392,3,2))</f>
        <v>Feb-26</v>
      </c>
      <c r="X1392" s="19">
        <f>IFERROR(IF(D1392="Sell",(H1392-P1392),-(H1392+P1392)),0)</f>
        <v>-8263.27</v>
      </c>
      <c r="Y1392" s="19">
        <f>X1392/1000</f>
        <v>-8.2632700000000003</v>
      </c>
    </row>
    <row r="1393" spans="1:25" x14ac:dyDescent="0.25">
      <c r="A1393" s="1">
        <v>46073</v>
      </c>
      <c r="B1393" t="s">
        <v>1819</v>
      </c>
      <c r="C1393" t="s">
        <v>17</v>
      </c>
      <c r="D1393" t="s">
        <v>18</v>
      </c>
      <c r="E1393">
        <v>130</v>
      </c>
      <c r="F1393">
        <v>0</v>
      </c>
      <c r="G1393">
        <v>114.8</v>
      </c>
      <c r="H1393">
        <v>14924</v>
      </c>
      <c r="I1393" t="s">
        <v>1832</v>
      </c>
      <c r="J1393">
        <v>14.84</v>
      </c>
      <c r="K1393">
        <v>5.3</v>
      </c>
      <c r="L1393">
        <v>0</v>
      </c>
      <c r="M1393">
        <v>0.01</v>
      </c>
      <c r="N1393">
        <v>58</v>
      </c>
      <c r="O1393">
        <v>11.4</v>
      </c>
      <c r="P1393">
        <v>89.55</v>
      </c>
      <c r="Q1393" s="18">
        <f>YEAR(A1393)</f>
        <v>2026</v>
      </c>
      <c r="R1393" s="18">
        <f>MONTH(A1393)</f>
        <v>2</v>
      </c>
      <c r="S1393" s="18">
        <f>IF(R1393&lt;4,Q1393-1,Q1393)</f>
        <v>2025</v>
      </c>
      <c r="T1393" s="18">
        <f>IF(R1393&lt;4,R1393+9,R1393-3)</f>
        <v>11</v>
      </c>
      <c r="U1393" s="18">
        <f>IF(LEN(T1393)=1,_xlfn.CONCAT(0,T1393),T1393)</f>
        <v>11</v>
      </c>
      <c r="V1393" s="18" t="str">
        <f>_xlfn.CONCAT(S1393,U1393)</f>
        <v>202511</v>
      </c>
      <c r="W1393" s="18" t="str">
        <f>_xlfn.CONCAT(TEXT(A1393,"MMM"),"-",MID(Q1393,3,2))</f>
        <v>Feb-26</v>
      </c>
      <c r="X1393" s="19">
        <f>IFERROR(IF(D1393="Sell",(H1393-P1393),-(H1393+P1393)),0)</f>
        <v>14834.45</v>
      </c>
      <c r="Y1393" s="19">
        <f>X1393/1000</f>
        <v>14.83445</v>
      </c>
    </row>
    <row r="1394" spans="1:25" x14ac:dyDescent="0.25">
      <c r="A1394" s="1">
        <v>46073</v>
      </c>
      <c r="B1394" t="s">
        <v>1815</v>
      </c>
      <c r="C1394" t="s">
        <v>17</v>
      </c>
      <c r="D1394" t="s">
        <v>22</v>
      </c>
      <c r="E1394">
        <v>195</v>
      </c>
      <c r="F1394">
        <v>0</v>
      </c>
      <c r="G1394">
        <v>102.85</v>
      </c>
      <c r="H1394">
        <v>20055.75</v>
      </c>
      <c r="I1394" t="s">
        <v>1833</v>
      </c>
      <c r="J1394">
        <v>0</v>
      </c>
      <c r="K1394">
        <v>7.14</v>
      </c>
      <c r="L1394">
        <v>0</v>
      </c>
      <c r="M1394">
        <v>0.03</v>
      </c>
      <c r="N1394">
        <v>87</v>
      </c>
      <c r="O1394">
        <v>16.920000000000002</v>
      </c>
      <c r="P1394">
        <v>111.09</v>
      </c>
      <c r="Q1394" s="18">
        <f>YEAR(A1394)</f>
        <v>2026</v>
      </c>
      <c r="R1394" s="18">
        <f>MONTH(A1394)</f>
        <v>2</v>
      </c>
      <c r="S1394" s="18">
        <f>IF(R1394&lt;4,Q1394-1,Q1394)</f>
        <v>2025</v>
      </c>
      <c r="T1394" s="18">
        <f>IF(R1394&lt;4,R1394+9,R1394-3)</f>
        <v>11</v>
      </c>
      <c r="U1394" s="18">
        <f>IF(LEN(T1394)=1,_xlfn.CONCAT(0,T1394),T1394)</f>
        <v>11</v>
      </c>
      <c r="V1394" s="18" t="str">
        <f>_xlfn.CONCAT(S1394,U1394)</f>
        <v>202511</v>
      </c>
      <c r="W1394" s="18" t="str">
        <f>_xlfn.CONCAT(TEXT(A1394,"MMM"),"-",MID(Q1394,3,2))</f>
        <v>Feb-26</v>
      </c>
      <c r="X1394" s="19">
        <f>IFERROR(IF(D1394="Sell",(H1394-P1394),-(H1394+P1394)),0)</f>
        <v>-20166.84</v>
      </c>
      <c r="Y1394" s="19">
        <f>X1394/1000</f>
        <v>-20.166840000000001</v>
      </c>
    </row>
    <row r="1395" spans="1:25" x14ac:dyDescent="0.25">
      <c r="A1395" s="1">
        <v>46076</v>
      </c>
      <c r="B1395" t="s">
        <v>1804</v>
      </c>
      <c r="C1395" t="s">
        <v>17</v>
      </c>
      <c r="D1395" t="s">
        <v>18</v>
      </c>
      <c r="E1395">
        <v>715</v>
      </c>
      <c r="F1395">
        <v>0</v>
      </c>
      <c r="G1395">
        <v>109.9</v>
      </c>
      <c r="H1395">
        <v>78578.5</v>
      </c>
      <c r="I1395" t="s">
        <v>1805</v>
      </c>
      <c r="J1395">
        <v>78.56</v>
      </c>
      <c r="K1395">
        <v>27.92</v>
      </c>
      <c r="L1395">
        <v>0</v>
      </c>
      <c r="M1395">
        <v>0.09</v>
      </c>
      <c r="N1395">
        <v>319</v>
      </c>
      <c r="O1395">
        <v>62.48</v>
      </c>
      <c r="P1395">
        <v>488.05</v>
      </c>
      <c r="Q1395" s="18">
        <f>YEAR(A1395)</f>
        <v>2026</v>
      </c>
      <c r="R1395" s="18">
        <f>MONTH(A1395)</f>
        <v>2</v>
      </c>
      <c r="S1395" s="18">
        <f>IF(R1395&lt;4,Q1395-1,Q1395)</f>
        <v>2025</v>
      </c>
      <c r="T1395" s="18">
        <f>IF(R1395&lt;4,R1395+9,R1395-3)</f>
        <v>11</v>
      </c>
      <c r="U1395" s="18">
        <f>IF(LEN(T1395)=1,_xlfn.CONCAT(0,T1395),T1395)</f>
        <v>11</v>
      </c>
      <c r="V1395" s="18" t="str">
        <f>_xlfn.CONCAT(S1395,U1395)</f>
        <v>202511</v>
      </c>
      <c r="W1395" s="18" t="str">
        <f>_xlfn.CONCAT(TEXT(A1395,"MMM"),"-",MID(Q1395,3,2))</f>
        <v>Feb-26</v>
      </c>
      <c r="X1395" s="19">
        <f>IFERROR(IF(D1395="Sell",(H1395-P1395),-(H1395+P1395)),0)</f>
        <v>78090.45</v>
      </c>
      <c r="Y1395" s="19">
        <f>X1395/1000</f>
        <v>78.090450000000004</v>
      </c>
    </row>
    <row r="1396" spans="1:25" x14ac:dyDescent="0.25">
      <c r="A1396" s="1">
        <v>46076</v>
      </c>
      <c r="B1396" t="s">
        <v>1804</v>
      </c>
      <c r="C1396" t="s">
        <v>17</v>
      </c>
      <c r="D1396" t="s">
        <v>22</v>
      </c>
      <c r="E1396">
        <v>130</v>
      </c>
      <c r="F1396">
        <v>0</v>
      </c>
      <c r="G1396">
        <v>89.65</v>
      </c>
      <c r="H1396">
        <v>11654.5</v>
      </c>
      <c r="I1396" t="s">
        <v>1806</v>
      </c>
      <c r="J1396">
        <v>0</v>
      </c>
      <c r="K1396">
        <v>4.1399999999999997</v>
      </c>
      <c r="L1396">
        <v>0</v>
      </c>
      <c r="M1396">
        <v>0.02</v>
      </c>
      <c r="N1396">
        <v>58</v>
      </c>
      <c r="O1396">
        <v>11.2</v>
      </c>
      <c r="P1396">
        <v>73.36</v>
      </c>
      <c r="Q1396" s="18">
        <f>YEAR(A1396)</f>
        <v>2026</v>
      </c>
      <c r="R1396" s="18">
        <f>MONTH(A1396)</f>
        <v>2</v>
      </c>
      <c r="S1396" s="18">
        <f>IF(R1396&lt;4,Q1396-1,Q1396)</f>
        <v>2025</v>
      </c>
      <c r="T1396" s="18">
        <f>IF(R1396&lt;4,R1396+9,R1396-3)</f>
        <v>11</v>
      </c>
      <c r="U1396" s="18">
        <f>IF(LEN(T1396)=1,_xlfn.CONCAT(0,T1396),T1396)</f>
        <v>11</v>
      </c>
      <c r="V1396" s="18" t="str">
        <f>_xlfn.CONCAT(S1396,U1396)</f>
        <v>202511</v>
      </c>
      <c r="W1396" s="18" t="str">
        <f>_xlfn.CONCAT(TEXT(A1396,"MMM"),"-",MID(Q1396,3,2))</f>
        <v>Feb-26</v>
      </c>
      <c r="X1396" s="19">
        <f>IFERROR(IF(D1396="Sell",(H1396-P1396),-(H1396+P1396)),0)</f>
        <v>-11727.86</v>
      </c>
      <c r="Y1396" s="19">
        <f>X1396/1000</f>
        <v>-11.72786</v>
      </c>
    </row>
    <row r="1397" spans="1:25" x14ac:dyDescent="0.25">
      <c r="A1397" s="1">
        <v>46076</v>
      </c>
      <c r="B1397" t="s">
        <v>1804</v>
      </c>
      <c r="C1397" t="s">
        <v>17</v>
      </c>
      <c r="D1397" t="s">
        <v>22</v>
      </c>
      <c r="E1397">
        <v>130</v>
      </c>
      <c r="F1397">
        <v>0</v>
      </c>
      <c r="G1397">
        <v>89.55</v>
      </c>
      <c r="H1397">
        <v>11641.5</v>
      </c>
      <c r="I1397" t="s">
        <v>1807</v>
      </c>
      <c r="J1397">
        <v>0</v>
      </c>
      <c r="K1397">
        <v>4.1399999999999997</v>
      </c>
      <c r="L1397">
        <v>0</v>
      </c>
      <c r="M1397">
        <v>0.01</v>
      </c>
      <c r="N1397">
        <v>58</v>
      </c>
      <c r="O1397">
        <v>11.18</v>
      </c>
      <c r="P1397">
        <v>73.33</v>
      </c>
      <c r="Q1397" s="18">
        <f>YEAR(A1397)</f>
        <v>2026</v>
      </c>
      <c r="R1397" s="18">
        <f>MONTH(A1397)</f>
        <v>2</v>
      </c>
      <c r="S1397" s="18">
        <f>IF(R1397&lt;4,Q1397-1,Q1397)</f>
        <v>2025</v>
      </c>
      <c r="T1397" s="18">
        <f>IF(R1397&lt;4,R1397+9,R1397-3)</f>
        <v>11</v>
      </c>
      <c r="U1397" s="18">
        <f>IF(LEN(T1397)=1,_xlfn.CONCAT(0,T1397),T1397)</f>
        <v>11</v>
      </c>
      <c r="V1397" s="18" t="str">
        <f>_xlfn.CONCAT(S1397,U1397)</f>
        <v>202511</v>
      </c>
      <c r="W1397" s="18" t="str">
        <f>_xlfn.CONCAT(TEXT(A1397,"MMM"),"-",MID(Q1397,3,2))</f>
        <v>Feb-26</v>
      </c>
      <c r="X1397" s="19">
        <f>IFERROR(IF(D1397="Sell",(H1397-P1397),-(H1397+P1397)),0)</f>
        <v>-11714.83</v>
      </c>
      <c r="Y1397" s="19">
        <f>X1397/1000</f>
        <v>-11.714829999999999</v>
      </c>
    </row>
    <row r="1398" spans="1:25" x14ac:dyDescent="0.25">
      <c r="A1398" s="1">
        <v>46076</v>
      </c>
      <c r="B1398" t="s">
        <v>1804</v>
      </c>
      <c r="C1398" t="s">
        <v>17</v>
      </c>
      <c r="D1398" t="s">
        <v>22</v>
      </c>
      <c r="E1398">
        <v>65</v>
      </c>
      <c r="F1398">
        <v>0</v>
      </c>
      <c r="G1398">
        <v>79.3</v>
      </c>
      <c r="H1398">
        <v>5154.5</v>
      </c>
      <c r="I1398" t="s">
        <v>1808</v>
      </c>
      <c r="J1398">
        <v>0</v>
      </c>
      <c r="K1398">
        <v>1.83</v>
      </c>
      <c r="L1398">
        <v>0</v>
      </c>
      <c r="M1398">
        <v>0.01</v>
      </c>
      <c r="N1398">
        <v>29</v>
      </c>
      <c r="O1398">
        <v>5.56</v>
      </c>
      <c r="P1398">
        <v>36.4</v>
      </c>
      <c r="Q1398" s="18">
        <f>YEAR(A1398)</f>
        <v>2026</v>
      </c>
      <c r="R1398" s="18">
        <f>MONTH(A1398)</f>
        <v>2</v>
      </c>
      <c r="S1398" s="18">
        <f>IF(R1398&lt;4,Q1398-1,Q1398)</f>
        <v>2025</v>
      </c>
      <c r="T1398" s="18">
        <f>IF(R1398&lt;4,R1398+9,R1398-3)</f>
        <v>11</v>
      </c>
      <c r="U1398" s="18">
        <f>IF(LEN(T1398)=1,_xlfn.CONCAT(0,T1398),T1398)</f>
        <v>11</v>
      </c>
      <c r="V1398" s="18" t="str">
        <f>_xlfn.CONCAT(S1398,U1398)</f>
        <v>202511</v>
      </c>
      <c r="W1398" s="18" t="str">
        <f>_xlfn.CONCAT(TEXT(A1398,"MMM"),"-",MID(Q1398,3,2))</f>
        <v>Feb-26</v>
      </c>
      <c r="X1398" s="19">
        <f>IFERROR(IF(D1398="Sell",(H1398-P1398),-(H1398+P1398)),0)</f>
        <v>-5190.8999999999996</v>
      </c>
      <c r="Y1398" s="19">
        <f>X1398/1000</f>
        <v>-5.1909000000000001</v>
      </c>
    </row>
    <row r="1399" spans="1:25" x14ac:dyDescent="0.25">
      <c r="A1399" s="1">
        <v>46076</v>
      </c>
      <c r="B1399" t="s">
        <v>1804</v>
      </c>
      <c r="C1399" t="s">
        <v>17</v>
      </c>
      <c r="D1399" t="s">
        <v>22</v>
      </c>
      <c r="E1399">
        <v>65</v>
      </c>
      <c r="F1399">
        <v>0</v>
      </c>
      <c r="G1399">
        <v>81.650000000000006</v>
      </c>
      <c r="H1399">
        <v>5307.25</v>
      </c>
      <c r="I1399" t="s">
        <v>1809</v>
      </c>
      <c r="J1399">
        <v>0</v>
      </c>
      <c r="K1399">
        <v>1.89</v>
      </c>
      <c r="L1399">
        <v>0</v>
      </c>
      <c r="M1399">
        <v>0.01</v>
      </c>
      <c r="N1399">
        <v>29</v>
      </c>
      <c r="O1399">
        <v>5.56</v>
      </c>
      <c r="P1399">
        <v>36.46</v>
      </c>
      <c r="Q1399" s="18">
        <f>YEAR(A1399)</f>
        <v>2026</v>
      </c>
      <c r="R1399" s="18">
        <f>MONTH(A1399)</f>
        <v>2</v>
      </c>
      <c r="S1399" s="18">
        <f>IF(R1399&lt;4,Q1399-1,Q1399)</f>
        <v>2025</v>
      </c>
      <c r="T1399" s="18">
        <f>IF(R1399&lt;4,R1399+9,R1399-3)</f>
        <v>11</v>
      </c>
      <c r="U1399" s="18">
        <f>IF(LEN(T1399)=1,_xlfn.CONCAT(0,T1399),T1399)</f>
        <v>11</v>
      </c>
      <c r="V1399" s="18" t="str">
        <f>_xlfn.CONCAT(S1399,U1399)</f>
        <v>202511</v>
      </c>
      <c r="W1399" s="18" t="str">
        <f>_xlfn.CONCAT(TEXT(A1399,"MMM"),"-",MID(Q1399,3,2))</f>
        <v>Feb-26</v>
      </c>
      <c r="X1399" s="19">
        <f>IFERROR(IF(D1399="Sell",(H1399-P1399),-(H1399+P1399)),0)</f>
        <v>-5343.71</v>
      </c>
      <c r="Y1399" s="19">
        <f>X1399/1000</f>
        <v>-5.3437099999999997</v>
      </c>
    </row>
    <row r="1400" spans="1:25" x14ac:dyDescent="0.25">
      <c r="A1400" s="1">
        <v>46076</v>
      </c>
      <c r="B1400" t="s">
        <v>1804</v>
      </c>
      <c r="C1400" t="s">
        <v>17</v>
      </c>
      <c r="D1400" t="s">
        <v>22</v>
      </c>
      <c r="E1400">
        <v>65</v>
      </c>
      <c r="F1400">
        <v>0</v>
      </c>
      <c r="G1400">
        <v>84.2</v>
      </c>
      <c r="H1400">
        <v>5473</v>
      </c>
      <c r="I1400" t="s">
        <v>1810</v>
      </c>
      <c r="J1400">
        <v>0</v>
      </c>
      <c r="K1400">
        <v>1.94</v>
      </c>
      <c r="L1400">
        <v>0</v>
      </c>
      <c r="M1400">
        <v>0.01</v>
      </c>
      <c r="N1400">
        <v>29</v>
      </c>
      <c r="O1400">
        <v>5.58</v>
      </c>
      <c r="P1400">
        <v>36.53</v>
      </c>
      <c r="Q1400" s="18">
        <f>YEAR(A1400)</f>
        <v>2026</v>
      </c>
      <c r="R1400" s="18">
        <f>MONTH(A1400)</f>
        <v>2</v>
      </c>
      <c r="S1400" s="18">
        <f>IF(R1400&lt;4,Q1400-1,Q1400)</f>
        <v>2025</v>
      </c>
      <c r="T1400" s="18">
        <f>IF(R1400&lt;4,R1400+9,R1400-3)</f>
        <v>11</v>
      </c>
      <c r="U1400" s="18">
        <f>IF(LEN(T1400)=1,_xlfn.CONCAT(0,T1400),T1400)</f>
        <v>11</v>
      </c>
      <c r="V1400" s="18" t="str">
        <f>_xlfn.CONCAT(S1400,U1400)</f>
        <v>202511</v>
      </c>
      <c r="W1400" s="18" t="str">
        <f>_xlfn.CONCAT(TEXT(A1400,"MMM"),"-",MID(Q1400,3,2))</f>
        <v>Feb-26</v>
      </c>
      <c r="X1400" s="19">
        <f>IFERROR(IF(D1400="Sell",(H1400-P1400),-(H1400+P1400)),0)</f>
        <v>-5509.53</v>
      </c>
      <c r="Y1400" s="19">
        <f>X1400/1000</f>
        <v>-5.5095299999999998</v>
      </c>
    </row>
    <row r="1401" spans="1:25" x14ac:dyDescent="0.25">
      <c r="A1401" s="1">
        <v>46076</v>
      </c>
      <c r="B1401" t="s">
        <v>1804</v>
      </c>
      <c r="C1401" t="s">
        <v>17</v>
      </c>
      <c r="D1401" t="s">
        <v>22</v>
      </c>
      <c r="E1401">
        <v>260</v>
      </c>
      <c r="F1401">
        <v>0</v>
      </c>
      <c r="G1401">
        <v>94.7</v>
      </c>
      <c r="H1401">
        <v>24622</v>
      </c>
      <c r="I1401" t="s">
        <v>1811</v>
      </c>
      <c r="J1401">
        <v>0</v>
      </c>
      <c r="K1401">
        <v>8.74</v>
      </c>
      <c r="L1401">
        <v>1.79</v>
      </c>
      <c r="M1401">
        <v>0.02</v>
      </c>
      <c r="N1401">
        <v>116</v>
      </c>
      <c r="O1401">
        <v>22.44</v>
      </c>
      <c r="P1401">
        <v>148.99</v>
      </c>
      <c r="Q1401" s="18">
        <f>YEAR(A1401)</f>
        <v>2026</v>
      </c>
      <c r="R1401" s="18">
        <f>MONTH(A1401)</f>
        <v>2</v>
      </c>
      <c r="S1401" s="18">
        <f>IF(R1401&lt;4,Q1401-1,Q1401)</f>
        <v>2025</v>
      </c>
      <c r="T1401" s="18">
        <f>IF(R1401&lt;4,R1401+9,R1401-3)</f>
        <v>11</v>
      </c>
      <c r="U1401" s="18">
        <f>IF(LEN(T1401)=1,_xlfn.CONCAT(0,T1401),T1401)</f>
        <v>11</v>
      </c>
      <c r="V1401" s="18" t="str">
        <f>_xlfn.CONCAT(S1401,U1401)</f>
        <v>202511</v>
      </c>
      <c r="W1401" s="18" t="str">
        <f>_xlfn.CONCAT(TEXT(A1401,"MMM"),"-",MID(Q1401,3,2))</f>
        <v>Feb-26</v>
      </c>
      <c r="X1401" s="19">
        <f>IFERROR(IF(D1401="Sell",(H1401-P1401),-(H1401+P1401)),0)</f>
        <v>-24770.99</v>
      </c>
      <c r="Y1401" s="19">
        <f>X1401/1000</f>
        <v>-24.770990000000001</v>
      </c>
    </row>
    <row r="1402" spans="1:25" x14ac:dyDescent="0.25">
      <c r="A1402" s="1">
        <v>46076</v>
      </c>
      <c r="B1402" t="s">
        <v>1812</v>
      </c>
      <c r="C1402" t="s">
        <v>17</v>
      </c>
      <c r="D1402" t="s">
        <v>18</v>
      </c>
      <c r="E1402">
        <v>260</v>
      </c>
      <c r="F1402">
        <v>0</v>
      </c>
      <c r="G1402">
        <v>114.9</v>
      </c>
      <c r="H1402">
        <v>29874</v>
      </c>
      <c r="I1402" t="s">
        <v>1813</v>
      </c>
      <c r="J1402">
        <v>29.88</v>
      </c>
      <c r="K1402">
        <v>10.62</v>
      </c>
      <c r="L1402">
        <v>0</v>
      </c>
      <c r="M1402">
        <v>0.02</v>
      </c>
      <c r="N1402">
        <v>116</v>
      </c>
      <c r="O1402">
        <v>22.8</v>
      </c>
      <c r="P1402">
        <v>179.32</v>
      </c>
      <c r="Q1402" s="18">
        <f>YEAR(A1402)</f>
        <v>2026</v>
      </c>
      <c r="R1402" s="18">
        <f>MONTH(A1402)</f>
        <v>2</v>
      </c>
      <c r="S1402" s="18">
        <f>IF(R1402&lt;4,Q1402-1,Q1402)</f>
        <v>2025</v>
      </c>
      <c r="T1402" s="18">
        <f>IF(R1402&lt;4,R1402+9,R1402-3)</f>
        <v>11</v>
      </c>
      <c r="U1402" s="18">
        <f>IF(LEN(T1402)=1,_xlfn.CONCAT(0,T1402),T1402)</f>
        <v>11</v>
      </c>
      <c r="V1402" s="18" t="str">
        <f>_xlfn.CONCAT(S1402,U1402)</f>
        <v>202511</v>
      </c>
      <c r="W1402" s="18" t="str">
        <f>_xlfn.CONCAT(TEXT(A1402,"MMM"),"-",MID(Q1402,3,2))</f>
        <v>Feb-26</v>
      </c>
      <c r="X1402" s="19">
        <f>IFERROR(IF(D1402="Sell",(H1402-P1402),-(H1402+P1402)),0)</f>
        <v>29694.68</v>
      </c>
      <c r="Y1402" s="19">
        <f>X1402/1000</f>
        <v>29.694680000000002</v>
      </c>
    </row>
    <row r="1403" spans="1:25" x14ac:dyDescent="0.25">
      <c r="A1403" s="1">
        <v>46076</v>
      </c>
      <c r="B1403" t="s">
        <v>1812</v>
      </c>
      <c r="C1403" t="s">
        <v>17</v>
      </c>
      <c r="D1403" t="s">
        <v>22</v>
      </c>
      <c r="E1403">
        <v>260</v>
      </c>
      <c r="F1403">
        <v>0</v>
      </c>
      <c r="G1403">
        <v>106.9</v>
      </c>
      <c r="H1403">
        <v>27794</v>
      </c>
      <c r="I1403" t="s">
        <v>1814</v>
      </c>
      <c r="J1403">
        <v>0</v>
      </c>
      <c r="K1403">
        <v>9.8800000000000008</v>
      </c>
      <c r="L1403">
        <v>0.83</v>
      </c>
      <c r="M1403">
        <v>0.03</v>
      </c>
      <c r="N1403">
        <v>116</v>
      </c>
      <c r="O1403">
        <v>22.66</v>
      </c>
      <c r="P1403">
        <v>149.4</v>
      </c>
      <c r="Q1403" s="18">
        <f>YEAR(A1403)</f>
        <v>2026</v>
      </c>
      <c r="R1403" s="18">
        <f>MONTH(A1403)</f>
        <v>2</v>
      </c>
      <c r="S1403" s="18">
        <f>IF(R1403&lt;4,Q1403-1,Q1403)</f>
        <v>2025</v>
      </c>
      <c r="T1403" s="18">
        <f>IF(R1403&lt;4,R1403+9,R1403-3)</f>
        <v>11</v>
      </c>
      <c r="U1403" s="18">
        <f>IF(LEN(T1403)=1,_xlfn.CONCAT(0,T1403),T1403)</f>
        <v>11</v>
      </c>
      <c r="V1403" s="18" t="str">
        <f>_xlfn.CONCAT(S1403,U1403)</f>
        <v>202511</v>
      </c>
      <c r="W1403" s="18" t="str">
        <f>_xlfn.CONCAT(TEXT(A1403,"MMM"),"-",MID(Q1403,3,2))</f>
        <v>Feb-26</v>
      </c>
      <c r="X1403" s="19">
        <f>IFERROR(IF(D1403="Sell",(H1403-P1403),-(H1403+P1403)),0)</f>
        <v>-27943.4</v>
      </c>
      <c r="Y1403" s="19">
        <f>X1403/1000</f>
        <v>-27.9434</v>
      </c>
    </row>
    <row r="1404" spans="1:25" x14ac:dyDescent="0.25">
      <c r="A1404" s="1">
        <v>46076</v>
      </c>
      <c r="B1404" t="s">
        <v>1815</v>
      </c>
      <c r="C1404" t="s">
        <v>17</v>
      </c>
      <c r="D1404" t="s">
        <v>18</v>
      </c>
      <c r="E1404">
        <v>650</v>
      </c>
      <c r="F1404">
        <v>0</v>
      </c>
      <c r="G1404">
        <v>18.399999999999999</v>
      </c>
      <c r="H1404">
        <v>11960</v>
      </c>
      <c r="I1404" t="s">
        <v>1816</v>
      </c>
      <c r="J1404">
        <v>11.96</v>
      </c>
      <c r="K1404">
        <v>4.25</v>
      </c>
      <c r="L1404">
        <v>0</v>
      </c>
      <c r="M1404">
        <v>0.01</v>
      </c>
      <c r="N1404">
        <v>290</v>
      </c>
      <c r="O1404">
        <v>52.96</v>
      </c>
      <c r="P1404">
        <v>359.18</v>
      </c>
      <c r="Q1404" s="18">
        <f>YEAR(A1404)</f>
        <v>2026</v>
      </c>
      <c r="R1404" s="18">
        <f>MONTH(A1404)</f>
        <v>2</v>
      </c>
      <c r="S1404" s="18">
        <f>IF(R1404&lt;4,Q1404-1,Q1404)</f>
        <v>2025</v>
      </c>
      <c r="T1404" s="18">
        <f>IF(R1404&lt;4,R1404+9,R1404-3)</f>
        <v>11</v>
      </c>
      <c r="U1404" s="18">
        <f>IF(LEN(T1404)=1,_xlfn.CONCAT(0,T1404),T1404)</f>
        <v>11</v>
      </c>
      <c r="V1404" s="18" t="str">
        <f>_xlfn.CONCAT(S1404,U1404)</f>
        <v>202511</v>
      </c>
      <c r="W1404" s="18" t="str">
        <f>_xlfn.CONCAT(TEXT(A1404,"MMM"),"-",MID(Q1404,3,2))</f>
        <v>Feb-26</v>
      </c>
      <c r="X1404" s="19">
        <f>IFERROR(IF(D1404="Sell",(H1404-P1404),-(H1404+P1404)),0)</f>
        <v>11600.82</v>
      </c>
      <c r="Y1404" s="19">
        <f>X1404/1000</f>
        <v>11.600820000000001</v>
      </c>
    </row>
    <row r="1405" spans="1:25" x14ac:dyDescent="0.25">
      <c r="A1405" s="1">
        <v>46076</v>
      </c>
      <c r="B1405" t="s">
        <v>1815</v>
      </c>
      <c r="C1405" t="s">
        <v>17</v>
      </c>
      <c r="D1405" t="s">
        <v>22</v>
      </c>
      <c r="E1405">
        <v>650</v>
      </c>
      <c r="F1405">
        <v>0</v>
      </c>
      <c r="G1405">
        <v>19.7</v>
      </c>
      <c r="H1405">
        <v>12805</v>
      </c>
      <c r="I1405" t="s">
        <v>1817</v>
      </c>
      <c r="J1405">
        <v>0</v>
      </c>
      <c r="K1405">
        <v>4.54</v>
      </c>
      <c r="L1405">
        <v>0.38</v>
      </c>
      <c r="M1405">
        <v>0.02</v>
      </c>
      <c r="N1405">
        <v>290</v>
      </c>
      <c r="O1405">
        <v>53</v>
      </c>
      <c r="P1405">
        <v>347.94</v>
      </c>
      <c r="Q1405" s="18">
        <f>YEAR(A1405)</f>
        <v>2026</v>
      </c>
      <c r="R1405" s="18">
        <f>MONTH(A1405)</f>
        <v>2</v>
      </c>
      <c r="S1405" s="18">
        <f>IF(R1405&lt;4,Q1405-1,Q1405)</f>
        <v>2025</v>
      </c>
      <c r="T1405" s="18">
        <f>IF(R1405&lt;4,R1405+9,R1405-3)</f>
        <v>11</v>
      </c>
      <c r="U1405" s="18">
        <f>IF(LEN(T1405)=1,_xlfn.CONCAT(0,T1405),T1405)</f>
        <v>11</v>
      </c>
      <c r="V1405" s="18" t="str">
        <f>_xlfn.CONCAT(S1405,U1405)</f>
        <v>202511</v>
      </c>
      <c r="W1405" s="18" t="str">
        <f>_xlfn.CONCAT(TEXT(A1405,"MMM"),"-",MID(Q1405,3,2))</f>
        <v>Feb-26</v>
      </c>
      <c r="X1405" s="19">
        <f>IFERROR(IF(D1405="Sell",(H1405-P1405),-(H1405+P1405)),0)</f>
        <v>-13152.94</v>
      </c>
      <c r="Y1405" s="19">
        <f>X1405/1000</f>
        <v>-13.152940000000001</v>
      </c>
    </row>
    <row r="1406" spans="1:25" x14ac:dyDescent="0.25">
      <c r="A1406" s="1">
        <v>46076</v>
      </c>
      <c r="B1406" t="s">
        <v>1815</v>
      </c>
      <c r="C1406" t="s">
        <v>17</v>
      </c>
      <c r="D1406" t="s">
        <v>18</v>
      </c>
      <c r="E1406">
        <v>650</v>
      </c>
      <c r="F1406">
        <v>0</v>
      </c>
      <c r="G1406">
        <v>22</v>
      </c>
      <c r="H1406">
        <v>14300</v>
      </c>
      <c r="I1406" t="s">
        <v>1818</v>
      </c>
      <c r="J1406">
        <v>14.59</v>
      </c>
      <c r="K1406">
        <v>5.08</v>
      </c>
      <c r="L1406">
        <v>0</v>
      </c>
      <c r="M1406">
        <v>0.01</v>
      </c>
      <c r="N1406">
        <v>290</v>
      </c>
      <c r="O1406">
        <v>53.12</v>
      </c>
      <c r="P1406">
        <v>362.8</v>
      </c>
      <c r="Q1406" s="18">
        <f>YEAR(A1406)</f>
        <v>2026</v>
      </c>
      <c r="R1406" s="18">
        <f>MONTH(A1406)</f>
        <v>2</v>
      </c>
      <c r="S1406" s="18">
        <f>IF(R1406&lt;4,Q1406-1,Q1406)</f>
        <v>2025</v>
      </c>
      <c r="T1406" s="18">
        <f>IF(R1406&lt;4,R1406+9,R1406-3)</f>
        <v>11</v>
      </c>
      <c r="U1406" s="18">
        <f>IF(LEN(T1406)=1,_xlfn.CONCAT(0,T1406),T1406)</f>
        <v>11</v>
      </c>
      <c r="V1406" s="18" t="str">
        <f>_xlfn.CONCAT(S1406,U1406)</f>
        <v>202511</v>
      </c>
      <c r="W1406" s="18" t="str">
        <f>_xlfn.CONCAT(TEXT(A1406,"MMM"),"-",MID(Q1406,3,2))</f>
        <v>Feb-26</v>
      </c>
      <c r="X1406" s="19">
        <f>IFERROR(IF(D1406="Sell",(H1406-P1406),-(H1406+P1406)),0)</f>
        <v>13937.2</v>
      </c>
      <c r="Y1406" s="19">
        <f>X1406/1000</f>
        <v>13.937200000000001</v>
      </c>
    </row>
    <row r="1407" spans="1:25" x14ac:dyDescent="0.25">
      <c r="A1407" s="1">
        <v>46077</v>
      </c>
      <c r="B1407" t="s">
        <v>1794</v>
      </c>
      <c r="C1407" t="s">
        <v>17</v>
      </c>
      <c r="D1407" t="s">
        <v>18</v>
      </c>
      <c r="E1407">
        <v>700</v>
      </c>
      <c r="F1407">
        <v>0</v>
      </c>
      <c r="G1407">
        <v>10.8</v>
      </c>
      <c r="H1407">
        <v>7560</v>
      </c>
      <c r="I1407" t="s">
        <v>1795</v>
      </c>
      <c r="J1407">
        <v>7.56</v>
      </c>
      <c r="K1407">
        <v>2.69</v>
      </c>
      <c r="L1407">
        <v>0</v>
      </c>
      <c r="M1407">
        <v>0.01</v>
      </c>
      <c r="N1407">
        <v>29</v>
      </c>
      <c r="O1407">
        <v>5.7</v>
      </c>
      <c r="P1407">
        <v>44.96</v>
      </c>
      <c r="Q1407" s="18">
        <f>YEAR(A1407)</f>
        <v>2026</v>
      </c>
      <c r="R1407" s="18">
        <f>MONTH(A1407)</f>
        <v>2</v>
      </c>
      <c r="S1407" s="18">
        <f>IF(R1407&lt;4,Q1407-1,Q1407)</f>
        <v>2025</v>
      </c>
      <c r="T1407" s="18">
        <f>IF(R1407&lt;4,R1407+9,R1407-3)</f>
        <v>11</v>
      </c>
      <c r="U1407" s="18">
        <f>IF(LEN(T1407)=1,_xlfn.CONCAT(0,T1407),T1407)</f>
        <v>11</v>
      </c>
      <c r="V1407" s="18" t="str">
        <f>_xlfn.CONCAT(S1407,U1407)</f>
        <v>202511</v>
      </c>
      <c r="W1407" s="18" t="str">
        <f>_xlfn.CONCAT(TEXT(A1407,"MMM"),"-",MID(Q1407,3,2))</f>
        <v>Feb-26</v>
      </c>
      <c r="X1407" s="19">
        <f>IFERROR(IF(D1407="Sell",(H1407-P1407),-(H1407+P1407)),0)</f>
        <v>7515.04</v>
      </c>
      <c r="Y1407" s="19">
        <f>X1407/1000</f>
        <v>7.5150399999999999</v>
      </c>
    </row>
    <row r="1408" spans="1:25" x14ac:dyDescent="0.25">
      <c r="A1408" s="1">
        <v>46077</v>
      </c>
      <c r="B1408" t="s">
        <v>1794</v>
      </c>
      <c r="C1408" t="s">
        <v>17</v>
      </c>
      <c r="D1408" t="s">
        <v>22</v>
      </c>
      <c r="E1408">
        <v>700</v>
      </c>
      <c r="F1408">
        <v>0</v>
      </c>
      <c r="G1408">
        <v>10.95</v>
      </c>
      <c r="H1408">
        <v>7665</v>
      </c>
      <c r="I1408" t="s">
        <v>1796</v>
      </c>
      <c r="J1408">
        <v>0</v>
      </c>
      <c r="K1408">
        <v>2.72</v>
      </c>
      <c r="L1408">
        <v>0.23</v>
      </c>
      <c r="M1408">
        <v>0.01</v>
      </c>
      <c r="N1408">
        <v>29</v>
      </c>
      <c r="O1408">
        <v>5.72</v>
      </c>
      <c r="P1408">
        <v>37.68</v>
      </c>
      <c r="Q1408" s="18">
        <f>YEAR(A1408)</f>
        <v>2026</v>
      </c>
      <c r="R1408" s="18">
        <f>MONTH(A1408)</f>
        <v>2</v>
      </c>
      <c r="S1408" s="18">
        <f>IF(R1408&lt;4,Q1408-1,Q1408)</f>
        <v>2025</v>
      </c>
      <c r="T1408" s="18">
        <f>IF(R1408&lt;4,R1408+9,R1408-3)</f>
        <v>11</v>
      </c>
      <c r="U1408" s="18">
        <f>IF(LEN(T1408)=1,_xlfn.CONCAT(0,T1408),T1408)</f>
        <v>11</v>
      </c>
      <c r="V1408" s="18" t="str">
        <f>_xlfn.CONCAT(S1408,U1408)</f>
        <v>202511</v>
      </c>
      <c r="W1408" s="18" t="str">
        <f>_xlfn.CONCAT(TEXT(A1408,"MMM"),"-",MID(Q1408,3,2))</f>
        <v>Feb-26</v>
      </c>
      <c r="X1408" s="19">
        <f>IFERROR(IF(D1408="Sell",(H1408-P1408),-(H1408+P1408)),0)</f>
        <v>-7702.68</v>
      </c>
      <c r="Y1408" s="19">
        <f>X1408/1000</f>
        <v>-7.70268</v>
      </c>
    </row>
    <row r="1409" spans="1:25" x14ac:dyDescent="0.25">
      <c r="A1409" s="1">
        <v>46077</v>
      </c>
      <c r="B1409" t="s">
        <v>1797</v>
      </c>
      <c r="C1409" t="s">
        <v>17</v>
      </c>
      <c r="D1409" t="s">
        <v>18</v>
      </c>
      <c r="E1409">
        <v>845</v>
      </c>
      <c r="F1409">
        <v>0</v>
      </c>
      <c r="G1409">
        <v>106.9</v>
      </c>
      <c r="H1409">
        <v>90330.5</v>
      </c>
      <c r="I1409" t="s">
        <v>1798</v>
      </c>
      <c r="J1409">
        <v>90.45</v>
      </c>
      <c r="K1409">
        <v>32.1</v>
      </c>
      <c r="L1409">
        <v>0</v>
      </c>
      <c r="M1409">
        <v>0.08</v>
      </c>
      <c r="N1409">
        <v>377</v>
      </c>
      <c r="O1409">
        <v>73.680000000000007</v>
      </c>
      <c r="P1409">
        <v>573.30999999999995</v>
      </c>
      <c r="Q1409" s="18">
        <f>YEAR(A1409)</f>
        <v>2026</v>
      </c>
      <c r="R1409" s="18">
        <f>MONTH(A1409)</f>
        <v>2</v>
      </c>
      <c r="S1409" s="18">
        <f>IF(R1409&lt;4,Q1409-1,Q1409)</f>
        <v>2025</v>
      </c>
      <c r="T1409" s="18">
        <f>IF(R1409&lt;4,R1409+9,R1409-3)</f>
        <v>11</v>
      </c>
      <c r="U1409" s="18">
        <f>IF(LEN(T1409)=1,_xlfn.CONCAT(0,T1409),T1409)</f>
        <v>11</v>
      </c>
      <c r="V1409" s="18" t="str">
        <f>_xlfn.CONCAT(S1409,U1409)</f>
        <v>202511</v>
      </c>
      <c r="W1409" s="18" t="str">
        <f>_xlfn.CONCAT(TEXT(A1409,"MMM"),"-",MID(Q1409,3,2))</f>
        <v>Feb-26</v>
      </c>
      <c r="X1409" s="19">
        <f>IFERROR(IF(D1409="Sell",(H1409-P1409),-(H1409+P1409)),0)</f>
        <v>89757.19</v>
      </c>
      <c r="Y1409" s="19">
        <f>X1409/1000</f>
        <v>89.757190000000008</v>
      </c>
    </row>
    <row r="1410" spans="1:25" x14ac:dyDescent="0.25">
      <c r="A1410" s="1">
        <v>46077</v>
      </c>
      <c r="B1410" t="s">
        <v>1797</v>
      </c>
      <c r="C1410" t="s">
        <v>17</v>
      </c>
      <c r="D1410" t="s">
        <v>22</v>
      </c>
      <c r="E1410">
        <v>195</v>
      </c>
      <c r="F1410">
        <v>0</v>
      </c>
      <c r="G1410">
        <v>81.38</v>
      </c>
      <c r="H1410">
        <v>15869.75</v>
      </c>
      <c r="I1410" t="s">
        <v>1799</v>
      </c>
      <c r="J1410">
        <v>0</v>
      </c>
      <c r="K1410">
        <v>5.64</v>
      </c>
      <c r="L1410">
        <v>0</v>
      </c>
      <c r="M1410">
        <v>0.02</v>
      </c>
      <c r="N1410">
        <v>87</v>
      </c>
      <c r="O1410">
        <v>16.68</v>
      </c>
      <c r="P1410">
        <v>109.34</v>
      </c>
      <c r="Q1410" s="18">
        <f>YEAR(A1410)</f>
        <v>2026</v>
      </c>
      <c r="R1410" s="18">
        <f>MONTH(A1410)</f>
        <v>2</v>
      </c>
      <c r="S1410" s="18">
        <f>IF(R1410&lt;4,Q1410-1,Q1410)</f>
        <v>2025</v>
      </c>
      <c r="T1410" s="18">
        <f>IF(R1410&lt;4,R1410+9,R1410-3)</f>
        <v>11</v>
      </c>
      <c r="U1410" s="18">
        <f>IF(LEN(T1410)=1,_xlfn.CONCAT(0,T1410),T1410)</f>
        <v>11</v>
      </c>
      <c r="V1410" s="18" t="str">
        <f>_xlfn.CONCAT(S1410,U1410)</f>
        <v>202511</v>
      </c>
      <c r="W1410" s="18" t="str">
        <f>_xlfn.CONCAT(TEXT(A1410,"MMM"),"-",MID(Q1410,3,2))</f>
        <v>Feb-26</v>
      </c>
      <c r="X1410" s="19">
        <f>IFERROR(IF(D1410="Sell",(H1410-P1410),-(H1410+P1410)),0)</f>
        <v>-15979.09</v>
      </c>
      <c r="Y1410" s="19">
        <f>X1410/1000</f>
        <v>-15.979089999999999</v>
      </c>
    </row>
    <row r="1411" spans="1:25" x14ac:dyDescent="0.25">
      <c r="A1411" s="1">
        <v>46077</v>
      </c>
      <c r="B1411" t="s">
        <v>1797</v>
      </c>
      <c r="C1411" t="s">
        <v>17</v>
      </c>
      <c r="D1411" t="s">
        <v>22</v>
      </c>
      <c r="E1411">
        <v>195</v>
      </c>
      <c r="F1411">
        <v>0</v>
      </c>
      <c r="G1411">
        <v>85.75</v>
      </c>
      <c r="H1411">
        <v>16721.25</v>
      </c>
      <c r="I1411" t="s">
        <v>1800</v>
      </c>
      <c r="J1411">
        <v>0</v>
      </c>
      <c r="K1411">
        <v>5.94</v>
      </c>
      <c r="L1411">
        <v>0</v>
      </c>
      <c r="M1411">
        <v>0.03</v>
      </c>
      <c r="N1411">
        <v>87</v>
      </c>
      <c r="O1411">
        <v>16.739999999999998</v>
      </c>
      <c r="P1411">
        <v>109.71</v>
      </c>
      <c r="Q1411" s="18">
        <f>YEAR(A1411)</f>
        <v>2026</v>
      </c>
      <c r="R1411" s="18">
        <f>MONTH(A1411)</f>
        <v>2</v>
      </c>
      <c r="S1411" s="18">
        <f>IF(R1411&lt;4,Q1411-1,Q1411)</f>
        <v>2025</v>
      </c>
      <c r="T1411" s="18">
        <f>IF(R1411&lt;4,R1411+9,R1411-3)</f>
        <v>11</v>
      </c>
      <c r="U1411" s="18">
        <f>IF(LEN(T1411)=1,_xlfn.CONCAT(0,T1411),T1411)</f>
        <v>11</v>
      </c>
      <c r="V1411" s="18" t="str">
        <f>_xlfn.CONCAT(S1411,U1411)</f>
        <v>202511</v>
      </c>
      <c r="W1411" s="18" t="str">
        <f>_xlfn.CONCAT(TEXT(A1411,"MMM"),"-",MID(Q1411,3,2))</f>
        <v>Feb-26</v>
      </c>
      <c r="X1411" s="19">
        <f>IFERROR(IF(D1411="Sell",(H1411-P1411),-(H1411+P1411)),0)</f>
        <v>-16830.96</v>
      </c>
      <c r="Y1411" s="19">
        <f>X1411/1000</f>
        <v>-16.830959999999997</v>
      </c>
    </row>
    <row r="1412" spans="1:25" x14ac:dyDescent="0.25">
      <c r="A1412" s="1">
        <v>46077</v>
      </c>
      <c r="B1412" t="s">
        <v>1797</v>
      </c>
      <c r="C1412" t="s">
        <v>17</v>
      </c>
      <c r="D1412" t="s">
        <v>22</v>
      </c>
      <c r="E1412">
        <v>325</v>
      </c>
      <c r="F1412">
        <v>0</v>
      </c>
      <c r="G1412">
        <v>86.05</v>
      </c>
      <c r="H1412">
        <v>27966.25</v>
      </c>
      <c r="I1412" t="s">
        <v>1801</v>
      </c>
      <c r="J1412">
        <v>0</v>
      </c>
      <c r="K1412">
        <v>9.93</v>
      </c>
      <c r="L1412">
        <v>1.77</v>
      </c>
      <c r="M1412">
        <v>0.03</v>
      </c>
      <c r="N1412">
        <v>145</v>
      </c>
      <c r="O1412">
        <v>27.9</v>
      </c>
      <c r="P1412">
        <v>184.63</v>
      </c>
      <c r="Q1412" s="18">
        <f>YEAR(A1412)</f>
        <v>2026</v>
      </c>
      <c r="R1412" s="18">
        <f>MONTH(A1412)</f>
        <v>2</v>
      </c>
      <c r="S1412" s="18">
        <f>IF(R1412&lt;4,Q1412-1,Q1412)</f>
        <v>2025</v>
      </c>
      <c r="T1412" s="18">
        <f>IF(R1412&lt;4,R1412+9,R1412-3)</f>
        <v>11</v>
      </c>
      <c r="U1412" s="18">
        <f>IF(LEN(T1412)=1,_xlfn.CONCAT(0,T1412),T1412)</f>
        <v>11</v>
      </c>
      <c r="V1412" s="18" t="str">
        <f>_xlfn.CONCAT(S1412,U1412)</f>
        <v>202511</v>
      </c>
      <c r="W1412" s="18" t="str">
        <f>_xlfn.CONCAT(TEXT(A1412,"MMM"),"-",MID(Q1412,3,2))</f>
        <v>Feb-26</v>
      </c>
      <c r="X1412" s="19">
        <f>IFERROR(IF(D1412="Sell",(H1412-P1412),-(H1412+P1412)),0)</f>
        <v>-28150.880000000001</v>
      </c>
      <c r="Y1412" s="19">
        <f>X1412/1000</f>
        <v>-28.150880000000001</v>
      </c>
    </row>
    <row r="1413" spans="1:25" x14ac:dyDescent="0.25">
      <c r="A1413" s="1">
        <v>46077</v>
      </c>
      <c r="B1413" t="s">
        <v>1797</v>
      </c>
      <c r="C1413" t="s">
        <v>17</v>
      </c>
      <c r="D1413" t="s">
        <v>22</v>
      </c>
      <c r="E1413">
        <v>65</v>
      </c>
      <c r="F1413">
        <v>0</v>
      </c>
      <c r="G1413">
        <v>86.3</v>
      </c>
      <c r="H1413">
        <v>5609.5</v>
      </c>
      <c r="I1413" t="s">
        <v>1802</v>
      </c>
      <c r="J1413">
        <v>0</v>
      </c>
      <c r="K1413">
        <v>1.99</v>
      </c>
      <c r="L1413">
        <v>0</v>
      </c>
      <c r="M1413">
        <v>0.01</v>
      </c>
      <c r="N1413">
        <v>29</v>
      </c>
      <c r="O1413">
        <v>5.58</v>
      </c>
      <c r="P1413">
        <v>36.58</v>
      </c>
      <c r="Q1413" s="18">
        <f>YEAR(A1413)</f>
        <v>2026</v>
      </c>
      <c r="R1413" s="18">
        <f>MONTH(A1413)</f>
        <v>2</v>
      </c>
      <c r="S1413" s="18">
        <f>IF(R1413&lt;4,Q1413-1,Q1413)</f>
        <v>2025</v>
      </c>
      <c r="T1413" s="18">
        <f>IF(R1413&lt;4,R1413+9,R1413-3)</f>
        <v>11</v>
      </c>
      <c r="U1413" s="18">
        <f>IF(LEN(T1413)=1,_xlfn.CONCAT(0,T1413),T1413)</f>
        <v>11</v>
      </c>
      <c r="V1413" s="18" t="str">
        <f>_xlfn.CONCAT(S1413,U1413)</f>
        <v>202511</v>
      </c>
      <c r="W1413" s="18" t="str">
        <f>_xlfn.CONCAT(TEXT(A1413,"MMM"),"-",MID(Q1413,3,2))</f>
        <v>Feb-26</v>
      </c>
      <c r="X1413" s="19">
        <f>IFERROR(IF(D1413="Sell",(H1413-P1413),-(H1413+P1413)),0)</f>
        <v>-5646.08</v>
      </c>
      <c r="Y1413" s="19">
        <f>X1413/1000</f>
        <v>-5.6460799999999995</v>
      </c>
    </row>
    <row r="1414" spans="1:25" x14ac:dyDescent="0.25">
      <c r="A1414" s="1">
        <v>46077</v>
      </c>
      <c r="B1414" t="s">
        <v>1797</v>
      </c>
      <c r="C1414" t="s">
        <v>17</v>
      </c>
      <c r="D1414" t="s">
        <v>22</v>
      </c>
      <c r="E1414">
        <v>65</v>
      </c>
      <c r="F1414">
        <v>0</v>
      </c>
      <c r="G1414">
        <v>87.95</v>
      </c>
      <c r="H1414">
        <v>5716.75</v>
      </c>
      <c r="I1414" t="s">
        <v>1803</v>
      </c>
      <c r="J1414">
        <v>0</v>
      </c>
      <c r="K1414">
        <v>2.0299999999999998</v>
      </c>
      <c r="L1414">
        <v>0</v>
      </c>
      <c r="M1414">
        <v>0.01</v>
      </c>
      <c r="N1414">
        <v>29</v>
      </c>
      <c r="O1414">
        <v>5.58</v>
      </c>
      <c r="P1414">
        <v>36.619999999999997</v>
      </c>
      <c r="Q1414" s="18">
        <f>YEAR(A1414)</f>
        <v>2026</v>
      </c>
      <c r="R1414" s="18">
        <f>MONTH(A1414)</f>
        <v>2</v>
      </c>
      <c r="S1414" s="18">
        <f>IF(R1414&lt;4,Q1414-1,Q1414)</f>
        <v>2025</v>
      </c>
      <c r="T1414" s="18">
        <f>IF(R1414&lt;4,R1414+9,R1414-3)</f>
        <v>11</v>
      </c>
      <c r="U1414" s="18">
        <f>IF(LEN(T1414)=1,_xlfn.CONCAT(0,T1414),T1414)</f>
        <v>11</v>
      </c>
      <c r="V1414" s="18" t="str">
        <f>_xlfn.CONCAT(S1414,U1414)</f>
        <v>202511</v>
      </c>
      <c r="W1414" s="18" t="str">
        <f>_xlfn.CONCAT(TEXT(A1414,"MMM"),"-",MID(Q1414,3,2))</f>
        <v>Feb-26</v>
      </c>
      <c r="X1414" s="19">
        <f>IFERROR(IF(D1414="Sell",(H1414-P1414),-(H1414+P1414)),0)</f>
        <v>-5753.37</v>
      </c>
      <c r="Y1414" s="19">
        <f>X1414/1000</f>
        <v>-5.7533700000000003</v>
      </c>
    </row>
    <row r="1415" spans="1:25" x14ac:dyDescent="0.25">
      <c r="A1415" s="1">
        <v>46078</v>
      </c>
      <c r="B1415" t="s">
        <v>1785</v>
      </c>
      <c r="C1415" t="s">
        <v>17</v>
      </c>
      <c r="D1415" t="s">
        <v>18</v>
      </c>
      <c r="E1415">
        <v>455</v>
      </c>
      <c r="F1415">
        <v>0</v>
      </c>
      <c r="G1415">
        <v>175.83</v>
      </c>
      <c r="H1415">
        <v>80002</v>
      </c>
      <c r="I1415" t="s">
        <v>1786</v>
      </c>
      <c r="J1415">
        <v>80</v>
      </c>
      <c r="K1415">
        <v>28.42</v>
      </c>
      <c r="L1415">
        <v>0</v>
      </c>
      <c r="M1415">
        <v>0.08</v>
      </c>
      <c r="N1415">
        <v>203</v>
      </c>
      <c r="O1415">
        <v>41.68</v>
      </c>
      <c r="P1415">
        <v>353.18</v>
      </c>
      <c r="Q1415" s="18">
        <f>YEAR(A1415)</f>
        <v>2026</v>
      </c>
      <c r="R1415" s="18">
        <f>MONTH(A1415)</f>
        <v>2</v>
      </c>
      <c r="S1415" s="18">
        <f>IF(R1415&lt;4,Q1415-1,Q1415)</f>
        <v>2025</v>
      </c>
      <c r="T1415" s="18">
        <f>IF(R1415&lt;4,R1415+9,R1415-3)</f>
        <v>11</v>
      </c>
      <c r="U1415" s="18">
        <f>IF(LEN(T1415)=1,_xlfn.CONCAT(0,T1415),T1415)</f>
        <v>11</v>
      </c>
      <c r="V1415" s="18" t="str">
        <f>_xlfn.CONCAT(S1415,U1415)</f>
        <v>202511</v>
      </c>
      <c r="W1415" s="18" t="str">
        <f>_xlfn.CONCAT(TEXT(A1415,"MMM"),"-",MID(Q1415,3,2))</f>
        <v>Feb-26</v>
      </c>
      <c r="X1415" s="19">
        <f>IFERROR(IF(D1415="Sell",(H1415-P1415),-(H1415+P1415)),0)</f>
        <v>79648.820000000007</v>
      </c>
      <c r="Y1415" s="19">
        <f>X1415/1000</f>
        <v>79.648820000000001</v>
      </c>
    </row>
    <row r="1416" spans="1:25" x14ac:dyDescent="0.25">
      <c r="A1416" s="1">
        <v>46078</v>
      </c>
      <c r="B1416" t="s">
        <v>1785</v>
      </c>
      <c r="C1416" t="s">
        <v>17</v>
      </c>
      <c r="D1416" t="s">
        <v>22</v>
      </c>
      <c r="E1416">
        <v>65</v>
      </c>
      <c r="F1416">
        <v>0</v>
      </c>
      <c r="G1416">
        <v>142.25</v>
      </c>
      <c r="H1416">
        <v>9246.25</v>
      </c>
      <c r="I1416" t="s">
        <v>1787</v>
      </c>
      <c r="J1416">
        <v>0</v>
      </c>
      <c r="K1416">
        <v>3.29</v>
      </c>
      <c r="L1416">
        <v>0</v>
      </c>
      <c r="M1416">
        <v>0.01</v>
      </c>
      <c r="N1416">
        <v>29</v>
      </c>
      <c r="O1416">
        <v>5.82</v>
      </c>
      <c r="P1416">
        <v>38.119999999999997</v>
      </c>
      <c r="Q1416" s="18">
        <f>YEAR(A1416)</f>
        <v>2026</v>
      </c>
      <c r="R1416" s="18">
        <f>MONTH(A1416)</f>
        <v>2</v>
      </c>
      <c r="S1416" s="18">
        <f>IF(R1416&lt;4,Q1416-1,Q1416)</f>
        <v>2025</v>
      </c>
      <c r="T1416" s="18">
        <f>IF(R1416&lt;4,R1416+9,R1416-3)</f>
        <v>11</v>
      </c>
      <c r="U1416" s="18">
        <f>IF(LEN(T1416)=1,_xlfn.CONCAT(0,T1416),T1416)</f>
        <v>11</v>
      </c>
      <c r="V1416" s="18" t="str">
        <f>_xlfn.CONCAT(S1416,U1416)</f>
        <v>202511</v>
      </c>
      <c r="W1416" s="18" t="str">
        <f>_xlfn.CONCAT(TEXT(A1416,"MMM"),"-",MID(Q1416,3,2))</f>
        <v>Feb-26</v>
      </c>
      <c r="X1416" s="19">
        <f>IFERROR(IF(D1416="Sell",(H1416-P1416),-(H1416+P1416)),0)</f>
        <v>-9284.3700000000008</v>
      </c>
      <c r="Y1416" s="19">
        <f>X1416/1000</f>
        <v>-9.2843700000000009</v>
      </c>
    </row>
    <row r="1417" spans="1:25" x14ac:dyDescent="0.25">
      <c r="A1417" s="1">
        <v>46078</v>
      </c>
      <c r="B1417" t="s">
        <v>1785</v>
      </c>
      <c r="C1417" t="s">
        <v>17</v>
      </c>
      <c r="D1417" t="s">
        <v>22</v>
      </c>
      <c r="E1417">
        <v>65</v>
      </c>
      <c r="F1417">
        <v>0</v>
      </c>
      <c r="G1417">
        <v>147.85</v>
      </c>
      <c r="H1417">
        <v>9610.25</v>
      </c>
      <c r="I1417" t="s">
        <v>1788</v>
      </c>
      <c r="J1417">
        <v>0</v>
      </c>
      <c r="K1417">
        <v>3.41</v>
      </c>
      <c r="L1417">
        <v>0</v>
      </c>
      <c r="M1417">
        <v>0.01</v>
      </c>
      <c r="N1417">
        <v>29</v>
      </c>
      <c r="O1417">
        <v>5.84</v>
      </c>
      <c r="P1417">
        <v>38.26</v>
      </c>
      <c r="Q1417" s="18">
        <f>YEAR(A1417)</f>
        <v>2026</v>
      </c>
      <c r="R1417" s="18">
        <f>MONTH(A1417)</f>
        <v>2</v>
      </c>
      <c r="S1417" s="18">
        <f>IF(R1417&lt;4,Q1417-1,Q1417)</f>
        <v>2025</v>
      </c>
      <c r="T1417" s="18">
        <f>IF(R1417&lt;4,R1417+9,R1417-3)</f>
        <v>11</v>
      </c>
      <c r="U1417" s="18">
        <f>IF(LEN(T1417)=1,_xlfn.CONCAT(0,T1417),T1417)</f>
        <v>11</v>
      </c>
      <c r="V1417" s="18" t="str">
        <f>_xlfn.CONCAT(S1417,U1417)</f>
        <v>202511</v>
      </c>
      <c r="W1417" s="18" t="str">
        <f>_xlfn.CONCAT(TEXT(A1417,"MMM"),"-",MID(Q1417,3,2))</f>
        <v>Feb-26</v>
      </c>
      <c r="X1417" s="19">
        <f>IFERROR(IF(D1417="Sell",(H1417-P1417),-(H1417+P1417)),0)</f>
        <v>-9648.51</v>
      </c>
      <c r="Y1417" s="19">
        <f>X1417/1000</f>
        <v>-9.6485099999999999</v>
      </c>
    </row>
    <row r="1418" spans="1:25" x14ac:dyDescent="0.25">
      <c r="A1418" s="1">
        <v>46078</v>
      </c>
      <c r="B1418" t="s">
        <v>1785</v>
      </c>
      <c r="C1418" t="s">
        <v>17</v>
      </c>
      <c r="D1418" t="s">
        <v>22</v>
      </c>
      <c r="E1418">
        <v>65</v>
      </c>
      <c r="F1418">
        <v>0</v>
      </c>
      <c r="G1418">
        <v>154.44999999999999</v>
      </c>
      <c r="H1418">
        <v>10039.25</v>
      </c>
      <c r="I1418" t="s">
        <v>1789</v>
      </c>
      <c r="J1418">
        <v>0</v>
      </c>
      <c r="K1418">
        <v>3.57</v>
      </c>
      <c r="L1418">
        <v>0</v>
      </c>
      <c r="M1418">
        <v>0.01</v>
      </c>
      <c r="N1418">
        <v>29</v>
      </c>
      <c r="O1418">
        <v>5.86</v>
      </c>
      <c r="P1418">
        <v>38.44</v>
      </c>
      <c r="Q1418" s="18">
        <f>YEAR(A1418)</f>
        <v>2026</v>
      </c>
      <c r="R1418" s="18">
        <f>MONTH(A1418)</f>
        <v>2</v>
      </c>
      <c r="S1418" s="18">
        <f>IF(R1418&lt;4,Q1418-1,Q1418)</f>
        <v>2025</v>
      </c>
      <c r="T1418" s="18">
        <f>IF(R1418&lt;4,R1418+9,R1418-3)</f>
        <v>11</v>
      </c>
      <c r="U1418" s="18">
        <f>IF(LEN(T1418)=1,_xlfn.CONCAT(0,T1418),T1418)</f>
        <v>11</v>
      </c>
      <c r="V1418" s="18" t="str">
        <f>_xlfn.CONCAT(S1418,U1418)</f>
        <v>202511</v>
      </c>
      <c r="W1418" s="18" t="str">
        <f>_xlfn.CONCAT(TEXT(A1418,"MMM"),"-",MID(Q1418,3,2))</f>
        <v>Feb-26</v>
      </c>
      <c r="X1418" s="19">
        <f>IFERROR(IF(D1418="Sell",(H1418-P1418),-(H1418+P1418)),0)</f>
        <v>-10077.69</v>
      </c>
      <c r="Y1418" s="19">
        <f>X1418/1000</f>
        <v>-10.07769</v>
      </c>
    </row>
    <row r="1419" spans="1:25" x14ac:dyDescent="0.25">
      <c r="A1419" s="1">
        <v>46078</v>
      </c>
      <c r="B1419" t="s">
        <v>1785</v>
      </c>
      <c r="C1419" t="s">
        <v>17</v>
      </c>
      <c r="D1419" t="s">
        <v>22</v>
      </c>
      <c r="E1419">
        <v>65</v>
      </c>
      <c r="F1419">
        <v>0</v>
      </c>
      <c r="G1419">
        <v>150.55000000000001</v>
      </c>
      <c r="H1419">
        <v>9785.75</v>
      </c>
      <c r="I1419" t="s">
        <v>1790</v>
      </c>
      <c r="J1419">
        <v>0</v>
      </c>
      <c r="K1419">
        <v>3.48</v>
      </c>
      <c r="L1419">
        <v>0</v>
      </c>
      <c r="M1419">
        <v>0.01</v>
      </c>
      <c r="N1419">
        <v>29</v>
      </c>
      <c r="O1419">
        <v>5.84</v>
      </c>
      <c r="P1419">
        <v>38.33</v>
      </c>
      <c r="Q1419" s="18">
        <f>YEAR(A1419)</f>
        <v>2026</v>
      </c>
      <c r="R1419" s="18">
        <f>MONTH(A1419)</f>
        <v>2</v>
      </c>
      <c r="S1419" s="18">
        <f>IF(R1419&lt;4,Q1419-1,Q1419)</f>
        <v>2025</v>
      </c>
      <c r="T1419" s="18">
        <f>IF(R1419&lt;4,R1419+9,R1419-3)</f>
        <v>11</v>
      </c>
      <c r="U1419" s="18">
        <f>IF(LEN(T1419)=1,_xlfn.CONCAT(0,T1419),T1419)</f>
        <v>11</v>
      </c>
      <c r="V1419" s="18" t="str">
        <f>_xlfn.CONCAT(S1419,U1419)</f>
        <v>202511</v>
      </c>
      <c r="W1419" s="18" t="str">
        <f>_xlfn.CONCAT(TEXT(A1419,"MMM"),"-",MID(Q1419,3,2))</f>
        <v>Feb-26</v>
      </c>
      <c r="X1419" s="19">
        <f>IFERROR(IF(D1419="Sell",(H1419-P1419),-(H1419+P1419)),0)</f>
        <v>-9824.08</v>
      </c>
      <c r="Y1419" s="19">
        <f>X1419/1000</f>
        <v>-9.8240800000000004</v>
      </c>
    </row>
    <row r="1420" spans="1:25" x14ac:dyDescent="0.25">
      <c r="A1420" s="1">
        <v>46078</v>
      </c>
      <c r="B1420" t="s">
        <v>1785</v>
      </c>
      <c r="C1420" t="s">
        <v>17</v>
      </c>
      <c r="D1420" t="s">
        <v>22</v>
      </c>
      <c r="E1420">
        <v>65</v>
      </c>
      <c r="F1420">
        <v>0</v>
      </c>
      <c r="G1420">
        <v>153.25</v>
      </c>
      <c r="H1420">
        <v>9961.25</v>
      </c>
      <c r="I1420" t="s">
        <v>1791</v>
      </c>
      <c r="J1420">
        <v>0</v>
      </c>
      <c r="K1420">
        <v>3.54</v>
      </c>
      <c r="L1420">
        <v>0</v>
      </c>
      <c r="M1420">
        <v>0.01</v>
      </c>
      <c r="N1420">
        <v>29</v>
      </c>
      <c r="O1420">
        <v>5.86</v>
      </c>
      <c r="P1420">
        <v>38.409999999999997</v>
      </c>
      <c r="Q1420" s="18">
        <f>YEAR(A1420)</f>
        <v>2026</v>
      </c>
      <c r="R1420" s="18">
        <f>MONTH(A1420)</f>
        <v>2</v>
      </c>
      <c r="S1420" s="18">
        <f>IF(R1420&lt;4,Q1420-1,Q1420)</f>
        <v>2025</v>
      </c>
      <c r="T1420" s="18">
        <f>IF(R1420&lt;4,R1420+9,R1420-3)</f>
        <v>11</v>
      </c>
      <c r="U1420" s="18">
        <f>IF(LEN(T1420)=1,_xlfn.CONCAT(0,T1420),T1420)</f>
        <v>11</v>
      </c>
      <c r="V1420" s="18" t="str">
        <f>_xlfn.CONCAT(S1420,U1420)</f>
        <v>202511</v>
      </c>
      <c r="W1420" s="18" t="str">
        <f>_xlfn.CONCAT(TEXT(A1420,"MMM"),"-",MID(Q1420,3,2))</f>
        <v>Feb-26</v>
      </c>
      <c r="X1420" s="19">
        <f>IFERROR(IF(D1420="Sell",(H1420-P1420),-(H1420+P1420)),0)</f>
        <v>-9999.66</v>
      </c>
      <c r="Y1420" s="19">
        <f>X1420/1000</f>
        <v>-9.9996600000000004</v>
      </c>
    </row>
    <row r="1421" spans="1:25" x14ac:dyDescent="0.25">
      <c r="A1421" s="1">
        <v>46078</v>
      </c>
      <c r="B1421" t="s">
        <v>1785</v>
      </c>
      <c r="C1421" t="s">
        <v>17</v>
      </c>
      <c r="D1421" t="s">
        <v>22</v>
      </c>
      <c r="E1421">
        <v>65</v>
      </c>
      <c r="F1421">
        <v>0</v>
      </c>
      <c r="G1421">
        <v>151.25</v>
      </c>
      <c r="H1421">
        <v>9831.25</v>
      </c>
      <c r="I1421" t="s">
        <v>1792</v>
      </c>
      <c r="J1421">
        <v>0</v>
      </c>
      <c r="K1421">
        <v>3.49</v>
      </c>
      <c r="L1421">
        <v>0</v>
      </c>
      <c r="M1421">
        <v>0.01</v>
      </c>
      <c r="N1421">
        <v>29</v>
      </c>
      <c r="O1421">
        <v>5.86</v>
      </c>
      <c r="P1421">
        <v>38.36</v>
      </c>
      <c r="Q1421" s="18">
        <f>YEAR(A1421)</f>
        <v>2026</v>
      </c>
      <c r="R1421" s="18">
        <f>MONTH(A1421)</f>
        <v>2</v>
      </c>
      <c r="S1421" s="18">
        <f>IF(R1421&lt;4,Q1421-1,Q1421)</f>
        <v>2025</v>
      </c>
      <c r="T1421" s="18">
        <f>IF(R1421&lt;4,R1421+9,R1421-3)</f>
        <v>11</v>
      </c>
      <c r="U1421" s="18">
        <f>IF(LEN(T1421)=1,_xlfn.CONCAT(0,T1421),T1421)</f>
        <v>11</v>
      </c>
      <c r="V1421" s="18" t="str">
        <f>_xlfn.CONCAT(S1421,U1421)</f>
        <v>202511</v>
      </c>
      <c r="W1421" s="18" t="str">
        <f>_xlfn.CONCAT(TEXT(A1421,"MMM"),"-",MID(Q1421,3,2))</f>
        <v>Feb-26</v>
      </c>
      <c r="X1421" s="19">
        <f>IFERROR(IF(D1421="Sell",(H1421-P1421),-(H1421+P1421)),0)</f>
        <v>-9869.61</v>
      </c>
      <c r="Y1421" s="19">
        <f>X1421/1000</f>
        <v>-9.8696099999999998</v>
      </c>
    </row>
    <row r="1422" spans="1:25" x14ac:dyDescent="0.25">
      <c r="A1422" s="1">
        <v>46078</v>
      </c>
      <c r="B1422" t="s">
        <v>1785</v>
      </c>
      <c r="C1422" t="s">
        <v>17</v>
      </c>
      <c r="D1422" t="s">
        <v>22</v>
      </c>
      <c r="E1422">
        <v>65</v>
      </c>
      <c r="F1422">
        <v>0</v>
      </c>
      <c r="G1422">
        <v>153.30000000000001</v>
      </c>
      <c r="H1422">
        <v>9964.5</v>
      </c>
      <c r="I1422" t="s">
        <v>1793</v>
      </c>
      <c r="J1422">
        <v>0</v>
      </c>
      <c r="K1422">
        <v>3.54</v>
      </c>
      <c r="L1422">
        <v>2</v>
      </c>
      <c r="M1422">
        <v>0.01</v>
      </c>
      <c r="N1422">
        <v>29</v>
      </c>
      <c r="O1422">
        <v>5.86</v>
      </c>
      <c r="P1422">
        <v>40.409999999999997</v>
      </c>
      <c r="Q1422" s="18">
        <f>YEAR(A1422)</f>
        <v>2026</v>
      </c>
      <c r="R1422" s="18">
        <f>MONTH(A1422)</f>
        <v>2</v>
      </c>
      <c r="S1422" s="18">
        <f>IF(R1422&lt;4,Q1422-1,Q1422)</f>
        <v>2025</v>
      </c>
      <c r="T1422" s="18">
        <f>IF(R1422&lt;4,R1422+9,R1422-3)</f>
        <v>11</v>
      </c>
      <c r="U1422" s="18">
        <f>IF(LEN(T1422)=1,_xlfn.CONCAT(0,T1422),T1422)</f>
        <v>11</v>
      </c>
      <c r="V1422" s="18" t="str">
        <f>_xlfn.CONCAT(S1422,U1422)</f>
        <v>202511</v>
      </c>
      <c r="W1422" s="18" t="str">
        <f>_xlfn.CONCAT(TEXT(A1422,"MMM"),"-",MID(Q1422,3,2))</f>
        <v>Feb-26</v>
      </c>
      <c r="X1422" s="19">
        <f>IFERROR(IF(D1422="Sell",(H1422-P1422),-(H1422+P1422)),0)</f>
        <v>-10004.91</v>
      </c>
      <c r="Y1422" s="19">
        <f>X1422/1000</f>
        <v>-10.004910000000001</v>
      </c>
    </row>
    <row r="1423" spans="1:25" x14ac:dyDescent="0.25">
      <c r="A1423" s="1">
        <v>46079</v>
      </c>
      <c r="B1423" t="s">
        <v>1771</v>
      </c>
      <c r="C1423" t="s">
        <v>17</v>
      </c>
      <c r="D1423" t="s">
        <v>18</v>
      </c>
      <c r="E1423">
        <v>780</v>
      </c>
      <c r="F1423">
        <v>0</v>
      </c>
      <c r="G1423">
        <v>109.9</v>
      </c>
      <c r="H1423">
        <v>85722</v>
      </c>
      <c r="I1423" t="s">
        <v>1772</v>
      </c>
      <c r="J1423">
        <v>85.72</v>
      </c>
      <c r="K1423">
        <v>30.46</v>
      </c>
      <c r="L1423">
        <v>0</v>
      </c>
      <c r="M1423">
        <v>0.09</v>
      </c>
      <c r="N1423">
        <v>348</v>
      </c>
      <c r="O1423">
        <v>68.14</v>
      </c>
      <c r="P1423">
        <v>532.41</v>
      </c>
      <c r="Q1423" s="18">
        <f>YEAR(A1423)</f>
        <v>2026</v>
      </c>
      <c r="R1423" s="18">
        <f>MONTH(A1423)</f>
        <v>2</v>
      </c>
      <c r="S1423" s="18">
        <f>IF(R1423&lt;4,Q1423-1,Q1423)</f>
        <v>2025</v>
      </c>
      <c r="T1423" s="18">
        <f>IF(R1423&lt;4,R1423+9,R1423-3)</f>
        <v>11</v>
      </c>
      <c r="U1423" s="18">
        <f>IF(LEN(T1423)=1,_xlfn.CONCAT(0,T1423),T1423)</f>
        <v>11</v>
      </c>
      <c r="V1423" s="18" t="str">
        <f>_xlfn.CONCAT(S1423,U1423)</f>
        <v>202511</v>
      </c>
      <c r="W1423" s="18" t="str">
        <f>_xlfn.CONCAT(TEXT(A1423,"MMM"),"-",MID(Q1423,3,2))</f>
        <v>Feb-26</v>
      </c>
      <c r="X1423" s="19">
        <f>IFERROR(IF(D1423="Sell",(H1423-P1423),-(H1423+P1423)),0)</f>
        <v>85189.59</v>
      </c>
      <c r="Y1423" s="19">
        <f>X1423/1000</f>
        <v>85.189589999999995</v>
      </c>
    </row>
    <row r="1424" spans="1:25" x14ac:dyDescent="0.25">
      <c r="A1424" s="1">
        <v>46079</v>
      </c>
      <c r="B1424" t="s">
        <v>1771</v>
      </c>
      <c r="C1424" t="s">
        <v>17</v>
      </c>
      <c r="D1424" t="s">
        <v>22</v>
      </c>
      <c r="E1424">
        <v>780</v>
      </c>
      <c r="F1424">
        <v>0</v>
      </c>
      <c r="G1424">
        <v>81.180000000000007</v>
      </c>
      <c r="H1424">
        <v>63323</v>
      </c>
      <c r="I1424" t="s">
        <v>1773</v>
      </c>
      <c r="J1424">
        <v>0</v>
      </c>
      <c r="K1424">
        <v>22.5</v>
      </c>
      <c r="L1424">
        <v>0</v>
      </c>
      <c r="M1424">
        <v>0.08</v>
      </c>
      <c r="N1424">
        <v>348</v>
      </c>
      <c r="O1424">
        <v>66.72</v>
      </c>
      <c r="P1424">
        <v>437.3</v>
      </c>
      <c r="Q1424" s="18">
        <f>YEAR(A1424)</f>
        <v>2026</v>
      </c>
      <c r="R1424" s="18">
        <f>MONTH(A1424)</f>
        <v>2</v>
      </c>
      <c r="S1424" s="18">
        <f>IF(R1424&lt;4,Q1424-1,Q1424)</f>
        <v>2025</v>
      </c>
      <c r="T1424" s="18">
        <f>IF(R1424&lt;4,R1424+9,R1424-3)</f>
        <v>11</v>
      </c>
      <c r="U1424" s="18">
        <f>IF(LEN(T1424)=1,_xlfn.CONCAT(0,T1424),T1424)</f>
        <v>11</v>
      </c>
      <c r="V1424" s="18" t="str">
        <f>_xlfn.CONCAT(S1424,U1424)</f>
        <v>202511</v>
      </c>
      <c r="W1424" s="18" t="str">
        <f>_xlfn.CONCAT(TEXT(A1424,"MMM"),"-",MID(Q1424,3,2))</f>
        <v>Feb-26</v>
      </c>
      <c r="X1424" s="19">
        <f>IFERROR(IF(D1424="Sell",(H1424-P1424),-(H1424+P1424)),0)</f>
        <v>-63760.3</v>
      </c>
      <c r="Y1424" s="19">
        <f>X1424/1000</f>
        <v>-63.760300000000001</v>
      </c>
    </row>
    <row r="1425" spans="1:25" x14ac:dyDescent="0.25">
      <c r="A1425" s="1">
        <v>46079</v>
      </c>
      <c r="B1425" t="s">
        <v>1771</v>
      </c>
      <c r="C1425" t="s">
        <v>17</v>
      </c>
      <c r="D1425" t="s">
        <v>18</v>
      </c>
      <c r="E1425">
        <v>715</v>
      </c>
      <c r="F1425">
        <v>0</v>
      </c>
      <c r="G1425">
        <v>80</v>
      </c>
      <c r="H1425">
        <v>57200</v>
      </c>
      <c r="I1425" t="s">
        <v>1774</v>
      </c>
      <c r="J1425">
        <v>57.2</v>
      </c>
      <c r="K1425">
        <v>20.32</v>
      </c>
      <c r="L1425">
        <v>0</v>
      </c>
      <c r="M1425">
        <v>0.06</v>
      </c>
      <c r="N1425">
        <v>319</v>
      </c>
      <c r="O1425">
        <v>61.08</v>
      </c>
      <c r="P1425">
        <v>457.66</v>
      </c>
      <c r="Q1425" s="18">
        <f>YEAR(A1425)</f>
        <v>2026</v>
      </c>
      <c r="R1425" s="18">
        <f>MONTH(A1425)</f>
        <v>2</v>
      </c>
      <c r="S1425" s="18">
        <f>IF(R1425&lt;4,Q1425-1,Q1425)</f>
        <v>2025</v>
      </c>
      <c r="T1425" s="18">
        <f>IF(R1425&lt;4,R1425+9,R1425-3)</f>
        <v>11</v>
      </c>
      <c r="U1425" s="18">
        <f>IF(LEN(T1425)=1,_xlfn.CONCAT(0,T1425),T1425)</f>
        <v>11</v>
      </c>
      <c r="V1425" s="18" t="str">
        <f>_xlfn.CONCAT(S1425,U1425)</f>
        <v>202511</v>
      </c>
      <c r="W1425" s="18" t="str">
        <f>_xlfn.CONCAT(TEXT(A1425,"MMM"),"-",MID(Q1425,3,2))</f>
        <v>Feb-26</v>
      </c>
      <c r="X1425" s="19">
        <f>IFERROR(IF(D1425="Sell",(H1425-P1425),-(H1425+P1425)),0)</f>
        <v>56742.34</v>
      </c>
      <c r="Y1425" s="19">
        <f>X1425/1000</f>
        <v>56.742339999999999</v>
      </c>
    </row>
    <row r="1426" spans="1:25" x14ac:dyDescent="0.25">
      <c r="A1426" s="1">
        <v>46079</v>
      </c>
      <c r="B1426" t="s">
        <v>1771</v>
      </c>
      <c r="C1426" t="s">
        <v>17</v>
      </c>
      <c r="D1426" t="s">
        <v>22</v>
      </c>
      <c r="E1426">
        <v>715</v>
      </c>
      <c r="F1426">
        <v>0</v>
      </c>
      <c r="G1426">
        <v>84.15</v>
      </c>
      <c r="H1426">
        <v>60167.25</v>
      </c>
      <c r="I1426" t="s">
        <v>1775</v>
      </c>
      <c r="J1426">
        <v>0</v>
      </c>
      <c r="K1426">
        <v>21.37</v>
      </c>
      <c r="L1426">
        <v>10</v>
      </c>
      <c r="M1426">
        <v>7.0000000000000007E-2</v>
      </c>
      <c r="N1426">
        <v>319</v>
      </c>
      <c r="O1426">
        <v>61.3</v>
      </c>
      <c r="P1426">
        <v>411.74</v>
      </c>
      <c r="Q1426" s="18">
        <f>YEAR(A1426)</f>
        <v>2026</v>
      </c>
      <c r="R1426" s="18">
        <f>MONTH(A1426)</f>
        <v>2</v>
      </c>
      <c r="S1426" s="18">
        <f>IF(R1426&lt;4,Q1426-1,Q1426)</f>
        <v>2025</v>
      </c>
      <c r="T1426" s="18">
        <f>IF(R1426&lt;4,R1426+9,R1426-3)</f>
        <v>11</v>
      </c>
      <c r="U1426" s="18">
        <f>IF(LEN(T1426)=1,_xlfn.CONCAT(0,T1426),T1426)</f>
        <v>11</v>
      </c>
      <c r="V1426" s="18" t="str">
        <f>_xlfn.CONCAT(S1426,U1426)</f>
        <v>202511</v>
      </c>
      <c r="W1426" s="18" t="str">
        <f>_xlfn.CONCAT(TEXT(A1426,"MMM"),"-",MID(Q1426,3,2))</f>
        <v>Feb-26</v>
      </c>
      <c r="X1426" s="19">
        <f>IFERROR(IF(D1426="Sell",(H1426-P1426),-(H1426+P1426)),0)</f>
        <v>-60578.99</v>
      </c>
      <c r="Y1426" s="19">
        <f>X1426/1000</f>
        <v>-60.578989999999997</v>
      </c>
    </row>
    <row r="1427" spans="1:25" x14ac:dyDescent="0.25">
      <c r="A1427" s="1">
        <v>46079</v>
      </c>
      <c r="B1427" t="s">
        <v>1771</v>
      </c>
      <c r="C1427" t="s">
        <v>17</v>
      </c>
      <c r="D1427" t="s">
        <v>18</v>
      </c>
      <c r="E1427">
        <v>780</v>
      </c>
      <c r="F1427">
        <v>0</v>
      </c>
      <c r="G1427">
        <v>115.15</v>
      </c>
      <c r="H1427">
        <v>89817</v>
      </c>
      <c r="I1427" t="s">
        <v>1776</v>
      </c>
      <c r="J1427">
        <v>89.81</v>
      </c>
      <c r="K1427">
        <v>31.91</v>
      </c>
      <c r="L1427">
        <v>0</v>
      </c>
      <c r="M1427">
        <v>0.09</v>
      </c>
      <c r="N1427">
        <v>348</v>
      </c>
      <c r="O1427">
        <v>68.400000000000006</v>
      </c>
      <c r="P1427">
        <v>538.21</v>
      </c>
      <c r="Q1427" s="18">
        <f>YEAR(A1427)</f>
        <v>2026</v>
      </c>
      <c r="R1427" s="18">
        <f>MONTH(A1427)</f>
        <v>2</v>
      </c>
      <c r="S1427" s="18">
        <f>IF(R1427&lt;4,Q1427-1,Q1427)</f>
        <v>2025</v>
      </c>
      <c r="T1427" s="18">
        <f>IF(R1427&lt;4,R1427+9,R1427-3)</f>
        <v>11</v>
      </c>
      <c r="U1427" s="18">
        <f>IF(LEN(T1427)=1,_xlfn.CONCAT(0,T1427),T1427)</f>
        <v>11</v>
      </c>
      <c r="V1427" s="18" t="str">
        <f>_xlfn.CONCAT(S1427,U1427)</f>
        <v>202511</v>
      </c>
      <c r="W1427" s="18" t="str">
        <f>_xlfn.CONCAT(TEXT(A1427,"MMM"),"-",MID(Q1427,3,2))</f>
        <v>Feb-26</v>
      </c>
      <c r="X1427" s="19">
        <f>IFERROR(IF(D1427="Sell",(H1427-P1427),-(H1427+P1427)),0)</f>
        <v>89278.79</v>
      </c>
      <c r="Y1427" s="19">
        <f>X1427/1000</f>
        <v>89.278789999999987</v>
      </c>
    </row>
    <row r="1428" spans="1:25" x14ac:dyDescent="0.25">
      <c r="A1428" s="1">
        <v>46079</v>
      </c>
      <c r="B1428" t="s">
        <v>1771</v>
      </c>
      <c r="C1428" t="s">
        <v>17</v>
      </c>
      <c r="D1428" t="s">
        <v>22</v>
      </c>
      <c r="E1428">
        <v>130</v>
      </c>
      <c r="F1428">
        <v>0</v>
      </c>
      <c r="G1428">
        <v>122.7</v>
      </c>
      <c r="H1428">
        <v>15951</v>
      </c>
      <c r="I1428" t="s">
        <v>1777</v>
      </c>
      <c r="J1428">
        <v>0</v>
      </c>
      <c r="K1428">
        <v>5.66</v>
      </c>
      <c r="L1428">
        <v>0</v>
      </c>
      <c r="M1428">
        <v>0.02</v>
      </c>
      <c r="N1428">
        <v>58</v>
      </c>
      <c r="O1428">
        <v>11.48</v>
      </c>
      <c r="P1428">
        <v>75.16</v>
      </c>
      <c r="Q1428" s="18">
        <f>YEAR(A1428)</f>
        <v>2026</v>
      </c>
      <c r="R1428" s="18">
        <f>MONTH(A1428)</f>
        <v>2</v>
      </c>
      <c r="S1428" s="18">
        <f>IF(R1428&lt;4,Q1428-1,Q1428)</f>
        <v>2025</v>
      </c>
      <c r="T1428" s="18">
        <f>IF(R1428&lt;4,R1428+9,R1428-3)</f>
        <v>11</v>
      </c>
      <c r="U1428" s="18">
        <f>IF(LEN(T1428)=1,_xlfn.CONCAT(0,T1428),T1428)</f>
        <v>11</v>
      </c>
      <c r="V1428" s="18" t="str">
        <f>_xlfn.CONCAT(S1428,U1428)</f>
        <v>202511</v>
      </c>
      <c r="W1428" s="18" t="str">
        <f>_xlfn.CONCAT(TEXT(A1428,"MMM"),"-",MID(Q1428,3,2))</f>
        <v>Feb-26</v>
      </c>
      <c r="X1428" s="19">
        <f>IFERROR(IF(D1428="Sell",(H1428-P1428),-(H1428+P1428)),0)</f>
        <v>-16026.16</v>
      </c>
      <c r="Y1428" s="19">
        <f>X1428/1000</f>
        <v>-16.026160000000001</v>
      </c>
    </row>
    <row r="1429" spans="1:25" x14ac:dyDescent="0.25">
      <c r="A1429" s="1">
        <v>46079</v>
      </c>
      <c r="B1429" t="s">
        <v>1771</v>
      </c>
      <c r="C1429" t="s">
        <v>17</v>
      </c>
      <c r="D1429" t="s">
        <v>22</v>
      </c>
      <c r="E1429">
        <v>195</v>
      </c>
      <c r="F1429">
        <v>0</v>
      </c>
      <c r="G1429">
        <v>130.35</v>
      </c>
      <c r="H1429">
        <v>25418.25</v>
      </c>
      <c r="I1429" t="s">
        <v>1778</v>
      </c>
      <c r="J1429">
        <v>0</v>
      </c>
      <c r="K1429">
        <v>9.0299999999999994</v>
      </c>
      <c r="L1429">
        <v>0</v>
      </c>
      <c r="M1429">
        <v>0.03</v>
      </c>
      <c r="N1429">
        <v>87</v>
      </c>
      <c r="O1429">
        <v>17.3</v>
      </c>
      <c r="P1429">
        <v>113.36</v>
      </c>
      <c r="Q1429" s="18">
        <f>YEAR(A1429)</f>
        <v>2026</v>
      </c>
      <c r="R1429" s="18">
        <f>MONTH(A1429)</f>
        <v>2</v>
      </c>
      <c r="S1429" s="18">
        <f>IF(R1429&lt;4,Q1429-1,Q1429)</f>
        <v>2025</v>
      </c>
      <c r="T1429" s="18">
        <f>IF(R1429&lt;4,R1429+9,R1429-3)</f>
        <v>11</v>
      </c>
      <c r="U1429" s="18">
        <f>IF(LEN(T1429)=1,_xlfn.CONCAT(0,T1429),T1429)</f>
        <v>11</v>
      </c>
      <c r="V1429" s="18" t="str">
        <f>_xlfn.CONCAT(S1429,U1429)</f>
        <v>202511</v>
      </c>
      <c r="W1429" s="18" t="str">
        <f>_xlfn.CONCAT(TEXT(A1429,"MMM"),"-",MID(Q1429,3,2))</f>
        <v>Feb-26</v>
      </c>
      <c r="X1429" s="19">
        <f>IFERROR(IF(D1429="Sell",(H1429-P1429),-(H1429+P1429)),0)</f>
        <v>-25531.61</v>
      </c>
      <c r="Y1429" s="19">
        <f>X1429/1000</f>
        <v>-25.531610000000001</v>
      </c>
    </row>
    <row r="1430" spans="1:25" x14ac:dyDescent="0.25">
      <c r="A1430" s="1">
        <v>46079</v>
      </c>
      <c r="B1430" t="s">
        <v>1771</v>
      </c>
      <c r="C1430" t="s">
        <v>17</v>
      </c>
      <c r="D1430" t="s">
        <v>22</v>
      </c>
      <c r="E1430">
        <v>195</v>
      </c>
      <c r="F1430">
        <v>0</v>
      </c>
      <c r="G1430">
        <v>129.65</v>
      </c>
      <c r="H1430">
        <v>25281.75</v>
      </c>
      <c r="I1430" t="s">
        <v>1779</v>
      </c>
      <c r="J1430">
        <v>0</v>
      </c>
      <c r="K1430">
        <v>8.9700000000000006</v>
      </c>
      <c r="L1430">
        <v>0</v>
      </c>
      <c r="M1430">
        <v>0.03</v>
      </c>
      <c r="N1430">
        <v>87</v>
      </c>
      <c r="O1430">
        <v>17.28</v>
      </c>
      <c r="P1430">
        <v>113.28</v>
      </c>
      <c r="Q1430" s="18">
        <f>YEAR(A1430)</f>
        <v>2026</v>
      </c>
      <c r="R1430" s="18">
        <f>MONTH(A1430)</f>
        <v>2</v>
      </c>
      <c r="S1430" s="18">
        <f>IF(R1430&lt;4,Q1430-1,Q1430)</f>
        <v>2025</v>
      </c>
      <c r="T1430" s="18">
        <f>IF(R1430&lt;4,R1430+9,R1430-3)</f>
        <v>11</v>
      </c>
      <c r="U1430" s="18">
        <f>IF(LEN(T1430)=1,_xlfn.CONCAT(0,T1430),T1430)</f>
        <v>11</v>
      </c>
      <c r="V1430" s="18" t="str">
        <f>_xlfn.CONCAT(S1430,U1430)</f>
        <v>202511</v>
      </c>
      <c r="W1430" s="18" t="str">
        <f>_xlfn.CONCAT(TEXT(A1430,"MMM"),"-",MID(Q1430,3,2))</f>
        <v>Feb-26</v>
      </c>
      <c r="X1430" s="19">
        <f>IFERROR(IF(D1430="Sell",(H1430-P1430),-(H1430+P1430)),0)</f>
        <v>-25395.03</v>
      </c>
      <c r="Y1430" s="19">
        <f>X1430/1000</f>
        <v>-25.395029999999998</v>
      </c>
    </row>
    <row r="1431" spans="1:25" x14ac:dyDescent="0.25">
      <c r="A1431" s="1">
        <v>46079</v>
      </c>
      <c r="B1431" t="s">
        <v>1771</v>
      </c>
      <c r="C1431" t="s">
        <v>17</v>
      </c>
      <c r="D1431" t="s">
        <v>22</v>
      </c>
      <c r="E1431">
        <v>195</v>
      </c>
      <c r="F1431">
        <v>0</v>
      </c>
      <c r="G1431">
        <v>130.30000000000001</v>
      </c>
      <c r="H1431">
        <v>25408.5</v>
      </c>
      <c r="I1431" t="s">
        <v>1780</v>
      </c>
      <c r="J1431">
        <v>0</v>
      </c>
      <c r="K1431">
        <v>9.0299999999999994</v>
      </c>
      <c r="L1431">
        <v>0</v>
      </c>
      <c r="M1431">
        <v>0.03</v>
      </c>
      <c r="N1431">
        <v>87</v>
      </c>
      <c r="O1431">
        <v>17.28</v>
      </c>
      <c r="P1431">
        <v>113.34</v>
      </c>
      <c r="Q1431" s="18">
        <f>YEAR(A1431)</f>
        <v>2026</v>
      </c>
      <c r="R1431" s="18">
        <f>MONTH(A1431)</f>
        <v>2</v>
      </c>
      <c r="S1431" s="18">
        <f>IF(R1431&lt;4,Q1431-1,Q1431)</f>
        <v>2025</v>
      </c>
      <c r="T1431" s="18">
        <f>IF(R1431&lt;4,R1431+9,R1431-3)</f>
        <v>11</v>
      </c>
      <c r="U1431" s="18">
        <f>IF(LEN(T1431)=1,_xlfn.CONCAT(0,T1431),T1431)</f>
        <v>11</v>
      </c>
      <c r="V1431" s="18" t="str">
        <f>_xlfn.CONCAT(S1431,U1431)</f>
        <v>202511</v>
      </c>
      <c r="W1431" s="18" t="str">
        <f>_xlfn.CONCAT(TEXT(A1431,"MMM"),"-",MID(Q1431,3,2))</f>
        <v>Feb-26</v>
      </c>
      <c r="X1431" s="19">
        <f>IFERROR(IF(D1431="Sell",(H1431-P1431),-(H1431+P1431)),0)</f>
        <v>-25521.84</v>
      </c>
      <c r="Y1431" s="19">
        <f>X1431/1000</f>
        <v>-25.521840000000001</v>
      </c>
    </row>
    <row r="1432" spans="1:25" x14ac:dyDescent="0.25">
      <c r="A1432" s="1">
        <v>46079</v>
      </c>
      <c r="B1432" t="s">
        <v>1771</v>
      </c>
      <c r="C1432" t="s">
        <v>17</v>
      </c>
      <c r="D1432" t="s">
        <v>22</v>
      </c>
      <c r="E1432">
        <v>65</v>
      </c>
      <c r="F1432">
        <v>0</v>
      </c>
      <c r="G1432">
        <v>132.30000000000001</v>
      </c>
      <c r="H1432">
        <v>8599.5</v>
      </c>
      <c r="I1432" t="s">
        <v>1781</v>
      </c>
      <c r="J1432">
        <v>0</v>
      </c>
      <c r="K1432">
        <v>3.06</v>
      </c>
      <c r="L1432">
        <v>0</v>
      </c>
      <c r="M1432">
        <v>0.01</v>
      </c>
      <c r="N1432">
        <v>29</v>
      </c>
      <c r="O1432">
        <v>5.78</v>
      </c>
      <c r="P1432">
        <v>37.85</v>
      </c>
      <c r="Q1432" s="18">
        <f>YEAR(A1432)</f>
        <v>2026</v>
      </c>
      <c r="R1432" s="18">
        <f>MONTH(A1432)</f>
        <v>2</v>
      </c>
      <c r="S1432" s="18">
        <f>IF(R1432&lt;4,Q1432-1,Q1432)</f>
        <v>2025</v>
      </c>
      <c r="T1432" s="18">
        <f>IF(R1432&lt;4,R1432+9,R1432-3)</f>
        <v>11</v>
      </c>
      <c r="U1432" s="18">
        <f>IF(LEN(T1432)=1,_xlfn.CONCAT(0,T1432),T1432)</f>
        <v>11</v>
      </c>
      <c r="V1432" s="18" t="str">
        <f>_xlfn.CONCAT(S1432,U1432)</f>
        <v>202511</v>
      </c>
      <c r="W1432" s="18" t="str">
        <f>_xlfn.CONCAT(TEXT(A1432,"MMM"),"-",MID(Q1432,3,2))</f>
        <v>Feb-26</v>
      </c>
      <c r="X1432" s="19">
        <f>IFERROR(IF(D1432="Sell",(H1432-P1432),-(H1432+P1432)),0)</f>
        <v>-8637.35</v>
      </c>
      <c r="Y1432" s="19">
        <f>X1432/1000</f>
        <v>-8.6373499999999996</v>
      </c>
    </row>
    <row r="1433" spans="1:25" x14ac:dyDescent="0.25">
      <c r="A1433" s="1">
        <v>46079</v>
      </c>
      <c r="B1433" t="s">
        <v>1771</v>
      </c>
      <c r="C1433" t="s">
        <v>17</v>
      </c>
      <c r="D1433" t="s">
        <v>18</v>
      </c>
      <c r="E1433">
        <v>715</v>
      </c>
      <c r="F1433">
        <v>0</v>
      </c>
      <c r="G1433">
        <v>124.49</v>
      </c>
      <c r="H1433">
        <v>89011</v>
      </c>
      <c r="I1433" t="s">
        <v>1782</v>
      </c>
      <c r="J1433">
        <v>89.27</v>
      </c>
      <c r="K1433">
        <v>31.64</v>
      </c>
      <c r="L1433">
        <v>0</v>
      </c>
      <c r="M1433">
        <v>0.1</v>
      </c>
      <c r="N1433">
        <v>319</v>
      </c>
      <c r="O1433">
        <v>63.14</v>
      </c>
      <c r="P1433">
        <v>503.15</v>
      </c>
      <c r="Q1433" s="18">
        <f>YEAR(A1433)</f>
        <v>2026</v>
      </c>
      <c r="R1433" s="18">
        <f>MONTH(A1433)</f>
        <v>2</v>
      </c>
      <c r="S1433" s="18">
        <f>IF(R1433&lt;4,Q1433-1,Q1433)</f>
        <v>2025</v>
      </c>
      <c r="T1433" s="18">
        <f>IF(R1433&lt;4,R1433+9,R1433-3)</f>
        <v>11</v>
      </c>
      <c r="U1433" s="18">
        <f>IF(LEN(T1433)=1,_xlfn.CONCAT(0,T1433),T1433)</f>
        <v>11</v>
      </c>
      <c r="V1433" s="18" t="str">
        <f>_xlfn.CONCAT(S1433,U1433)</f>
        <v>202511</v>
      </c>
      <c r="W1433" s="18" t="str">
        <f>_xlfn.CONCAT(TEXT(A1433,"MMM"),"-",MID(Q1433,3,2))</f>
        <v>Feb-26</v>
      </c>
      <c r="X1433" s="19">
        <f>IFERROR(IF(D1433="Sell",(H1433-P1433),-(H1433+P1433)),0)</f>
        <v>88507.85</v>
      </c>
      <c r="Y1433" s="19">
        <f>X1433/1000</f>
        <v>88.507850000000005</v>
      </c>
    </row>
    <row r="1434" spans="1:25" x14ac:dyDescent="0.25">
      <c r="A1434" s="1">
        <v>46079</v>
      </c>
      <c r="B1434" t="s">
        <v>1771</v>
      </c>
      <c r="C1434" t="s">
        <v>17</v>
      </c>
      <c r="D1434" t="s">
        <v>22</v>
      </c>
      <c r="E1434">
        <v>390</v>
      </c>
      <c r="F1434">
        <v>0</v>
      </c>
      <c r="G1434">
        <v>124.76</v>
      </c>
      <c r="H1434">
        <v>48655.75</v>
      </c>
      <c r="I1434" t="s">
        <v>1783</v>
      </c>
      <c r="J1434">
        <v>0</v>
      </c>
      <c r="K1434">
        <v>17.28</v>
      </c>
      <c r="L1434">
        <v>0</v>
      </c>
      <c r="M1434">
        <v>0.05</v>
      </c>
      <c r="N1434">
        <v>174</v>
      </c>
      <c r="O1434">
        <v>34.44</v>
      </c>
      <c r="P1434">
        <v>225.77</v>
      </c>
      <c r="Q1434" s="18">
        <f>YEAR(A1434)</f>
        <v>2026</v>
      </c>
      <c r="R1434" s="18">
        <f>MONTH(A1434)</f>
        <v>2</v>
      </c>
      <c r="S1434" s="18">
        <f>IF(R1434&lt;4,Q1434-1,Q1434)</f>
        <v>2025</v>
      </c>
      <c r="T1434" s="18">
        <f>IF(R1434&lt;4,R1434+9,R1434-3)</f>
        <v>11</v>
      </c>
      <c r="U1434" s="18">
        <f>IF(LEN(T1434)=1,_xlfn.CONCAT(0,T1434),T1434)</f>
        <v>11</v>
      </c>
      <c r="V1434" s="18" t="str">
        <f>_xlfn.CONCAT(S1434,U1434)</f>
        <v>202511</v>
      </c>
      <c r="W1434" s="18" t="str">
        <f>_xlfn.CONCAT(TEXT(A1434,"MMM"),"-",MID(Q1434,3,2))</f>
        <v>Feb-26</v>
      </c>
      <c r="X1434" s="19">
        <f>IFERROR(IF(D1434="Sell",(H1434-P1434),-(H1434+P1434)),0)</f>
        <v>-48881.52</v>
      </c>
      <c r="Y1434" s="19">
        <f>X1434/1000</f>
        <v>-48.881519999999995</v>
      </c>
    </row>
    <row r="1435" spans="1:25" x14ac:dyDescent="0.25">
      <c r="A1435" s="1">
        <v>46079</v>
      </c>
      <c r="B1435" t="s">
        <v>1771</v>
      </c>
      <c r="C1435" t="s">
        <v>17</v>
      </c>
      <c r="D1435" t="s">
        <v>22</v>
      </c>
      <c r="E1435">
        <v>325</v>
      </c>
      <c r="F1435">
        <v>0</v>
      </c>
      <c r="G1435">
        <v>136.75</v>
      </c>
      <c r="H1435">
        <v>44443.75</v>
      </c>
      <c r="I1435" t="s">
        <v>1784</v>
      </c>
      <c r="J1435">
        <v>0</v>
      </c>
      <c r="K1435">
        <v>15.79</v>
      </c>
      <c r="L1435">
        <v>0</v>
      </c>
      <c r="M1435">
        <v>0.04</v>
      </c>
      <c r="N1435">
        <v>145</v>
      </c>
      <c r="O1435">
        <v>28.96</v>
      </c>
      <c r="P1435">
        <v>189.79</v>
      </c>
      <c r="Q1435" s="18">
        <f>YEAR(A1435)</f>
        <v>2026</v>
      </c>
      <c r="R1435" s="18">
        <f>MONTH(A1435)</f>
        <v>2</v>
      </c>
      <c r="S1435" s="18">
        <f>IF(R1435&lt;4,Q1435-1,Q1435)</f>
        <v>2025</v>
      </c>
      <c r="T1435" s="18">
        <f>IF(R1435&lt;4,R1435+9,R1435-3)</f>
        <v>11</v>
      </c>
      <c r="U1435" s="18">
        <f>IF(LEN(T1435)=1,_xlfn.CONCAT(0,T1435),T1435)</f>
        <v>11</v>
      </c>
      <c r="V1435" s="18" t="str">
        <f>_xlfn.CONCAT(S1435,U1435)</f>
        <v>202511</v>
      </c>
      <c r="W1435" s="18" t="str">
        <f>_xlfn.CONCAT(TEXT(A1435,"MMM"),"-",MID(Q1435,3,2))</f>
        <v>Feb-26</v>
      </c>
      <c r="X1435" s="19">
        <f>IFERROR(IF(D1435="Sell",(H1435-P1435),-(H1435+P1435)),0)</f>
        <v>-44633.54</v>
      </c>
      <c r="Y1435" s="19">
        <f>X1435/1000</f>
        <v>-44.633540000000004</v>
      </c>
    </row>
    <row r="1436" spans="1:25" x14ac:dyDescent="0.25">
      <c r="A1436" s="1">
        <v>46080</v>
      </c>
      <c r="B1436" t="s">
        <v>1757</v>
      </c>
      <c r="C1436" t="s">
        <v>17</v>
      </c>
      <c r="D1436" t="s">
        <v>18</v>
      </c>
      <c r="E1436">
        <v>195</v>
      </c>
      <c r="F1436">
        <v>0</v>
      </c>
      <c r="G1436">
        <v>129.9</v>
      </c>
      <c r="H1436">
        <v>25330.5</v>
      </c>
      <c r="I1436" t="s">
        <v>1758</v>
      </c>
      <c r="J1436">
        <v>25.33</v>
      </c>
      <c r="K1436">
        <v>9</v>
      </c>
      <c r="L1436">
        <v>0</v>
      </c>
      <c r="M1436">
        <v>0.03</v>
      </c>
      <c r="N1436">
        <v>87</v>
      </c>
      <c r="O1436">
        <v>17.28</v>
      </c>
      <c r="P1436">
        <v>138.63999999999999</v>
      </c>
      <c r="Q1436" s="18">
        <f>YEAR(A1436)</f>
        <v>2026</v>
      </c>
      <c r="R1436" s="18">
        <f>MONTH(A1436)</f>
        <v>2</v>
      </c>
      <c r="S1436" s="18">
        <f>IF(R1436&lt;4,Q1436-1,Q1436)</f>
        <v>2025</v>
      </c>
      <c r="T1436" s="18">
        <f>IF(R1436&lt;4,R1436+9,R1436-3)</f>
        <v>11</v>
      </c>
      <c r="U1436" s="18">
        <f>IF(LEN(T1436)=1,_xlfn.CONCAT(0,T1436),T1436)</f>
        <v>11</v>
      </c>
      <c r="V1436" s="18" t="str">
        <f>_xlfn.CONCAT(S1436,U1436)</f>
        <v>202511</v>
      </c>
      <c r="W1436" s="18" t="str">
        <f>_xlfn.CONCAT(TEXT(A1436,"MMM"),"-",MID(Q1436,3,2))</f>
        <v>Feb-26</v>
      </c>
      <c r="X1436" s="19">
        <f>IFERROR(IF(D1436="Sell",(H1436-P1436),-(H1436+P1436)),0)</f>
        <v>25191.86</v>
      </c>
      <c r="Y1436" s="19">
        <f>X1436/1000</f>
        <v>25.191860000000002</v>
      </c>
    </row>
    <row r="1437" spans="1:25" x14ac:dyDescent="0.25">
      <c r="A1437" s="1">
        <v>46080</v>
      </c>
      <c r="B1437" t="s">
        <v>1757</v>
      </c>
      <c r="C1437" t="s">
        <v>17</v>
      </c>
      <c r="D1437" t="s">
        <v>22</v>
      </c>
      <c r="E1437">
        <v>65</v>
      </c>
      <c r="F1437">
        <v>0</v>
      </c>
      <c r="G1437">
        <v>101.75</v>
      </c>
      <c r="H1437">
        <v>6613.75</v>
      </c>
      <c r="I1437" t="s">
        <v>1759</v>
      </c>
      <c r="J1437">
        <v>0</v>
      </c>
      <c r="K1437">
        <v>2.35</v>
      </c>
      <c r="L1437">
        <v>0</v>
      </c>
      <c r="M1437">
        <v>0.01</v>
      </c>
      <c r="N1437">
        <v>29</v>
      </c>
      <c r="O1437">
        <v>5.64</v>
      </c>
      <c r="P1437">
        <v>37</v>
      </c>
      <c r="Q1437" s="18">
        <f>YEAR(A1437)</f>
        <v>2026</v>
      </c>
      <c r="R1437" s="18">
        <f>MONTH(A1437)</f>
        <v>2</v>
      </c>
      <c r="S1437" s="18">
        <f>IF(R1437&lt;4,Q1437-1,Q1437)</f>
        <v>2025</v>
      </c>
      <c r="T1437" s="18">
        <f>IF(R1437&lt;4,R1437+9,R1437-3)</f>
        <v>11</v>
      </c>
      <c r="U1437" s="18">
        <f>IF(LEN(T1437)=1,_xlfn.CONCAT(0,T1437),T1437)</f>
        <v>11</v>
      </c>
      <c r="V1437" s="18" t="str">
        <f>_xlfn.CONCAT(S1437,U1437)</f>
        <v>202511</v>
      </c>
      <c r="W1437" s="18" t="str">
        <f>_xlfn.CONCAT(TEXT(A1437,"MMM"),"-",MID(Q1437,3,2))</f>
        <v>Feb-26</v>
      </c>
      <c r="X1437" s="19">
        <f>IFERROR(IF(D1437="Sell",(H1437-P1437),-(H1437+P1437)),0)</f>
        <v>-6650.75</v>
      </c>
      <c r="Y1437" s="19">
        <f>X1437/1000</f>
        <v>-6.6507500000000004</v>
      </c>
    </row>
    <row r="1438" spans="1:25" x14ac:dyDescent="0.25">
      <c r="A1438" s="1">
        <v>46080</v>
      </c>
      <c r="B1438" t="s">
        <v>1757</v>
      </c>
      <c r="C1438" t="s">
        <v>17</v>
      </c>
      <c r="D1438" t="s">
        <v>22</v>
      </c>
      <c r="E1438">
        <v>65</v>
      </c>
      <c r="F1438">
        <v>0</v>
      </c>
      <c r="G1438">
        <v>102.6</v>
      </c>
      <c r="H1438">
        <v>6669</v>
      </c>
      <c r="I1438" t="s">
        <v>1760</v>
      </c>
      <c r="J1438">
        <v>0</v>
      </c>
      <c r="K1438">
        <v>2.37</v>
      </c>
      <c r="L1438">
        <v>0</v>
      </c>
      <c r="M1438">
        <v>0.01</v>
      </c>
      <c r="N1438">
        <v>29</v>
      </c>
      <c r="O1438">
        <v>5.64</v>
      </c>
      <c r="P1438">
        <v>37.020000000000003</v>
      </c>
      <c r="Q1438" s="18">
        <f>YEAR(A1438)</f>
        <v>2026</v>
      </c>
      <c r="R1438" s="18">
        <f>MONTH(A1438)</f>
        <v>2</v>
      </c>
      <c r="S1438" s="18">
        <f>IF(R1438&lt;4,Q1438-1,Q1438)</f>
        <v>2025</v>
      </c>
      <c r="T1438" s="18">
        <f>IF(R1438&lt;4,R1438+9,R1438-3)</f>
        <v>11</v>
      </c>
      <c r="U1438" s="18">
        <f>IF(LEN(T1438)=1,_xlfn.CONCAT(0,T1438),T1438)</f>
        <v>11</v>
      </c>
      <c r="V1438" s="18" t="str">
        <f>_xlfn.CONCAT(S1438,U1438)</f>
        <v>202511</v>
      </c>
      <c r="W1438" s="18" t="str">
        <f>_xlfn.CONCAT(TEXT(A1438,"MMM"),"-",MID(Q1438,3,2))</f>
        <v>Feb-26</v>
      </c>
      <c r="X1438" s="19">
        <f>IFERROR(IF(D1438="Sell",(H1438-P1438),-(H1438+P1438)),0)</f>
        <v>-6706.02</v>
      </c>
      <c r="Y1438" s="19">
        <f>X1438/1000</f>
        <v>-6.7060200000000005</v>
      </c>
    </row>
    <row r="1439" spans="1:25" x14ac:dyDescent="0.25">
      <c r="A1439" s="1">
        <v>46080</v>
      </c>
      <c r="B1439" t="s">
        <v>1757</v>
      </c>
      <c r="C1439" t="s">
        <v>17</v>
      </c>
      <c r="D1439" t="s">
        <v>22</v>
      </c>
      <c r="E1439">
        <v>65</v>
      </c>
      <c r="F1439">
        <v>0</v>
      </c>
      <c r="G1439">
        <v>111.55</v>
      </c>
      <c r="H1439">
        <v>7250.75</v>
      </c>
      <c r="I1439" t="s">
        <v>1761</v>
      </c>
      <c r="J1439">
        <v>0</v>
      </c>
      <c r="K1439">
        <v>2.58</v>
      </c>
      <c r="L1439">
        <v>0.62</v>
      </c>
      <c r="M1439">
        <v>0.01</v>
      </c>
      <c r="N1439">
        <v>29</v>
      </c>
      <c r="O1439">
        <v>5.68</v>
      </c>
      <c r="P1439">
        <v>37.89</v>
      </c>
      <c r="Q1439" s="18">
        <f>YEAR(A1439)</f>
        <v>2026</v>
      </c>
      <c r="R1439" s="18">
        <f>MONTH(A1439)</f>
        <v>2</v>
      </c>
      <c r="S1439" s="18">
        <f>IF(R1439&lt;4,Q1439-1,Q1439)</f>
        <v>2025</v>
      </c>
      <c r="T1439" s="18">
        <f>IF(R1439&lt;4,R1439+9,R1439-3)</f>
        <v>11</v>
      </c>
      <c r="U1439" s="18">
        <f>IF(LEN(T1439)=1,_xlfn.CONCAT(0,T1439),T1439)</f>
        <v>11</v>
      </c>
      <c r="V1439" s="18" t="str">
        <f>_xlfn.CONCAT(S1439,U1439)</f>
        <v>202511</v>
      </c>
      <c r="W1439" s="18" t="str">
        <f>_xlfn.CONCAT(TEXT(A1439,"MMM"),"-",MID(Q1439,3,2))</f>
        <v>Feb-26</v>
      </c>
      <c r="X1439" s="19">
        <f>IFERROR(IF(D1439="Sell",(H1439-P1439),-(H1439+P1439)),0)</f>
        <v>-7288.64</v>
      </c>
      <c r="Y1439" s="19">
        <f>X1439/1000</f>
        <v>-7.28864</v>
      </c>
    </row>
    <row r="1440" spans="1:25" x14ac:dyDescent="0.25">
      <c r="A1440" s="1">
        <v>46080</v>
      </c>
      <c r="B1440" t="s">
        <v>1762</v>
      </c>
      <c r="C1440" t="s">
        <v>17</v>
      </c>
      <c r="D1440" t="s">
        <v>18</v>
      </c>
      <c r="E1440">
        <v>715</v>
      </c>
      <c r="F1440">
        <v>0</v>
      </c>
      <c r="G1440">
        <v>164</v>
      </c>
      <c r="H1440">
        <v>117260</v>
      </c>
      <c r="I1440" t="s">
        <v>1763</v>
      </c>
      <c r="J1440">
        <v>117.26</v>
      </c>
      <c r="K1440">
        <v>41.65</v>
      </c>
      <c r="L1440">
        <v>0</v>
      </c>
      <c r="M1440">
        <v>0.11</v>
      </c>
      <c r="N1440">
        <v>319</v>
      </c>
      <c r="O1440">
        <v>64.94</v>
      </c>
      <c r="P1440">
        <v>542.96</v>
      </c>
      <c r="Q1440" s="18">
        <f>YEAR(A1440)</f>
        <v>2026</v>
      </c>
      <c r="R1440" s="18">
        <f>MONTH(A1440)</f>
        <v>2</v>
      </c>
      <c r="S1440" s="18">
        <f>IF(R1440&lt;4,Q1440-1,Q1440)</f>
        <v>2025</v>
      </c>
      <c r="T1440" s="18">
        <f>IF(R1440&lt;4,R1440+9,R1440-3)</f>
        <v>11</v>
      </c>
      <c r="U1440" s="18">
        <f>IF(LEN(T1440)=1,_xlfn.CONCAT(0,T1440),T1440)</f>
        <v>11</v>
      </c>
      <c r="V1440" s="18" t="str">
        <f>_xlfn.CONCAT(S1440,U1440)</f>
        <v>202511</v>
      </c>
      <c r="W1440" s="18" t="str">
        <f>_xlfn.CONCAT(TEXT(A1440,"MMM"),"-",MID(Q1440,3,2))</f>
        <v>Feb-26</v>
      </c>
      <c r="X1440" s="19">
        <f>IFERROR(IF(D1440="Sell",(H1440-P1440),-(H1440+P1440)),0)</f>
        <v>116717.04</v>
      </c>
      <c r="Y1440" s="19">
        <f>X1440/1000</f>
        <v>116.71704</v>
      </c>
    </row>
    <row r="1441" spans="1:25" x14ac:dyDescent="0.25">
      <c r="A1441" s="1">
        <v>46080</v>
      </c>
      <c r="B1441" t="s">
        <v>1762</v>
      </c>
      <c r="C1441" t="s">
        <v>17</v>
      </c>
      <c r="D1441" t="s">
        <v>22</v>
      </c>
      <c r="E1441">
        <v>130</v>
      </c>
      <c r="F1441">
        <v>0</v>
      </c>
      <c r="G1441">
        <v>165.35</v>
      </c>
      <c r="H1441">
        <v>21495.5</v>
      </c>
      <c r="I1441" t="s">
        <v>1764</v>
      </c>
      <c r="J1441">
        <v>0</v>
      </c>
      <c r="K1441">
        <v>7.64</v>
      </c>
      <c r="L1441">
        <v>0</v>
      </c>
      <c r="M1441">
        <v>0.02</v>
      </c>
      <c r="N1441">
        <v>58</v>
      </c>
      <c r="O1441">
        <v>11.8</v>
      </c>
      <c r="P1441">
        <v>77.459999999999994</v>
      </c>
      <c r="Q1441" s="18">
        <f>YEAR(A1441)</f>
        <v>2026</v>
      </c>
      <c r="R1441" s="18">
        <f>MONTH(A1441)</f>
        <v>2</v>
      </c>
      <c r="S1441" s="18">
        <f>IF(R1441&lt;4,Q1441-1,Q1441)</f>
        <v>2025</v>
      </c>
      <c r="T1441" s="18">
        <f>IF(R1441&lt;4,R1441+9,R1441-3)</f>
        <v>11</v>
      </c>
      <c r="U1441" s="18">
        <f>IF(LEN(T1441)=1,_xlfn.CONCAT(0,T1441),T1441)</f>
        <v>11</v>
      </c>
      <c r="V1441" s="18" t="str">
        <f>_xlfn.CONCAT(S1441,U1441)</f>
        <v>202511</v>
      </c>
      <c r="W1441" s="18" t="str">
        <f>_xlfn.CONCAT(TEXT(A1441,"MMM"),"-",MID(Q1441,3,2))</f>
        <v>Feb-26</v>
      </c>
      <c r="X1441" s="19">
        <f>IFERROR(IF(D1441="Sell",(H1441-P1441),-(H1441+P1441)),0)</f>
        <v>-21572.959999999999</v>
      </c>
      <c r="Y1441" s="19">
        <f>X1441/1000</f>
        <v>-21.572959999999998</v>
      </c>
    </row>
    <row r="1442" spans="1:25" x14ac:dyDescent="0.25">
      <c r="A1442" s="1">
        <v>46080</v>
      </c>
      <c r="B1442" t="s">
        <v>1762</v>
      </c>
      <c r="C1442" t="s">
        <v>17</v>
      </c>
      <c r="D1442" t="s">
        <v>22</v>
      </c>
      <c r="E1442">
        <v>130</v>
      </c>
      <c r="F1442">
        <v>0</v>
      </c>
      <c r="G1442">
        <v>164.63</v>
      </c>
      <c r="H1442">
        <v>21401.25</v>
      </c>
      <c r="I1442" t="s">
        <v>1765</v>
      </c>
      <c r="J1442">
        <v>0</v>
      </c>
      <c r="K1442">
        <v>7.6</v>
      </c>
      <c r="L1442">
        <v>0</v>
      </c>
      <c r="M1442">
        <v>0.02</v>
      </c>
      <c r="N1442">
        <v>58</v>
      </c>
      <c r="O1442">
        <v>11.8</v>
      </c>
      <c r="P1442">
        <v>77.42</v>
      </c>
      <c r="Q1442" s="18">
        <f>YEAR(A1442)</f>
        <v>2026</v>
      </c>
      <c r="R1442" s="18">
        <f>MONTH(A1442)</f>
        <v>2</v>
      </c>
      <c r="S1442" s="18">
        <f>IF(R1442&lt;4,Q1442-1,Q1442)</f>
        <v>2025</v>
      </c>
      <c r="T1442" s="18">
        <f>IF(R1442&lt;4,R1442+9,R1442-3)</f>
        <v>11</v>
      </c>
      <c r="U1442" s="18">
        <f>IF(LEN(T1442)=1,_xlfn.CONCAT(0,T1442),T1442)</f>
        <v>11</v>
      </c>
      <c r="V1442" s="18" t="str">
        <f>_xlfn.CONCAT(S1442,U1442)</f>
        <v>202511</v>
      </c>
      <c r="W1442" s="18" t="str">
        <f>_xlfn.CONCAT(TEXT(A1442,"MMM"),"-",MID(Q1442,3,2))</f>
        <v>Feb-26</v>
      </c>
      <c r="X1442" s="19">
        <f>IFERROR(IF(D1442="Sell",(H1442-P1442),-(H1442+P1442)),0)</f>
        <v>-21478.67</v>
      </c>
      <c r="Y1442" s="19">
        <f>X1442/1000</f>
        <v>-21.478669999999997</v>
      </c>
    </row>
    <row r="1443" spans="1:25" x14ac:dyDescent="0.25">
      <c r="A1443" s="1">
        <v>46080</v>
      </c>
      <c r="B1443" t="s">
        <v>1762</v>
      </c>
      <c r="C1443" t="s">
        <v>17</v>
      </c>
      <c r="D1443" t="s">
        <v>22</v>
      </c>
      <c r="E1443">
        <v>130</v>
      </c>
      <c r="F1443">
        <v>0</v>
      </c>
      <c r="G1443">
        <v>174.9</v>
      </c>
      <c r="H1443">
        <v>22737</v>
      </c>
      <c r="I1443" t="s">
        <v>1766</v>
      </c>
      <c r="J1443">
        <v>0</v>
      </c>
      <c r="K1443">
        <v>8.08</v>
      </c>
      <c r="L1443">
        <v>0</v>
      </c>
      <c r="M1443">
        <v>0.02</v>
      </c>
      <c r="N1443">
        <v>58</v>
      </c>
      <c r="O1443">
        <v>11.88</v>
      </c>
      <c r="P1443">
        <v>77.98</v>
      </c>
      <c r="Q1443" s="18">
        <f>YEAR(A1443)</f>
        <v>2026</v>
      </c>
      <c r="R1443" s="18">
        <f>MONTH(A1443)</f>
        <v>2</v>
      </c>
      <c r="S1443" s="18">
        <f>IF(R1443&lt;4,Q1443-1,Q1443)</f>
        <v>2025</v>
      </c>
      <c r="T1443" s="18">
        <f>IF(R1443&lt;4,R1443+9,R1443-3)</f>
        <v>11</v>
      </c>
      <c r="U1443" s="18">
        <f>IF(LEN(T1443)=1,_xlfn.CONCAT(0,T1443),T1443)</f>
        <v>11</v>
      </c>
      <c r="V1443" s="18" t="str">
        <f>_xlfn.CONCAT(S1443,U1443)</f>
        <v>202511</v>
      </c>
      <c r="W1443" s="18" t="str">
        <f>_xlfn.CONCAT(TEXT(A1443,"MMM"),"-",MID(Q1443,3,2))</f>
        <v>Feb-26</v>
      </c>
      <c r="X1443" s="19">
        <f>IFERROR(IF(D1443="Sell",(H1443-P1443),-(H1443+P1443)),0)</f>
        <v>-22814.98</v>
      </c>
      <c r="Y1443" s="19">
        <f>X1443/1000</f>
        <v>-22.814979999999998</v>
      </c>
    </row>
    <row r="1444" spans="1:25" x14ac:dyDescent="0.25">
      <c r="A1444" s="1">
        <v>46080</v>
      </c>
      <c r="B1444" t="s">
        <v>1762</v>
      </c>
      <c r="C1444" t="s">
        <v>17</v>
      </c>
      <c r="D1444" t="s">
        <v>22</v>
      </c>
      <c r="E1444">
        <v>325</v>
      </c>
      <c r="F1444">
        <v>0</v>
      </c>
      <c r="G1444">
        <v>173.43</v>
      </c>
      <c r="H1444">
        <v>56364.75</v>
      </c>
      <c r="I1444" t="s">
        <v>1767</v>
      </c>
      <c r="J1444">
        <v>0</v>
      </c>
      <c r="K1444">
        <v>20.03</v>
      </c>
      <c r="L1444">
        <v>0</v>
      </c>
      <c r="M1444">
        <v>0.05</v>
      </c>
      <c r="N1444">
        <v>145</v>
      </c>
      <c r="O1444">
        <v>29.7</v>
      </c>
      <c r="P1444">
        <v>194.78</v>
      </c>
      <c r="Q1444" s="18">
        <f>YEAR(A1444)</f>
        <v>2026</v>
      </c>
      <c r="R1444" s="18">
        <f>MONTH(A1444)</f>
        <v>2</v>
      </c>
      <c r="S1444" s="18">
        <f>IF(R1444&lt;4,Q1444-1,Q1444)</f>
        <v>2025</v>
      </c>
      <c r="T1444" s="18">
        <f>IF(R1444&lt;4,R1444+9,R1444-3)</f>
        <v>11</v>
      </c>
      <c r="U1444" s="18">
        <f>IF(LEN(T1444)=1,_xlfn.CONCAT(0,T1444),T1444)</f>
        <v>11</v>
      </c>
      <c r="V1444" s="18" t="str">
        <f>_xlfn.CONCAT(S1444,U1444)</f>
        <v>202511</v>
      </c>
      <c r="W1444" s="18" t="str">
        <f>_xlfn.CONCAT(TEXT(A1444,"MMM"),"-",MID(Q1444,3,2))</f>
        <v>Feb-26</v>
      </c>
      <c r="X1444" s="19">
        <f>IFERROR(IF(D1444="Sell",(H1444-P1444),-(H1444+P1444)),0)</f>
        <v>-56559.53</v>
      </c>
      <c r="Y1444" s="19">
        <f>X1444/1000</f>
        <v>-56.559530000000002</v>
      </c>
    </row>
    <row r="1445" spans="1:25" x14ac:dyDescent="0.25">
      <c r="A1445" s="1">
        <v>46080</v>
      </c>
      <c r="B1445" t="s">
        <v>1762</v>
      </c>
      <c r="C1445" t="s">
        <v>17</v>
      </c>
      <c r="D1445" t="s">
        <v>18</v>
      </c>
      <c r="E1445">
        <v>780</v>
      </c>
      <c r="F1445">
        <v>0</v>
      </c>
      <c r="G1445">
        <v>144.9</v>
      </c>
      <c r="H1445">
        <v>113022</v>
      </c>
      <c r="I1445" t="s">
        <v>1768</v>
      </c>
      <c r="J1445">
        <v>113.42</v>
      </c>
      <c r="K1445">
        <v>40.159999999999997</v>
      </c>
      <c r="L1445">
        <v>0</v>
      </c>
      <c r="M1445">
        <v>0.12</v>
      </c>
      <c r="N1445">
        <v>348</v>
      </c>
      <c r="O1445">
        <v>69.900000000000006</v>
      </c>
      <c r="P1445">
        <v>571.6</v>
      </c>
      <c r="Q1445" s="18">
        <f>YEAR(A1445)</f>
        <v>2026</v>
      </c>
      <c r="R1445" s="18">
        <f>MONTH(A1445)</f>
        <v>2</v>
      </c>
      <c r="S1445" s="18">
        <f>IF(R1445&lt;4,Q1445-1,Q1445)</f>
        <v>2025</v>
      </c>
      <c r="T1445" s="18">
        <f>IF(R1445&lt;4,R1445+9,R1445-3)</f>
        <v>11</v>
      </c>
      <c r="U1445" s="18">
        <f>IF(LEN(T1445)=1,_xlfn.CONCAT(0,T1445),T1445)</f>
        <v>11</v>
      </c>
      <c r="V1445" s="18" t="str">
        <f>_xlfn.CONCAT(S1445,U1445)</f>
        <v>202511</v>
      </c>
      <c r="W1445" s="18" t="str">
        <f>_xlfn.CONCAT(TEXT(A1445,"MMM"),"-",MID(Q1445,3,2))</f>
        <v>Feb-26</v>
      </c>
      <c r="X1445" s="19">
        <f>IFERROR(IF(D1445="Sell",(H1445-P1445),-(H1445+P1445)),0)</f>
        <v>112450.4</v>
      </c>
      <c r="Y1445" s="19">
        <f>X1445/1000</f>
        <v>112.45039999999999</v>
      </c>
    </row>
    <row r="1446" spans="1:25" x14ac:dyDescent="0.25">
      <c r="A1446" s="1">
        <v>46080</v>
      </c>
      <c r="B1446" t="s">
        <v>1762</v>
      </c>
      <c r="C1446" t="s">
        <v>17</v>
      </c>
      <c r="D1446" t="s">
        <v>22</v>
      </c>
      <c r="E1446">
        <v>650</v>
      </c>
      <c r="F1446">
        <v>0</v>
      </c>
      <c r="G1446">
        <v>123.4</v>
      </c>
      <c r="H1446">
        <v>80210</v>
      </c>
      <c r="I1446" t="s">
        <v>1769</v>
      </c>
      <c r="J1446">
        <v>0</v>
      </c>
      <c r="K1446">
        <v>28.5</v>
      </c>
      <c r="L1446">
        <v>6.38</v>
      </c>
      <c r="M1446">
        <v>0.08</v>
      </c>
      <c r="N1446">
        <v>290</v>
      </c>
      <c r="O1446">
        <v>57.36</v>
      </c>
      <c r="P1446">
        <v>382.32</v>
      </c>
      <c r="Q1446" s="18">
        <f>YEAR(A1446)</f>
        <v>2026</v>
      </c>
      <c r="R1446" s="18">
        <f>MONTH(A1446)</f>
        <v>2</v>
      </c>
      <c r="S1446" s="18">
        <f>IF(R1446&lt;4,Q1446-1,Q1446)</f>
        <v>2025</v>
      </c>
      <c r="T1446" s="18">
        <f>IF(R1446&lt;4,R1446+9,R1446-3)</f>
        <v>11</v>
      </c>
      <c r="U1446" s="18">
        <f>IF(LEN(T1446)=1,_xlfn.CONCAT(0,T1446),T1446)</f>
        <v>11</v>
      </c>
      <c r="V1446" s="18" t="str">
        <f>_xlfn.CONCAT(S1446,U1446)</f>
        <v>202511</v>
      </c>
      <c r="W1446" s="18" t="str">
        <f>_xlfn.CONCAT(TEXT(A1446,"MMM"),"-",MID(Q1446,3,2))</f>
        <v>Feb-26</v>
      </c>
      <c r="X1446" s="19">
        <f>IFERROR(IF(D1446="Sell",(H1446-P1446),-(H1446+P1446)),0)</f>
        <v>-80592.320000000007</v>
      </c>
      <c r="Y1446" s="19">
        <f>X1446/1000</f>
        <v>-80.592320000000001</v>
      </c>
    </row>
    <row r="1447" spans="1:25" x14ac:dyDescent="0.25">
      <c r="A1447" s="1">
        <v>46080</v>
      </c>
      <c r="B1447" t="s">
        <v>1762</v>
      </c>
      <c r="C1447" t="s">
        <v>17</v>
      </c>
      <c r="D1447" t="s">
        <v>22</v>
      </c>
      <c r="E1447">
        <v>130</v>
      </c>
      <c r="F1447">
        <v>0</v>
      </c>
      <c r="G1447">
        <v>119.4</v>
      </c>
      <c r="H1447">
        <v>15522</v>
      </c>
      <c r="I1447" t="s">
        <v>1770</v>
      </c>
      <c r="J1447">
        <v>0</v>
      </c>
      <c r="K1447">
        <v>5.52</v>
      </c>
      <c r="L1447">
        <v>0</v>
      </c>
      <c r="M1447">
        <v>0.02</v>
      </c>
      <c r="N1447">
        <v>58</v>
      </c>
      <c r="O1447">
        <v>11.44</v>
      </c>
      <c r="P1447">
        <v>74.98</v>
      </c>
      <c r="Q1447" s="18">
        <f>YEAR(A1447)</f>
        <v>2026</v>
      </c>
      <c r="R1447" s="18">
        <f>MONTH(A1447)</f>
        <v>2</v>
      </c>
      <c r="S1447" s="18">
        <f>IF(R1447&lt;4,Q1447-1,Q1447)</f>
        <v>2025</v>
      </c>
      <c r="T1447" s="18">
        <f>IF(R1447&lt;4,R1447+9,R1447-3)</f>
        <v>11</v>
      </c>
      <c r="U1447" s="18">
        <f>IF(LEN(T1447)=1,_xlfn.CONCAT(0,T1447),T1447)</f>
        <v>11</v>
      </c>
      <c r="V1447" s="18" t="str">
        <f>_xlfn.CONCAT(S1447,U1447)</f>
        <v>202511</v>
      </c>
      <c r="W1447" s="18" t="str">
        <f>_xlfn.CONCAT(TEXT(A1447,"MMM"),"-",MID(Q1447,3,2))</f>
        <v>Feb-26</v>
      </c>
      <c r="X1447" s="19">
        <f>IFERROR(IF(D1447="Sell",(H1447-P1447),-(H1447+P1447)),0)</f>
        <v>-15596.98</v>
      </c>
      <c r="Y1447" s="19">
        <f>X1447/1000</f>
        <v>-15.59698</v>
      </c>
    </row>
    <row r="1448" spans="1:25" x14ac:dyDescent="0.25">
      <c r="A1448" s="1">
        <v>46083</v>
      </c>
      <c r="B1448" t="s">
        <v>1747</v>
      </c>
      <c r="C1448" t="s">
        <v>17</v>
      </c>
      <c r="D1448" t="s">
        <v>18</v>
      </c>
      <c r="E1448">
        <v>910</v>
      </c>
      <c r="F1448">
        <v>0</v>
      </c>
      <c r="G1448">
        <v>97</v>
      </c>
      <c r="H1448">
        <v>88270</v>
      </c>
      <c r="I1448" t="s">
        <v>1748</v>
      </c>
      <c r="J1448">
        <v>88.28</v>
      </c>
      <c r="K1448">
        <v>31.36</v>
      </c>
      <c r="L1448">
        <v>0</v>
      </c>
      <c r="M1448">
        <v>0.08</v>
      </c>
      <c r="N1448">
        <v>406</v>
      </c>
      <c r="O1448">
        <v>78.760000000000005</v>
      </c>
      <c r="P1448">
        <v>604.48</v>
      </c>
      <c r="Q1448" s="18">
        <f>YEAR(A1448)</f>
        <v>2026</v>
      </c>
      <c r="R1448" s="18">
        <f>MONTH(A1448)</f>
        <v>3</v>
      </c>
      <c r="S1448" s="18">
        <f>IF(R1448&lt;4,Q1448-1,Q1448)</f>
        <v>2025</v>
      </c>
      <c r="T1448" s="18">
        <f>IF(R1448&lt;4,R1448+9,R1448-3)</f>
        <v>12</v>
      </c>
      <c r="U1448" s="18">
        <f>IF(LEN(T1448)=1,_xlfn.CONCAT(0,T1448),T1448)</f>
        <v>12</v>
      </c>
      <c r="V1448" s="18" t="str">
        <f>_xlfn.CONCAT(S1448,U1448)</f>
        <v>202512</v>
      </c>
      <c r="W1448" s="18" t="str">
        <f>_xlfn.CONCAT(TEXT(A1448,"MMM"),"-",MID(Q1448,3,2))</f>
        <v>Mar-26</v>
      </c>
      <c r="X1448" s="19">
        <f>IFERROR(IF(D1448="Sell",(H1448-P1448),-(H1448+P1448)),0)</f>
        <v>87665.52</v>
      </c>
      <c r="Y1448" s="19">
        <f>X1448/1000</f>
        <v>87.665520000000001</v>
      </c>
    </row>
    <row r="1449" spans="1:25" x14ac:dyDescent="0.25">
      <c r="A1449" s="1">
        <v>46083</v>
      </c>
      <c r="B1449" t="s">
        <v>1747</v>
      </c>
      <c r="C1449" t="s">
        <v>17</v>
      </c>
      <c r="D1449" t="s">
        <v>22</v>
      </c>
      <c r="E1449">
        <v>910</v>
      </c>
      <c r="F1449">
        <v>0</v>
      </c>
      <c r="G1449">
        <v>61.05</v>
      </c>
      <c r="H1449">
        <v>55555.5</v>
      </c>
      <c r="I1449" t="s">
        <v>1749</v>
      </c>
      <c r="J1449">
        <v>0</v>
      </c>
      <c r="K1449">
        <v>19.739999999999998</v>
      </c>
      <c r="L1449">
        <v>1.51</v>
      </c>
      <c r="M1449">
        <v>0.05</v>
      </c>
      <c r="N1449">
        <v>406</v>
      </c>
      <c r="O1449">
        <v>76.66</v>
      </c>
      <c r="P1449">
        <v>503.96</v>
      </c>
      <c r="Q1449" s="18">
        <f>YEAR(A1449)</f>
        <v>2026</v>
      </c>
      <c r="R1449" s="18">
        <f>MONTH(A1449)</f>
        <v>3</v>
      </c>
      <c r="S1449" s="18">
        <f>IF(R1449&lt;4,Q1449-1,Q1449)</f>
        <v>2025</v>
      </c>
      <c r="T1449" s="18">
        <f>IF(R1449&lt;4,R1449+9,R1449-3)</f>
        <v>12</v>
      </c>
      <c r="U1449" s="18">
        <f>IF(LEN(T1449)=1,_xlfn.CONCAT(0,T1449),T1449)</f>
        <v>12</v>
      </c>
      <c r="V1449" s="18" t="str">
        <f>_xlfn.CONCAT(S1449,U1449)</f>
        <v>202512</v>
      </c>
      <c r="W1449" s="18" t="str">
        <f>_xlfn.CONCAT(TEXT(A1449,"MMM"),"-",MID(Q1449,3,2))</f>
        <v>Mar-26</v>
      </c>
      <c r="X1449" s="19">
        <f>IFERROR(IF(D1449="Sell",(H1449-P1449),-(H1449+P1449)),0)</f>
        <v>-56059.46</v>
      </c>
      <c r="Y1449" s="19">
        <f>X1449/1000</f>
        <v>-56.059460000000001</v>
      </c>
    </row>
    <row r="1450" spans="1:25" x14ac:dyDescent="0.25">
      <c r="A1450" s="1">
        <v>46083</v>
      </c>
      <c r="B1450" t="s">
        <v>1750</v>
      </c>
      <c r="C1450" t="s">
        <v>17</v>
      </c>
      <c r="D1450" t="s">
        <v>18</v>
      </c>
      <c r="E1450">
        <v>910</v>
      </c>
      <c r="F1450">
        <v>0</v>
      </c>
      <c r="G1450">
        <v>39.9</v>
      </c>
      <c r="H1450">
        <v>36309</v>
      </c>
      <c r="I1450" t="s">
        <v>1751</v>
      </c>
      <c r="J1450">
        <v>36.72</v>
      </c>
      <c r="K1450">
        <v>12.9</v>
      </c>
      <c r="L1450">
        <v>0</v>
      </c>
      <c r="M1450">
        <v>0.04</v>
      </c>
      <c r="N1450">
        <v>406</v>
      </c>
      <c r="O1450">
        <v>75.400000000000006</v>
      </c>
      <c r="P1450">
        <v>531.05999999999995</v>
      </c>
      <c r="Q1450" s="18">
        <f>YEAR(A1450)</f>
        <v>2026</v>
      </c>
      <c r="R1450" s="18">
        <f>MONTH(A1450)</f>
        <v>3</v>
      </c>
      <c r="S1450" s="18">
        <f>IF(R1450&lt;4,Q1450-1,Q1450)</f>
        <v>2025</v>
      </c>
      <c r="T1450" s="18">
        <f>IF(R1450&lt;4,R1450+9,R1450-3)</f>
        <v>12</v>
      </c>
      <c r="U1450" s="18">
        <f>IF(LEN(T1450)=1,_xlfn.CONCAT(0,T1450),T1450)</f>
        <v>12</v>
      </c>
      <c r="V1450" s="18" t="str">
        <f>_xlfn.CONCAT(S1450,U1450)</f>
        <v>202512</v>
      </c>
      <c r="W1450" s="18" t="str">
        <f>_xlfn.CONCAT(TEXT(A1450,"MMM"),"-",MID(Q1450,3,2))</f>
        <v>Mar-26</v>
      </c>
      <c r="X1450" s="19">
        <f>IFERROR(IF(D1450="Sell",(H1450-P1450),-(H1450+P1450)),0)</f>
        <v>35777.94</v>
      </c>
      <c r="Y1450" s="19">
        <f>X1450/1000</f>
        <v>35.777940000000001</v>
      </c>
    </row>
    <row r="1451" spans="1:25" x14ac:dyDescent="0.25">
      <c r="A1451" s="1">
        <v>46083</v>
      </c>
      <c r="B1451" t="s">
        <v>1750</v>
      </c>
      <c r="C1451" t="s">
        <v>17</v>
      </c>
      <c r="D1451" t="s">
        <v>22</v>
      </c>
      <c r="E1451">
        <v>325</v>
      </c>
      <c r="F1451">
        <v>0</v>
      </c>
      <c r="G1451">
        <v>51.25</v>
      </c>
      <c r="H1451">
        <v>16656.25</v>
      </c>
      <c r="I1451" t="s">
        <v>1752</v>
      </c>
      <c r="J1451">
        <v>0</v>
      </c>
      <c r="K1451">
        <v>5.92</v>
      </c>
      <c r="L1451">
        <v>0</v>
      </c>
      <c r="M1451">
        <v>0.02</v>
      </c>
      <c r="N1451">
        <v>145</v>
      </c>
      <c r="O1451">
        <v>27.16</v>
      </c>
      <c r="P1451">
        <v>178.1</v>
      </c>
      <c r="Q1451" s="18">
        <f>YEAR(A1451)</f>
        <v>2026</v>
      </c>
      <c r="R1451" s="18">
        <f>MONTH(A1451)</f>
        <v>3</v>
      </c>
      <c r="S1451" s="18">
        <f>IF(R1451&lt;4,Q1451-1,Q1451)</f>
        <v>2025</v>
      </c>
      <c r="T1451" s="18">
        <f>IF(R1451&lt;4,R1451+9,R1451-3)</f>
        <v>12</v>
      </c>
      <c r="U1451" s="18">
        <f>IF(LEN(T1451)=1,_xlfn.CONCAT(0,T1451),T1451)</f>
        <v>12</v>
      </c>
      <c r="V1451" s="18" t="str">
        <f>_xlfn.CONCAT(S1451,U1451)</f>
        <v>202512</v>
      </c>
      <c r="W1451" s="18" t="str">
        <f>_xlfn.CONCAT(TEXT(A1451,"MMM"),"-",MID(Q1451,3,2))</f>
        <v>Mar-26</v>
      </c>
      <c r="X1451" s="19">
        <f>IFERROR(IF(D1451="Sell",(H1451-P1451),-(H1451+P1451)),0)</f>
        <v>-16834.349999999999</v>
      </c>
      <c r="Y1451" s="19">
        <f>X1451/1000</f>
        <v>-16.834349999999997</v>
      </c>
    </row>
    <row r="1452" spans="1:25" x14ac:dyDescent="0.25">
      <c r="A1452" s="1">
        <v>46083</v>
      </c>
      <c r="B1452" t="s">
        <v>1750</v>
      </c>
      <c r="C1452" t="s">
        <v>17</v>
      </c>
      <c r="D1452" t="s">
        <v>22</v>
      </c>
      <c r="E1452">
        <v>260</v>
      </c>
      <c r="F1452">
        <v>0</v>
      </c>
      <c r="G1452">
        <v>54</v>
      </c>
      <c r="H1452">
        <v>14040</v>
      </c>
      <c r="I1452" t="s">
        <v>1753</v>
      </c>
      <c r="J1452">
        <v>0</v>
      </c>
      <c r="K1452">
        <v>4.99</v>
      </c>
      <c r="L1452">
        <v>1.49</v>
      </c>
      <c r="M1452">
        <v>0.01</v>
      </c>
      <c r="N1452">
        <v>116</v>
      </c>
      <c r="O1452">
        <v>21.78</v>
      </c>
      <c r="P1452">
        <v>144.27000000000001</v>
      </c>
      <c r="Q1452" s="18">
        <f>YEAR(A1452)</f>
        <v>2026</v>
      </c>
      <c r="R1452" s="18">
        <f>MONTH(A1452)</f>
        <v>3</v>
      </c>
      <c r="S1452" s="18">
        <f>IF(R1452&lt;4,Q1452-1,Q1452)</f>
        <v>2025</v>
      </c>
      <c r="T1452" s="18">
        <f>IF(R1452&lt;4,R1452+9,R1452-3)</f>
        <v>12</v>
      </c>
      <c r="U1452" s="18">
        <f>IF(LEN(T1452)=1,_xlfn.CONCAT(0,T1452),T1452)</f>
        <v>12</v>
      </c>
      <c r="V1452" s="18" t="str">
        <f>_xlfn.CONCAT(S1452,U1452)</f>
        <v>202512</v>
      </c>
      <c r="W1452" s="18" t="str">
        <f>_xlfn.CONCAT(TEXT(A1452,"MMM"),"-",MID(Q1452,3,2))</f>
        <v>Mar-26</v>
      </c>
      <c r="X1452" s="19">
        <f>IFERROR(IF(D1452="Sell",(H1452-P1452),-(H1452+P1452)),0)</f>
        <v>-14184.27</v>
      </c>
      <c r="Y1452" s="19">
        <f>X1452/1000</f>
        <v>-14.18427</v>
      </c>
    </row>
    <row r="1453" spans="1:25" x14ac:dyDescent="0.25">
      <c r="A1453" s="1">
        <v>46083</v>
      </c>
      <c r="B1453" t="s">
        <v>1750</v>
      </c>
      <c r="C1453" t="s">
        <v>17</v>
      </c>
      <c r="D1453" t="s">
        <v>22</v>
      </c>
      <c r="E1453">
        <v>130</v>
      </c>
      <c r="F1453">
        <v>0</v>
      </c>
      <c r="G1453">
        <v>57.25</v>
      </c>
      <c r="H1453">
        <v>7442.5</v>
      </c>
      <c r="I1453" t="s">
        <v>1754</v>
      </c>
      <c r="J1453">
        <v>0</v>
      </c>
      <c r="K1453">
        <v>2.64</v>
      </c>
      <c r="L1453">
        <v>0</v>
      </c>
      <c r="M1453">
        <v>0.01</v>
      </c>
      <c r="N1453">
        <v>58</v>
      </c>
      <c r="O1453">
        <v>10.92</v>
      </c>
      <c r="P1453">
        <v>71.569999999999993</v>
      </c>
      <c r="Q1453" s="18">
        <f>YEAR(A1453)</f>
        <v>2026</v>
      </c>
      <c r="R1453" s="18">
        <f>MONTH(A1453)</f>
        <v>3</v>
      </c>
      <c r="S1453" s="18">
        <f>IF(R1453&lt;4,Q1453-1,Q1453)</f>
        <v>2025</v>
      </c>
      <c r="T1453" s="18">
        <f>IF(R1453&lt;4,R1453+9,R1453-3)</f>
        <v>12</v>
      </c>
      <c r="U1453" s="18">
        <f>IF(LEN(T1453)=1,_xlfn.CONCAT(0,T1453),T1453)</f>
        <v>12</v>
      </c>
      <c r="V1453" s="18" t="str">
        <f>_xlfn.CONCAT(S1453,U1453)</f>
        <v>202512</v>
      </c>
      <c r="W1453" s="18" t="str">
        <f>_xlfn.CONCAT(TEXT(A1453,"MMM"),"-",MID(Q1453,3,2))</f>
        <v>Mar-26</v>
      </c>
      <c r="X1453" s="19">
        <f>IFERROR(IF(D1453="Sell",(H1453-P1453),-(H1453+P1453)),0)</f>
        <v>-7514.07</v>
      </c>
      <c r="Y1453" s="19">
        <f>X1453/1000</f>
        <v>-7.5140699999999994</v>
      </c>
    </row>
    <row r="1454" spans="1:25" x14ac:dyDescent="0.25">
      <c r="A1454" s="1">
        <v>46083</v>
      </c>
      <c r="B1454" t="s">
        <v>1750</v>
      </c>
      <c r="C1454" t="s">
        <v>17</v>
      </c>
      <c r="D1454" t="s">
        <v>22</v>
      </c>
      <c r="E1454">
        <v>130</v>
      </c>
      <c r="F1454">
        <v>0</v>
      </c>
      <c r="G1454">
        <v>58.75</v>
      </c>
      <c r="H1454">
        <v>7637.5</v>
      </c>
      <c r="I1454" t="s">
        <v>1755</v>
      </c>
      <c r="J1454">
        <v>0</v>
      </c>
      <c r="K1454">
        <v>2.71</v>
      </c>
      <c r="L1454">
        <v>0</v>
      </c>
      <c r="M1454">
        <v>0.01</v>
      </c>
      <c r="N1454">
        <v>58</v>
      </c>
      <c r="O1454">
        <v>10.92</v>
      </c>
      <c r="P1454">
        <v>71.64</v>
      </c>
      <c r="Q1454" s="18">
        <f>YEAR(A1454)</f>
        <v>2026</v>
      </c>
      <c r="R1454" s="18">
        <f>MONTH(A1454)</f>
        <v>3</v>
      </c>
      <c r="S1454" s="18">
        <f>IF(R1454&lt;4,Q1454-1,Q1454)</f>
        <v>2025</v>
      </c>
      <c r="T1454" s="18">
        <f>IF(R1454&lt;4,R1454+9,R1454-3)</f>
        <v>12</v>
      </c>
      <c r="U1454" s="18">
        <f>IF(LEN(T1454)=1,_xlfn.CONCAT(0,T1454),T1454)</f>
        <v>12</v>
      </c>
      <c r="V1454" s="18" t="str">
        <f>_xlfn.CONCAT(S1454,U1454)</f>
        <v>202512</v>
      </c>
      <c r="W1454" s="18" t="str">
        <f>_xlfn.CONCAT(TEXT(A1454,"MMM"),"-",MID(Q1454,3,2))</f>
        <v>Mar-26</v>
      </c>
      <c r="X1454" s="19">
        <f>IFERROR(IF(D1454="Sell",(H1454-P1454),-(H1454+P1454)),0)</f>
        <v>-7709.14</v>
      </c>
      <c r="Y1454" s="19">
        <f>X1454/1000</f>
        <v>-7.7091400000000005</v>
      </c>
    </row>
    <row r="1455" spans="1:25" x14ac:dyDescent="0.25">
      <c r="A1455" s="1">
        <v>46083</v>
      </c>
      <c r="B1455" t="s">
        <v>1750</v>
      </c>
      <c r="C1455" t="s">
        <v>17</v>
      </c>
      <c r="D1455" t="s">
        <v>22</v>
      </c>
      <c r="E1455">
        <v>65</v>
      </c>
      <c r="F1455">
        <v>0</v>
      </c>
      <c r="G1455">
        <v>60.3</v>
      </c>
      <c r="H1455">
        <v>3919.5</v>
      </c>
      <c r="I1455" t="s">
        <v>1756</v>
      </c>
      <c r="J1455">
        <v>0</v>
      </c>
      <c r="K1455">
        <v>1.39</v>
      </c>
      <c r="L1455">
        <v>0</v>
      </c>
      <c r="M1455">
        <v>0</v>
      </c>
      <c r="N1455">
        <v>29</v>
      </c>
      <c r="O1455">
        <v>5.48</v>
      </c>
      <c r="P1455">
        <v>35.869999999999997</v>
      </c>
      <c r="Q1455" s="18">
        <f>YEAR(A1455)</f>
        <v>2026</v>
      </c>
      <c r="R1455" s="18">
        <f>MONTH(A1455)</f>
        <v>3</v>
      </c>
      <c r="S1455" s="18">
        <f>IF(R1455&lt;4,Q1455-1,Q1455)</f>
        <v>2025</v>
      </c>
      <c r="T1455" s="18">
        <f>IF(R1455&lt;4,R1455+9,R1455-3)</f>
        <v>12</v>
      </c>
      <c r="U1455" s="18">
        <f>IF(LEN(T1455)=1,_xlfn.CONCAT(0,T1455),T1455)</f>
        <v>12</v>
      </c>
      <c r="V1455" s="18" t="str">
        <f>_xlfn.CONCAT(S1455,U1455)</f>
        <v>202512</v>
      </c>
      <c r="W1455" s="18" t="str">
        <f>_xlfn.CONCAT(TEXT(A1455,"MMM"),"-",MID(Q1455,3,2))</f>
        <v>Mar-26</v>
      </c>
      <c r="X1455" s="19">
        <f>IFERROR(IF(D1455="Sell",(H1455-P1455),-(H1455+P1455)),0)</f>
        <v>-3955.37</v>
      </c>
      <c r="Y1455" s="19">
        <f>X1455/1000</f>
        <v>-3.9553699999999998</v>
      </c>
    </row>
    <row r="1456" spans="1:25" x14ac:dyDescent="0.25">
      <c r="A1456" s="1">
        <v>46087</v>
      </c>
      <c r="B1456" t="s">
        <v>1730</v>
      </c>
      <c r="C1456" t="s">
        <v>17</v>
      </c>
      <c r="D1456" t="s">
        <v>18</v>
      </c>
      <c r="E1456">
        <v>910</v>
      </c>
      <c r="F1456">
        <v>0</v>
      </c>
      <c r="G1456">
        <v>194.9</v>
      </c>
      <c r="H1456">
        <v>177359</v>
      </c>
      <c r="I1456" t="s">
        <v>1731</v>
      </c>
      <c r="J1456">
        <v>177.36</v>
      </c>
      <c r="K1456">
        <v>63.01</v>
      </c>
      <c r="L1456">
        <v>0</v>
      </c>
      <c r="M1456">
        <v>0.18</v>
      </c>
      <c r="N1456">
        <v>406</v>
      </c>
      <c r="O1456">
        <v>84.46</v>
      </c>
      <c r="P1456">
        <v>731.01</v>
      </c>
      <c r="Q1456" s="18">
        <f>YEAR(A1456)</f>
        <v>2026</v>
      </c>
      <c r="R1456" s="18">
        <f>MONTH(A1456)</f>
        <v>3</v>
      </c>
      <c r="S1456" s="18">
        <f>IF(R1456&lt;4,Q1456-1,Q1456)</f>
        <v>2025</v>
      </c>
      <c r="T1456" s="18">
        <f>IF(R1456&lt;4,R1456+9,R1456-3)</f>
        <v>12</v>
      </c>
      <c r="U1456" s="18">
        <f>IF(LEN(T1456)=1,_xlfn.CONCAT(0,T1456),T1456)</f>
        <v>12</v>
      </c>
      <c r="V1456" s="18" t="str">
        <f>_xlfn.CONCAT(S1456,U1456)</f>
        <v>202512</v>
      </c>
      <c r="W1456" s="18" t="str">
        <f>_xlfn.CONCAT(TEXT(A1456,"MMM"),"-",MID(Q1456,3,2))</f>
        <v>Mar-26</v>
      </c>
      <c r="X1456" s="19">
        <f>IFERROR(IF(D1456="Sell",(H1456-P1456),-(H1456+P1456)),0)</f>
        <v>176627.99</v>
      </c>
      <c r="Y1456" s="19">
        <f>X1456/1000</f>
        <v>176.62798999999998</v>
      </c>
    </row>
    <row r="1457" spans="1:25" x14ac:dyDescent="0.25">
      <c r="A1457" s="1">
        <v>46087</v>
      </c>
      <c r="B1457" t="s">
        <v>1730</v>
      </c>
      <c r="C1457" t="s">
        <v>17</v>
      </c>
      <c r="D1457" t="s">
        <v>22</v>
      </c>
      <c r="E1457">
        <v>910</v>
      </c>
      <c r="F1457">
        <v>0</v>
      </c>
      <c r="G1457">
        <v>151.25</v>
      </c>
      <c r="H1457">
        <v>137637.5</v>
      </c>
      <c r="I1457" t="s">
        <v>1732</v>
      </c>
      <c r="J1457">
        <v>0</v>
      </c>
      <c r="K1457">
        <v>48.9</v>
      </c>
      <c r="L1457">
        <v>9.43</v>
      </c>
      <c r="M1457">
        <v>0.14000000000000001</v>
      </c>
      <c r="N1457">
        <v>406</v>
      </c>
      <c r="O1457">
        <v>81.94</v>
      </c>
      <c r="P1457">
        <v>546.41</v>
      </c>
      <c r="Q1457" s="18">
        <f>YEAR(A1457)</f>
        <v>2026</v>
      </c>
      <c r="R1457" s="18">
        <f>MONTH(A1457)</f>
        <v>3</v>
      </c>
      <c r="S1457" s="18">
        <f>IF(R1457&lt;4,Q1457-1,Q1457)</f>
        <v>2025</v>
      </c>
      <c r="T1457" s="18">
        <f>IF(R1457&lt;4,R1457+9,R1457-3)</f>
        <v>12</v>
      </c>
      <c r="U1457" s="18">
        <f>IF(LEN(T1457)=1,_xlfn.CONCAT(0,T1457),T1457)</f>
        <v>12</v>
      </c>
      <c r="V1457" s="18" t="str">
        <f>_xlfn.CONCAT(S1457,U1457)</f>
        <v>202512</v>
      </c>
      <c r="W1457" s="18" t="str">
        <f>_xlfn.CONCAT(TEXT(A1457,"MMM"),"-",MID(Q1457,3,2))</f>
        <v>Mar-26</v>
      </c>
      <c r="X1457" s="19">
        <f>IFERROR(IF(D1457="Sell",(H1457-P1457),-(H1457+P1457)),0)</f>
        <v>-138183.91</v>
      </c>
      <c r="Y1457" s="19">
        <f>X1457/1000</f>
        <v>-138.18391</v>
      </c>
    </row>
    <row r="1458" spans="1:25" x14ac:dyDescent="0.25">
      <c r="A1458" s="1">
        <v>46087</v>
      </c>
      <c r="B1458" t="s">
        <v>1733</v>
      </c>
      <c r="C1458" t="s">
        <v>17</v>
      </c>
      <c r="D1458" t="s">
        <v>18</v>
      </c>
      <c r="E1458">
        <v>1170</v>
      </c>
      <c r="F1458">
        <v>0</v>
      </c>
      <c r="G1458">
        <v>138.28</v>
      </c>
      <c r="H1458">
        <v>161791.5</v>
      </c>
      <c r="I1458" t="s">
        <v>1734</v>
      </c>
      <c r="J1458">
        <v>161.80000000000001</v>
      </c>
      <c r="K1458">
        <v>57.5</v>
      </c>
      <c r="L1458">
        <v>0</v>
      </c>
      <c r="M1458">
        <v>0.18</v>
      </c>
      <c r="N1458">
        <v>522</v>
      </c>
      <c r="O1458">
        <v>104.38</v>
      </c>
      <c r="P1458">
        <v>845.86</v>
      </c>
      <c r="Q1458" s="18">
        <f>YEAR(A1458)</f>
        <v>2026</v>
      </c>
      <c r="R1458" s="18">
        <f>MONTH(A1458)</f>
        <v>3</v>
      </c>
      <c r="S1458" s="18">
        <f>IF(R1458&lt;4,Q1458-1,Q1458)</f>
        <v>2025</v>
      </c>
      <c r="T1458" s="18">
        <f>IF(R1458&lt;4,R1458+9,R1458-3)</f>
        <v>12</v>
      </c>
      <c r="U1458" s="18">
        <f>IF(LEN(T1458)=1,_xlfn.CONCAT(0,T1458),T1458)</f>
        <v>12</v>
      </c>
      <c r="V1458" s="18" t="str">
        <f>_xlfn.CONCAT(S1458,U1458)</f>
        <v>202512</v>
      </c>
      <c r="W1458" s="18" t="str">
        <f>_xlfn.CONCAT(TEXT(A1458,"MMM"),"-",MID(Q1458,3,2))</f>
        <v>Mar-26</v>
      </c>
      <c r="X1458" s="19">
        <f>IFERROR(IF(D1458="Sell",(H1458-P1458),-(H1458+P1458)),0)</f>
        <v>160945.64000000001</v>
      </c>
      <c r="Y1458" s="19">
        <f>X1458/1000</f>
        <v>160.94564000000003</v>
      </c>
    </row>
    <row r="1459" spans="1:25" x14ac:dyDescent="0.25">
      <c r="A1459" s="1">
        <v>46087</v>
      </c>
      <c r="B1459" t="s">
        <v>1733</v>
      </c>
      <c r="C1459" t="s">
        <v>17</v>
      </c>
      <c r="D1459" t="s">
        <v>22</v>
      </c>
      <c r="E1459">
        <v>195</v>
      </c>
      <c r="F1459">
        <v>0</v>
      </c>
      <c r="G1459">
        <v>148.05000000000001</v>
      </c>
      <c r="H1459">
        <v>28869.75</v>
      </c>
      <c r="I1459" t="s">
        <v>1735</v>
      </c>
      <c r="J1459">
        <v>0</v>
      </c>
      <c r="K1459">
        <v>10.26</v>
      </c>
      <c r="L1459">
        <v>0</v>
      </c>
      <c r="M1459">
        <v>0.03</v>
      </c>
      <c r="N1459">
        <v>87</v>
      </c>
      <c r="O1459">
        <v>17.52</v>
      </c>
      <c r="P1459">
        <v>114.81</v>
      </c>
      <c r="Q1459" s="18">
        <f>YEAR(A1459)</f>
        <v>2026</v>
      </c>
      <c r="R1459" s="18">
        <f>MONTH(A1459)</f>
        <v>3</v>
      </c>
      <c r="S1459" s="18">
        <f>IF(R1459&lt;4,Q1459-1,Q1459)</f>
        <v>2025</v>
      </c>
      <c r="T1459" s="18">
        <f>IF(R1459&lt;4,R1459+9,R1459-3)</f>
        <v>12</v>
      </c>
      <c r="U1459" s="18">
        <f>IF(LEN(T1459)=1,_xlfn.CONCAT(0,T1459),T1459)</f>
        <v>12</v>
      </c>
      <c r="V1459" s="18" t="str">
        <f>_xlfn.CONCAT(S1459,U1459)</f>
        <v>202512</v>
      </c>
      <c r="W1459" s="18" t="str">
        <f>_xlfn.CONCAT(TEXT(A1459,"MMM"),"-",MID(Q1459,3,2))</f>
        <v>Mar-26</v>
      </c>
      <c r="X1459" s="19">
        <f>IFERROR(IF(D1459="Sell",(H1459-P1459),-(H1459+P1459)),0)</f>
        <v>-28984.560000000001</v>
      </c>
      <c r="Y1459" s="19">
        <f>X1459/1000</f>
        <v>-28.984560000000002</v>
      </c>
    </row>
    <row r="1460" spans="1:25" x14ac:dyDescent="0.25">
      <c r="A1460" s="1">
        <v>46087</v>
      </c>
      <c r="B1460" t="s">
        <v>1733</v>
      </c>
      <c r="C1460" t="s">
        <v>17</v>
      </c>
      <c r="D1460" t="s">
        <v>22</v>
      </c>
      <c r="E1460">
        <v>520</v>
      </c>
      <c r="F1460">
        <v>0</v>
      </c>
      <c r="G1460">
        <v>161.25</v>
      </c>
      <c r="H1460">
        <v>83850</v>
      </c>
      <c r="I1460" t="s">
        <v>1736</v>
      </c>
      <c r="J1460">
        <v>0</v>
      </c>
      <c r="K1460">
        <v>29.79</v>
      </c>
      <c r="L1460">
        <v>0</v>
      </c>
      <c r="M1460">
        <v>0.08</v>
      </c>
      <c r="N1460">
        <v>232</v>
      </c>
      <c r="O1460">
        <v>47.14</v>
      </c>
      <c r="P1460">
        <v>309.01</v>
      </c>
      <c r="Q1460" s="18">
        <f>YEAR(A1460)</f>
        <v>2026</v>
      </c>
      <c r="R1460" s="18">
        <f>MONTH(A1460)</f>
        <v>3</v>
      </c>
      <c r="S1460" s="18">
        <f>IF(R1460&lt;4,Q1460-1,Q1460)</f>
        <v>2025</v>
      </c>
      <c r="T1460" s="18">
        <f>IF(R1460&lt;4,R1460+9,R1460-3)</f>
        <v>12</v>
      </c>
      <c r="U1460" s="18">
        <f>IF(LEN(T1460)=1,_xlfn.CONCAT(0,T1460),T1460)</f>
        <v>12</v>
      </c>
      <c r="V1460" s="18" t="str">
        <f>_xlfn.CONCAT(S1460,U1460)</f>
        <v>202512</v>
      </c>
      <c r="W1460" s="18" t="str">
        <f>_xlfn.CONCAT(TEXT(A1460,"MMM"),"-",MID(Q1460,3,2))</f>
        <v>Mar-26</v>
      </c>
      <c r="X1460" s="19">
        <f>IFERROR(IF(D1460="Sell",(H1460-P1460),-(H1460+P1460)),0)</f>
        <v>-84159.01</v>
      </c>
      <c r="Y1460" s="19">
        <f>X1460/1000</f>
        <v>-84.159009999999995</v>
      </c>
    </row>
    <row r="1461" spans="1:25" x14ac:dyDescent="0.25">
      <c r="A1461" s="1">
        <v>46087</v>
      </c>
      <c r="B1461" t="s">
        <v>1733</v>
      </c>
      <c r="C1461" t="s">
        <v>17</v>
      </c>
      <c r="D1461" t="s">
        <v>22</v>
      </c>
      <c r="E1461">
        <v>130</v>
      </c>
      <c r="F1461">
        <v>0</v>
      </c>
      <c r="G1461">
        <v>155.75</v>
      </c>
      <c r="H1461">
        <v>20247.5</v>
      </c>
      <c r="I1461" t="s">
        <v>1737</v>
      </c>
      <c r="J1461">
        <v>0</v>
      </c>
      <c r="K1461">
        <v>7.2</v>
      </c>
      <c r="L1461">
        <v>0</v>
      </c>
      <c r="M1461">
        <v>0.02</v>
      </c>
      <c r="N1461">
        <v>58</v>
      </c>
      <c r="O1461">
        <v>11.72</v>
      </c>
      <c r="P1461">
        <v>76.94</v>
      </c>
      <c r="Q1461" s="18">
        <f>YEAR(A1461)</f>
        <v>2026</v>
      </c>
      <c r="R1461" s="18">
        <f>MONTH(A1461)</f>
        <v>3</v>
      </c>
      <c r="S1461" s="18">
        <f>IF(R1461&lt;4,Q1461-1,Q1461)</f>
        <v>2025</v>
      </c>
      <c r="T1461" s="18">
        <f>IF(R1461&lt;4,R1461+9,R1461-3)</f>
        <v>12</v>
      </c>
      <c r="U1461" s="18">
        <f>IF(LEN(T1461)=1,_xlfn.CONCAT(0,T1461),T1461)</f>
        <v>12</v>
      </c>
      <c r="V1461" s="18" t="str">
        <f>_xlfn.CONCAT(S1461,U1461)</f>
        <v>202512</v>
      </c>
      <c r="W1461" s="18" t="str">
        <f>_xlfn.CONCAT(TEXT(A1461,"MMM"),"-",MID(Q1461,3,2))</f>
        <v>Mar-26</v>
      </c>
      <c r="X1461" s="19">
        <f>IFERROR(IF(D1461="Sell",(H1461-P1461),-(H1461+P1461)),0)</f>
        <v>-20324.439999999999</v>
      </c>
      <c r="Y1461" s="19">
        <f>X1461/1000</f>
        <v>-20.324439999999999</v>
      </c>
    </row>
    <row r="1462" spans="1:25" x14ac:dyDescent="0.25">
      <c r="A1462" s="1">
        <v>46087</v>
      </c>
      <c r="B1462" t="s">
        <v>1733</v>
      </c>
      <c r="C1462" t="s">
        <v>17</v>
      </c>
      <c r="D1462" t="s">
        <v>22</v>
      </c>
      <c r="E1462">
        <v>130</v>
      </c>
      <c r="F1462">
        <v>0</v>
      </c>
      <c r="G1462">
        <v>160.1</v>
      </c>
      <c r="H1462">
        <v>20813</v>
      </c>
      <c r="I1462" t="s">
        <v>1738</v>
      </c>
      <c r="J1462">
        <v>0</v>
      </c>
      <c r="K1462">
        <v>7.39</v>
      </c>
      <c r="L1462">
        <v>5.57</v>
      </c>
      <c r="M1462">
        <v>0.02</v>
      </c>
      <c r="N1462">
        <v>58</v>
      </c>
      <c r="O1462">
        <v>11.78</v>
      </c>
      <c r="P1462">
        <v>82.76</v>
      </c>
      <c r="Q1462" s="18">
        <f>YEAR(A1462)</f>
        <v>2026</v>
      </c>
      <c r="R1462" s="18">
        <f>MONTH(A1462)</f>
        <v>3</v>
      </c>
      <c r="S1462" s="18">
        <f>IF(R1462&lt;4,Q1462-1,Q1462)</f>
        <v>2025</v>
      </c>
      <c r="T1462" s="18">
        <f>IF(R1462&lt;4,R1462+9,R1462-3)</f>
        <v>12</v>
      </c>
      <c r="U1462" s="18">
        <f>IF(LEN(T1462)=1,_xlfn.CONCAT(0,T1462),T1462)</f>
        <v>12</v>
      </c>
      <c r="V1462" s="18" t="str">
        <f>_xlfn.CONCAT(S1462,U1462)</f>
        <v>202512</v>
      </c>
      <c r="W1462" s="18" t="str">
        <f>_xlfn.CONCAT(TEXT(A1462,"MMM"),"-",MID(Q1462,3,2))</f>
        <v>Mar-26</v>
      </c>
      <c r="X1462" s="19">
        <f>IFERROR(IF(D1462="Sell",(H1462-P1462),-(H1462+P1462)),0)</f>
        <v>-20895.759999999998</v>
      </c>
      <c r="Y1462" s="19">
        <f>X1462/1000</f>
        <v>-20.895759999999999</v>
      </c>
    </row>
    <row r="1463" spans="1:25" x14ac:dyDescent="0.25">
      <c r="A1463" s="1">
        <v>46087</v>
      </c>
      <c r="B1463" t="s">
        <v>1733</v>
      </c>
      <c r="C1463" t="s">
        <v>17</v>
      </c>
      <c r="D1463" t="s">
        <v>22</v>
      </c>
      <c r="E1463">
        <v>195</v>
      </c>
      <c r="F1463">
        <v>0</v>
      </c>
      <c r="G1463">
        <v>164.35</v>
      </c>
      <c r="H1463">
        <v>32048.25</v>
      </c>
      <c r="I1463" t="s">
        <v>1739</v>
      </c>
      <c r="J1463">
        <v>0</v>
      </c>
      <c r="K1463">
        <v>11.39</v>
      </c>
      <c r="L1463">
        <v>0</v>
      </c>
      <c r="M1463">
        <v>0.03</v>
      </c>
      <c r="N1463">
        <v>87</v>
      </c>
      <c r="O1463">
        <v>17.72</v>
      </c>
      <c r="P1463">
        <v>116.14</v>
      </c>
      <c r="Q1463" s="18">
        <f>YEAR(A1463)</f>
        <v>2026</v>
      </c>
      <c r="R1463" s="18">
        <f>MONTH(A1463)</f>
        <v>3</v>
      </c>
      <c r="S1463" s="18">
        <f>IF(R1463&lt;4,Q1463-1,Q1463)</f>
        <v>2025</v>
      </c>
      <c r="T1463" s="18">
        <f>IF(R1463&lt;4,R1463+9,R1463-3)</f>
        <v>12</v>
      </c>
      <c r="U1463" s="18">
        <f>IF(LEN(T1463)=1,_xlfn.CONCAT(0,T1463),T1463)</f>
        <v>12</v>
      </c>
      <c r="V1463" s="18" t="str">
        <f>_xlfn.CONCAT(S1463,U1463)</f>
        <v>202512</v>
      </c>
      <c r="W1463" s="18" t="str">
        <f>_xlfn.CONCAT(TEXT(A1463,"MMM"),"-",MID(Q1463,3,2))</f>
        <v>Mar-26</v>
      </c>
      <c r="X1463" s="19">
        <f>IFERROR(IF(D1463="Sell",(H1463-P1463),-(H1463+P1463)),0)</f>
        <v>-32164.39</v>
      </c>
      <c r="Y1463" s="19">
        <f>X1463/1000</f>
        <v>-32.164389999999997</v>
      </c>
    </row>
    <row r="1464" spans="1:25" x14ac:dyDescent="0.25">
      <c r="A1464" s="1">
        <v>46087</v>
      </c>
      <c r="B1464" t="s">
        <v>1730</v>
      </c>
      <c r="C1464" t="s">
        <v>17</v>
      </c>
      <c r="D1464" t="s">
        <v>18</v>
      </c>
      <c r="E1464">
        <v>1105</v>
      </c>
      <c r="F1464">
        <v>0</v>
      </c>
      <c r="G1464">
        <v>146.55000000000001</v>
      </c>
      <c r="H1464">
        <v>161937.75</v>
      </c>
      <c r="I1464" t="s">
        <v>1740</v>
      </c>
      <c r="J1464">
        <v>161.86000000000001</v>
      </c>
      <c r="K1464">
        <v>57.53</v>
      </c>
      <c r="L1464">
        <v>0</v>
      </c>
      <c r="M1464">
        <v>0.17</v>
      </c>
      <c r="N1464">
        <v>493</v>
      </c>
      <c r="O1464">
        <v>99.16</v>
      </c>
      <c r="P1464">
        <v>811.72</v>
      </c>
      <c r="Q1464" s="18">
        <f>YEAR(A1464)</f>
        <v>2026</v>
      </c>
      <c r="R1464" s="18">
        <f>MONTH(A1464)</f>
        <v>3</v>
      </c>
      <c r="S1464" s="18">
        <f>IF(R1464&lt;4,Q1464-1,Q1464)</f>
        <v>2025</v>
      </c>
      <c r="T1464" s="18">
        <f>IF(R1464&lt;4,R1464+9,R1464-3)</f>
        <v>12</v>
      </c>
      <c r="U1464" s="18">
        <f>IF(LEN(T1464)=1,_xlfn.CONCAT(0,T1464),T1464)</f>
        <v>12</v>
      </c>
      <c r="V1464" s="18" t="str">
        <f>_xlfn.CONCAT(S1464,U1464)</f>
        <v>202512</v>
      </c>
      <c r="W1464" s="18" t="str">
        <f>_xlfn.CONCAT(TEXT(A1464,"MMM"),"-",MID(Q1464,3,2))</f>
        <v>Mar-26</v>
      </c>
      <c r="X1464" s="19">
        <f>IFERROR(IF(D1464="Sell",(H1464-P1464),-(H1464+P1464)),0)</f>
        <v>161126.03</v>
      </c>
      <c r="Y1464" s="19">
        <f>X1464/1000</f>
        <v>161.12602999999999</v>
      </c>
    </row>
    <row r="1465" spans="1:25" x14ac:dyDescent="0.25">
      <c r="A1465" s="1">
        <v>46087</v>
      </c>
      <c r="B1465" t="s">
        <v>1730</v>
      </c>
      <c r="C1465" t="s">
        <v>17</v>
      </c>
      <c r="D1465" t="s">
        <v>22</v>
      </c>
      <c r="E1465">
        <v>260</v>
      </c>
      <c r="F1465">
        <v>0</v>
      </c>
      <c r="G1465">
        <v>157.55000000000001</v>
      </c>
      <c r="H1465">
        <v>40963</v>
      </c>
      <c r="I1465" t="s">
        <v>1741</v>
      </c>
      <c r="J1465">
        <v>0</v>
      </c>
      <c r="K1465">
        <v>14.56</v>
      </c>
      <c r="L1465">
        <v>0</v>
      </c>
      <c r="M1465">
        <v>0.04</v>
      </c>
      <c r="N1465">
        <v>116</v>
      </c>
      <c r="O1465">
        <v>23.52</v>
      </c>
      <c r="P1465">
        <v>154.12</v>
      </c>
      <c r="Q1465" s="18">
        <f>YEAR(A1465)</f>
        <v>2026</v>
      </c>
      <c r="R1465" s="18">
        <f>MONTH(A1465)</f>
        <v>3</v>
      </c>
      <c r="S1465" s="18">
        <f>IF(R1465&lt;4,Q1465-1,Q1465)</f>
        <v>2025</v>
      </c>
      <c r="T1465" s="18">
        <f>IF(R1465&lt;4,R1465+9,R1465-3)</f>
        <v>12</v>
      </c>
      <c r="U1465" s="18">
        <f>IF(LEN(T1465)=1,_xlfn.CONCAT(0,T1465),T1465)</f>
        <v>12</v>
      </c>
      <c r="V1465" s="18" t="str">
        <f>_xlfn.CONCAT(S1465,U1465)</f>
        <v>202512</v>
      </c>
      <c r="W1465" s="18" t="str">
        <f>_xlfn.CONCAT(TEXT(A1465,"MMM"),"-",MID(Q1465,3,2))</f>
        <v>Mar-26</v>
      </c>
      <c r="X1465" s="19">
        <f>IFERROR(IF(D1465="Sell",(H1465-P1465),-(H1465+P1465)),0)</f>
        <v>-41117.120000000003</v>
      </c>
      <c r="Y1465" s="19">
        <f>X1465/1000</f>
        <v>-41.11712</v>
      </c>
    </row>
    <row r="1466" spans="1:25" x14ac:dyDescent="0.25">
      <c r="A1466" s="1">
        <v>46087</v>
      </c>
      <c r="B1466" t="s">
        <v>1730</v>
      </c>
      <c r="C1466" t="s">
        <v>17</v>
      </c>
      <c r="D1466" t="s">
        <v>22</v>
      </c>
      <c r="E1466">
        <v>130</v>
      </c>
      <c r="F1466">
        <v>0</v>
      </c>
      <c r="G1466">
        <v>156.75</v>
      </c>
      <c r="H1466">
        <v>20377.5</v>
      </c>
      <c r="I1466" t="s">
        <v>1742</v>
      </c>
      <c r="J1466">
        <v>0</v>
      </c>
      <c r="K1466">
        <v>7.24</v>
      </c>
      <c r="L1466">
        <v>0</v>
      </c>
      <c r="M1466">
        <v>0.02</v>
      </c>
      <c r="N1466">
        <v>58</v>
      </c>
      <c r="O1466">
        <v>11.74</v>
      </c>
      <c r="P1466">
        <v>77</v>
      </c>
      <c r="Q1466" s="18">
        <f>YEAR(A1466)</f>
        <v>2026</v>
      </c>
      <c r="R1466" s="18">
        <f>MONTH(A1466)</f>
        <v>3</v>
      </c>
      <c r="S1466" s="18">
        <f>IF(R1466&lt;4,Q1466-1,Q1466)</f>
        <v>2025</v>
      </c>
      <c r="T1466" s="18">
        <f>IF(R1466&lt;4,R1466+9,R1466-3)</f>
        <v>12</v>
      </c>
      <c r="U1466" s="18">
        <f>IF(LEN(T1466)=1,_xlfn.CONCAT(0,T1466),T1466)</f>
        <v>12</v>
      </c>
      <c r="V1466" s="18" t="str">
        <f>_xlfn.CONCAT(S1466,U1466)</f>
        <v>202512</v>
      </c>
      <c r="W1466" s="18" t="str">
        <f>_xlfn.CONCAT(TEXT(A1466,"MMM"),"-",MID(Q1466,3,2))</f>
        <v>Mar-26</v>
      </c>
      <c r="X1466" s="19">
        <f>IFERROR(IF(D1466="Sell",(H1466-P1466),-(H1466+P1466)),0)</f>
        <v>-20454.5</v>
      </c>
      <c r="Y1466" s="19">
        <f>X1466/1000</f>
        <v>-20.454499999999999</v>
      </c>
    </row>
    <row r="1467" spans="1:25" x14ac:dyDescent="0.25">
      <c r="A1467" s="1">
        <v>46087</v>
      </c>
      <c r="B1467" t="s">
        <v>1730</v>
      </c>
      <c r="C1467" t="s">
        <v>17</v>
      </c>
      <c r="D1467" t="s">
        <v>22</v>
      </c>
      <c r="E1467">
        <v>390</v>
      </c>
      <c r="F1467">
        <v>0</v>
      </c>
      <c r="G1467">
        <v>150.55000000000001</v>
      </c>
      <c r="H1467">
        <v>58714.5</v>
      </c>
      <c r="I1467" t="s">
        <v>1743</v>
      </c>
      <c r="J1467">
        <v>0</v>
      </c>
      <c r="K1467">
        <v>20.86</v>
      </c>
      <c r="L1467">
        <v>0</v>
      </c>
      <c r="M1467">
        <v>0.06</v>
      </c>
      <c r="N1467">
        <v>174</v>
      </c>
      <c r="O1467">
        <v>35.08</v>
      </c>
      <c r="P1467">
        <v>230</v>
      </c>
      <c r="Q1467" s="18">
        <f>YEAR(A1467)</f>
        <v>2026</v>
      </c>
      <c r="R1467" s="18">
        <f>MONTH(A1467)</f>
        <v>3</v>
      </c>
      <c r="S1467" s="18">
        <f>IF(R1467&lt;4,Q1467-1,Q1467)</f>
        <v>2025</v>
      </c>
      <c r="T1467" s="18">
        <f>IF(R1467&lt;4,R1467+9,R1467-3)</f>
        <v>12</v>
      </c>
      <c r="U1467" s="18">
        <f>IF(LEN(T1467)=1,_xlfn.CONCAT(0,T1467),T1467)</f>
        <v>12</v>
      </c>
      <c r="V1467" s="18" t="str">
        <f>_xlfn.CONCAT(S1467,U1467)</f>
        <v>202512</v>
      </c>
      <c r="W1467" s="18" t="str">
        <f>_xlfn.CONCAT(TEXT(A1467,"MMM"),"-",MID(Q1467,3,2))</f>
        <v>Mar-26</v>
      </c>
      <c r="X1467" s="19">
        <f>IFERROR(IF(D1467="Sell",(H1467-P1467),-(H1467+P1467)),0)</f>
        <v>-58944.5</v>
      </c>
      <c r="Y1467" s="19">
        <f>X1467/1000</f>
        <v>-58.944499999999998</v>
      </c>
    </row>
    <row r="1468" spans="1:25" x14ac:dyDescent="0.25">
      <c r="A1468" s="1">
        <v>46087</v>
      </c>
      <c r="B1468" t="s">
        <v>1730</v>
      </c>
      <c r="C1468" t="s">
        <v>17</v>
      </c>
      <c r="D1468" t="s">
        <v>22</v>
      </c>
      <c r="E1468">
        <v>130</v>
      </c>
      <c r="F1468">
        <v>0</v>
      </c>
      <c r="G1468">
        <v>151.25</v>
      </c>
      <c r="H1468">
        <v>19662.5</v>
      </c>
      <c r="I1468" t="s">
        <v>1744</v>
      </c>
      <c r="J1468">
        <v>0</v>
      </c>
      <c r="K1468">
        <v>6.99</v>
      </c>
      <c r="L1468">
        <v>0</v>
      </c>
      <c r="M1468">
        <v>0.02</v>
      </c>
      <c r="N1468">
        <v>58</v>
      </c>
      <c r="O1468">
        <v>11.7</v>
      </c>
      <c r="P1468">
        <v>76.709999999999994</v>
      </c>
      <c r="Q1468" s="18">
        <f>YEAR(A1468)</f>
        <v>2026</v>
      </c>
      <c r="R1468" s="18">
        <f>MONTH(A1468)</f>
        <v>3</v>
      </c>
      <c r="S1468" s="18">
        <f>IF(R1468&lt;4,Q1468-1,Q1468)</f>
        <v>2025</v>
      </c>
      <c r="T1468" s="18">
        <f>IF(R1468&lt;4,R1468+9,R1468-3)</f>
        <v>12</v>
      </c>
      <c r="U1468" s="18">
        <f>IF(LEN(T1468)=1,_xlfn.CONCAT(0,T1468),T1468)</f>
        <v>12</v>
      </c>
      <c r="V1468" s="18" t="str">
        <f>_xlfn.CONCAT(S1468,U1468)</f>
        <v>202512</v>
      </c>
      <c r="W1468" s="18" t="str">
        <f>_xlfn.CONCAT(TEXT(A1468,"MMM"),"-",MID(Q1468,3,2))</f>
        <v>Mar-26</v>
      </c>
      <c r="X1468" s="19">
        <f>IFERROR(IF(D1468="Sell",(H1468-P1468),-(H1468+P1468)),0)</f>
        <v>-19739.21</v>
      </c>
      <c r="Y1468" s="19">
        <f>X1468/1000</f>
        <v>-19.73921</v>
      </c>
    </row>
    <row r="1469" spans="1:25" x14ac:dyDescent="0.25">
      <c r="A1469" s="1">
        <v>46087</v>
      </c>
      <c r="B1469" t="s">
        <v>1730</v>
      </c>
      <c r="C1469" t="s">
        <v>17</v>
      </c>
      <c r="D1469" t="s">
        <v>22</v>
      </c>
      <c r="E1469">
        <v>130</v>
      </c>
      <c r="F1469">
        <v>0</v>
      </c>
      <c r="G1469">
        <v>152.44999999999999</v>
      </c>
      <c r="H1469">
        <v>19818.5</v>
      </c>
      <c r="I1469" t="s">
        <v>1745</v>
      </c>
      <c r="J1469">
        <v>0</v>
      </c>
      <c r="K1469">
        <v>7.04</v>
      </c>
      <c r="L1469">
        <v>0</v>
      </c>
      <c r="M1469">
        <v>0.02</v>
      </c>
      <c r="N1469">
        <v>58</v>
      </c>
      <c r="O1469">
        <v>11.72</v>
      </c>
      <c r="P1469">
        <v>76.78</v>
      </c>
      <c r="Q1469" s="18">
        <f>YEAR(A1469)</f>
        <v>2026</v>
      </c>
      <c r="R1469" s="18">
        <f>MONTH(A1469)</f>
        <v>3</v>
      </c>
      <c r="S1469" s="18">
        <f>IF(R1469&lt;4,Q1469-1,Q1469)</f>
        <v>2025</v>
      </c>
      <c r="T1469" s="18">
        <f>IF(R1469&lt;4,R1469+9,R1469-3)</f>
        <v>12</v>
      </c>
      <c r="U1469" s="18">
        <f>IF(LEN(T1469)=1,_xlfn.CONCAT(0,T1469),T1469)</f>
        <v>12</v>
      </c>
      <c r="V1469" s="18" t="str">
        <f>_xlfn.CONCAT(S1469,U1469)</f>
        <v>202512</v>
      </c>
      <c r="W1469" s="18" t="str">
        <f>_xlfn.CONCAT(TEXT(A1469,"MMM"),"-",MID(Q1469,3,2))</f>
        <v>Mar-26</v>
      </c>
      <c r="X1469" s="19">
        <f>IFERROR(IF(D1469="Sell",(H1469-P1469),-(H1469+P1469)),0)</f>
        <v>-19895.28</v>
      </c>
      <c r="Y1469" s="19">
        <f>X1469/1000</f>
        <v>-19.89528</v>
      </c>
    </row>
    <row r="1470" spans="1:25" x14ac:dyDescent="0.25">
      <c r="A1470" s="1">
        <v>46087</v>
      </c>
      <c r="B1470" t="s">
        <v>1730</v>
      </c>
      <c r="C1470" t="s">
        <v>17</v>
      </c>
      <c r="D1470" t="s">
        <v>22</v>
      </c>
      <c r="E1470">
        <v>65</v>
      </c>
      <c r="F1470">
        <v>0</v>
      </c>
      <c r="G1470">
        <v>157.15</v>
      </c>
      <c r="H1470">
        <v>10214.75</v>
      </c>
      <c r="I1470" t="s">
        <v>1746</v>
      </c>
      <c r="J1470">
        <v>0</v>
      </c>
      <c r="K1470">
        <v>3.63</v>
      </c>
      <c r="L1470">
        <v>0</v>
      </c>
      <c r="M1470">
        <v>0.01</v>
      </c>
      <c r="N1470">
        <v>29</v>
      </c>
      <c r="O1470">
        <v>5.88</v>
      </c>
      <c r="P1470">
        <v>38.520000000000003</v>
      </c>
      <c r="Q1470" s="18">
        <f>YEAR(A1470)</f>
        <v>2026</v>
      </c>
      <c r="R1470" s="18">
        <f>MONTH(A1470)</f>
        <v>3</v>
      </c>
      <c r="S1470" s="18">
        <f>IF(R1470&lt;4,Q1470-1,Q1470)</f>
        <v>2025</v>
      </c>
      <c r="T1470" s="18">
        <f>IF(R1470&lt;4,R1470+9,R1470-3)</f>
        <v>12</v>
      </c>
      <c r="U1470" s="18">
        <f>IF(LEN(T1470)=1,_xlfn.CONCAT(0,T1470),T1470)</f>
        <v>12</v>
      </c>
      <c r="V1470" s="18" t="str">
        <f>_xlfn.CONCAT(S1470,U1470)</f>
        <v>202512</v>
      </c>
      <c r="W1470" s="18" t="str">
        <f>_xlfn.CONCAT(TEXT(A1470,"MMM"),"-",MID(Q1470,3,2))</f>
        <v>Mar-26</v>
      </c>
      <c r="X1470" s="19">
        <f>IFERROR(IF(D1470="Sell",(H1470-P1470),-(H1470+P1470)),0)</f>
        <v>-10253.27</v>
      </c>
      <c r="Y1470" s="19">
        <f>X1470/1000</f>
        <v>-10.253270000000001</v>
      </c>
    </row>
    <row r="1471" spans="1:25" x14ac:dyDescent="0.25">
      <c r="A1471" s="1">
        <v>46090</v>
      </c>
      <c r="B1471" t="s">
        <v>1722</v>
      </c>
      <c r="C1471" t="s">
        <v>17</v>
      </c>
      <c r="D1471" t="s">
        <v>18</v>
      </c>
      <c r="E1471">
        <v>390</v>
      </c>
      <c r="F1471">
        <v>0</v>
      </c>
      <c r="G1471">
        <v>309.89999999999998</v>
      </c>
      <c r="H1471">
        <v>120861</v>
      </c>
      <c r="I1471" t="s">
        <v>1723</v>
      </c>
      <c r="J1471">
        <v>120.99</v>
      </c>
      <c r="K1471">
        <v>42.95</v>
      </c>
      <c r="L1471">
        <v>0</v>
      </c>
      <c r="M1471">
        <v>0.12</v>
      </c>
      <c r="N1471">
        <v>174</v>
      </c>
      <c r="O1471">
        <v>39.1</v>
      </c>
      <c r="P1471">
        <v>377.16</v>
      </c>
      <c r="Q1471" s="18">
        <f>YEAR(A1471)</f>
        <v>2026</v>
      </c>
      <c r="R1471" s="18">
        <f>MONTH(A1471)</f>
        <v>3</v>
      </c>
      <c r="S1471" s="18">
        <f>IF(R1471&lt;4,Q1471-1,Q1471)</f>
        <v>2025</v>
      </c>
      <c r="T1471" s="18">
        <f>IF(R1471&lt;4,R1471+9,R1471-3)</f>
        <v>12</v>
      </c>
      <c r="U1471" s="18">
        <f>IF(LEN(T1471)=1,_xlfn.CONCAT(0,T1471),T1471)</f>
        <v>12</v>
      </c>
      <c r="V1471" s="18" t="str">
        <f>_xlfn.CONCAT(S1471,U1471)</f>
        <v>202512</v>
      </c>
      <c r="W1471" s="18" t="str">
        <f>_xlfn.CONCAT(TEXT(A1471,"MMM"),"-",MID(Q1471,3,2))</f>
        <v>Mar-26</v>
      </c>
      <c r="X1471" s="19">
        <f>IFERROR(IF(D1471="Sell",(H1471-P1471),-(H1471+P1471)),0)</f>
        <v>120483.84</v>
      </c>
      <c r="Y1471" s="19">
        <f>X1471/1000</f>
        <v>120.48384</v>
      </c>
    </row>
    <row r="1472" spans="1:25" x14ac:dyDescent="0.25">
      <c r="A1472" s="1">
        <v>46090</v>
      </c>
      <c r="B1472" t="s">
        <v>1722</v>
      </c>
      <c r="C1472" t="s">
        <v>17</v>
      </c>
      <c r="D1472" t="s">
        <v>22</v>
      </c>
      <c r="E1472">
        <v>65</v>
      </c>
      <c r="F1472">
        <v>0</v>
      </c>
      <c r="G1472">
        <v>241.6</v>
      </c>
      <c r="H1472">
        <v>15704</v>
      </c>
      <c r="I1472" t="s">
        <v>1724</v>
      </c>
      <c r="J1472">
        <v>0</v>
      </c>
      <c r="K1472">
        <v>5.58</v>
      </c>
      <c r="L1472">
        <v>3</v>
      </c>
      <c r="M1472">
        <v>0.02</v>
      </c>
      <c r="N1472">
        <v>29</v>
      </c>
      <c r="O1472">
        <v>6.22</v>
      </c>
      <c r="P1472">
        <v>43.82</v>
      </c>
      <c r="Q1472" s="18">
        <f>YEAR(A1472)</f>
        <v>2026</v>
      </c>
      <c r="R1472" s="18">
        <f>MONTH(A1472)</f>
        <v>3</v>
      </c>
      <c r="S1472" s="18">
        <f>IF(R1472&lt;4,Q1472-1,Q1472)</f>
        <v>2025</v>
      </c>
      <c r="T1472" s="18">
        <f>IF(R1472&lt;4,R1472+9,R1472-3)</f>
        <v>12</v>
      </c>
      <c r="U1472" s="18">
        <f>IF(LEN(T1472)=1,_xlfn.CONCAT(0,T1472),T1472)</f>
        <v>12</v>
      </c>
      <c r="V1472" s="18" t="str">
        <f>_xlfn.CONCAT(S1472,U1472)</f>
        <v>202512</v>
      </c>
      <c r="W1472" s="18" t="str">
        <f>_xlfn.CONCAT(TEXT(A1472,"MMM"),"-",MID(Q1472,3,2))</f>
        <v>Mar-26</v>
      </c>
      <c r="X1472" s="19">
        <f>IFERROR(IF(D1472="Sell",(H1472-P1472),-(H1472+P1472)),0)</f>
        <v>-15747.82</v>
      </c>
      <c r="Y1472" s="19">
        <f>X1472/1000</f>
        <v>-15.747819999999999</v>
      </c>
    </row>
    <row r="1473" spans="1:25" x14ac:dyDescent="0.25">
      <c r="A1473" s="1">
        <v>46090</v>
      </c>
      <c r="B1473" t="s">
        <v>1722</v>
      </c>
      <c r="C1473" t="s">
        <v>17</v>
      </c>
      <c r="D1473" t="s">
        <v>22</v>
      </c>
      <c r="E1473">
        <v>65</v>
      </c>
      <c r="F1473">
        <v>0</v>
      </c>
      <c r="G1473">
        <v>258.7</v>
      </c>
      <c r="H1473">
        <v>16815.5</v>
      </c>
      <c r="I1473" t="s">
        <v>1725</v>
      </c>
      <c r="J1473">
        <v>0</v>
      </c>
      <c r="K1473">
        <v>5.97</v>
      </c>
      <c r="L1473">
        <v>0</v>
      </c>
      <c r="M1473">
        <v>0.02</v>
      </c>
      <c r="N1473">
        <v>29</v>
      </c>
      <c r="O1473">
        <v>6.3</v>
      </c>
      <c r="P1473">
        <v>41.29</v>
      </c>
      <c r="Q1473" s="18">
        <f>YEAR(A1473)</f>
        <v>2026</v>
      </c>
      <c r="R1473" s="18">
        <f>MONTH(A1473)</f>
        <v>3</v>
      </c>
      <c r="S1473" s="18">
        <f>IF(R1473&lt;4,Q1473-1,Q1473)</f>
        <v>2025</v>
      </c>
      <c r="T1473" s="18">
        <f>IF(R1473&lt;4,R1473+9,R1473-3)</f>
        <v>12</v>
      </c>
      <c r="U1473" s="18">
        <f>IF(LEN(T1473)=1,_xlfn.CONCAT(0,T1473),T1473)</f>
        <v>12</v>
      </c>
      <c r="V1473" s="18" t="str">
        <f>_xlfn.CONCAT(S1473,U1473)</f>
        <v>202512</v>
      </c>
      <c r="W1473" s="18" t="str">
        <f>_xlfn.CONCAT(TEXT(A1473,"MMM"),"-",MID(Q1473,3,2))</f>
        <v>Mar-26</v>
      </c>
      <c r="X1473" s="19">
        <f>IFERROR(IF(D1473="Sell",(H1473-P1473),-(H1473+P1473)),0)</f>
        <v>-16856.79</v>
      </c>
      <c r="Y1473" s="19">
        <f>X1473/1000</f>
        <v>-16.85679</v>
      </c>
    </row>
    <row r="1474" spans="1:25" x14ac:dyDescent="0.25">
      <c r="A1474" s="1">
        <v>46090</v>
      </c>
      <c r="B1474" t="s">
        <v>1722</v>
      </c>
      <c r="C1474" t="s">
        <v>17</v>
      </c>
      <c r="D1474" t="s">
        <v>22</v>
      </c>
      <c r="E1474">
        <v>65</v>
      </c>
      <c r="F1474">
        <v>0</v>
      </c>
      <c r="G1474">
        <v>221.05</v>
      </c>
      <c r="H1474">
        <v>14368.25</v>
      </c>
      <c r="I1474" t="s">
        <v>1726</v>
      </c>
      <c r="J1474">
        <v>0</v>
      </c>
      <c r="K1474">
        <v>5.1100000000000003</v>
      </c>
      <c r="L1474">
        <v>0</v>
      </c>
      <c r="M1474">
        <v>0.01</v>
      </c>
      <c r="N1474">
        <v>29</v>
      </c>
      <c r="O1474">
        <v>6.14</v>
      </c>
      <c r="P1474">
        <v>40.26</v>
      </c>
      <c r="Q1474" s="18">
        <f>YEAR(A1474)</f>
        <v>2026</v>
      </c>
      <c r="R1474" s="18">
        <f>MONTH(A1474)</f>
        <v>3</v>
      </c>
      <c r="S1474" s="18">
        <f>IF(R1474&lt;4,Q1474-1,Q1474)</f>
        <v>2025</v>
      </c>
      <c r="T1474" s="18">
        <f>IF(R1474&lt;4,R1474+9,R1474-3)</f>
        <v>12</v>
      </c>
      <c r="U1474" s="18">
        <f>IF(LEN(T1474)=1,_xlfn.CONCAT(0,T1474),T1474)</f>
        <v>12</v>
      </c>
      <c r="V1474" s="18" t="str">
        <f>_xlfn.CONCAT(S1474,U1474)</f>
        <v>202512</v>
      </c>
      <c r="W1474" s="18" t="str">
        <f>_xlfn.CONCAT(TEXT(A1474,"MMM"),"-",MID(Q1474,3,2))</f>
        <v>Mar-26</v>
      </c>
      <c r="X1474" s="19">
        <f>IFERROR(IF(D1474="Sell",(H1474-P1474),-(H1474+P1474)),0)</f>
        <v>-14408.51</v>
      </c>
      <c r="Y1474" s="19">
        <f>X1474/1000</f>
        <v>-14.40851</v>
      </c>
    </row>
    <row r="1475" spans="1:25" x14ac:dyDescent="0.25">
      <c r="A1475" s="1">
        <v>46090</v>
      </c>
      <c r="B1475" t="s">
        <v>1722</v>
      </c>
      <c r="C1475" t="s">
        <v>17</v>
      </c>
      <c r="D1475" t="s">
        <v>22</v>
      </c>
      <c r="E1475">
        <v>65</v>
      </c>
      <c r="F1475">
        <v>0</v>
      </c>
      <c r="G1475">
        <v>230.25</v>
      </c>
      <c r="H1475">
        <v>14966.25</v>
      </c>
      <c r="I1475" t="s">
        <v>1727</v>
      </c>
      <c r="J1475">
        <v>0</v>
      </c>
      <c r="K1475">
        <v>5.32</v>
      </c>
      <c r="L1475">
        <v>0</v>
      </c>
      <c r="M1475">
        <v>0.02</v>
      </c>
      <c r="N1475">
        <v>29</v>
      </c>
      <c r="O1475">
        <v>6.18</v>
      </c>
      <c r="P1475">
        <v>40.520000000000003</v>
      </c>
      <c r="Q1475" s="18">
        <f>YEAR(A1475)</f>
        <v>2026</v>
      </c>
      <c r="R1475" s="18">
        <f>MONTH(A1475)</f>
        <v>3</v>
      </c>
      <c r="S1475" s="18">
        <f>IF(R1475&lt;4,Q1475-1,Q1475)</f>
        <v>2025</v>
      </c>
      <c r="T1475" s="18">
        <f>IF(R1475&lt;4,R1475+9,R1475-3)</f>
        <v>12</v>
      </c>
      <c r="U1475" s="18">
        <f>IF(LEN(T1475)=1,_xlfn.CONCAT(0,T1475),T1475)</f>
        <v>12</v>
      </c>
      <c r="V1475" s="18" t="str">
        <f>_xlfn.CONCAT(S1475,U1475)</f>
        <v>202512</v>
      </c>
      <c r="W1475" s="18" t="str">
        <f>_xlfn.CONCAT(TEXT(A1475,"MMM"),"-",MID(Q1475,3,2))</f>
        <v>Mar-26</v>
      </c>
      <c r="X1475" s="19">
        <f>IFERROR(IF(D1475="Sell",(H1475-P1475),-(H1475+P1475)),0)</f>
        <v>-15006.77</v>
      </c>
      <c r="Y1475" s="19">
        <f>X1475/1000</f>
        <v>-15.006770000000001</v>
      </c>
    </row>
    <row r="1476" spans="1:25" x14ac:dyDescent="0.25">
      <c r="A1476" s="1">
        <v>46090</v>
      </c>
      <c r="B1476" t="s">
        <v>1722</v>
      </c>
      <c r="C1476" t="s">
        <v>17</v>
      </c>
      <c r="D1476" t="s">
        <v>22</v>
      </c>
      <c r="E1476">
        <v>65</v>
      </c>
      <c r="F1476">
        <v>0</v>
      </c>
      <c r="G1476">
        <v>241.55</v>
      </c>
      <c r="H1476">
        <v>15700.75</v>
      </c>
      <c r="I1476" t="s">
        <v>1728</v>
      </c>
      <c r="J1476">
        <v>0</v>
      </c>
      <c r="K1476">
        <v>5.58</v>
      </c>
      <c r="L1476">
        <v>0</v>
      </c>
      <c r="M1476">
        <v>0.02</v>
      </c>
      <c r="N1476">
        <v>29</v>
      </c>
      <c r="O1476">
        <v>6.22</v>
      </c>
      <c r="P1476">
        <v>40.82</v>
      </c>
      <c r="Q1476" s="18">
        <f>YEAR(A1476)</f>
        <v>2026</v>
      </c>
      <c r="R1476" s="18">
        <f>MONTH(A1476)</f>
        <v>3</v>
      </c>
      <c r="S1476" s="18">
        <f>IF(R1476&lt;4,Q1476-1,Q1476)</f>
        <v>2025</v>
      </c>
      <c r="T1476" s="18">
        <f>IF(R1476&lt;4,R1476+9,R1476-3)</f>
        <v>12</v>
      </c>
      <c r="U1476" s="18">
        <f>IF(LEN(T1476)=1,_xlfn.CONCAT(0,T1476),T1476)</f>
        <v>12</v>
      </c>
      <c r="V1476" s="18" t="str">
        <f>_xlfn.CONCAT(S1476,U1476)</f>
        <v>202512</v>
      </c>
      <c r="W1476" s="18" t="str">
        <f>_xlfn.CONCAT(TEXT(A1476,"MMM"),"-",MID(Q1476,3,2))</f>
        <v>Mar-26</v>
      </c>
      <c r="X1476" s="19">
        <f>IFERROR(IF(D1476="Sell",(H1476-P1476),-(H1476+P1476)),0)</f>
        <v>-15741.57</v>
      </c>
      <c r="Y1476" s="19">
        <f>X1476/1000</f>
        <v>-15.741569999999999</v>
      </c>
    </row>
    <row r="1477" spans="1:25" x14ac:dyDescent="0.25">
      <c r="A1477" s="1">
        <v>46090</v>
      </c>
      <c r="B1477" t="s">
        <v>1722</v>
      </c>
      <c r="C1477" t="s">
        <v>17</v>
      </c>
      <c r="D1477" t="s">
        <v>22</v>
      </c>
      <c r="E1477">
        <v>65</v>
      </c>
      <c r="F1477">
        <v>0</v>
      </c>
      <c r="G1477">
        <v>266.3</v>
      </c>
      <c r="H1477">
        <v>17309.5</v>
      </c>
      <c r="I1477" t="s">
        <v>1729</v>
      </c>
      <c r="J1477">
        <v>0</v>
      </c>
      <c r="K1477">
        <v>6.15</v>
      </c>
      <c r="L1477">
        <v>0</v>
      </c>
      <c r="M1477">
        <v>0.02</v>
      </c>
      <c r="N1477">
        <v>29</v>
      </c>
      <c r="O1477">
        <v>6.34</v>
      </c>
      <c r="P1477">
        <v>41.51</v>
      </c>
      <c r="Q1477" s="18">
        <f>YEAR(A1477)</f>
        <v>2026</v>
      </c>
      <c r="R1477" s="18">
        <f>MONTH(A1477)</f>
        <v>3</v>
      </c>
      <c r="S1477" s="18">
        <f>IF(R1477&lt;4,Q1477-1,Q1477)</f>
        <v>2025</v>
      </c>
      <c r="T1477" s="18">
        <f>IF(R1477&lt;4,R1477+9,R1477-3)</f>
        <v>12</v>
      </c>
      <c r="U1477" s="18">
        <f>IF(LEN(T1477)=1,_xlfn.CONCAT(0,T1477),T1477)</f>
        <v>12</v>
      </c>
      <c r="V1477" s="18" t="str">
        <f>_xlfn.CONCAT(S1477,U1477)</f>
        <v>202512</v>
      </c>
      <c r="W1477" s="18" t="str">
        <f>_xlfn.CONCAT(TEXT(A1477,"MMM"),"-",MID(Q1477,3,2))</f>
        <v>Mar-26</v>
      </c>
      <c r="X1477" s="19">
        <f>IFERROR(IF(D1477="Sell",(H1477-P1477),-(H1477+P1477)),0)</f>
        <v>-17351.009999999998</v>
      </c>
      <c r="Y1477" s="19">
        <f>X1477/1000</f>
        <v>-17.351009999999999</v>
      </c>
    </row>
    <row r="1478" spans="1:25" x14ac:dyDescent="0.25">
      <c r="A1478" s="1">
        <v>46122</v>
      </c>
      <c r="B1478" t="s">
        <v>2023</v>
      </c>
      <c r="C1478" t="s">
        <v>17</v>
      </c>
      <c r="D1478" t="s">
        <v>18</v>
      </c>
      <c r="E1478">
        <v>780</v>
      </c>
      <c r="F1478">
        <v>0</v>
      </c>
      <c r="G1478">
        <v>202.9</v>
      </c>
      <c r="H1478">
        <v>158262</v>
      </c>
      <c r="I1478" t="s">
        <v>2024</v>
      </c>
      <c r="J1478">
        <v>237.41</v>
      </c>
      <c r="K1478">
        <v>56.22</v>
      </c>
      <c r="L1478">
        <v>0</v>
      </c>
      <c r="M1478">
        <v>0.16</v>
      </c>
      <c r="N1478">
        <v>348</v>
      </c>
      <c r="O1478">
        <v>72.8</v>
      </c>
      <c r="P1478">
        <v>714.59</v>
      </c>
      <c r="Q1478" s="18">
        <f t="shared" ref="Q1478:Q1528" si="0">YEAR(A1478)</f>
        <v>2026</v>
      </c>
      <c r="R1478" s="18">
        <f t="shared" ref="R1478:R1528" si="1">MONTH(A1478)</f>
        <v>4</v>
      </c>
      <c r="S1478" s="18">
        <f t="shared" ref="S1478:S1528" si="2">IF(R1478&lt;4,Q1478-1,Q1478)</f>
        <v>2026</v>
      </c>
      <c r="T1478" s="18">
        <f t="shared" ref="T1478:T1528" si="3">IF(R1478&lt;4,R1478+9,R1478-3)</f>
        <v>1</v>
      </c>
      <c r="U1478" s="18" t="str">
        <f t="shared" ref="U1478:U1528" si="4">IF(LEN(T1478)=1,_xlfn.CONCAT(0,T1478),T1478)</f>
        <v>01</v>
      </c>
      <c r="V1478" s="18" t="str">
        <f t="shared" ref="V1478:V1528" si="5">_xlfn.CONCAT(S1478,U1478)</f>
        <v>202601</v>
      </c>
      <c r="W1478" s="18" t="str">
        <f t="shared" ref="W1478:W1528" si="6">_xlfn.CONCAT(TEXT(A1478,"MMM"),"-",MID(Q1478,3,2))</f>
        <v>Apr-26</v>
      </c>
      <c r="X1478" s="19">
        <f t="shared" ref="X1478:X1528" si="7">IFERROR(IF(D1478="Sell",(H1478-P1478),-(H1478+P1478)),0)</f>
        <v>157547.41</v>
      </c>
      <c r="Y1478" s="19">
        <f t="shared" ref="Y1478:Y1528" si="8">X1478/1000</f>
        <v>157.54741000000001</v>
      </c>
    </row>
    <row r="1479" spans="1:25" x14ac:dyDescent="0.25">
      <c r="A1479" s="1">
        <v>46122</v>
      </c>
      <c r="B1479" t="s">
        <v>2023</v>
      </c>
      <c r="C1479" t="s">
        <v>17</v>
      </c>
      <c r="D1479" t="s">
        <v>22</v>
      </c>
      <c r="E1479">
        <v>130</v>
      </c>
      <c r="F1479">
        <v>0</v>
      </c>
      <c r="G1479">
        <v>213.4</v>
      </c>
      <c r="H1479">
        <v>27742</v>
      </c>
      <c r="I1479" t="s">
        <v>2025</v>
      </c>
      <c r="J1479">
        <v>0</v>
      </c>
      <c r="K1479">
        <v>9.86</v>
      </c>
      <c r="L1479">
        <v>0</v>
      </c>
      <c r="M1479">
        <v>0.03</v>
      </c>
      <c r="N1479">
        <v>58</v>
      </c>
      <c r="O1479">
        <v>12.22</v>
      </c>
      <c r="P1479">
        <v>80.11</v>
      </c>
      <c r="Q1479" s="18">
        <f t="shared" si="0"/>
        <v>2026</v>
      </c>
      <c r="R1479" s="18">
        <f t="shared" si="1"/>
        <v>4</v>
      </c>
      <c r="S1479" s="18">
        <f t="shared" si="2"/>
        <v>2026</v>
      </c>
      <c r="T1479" s="18">
        <f t="shared" si="3"/>
        <v>1</v>
      </c>
      <c r="U1479" s="18" t="str">
        <f t="shared" si="4"/>
        <v>01</v>
      </c>
      <c r="V1479" s="18" t="str">
        <f t="shared" si="5"/>
        <v>202601</v>
      </c>
      <c r="W1479" s="18" t="str">
        <f t="shared" si="6"/>
        <v>Apr-26</v>
      </c>
      <c r="X1479" s="19">
        <f t="shared" si="7"/>
        <v>-27822.11</v>
      </c>
      <c r="Y1479" s="19">
        <f t="shared" si="8"/>
        <v>-27.822110000000002</v>
      </c>
    </row>
    <row r="1480" spans="1:25" x14ac:dyDescent="0.25">
      <c r="A1480" s="1">
        <v>46122</v>
      </c>
      <c r="B1480" t="s">
        <v>2023</v>
      </c>
      <c r="C1480" t="s">
        <v>17</v>
      </c>
      <c r="D1480" t="s">
        <v>22</v>
      </c>
      <c r="E1480">
        <v>130</v>
      </c>
      <c r="F1480">
        <v>0</v>
      </c>
      <c r="G1480">
        <v>216</v>
      </c>
      <c r="H1480">
        <v>28080</v>
      </c>
      <c r="I1480" t="s">
        <v>2026</v>
      </c>
      <c r="J1480">
        <v>0</v>
      </c>
      <c r="K1480">
        <v>9.98</v>
      </c>
      <c r="L1480">
        <v>0</v>
      </c>
      <c r="M1480">
        <v>0.02</v>
      </c>
      <c r="N1480">
        <v>58</v>
      </c>
      <c r="O1480">
        <v>12.24</v>
      </c>
      <c r="P1480">
        <v>80.239999999999995</v>
      </c>
      <c r="Q1480" s="18">
        <f t="shared" si="0"/>
        <v>2026</v>
      </c>
      <c r="R1480" s="18">
        <f t="shared" si="1"/>
        <v>4</v>
      </c>
      <c r="S1480" s="18">
        <f t="shared" si="2"/>
        <v>2026</v>
      </c>
      <c r="T1480" s="18">
        <f t="shared" si="3"/>
        <v>1</v>
      </c>
      <c r="U1480" s="18" t="str">
        <f t="shared" si="4"/>
        <v>01</v>
      </c>
      <c r="V1480" s="18" t="str">
        <f t="shared" si="5"/>
        <v>202601</v>
      </c>
      <c r="W1480" s="18" t="str">
        <f t="shared" si="6"/>
        <v>Apr-26</v>
      </c>
      <c r="X1480" s="19">
        <f t="shared" si="7"/>
        <v>-28160.240000000002</v>
      </c>
      <c r="Y1480" s="19">
        <f t="shared" si="8"/>
        <v>-28.160240000000002</v>
      </c>
    </row>
    <row r="1481" spans="1:25" x14ac:dyDescent="0.25">
      <c r="A1481" s="1">
        <v>46122</v>
      </c>
      <c r="B1481" t="s">
        <v>2023</v>
      </c>
      <c r="C1481" t="s">
        <v>17</v>
      </c>
      <c r="D1481" t="s">
        <v>22</v>
      </c>
      <c r="E1481">
        <v>520</v>
      </c>
      <c r="F1481">
        <v>0</v>
      </c>
      <c r="G1481">
        <v>230.94</v>
      </c>
      <c r="H1481">
        <v>120087.5</v>
      </c>
      <c r="I1481" t="s">
        <v>2027</v>
      </c>
      <c r="J1481">
        <v>0</v>
      </c>
      <c r="K1481">
        <v>42.66</v>
      </c>
      <c r="L1481">
        <v>0</v>
      </c>
      <c r="M1481">
        <v>0.13</v>
      </c>
      <c r="N1481">
        <v>232</v>
      </c>
      <c r="O1481">
        <v>49.46</v>
      </c>
      <c r="P1481">
        <v>324.25</v>
      </c>
      <c r="Q1481" s="18">
        <f t="shared" si="0"/>
        <v>2026</v>
      </c>
      <c r="R1481" s="18">
        <f t="shared" si="1"/>
        <v>4</v>
      </c>
      <c r="S1481" s="18">
        <f t="shared" si="2"/>
        <v>2026</v>
      </c>
      <c r="T1481" s="18">
        <f t="shared" si="3"/>
        <v>1</v>
      </c>
      <c r="U1481" s="18" t="str">
        <f t="shared" si="4"/>
        <v>01</v>
      </c>
      <c r="V1481" s="18" t="str">
        <f t="shared" si="5"/>
        <v>202601</v>
      </c>
      <c r="W1481" s="18" t="str">
        <f t="shared" si="6"/>
        <v>Apr-26</v>
      </c>
      <c r="X1481" s="19">
        <f t="shared" si="7"/>
        <v>-120411.75</v>
      </c>
      <c r="Y1481" s="19">
        <f t="shared" si="8"/>
        <v>-120.41175</v>
      </c>
    </row>
    <row r="1482" spans="1:25" x14ac:dyDescent="0.25">
      <c r="A1482" s="1">
        <v>46122</v>
      </c>
      <c r="B1482" t="s">
        <v>2023</v>
      </c>
      <c r="C1482" t="s">
        <v>17</v>
      </c>
      <c r="D1482" t="s">
        <v>18</v>
      </c>
      <c r="E1482">
        <v>650</v>
      </c>
      <c r="F1482">
        <v>0</v>
      </c>
      <c r="G1482">
        <v>214.9</v>
      </c>
      <c r="H1482">
        <v>139685</v>
      </c>
      <c r="I1482" t="s">
        <v>2028</v>
      </c>
      <c r="J1482">
        <v>209.53</v>
      </c>
      <c r="K1482">
        <v>49.63</v>
      </c>
      <c r="L1482">
        <v>0</v>
      </c>
      <c r="M1482">
        <v>0.14000000000000001</v>
      </c>
      <c r="N1482">
        <v>290</v>
      </c>
      <c r="O1482">
        <v>61.16</v>
      </c>
      <c r="P1482">
        <v>610.46</v>
      </c>
      <c r="Q1482" s="18">
        <f t="shared" si="0"/>
        <v>2026</v>
      </c>
      <c r="R1482" s="18">
        <f t="shared" si="1"/>
        <v>4</v>
      </c>
      <c r="S1482" s="18">
        <f t="shared" si="2"/>
        <v>2026</v>
      </c>
      <c r="T1482" s="18">
        <f t="shared" si="3"/>
        <v>1</v>
      </c>
      <c r="U1482" s="18" t="str">
        <f t="shared" si="4"/>
        <v>01</v>
      </c>
      <c r="V1482" s="18" t="str">
        <f t="shared" si="5"/>
        <v>202601</v>
      </c>
      <c r="W1482" s="18" t="str">
        <f t="shared" si="6"/>
        <v>Apr-26</v>
      </c>
      <c r="X1482" s="19">
        <f t="shared" si="7"/>
        <v>139074.54</v>
      </c>
      <c r="Y1482" s="19">
        <f t="shared" si="8"/>
        <v>139.07454000000001</v>
      </c>
    </row>
    <row r="1483" spans="1:25" x14ac:dyDescent="0.25">
      <c r="A1483" s="1">
        <v>46122</v>
      </c>
      <c r="B1483" t="s">
        <v>2023</v>
      </c>
      <c r="C1483" t="s">
        <v>17</v>
      </c>
      <c r="D1483" t="s">
        <v>22</v>
      </c>
      <c r="E1483">
        <v>130</v>
      </c>
      <c r="F1483">
        <v>0</v>
      </c>
      <c r="G1483">
        <v>201.25</v>
      </c>
      <c r="H1483">
        <v>26162.5</v>
      </c>
      <c r="I1483" t="s">
        <v>2029</v>
      </c>
      <c r="J1483">
        <v>0</v>
      </c>
      <c r="K1483">
        <v>9.3000000000000007</v>
      </c>
      <c r="L1483">
        <v>0</v>
      </c>
      <c r="M1483">
        <v>0.03</v>
      </c>
      <c r="N1483">
        <v>58</v>
      </c>
      <c r="O1483">
        <v>12.12</v>
      </c>
      <c r="P1483">
        <v>79.45</v>
      </c>
      <c r="Q1483" s="18">
        <f t="shared" si="0"/>
        <v>2026</v>
      </c>
      <c r="R1483" s="18">
        <f t="shared" si="1"/>
        <v>4</v>
      </c>
      <c r="S1483" s="18">
        <f t="shared" si="2"/>
        <v>2026</v>
      </c>
      <c r="T1483" s="18">
        <f t="shared" si="3"/>
        <v>1</v>
      </c>
      <c r="U1483" s="18" t="str">
        <f t="shared" si="4"/>
        <v>01</v>
      </c>
      <c r="V1483" s="18" t="str">
        <f t="shared" si="5"/>
        <v>202601</v>
      </c>
      <c r="W1483" s="18" t="str">
        <f t="shared" si="6"/>
        <v>Apr-26</v>
      </c>
      <c r="X1483" s="19">
        <f t="shared" si="7"/>
        <v>-26241.95</v>
      </c>
      <c r="Y1483" s="19">
        <f t="shared" si="8"/>
        <v>-26.241949999999999</v>
      </c>
    </row>
    <row r="1484" spans="1:25" x14ac:dyDescent="0.25">
      <c r="A1484" s="1">
        <v>46122</v>
      </c>
      <c r="B1484" t="s">
        <v>2023</v>
      </c>
      <c r="C1484" t="s">
        <v>17</v>
      </c>
      <c r="D1484" t="s">
        <v>22</v>
      </c>
      <c r="E1484">
        <v>455</v>
      </c>
      <c r="F1484">
        <v>0</v>
      </c>
      <c r="G1484">
        <v>212.58</v>
      </c>
      <c r="H1484">
        <v>96723.25</v>
      </c>
      <c r="I1484" t="s">
        <v>2030</v>
      </c>
      <c r="J1484">
        <v>0</v>
      </c>
      <c r="K1484">
        <v>34.369999999999997</v>
      </c>
      <c r="L1484">
        <v>0</v>
      </c>
      <c r="M1484">
        <v>0.09</v>
      </c>
      <c r="N1484">
        <v>203</v>
      </c>
      <c r="O1484">
        <v>42.74</v>
      </c>
      <c r="P1484">
        <v>280.2</v>
      </c>
      <c r="Q1484" s="18">
        <f t="shared" si="0"/>
        <v>2026</v>
      </c>
      <c r="R1484" s="18">
        <f t="shared" si="1"/>
        <v>4</v>
      </c>
      <c r="S1484" s="18">
        <f t="shared" si="2"/>
        <v>2026</v>
      </c>
      <c r="T1484" s="18">
        <f t="shared" si="3"/>
        <v>1</v>
      </c>
      <c r="U1484" s="18" t="str">
        <f t="shared" si="4"/>
        <v>01</v>
      </c>
      <c r="V1484" s="18" t="str">
        <f t="shared" si="5"/>
        <v>202601</v>
      </c>
      <c r="W1484" s="18" t="str">
        <f t="shared" si="6"/>
        <v>Apr-26</v>
      </c>
      <c r="X1484" s="19">
        <f t="shared" si="7"/>
        <v>-97003.45</v>
      </c>
      <c r="Y1484" s="19">
        <f t="shared" si="8"/>
        <v>-97.003450000000001</v>
      </c>
    </row>
    <row r="1485" spans="1:25" x14ac:dyDescent="0.25">
      <c r="A1485" s="1">
        <v>46122</v>
      </c>
      <c r="B1485" t="s">
        <v>2023</v>
      </c>
      <c r="C1485" t="s">
        <v>17</v>
      </c>
      <c r="D1485" t="s">
        <v>22</v>
      </c>
      <c r="E1485">
        <v>65</v>
      </c>
      <c r="F1485">
        <v>0</v>
      </c>
      <c r="G1485">
        <v>210.6</v>
      </c>
      <c r="H1485">
        <v>13689</v>
      </c>
      <c r="I1485" t="s">
        <v>2031</v>
      </c>
      <c r="J1485">
        <v>0</v>
      </c>
      <c r="K1485">
        <v>4.8600000000000003</v>
      </c>
      <c r="L1485">
        <v>0</v>
      </c>
      <c r="M1485">
        <v>0.01</v>
      </c>
      <c r="N1485">
        <v>29</v>
      </c>
      <c r="O1485">
        <v>6.1</v>
      </c>
      <c r="P1485">
        <v>39.97</v>
      </c>
      <c r="Q1485" s="18">
        <f t="shared" si="0"/>
        <v>2026</v>
      </c>
      <c r="R1485" s="18">
        <f t="shared" si="1"/>
        <v>4</v>
      </c>
      <c r="S1485" s="18">
        <f t="shared" si="2"/>
        <v>2026</v>
      </c>
      <c r="T1485" s="18">
        <f t="shared" si="3"/>
        <v>1</v>
      </c>
      <c r="U1485" s="18" t="str">
        <f t="shared" si="4"/>
        <v>01</v>
      </c>
      <c r="V1485" s="18" t="str">
        <f t="shared" si="5"/>
        <v>202601</v>
      </c>
      <c r="W1485" s="18" t="str">
        <f t="shared" si="6"/>
        <v>Apr-26</v>
      </c>
      <c r="X1485" s="19">
        <f t="shared" si="7"/>
        <v>-13728.97</v>
      </c>
      <c r="Y1485" s="19">
        <f t="shared" si="8"/>
        <v>-13.728969999999999</v>
      </c>
    </row>
    <row r="1486" spans="1:25" x14ac:dyDescent="0.25">
      <c r="A1486" s="1">
        <v>46122</v>
      </c>
      <c r="B1486" t="s">
        <v>2023</v>
      </c>
      <c r="C1486" t="s">
        <v>17</v>
      </c>
      <c r="D1486" t="s">
        <v>18</v>
      </c>
      <c r="E1486">
        <v>650</v>
      </c>
      <c r="F1486">
        <v>0</v>
      </c>
      <c r="G1486">
        <v>199.9</v>
      </c>
      <c r="H1486">
        <v>129935</v>
      </c>
      <c r="I1486" t="s">
        <v>2032</v>
      </c>
      <c r="J1486">
        <v>195.08</v>
      </c>
      <c r="K1486">
        <v>46.17</v>
      </c>
      <c r="L1486">
        <v>0</v>
      </c>
      <c r="M1486">
        <v>0.13</v>
      </c>
      <c r="N1486">
        <v>290</v>
      </c>
      <c r="O1486">
        <v>60.54</v>
      </c>
      <c r="P1486">
        <v>591.91999999999996</v>
      </c>
      <c r="Q1486" s="18">
        <f t="shared" si="0"/>
        <v>2026</v>
      </c>
      <c r="R1486" s="18">
        <f t="shared" si="1"/>
        <v>4</v>
      </c>
      <c r="S1486" s="18">
        <f t="shared" si="2"/>
        <v>2026</v>
      </c>
      <c r="T1486" s="18">
        <f t="shared" si="3"/>
        <v>1</v>
      </c>
      <c r="U1486" s="18" t="str">
        <f t="shared" si="4"/>
        <v>01</v>
      </c>
      <c r="V1486" s="18" t="str">
        <f t="shared" si="5"/>
        <v>202601</v>
      </c>
      <c r="W1486" s="18" t="str">
        <f t="shared" si="6"/>
        <v>Apr-26</v>
      </c>
      <c r="X1486" s="19">
        <f t="shared" si="7"/>
        <v>129343.08</v>
      </c>
      <c r="Y1486" s="19">
        <f t="shared" si="8"/>
        <v>129.34308000000001</v>
      </c>
    </row>
    <row r="1487" spans="1:25" x14ac:dyDescent="0.25">
      <c r="A1487" s="1">
        <v>46122</v>
      </c>
      <c r="B1487" t="s">
        <v>2023</v>
      </c>
      <c r="C1487" t="s">
        <v>17</v>
      </c>
      <c r="D1487" t="s">
        <v>22</v>
      </c>
      <c r="E1487">
        <v>325</v>
      </c>
      <c r="F1487">
        <v>0</v>
      </c>
      <c r="G1487">
        <v>181.25</v>
      </c>
      <c r="H1487">
        <v>58906.25</v>
      </c>
      <c r="I1487" t="s">
        <v>2033</v>
      </c>
      <c r="J1487">
        <v>0</v>
      </c>
      <c r="K1487">
        <v>20.93</v>
      </c>
      <c r="L1487">
        <v>0</v>
      </c>
      <c r="M1487">
        <v>0.06</v>
      </c>
      <c r="N1487">
        <v>145</v>
      </c>
      <c r="O1487">
        <v>29.88</v>
      </c>
      <c r="P1487">
        <v>195.87</v>
      </c>
      <c r="Q1487" s="18">
        <f t="shared" si="0"/>
        <v>2026</v>
      </c>
      <c r="R1487" s="18">
        <f t="shared" si="1"/>
        <v>4</v>
      </c>
      <c r="S1487" s="18">
        <f t="shared" si="2"/>
        <v>2026</v>
      </c>
      <c r="T1487" s="18">
        <f t="shared" si="3"/>
        <v>1</v>
      </c>
      <c r="U1487" s="18" t="str">
        <f t="shared" si="4"/>
        <v>01</v>
      </c>
      <c r="V1487" s="18" t="str">
        <f t="shared" si="5"/>
        <v>202601</v>
      </c>
      <c r="W1487" s="18" t="str">
        <f t="shared" si="6"/>
        <v>Apr-26</v>
      </c>
      <c r="X1487" s="19">
        <f t="shared" si="7"/>
        <v>-59102.12</v>
      </c>
      <c r="Y1487" s="19">
        <f t="shared" si="8"/>
        <v>-59.102119999999999</v>
      </c>
    </row>
    <row r="1488" spans="1:25" x14ac:dyDescent="0.25">
      <c r="A1488" s="1">
        <v>46122</v>
      </c>
      <c r="B1488" t="s">
        <v>2023</v>
      </c>
      <c r="C1488" t="s">
        <v>17</v>
      </c>
      <c r="D1488" t="s">
        <v>22</v>
      </c>
      <c r="E1488">
        <v>325</v>
      </c>
      <c r="F1488">
        <v>0</v>
      </c>
      <c r="G1488">
        <v>185.35</v>
      </c>
      <c r="H1488">
        <v>60238.75</v>
      </c>
      <c r="I1488" t="s">
        <v>2034</v>
      </c>
      <c r="J1488">
        <v>0</v>
      </c>
      <c r="K1488">
        <v>21.4</v>
      </c>
      <c r="L1488">
        <v>13</v>
      </c>
      <c r="M1488">
        <v>0.06</v>
      </c>
      <c r="N1488">
        <v>145</v>
      </c>
      <c r="O1488">
        <v>29.96</v>
      </c>
      <c r="P1488">
        <v>209.42</v>
      </c>
      <c r="Q1488" s="18">
        <f t="shared" si="0"/>
        <v>2026</v>
      </c>
      <c r="R1488" s="18">
        <f t="shared" si="1"/>
        <v>4</v>
      </c>
      <c r="S1488" s="18">
        <f t="shared" si="2"/>
        <v>2026</v>
      </c>
      <c r="T1488" s="18">
        <f t="shared" si="3"/>
        <v>1</v>
      </c>
      <c r="U1488" s="18" t="str">
        <f t="shared" si="4"/>
        <v>01</v>
      </c>
      <c r="V1488" s="18" t="str">
        <f t="shared" si="5"/>
        <v>202601</v>
      </c>
      <c r="W1488" s="18" t="str">
        <f t="shared" si="6"/>
        <v>Apr-26</v>
      </c>
      <c r="X1488" s="19">
        <f t="shared" si="7"/>
        <v>-60448.17</v>
      </c>
      <c r="Y1488" s="19">
        <f t="shared" si="8"/>
        <v>-60.448169999999998</v>
      </c>
    </row>
    <row r="1489" spans="1:25" x14ac:dyDescent="0.25">
      <c r="A1489" s="1">
        <v>46125</v>
      </c>
      <c r="B1489" t="s">
        <v>2019</v>
      </c>
      <c r="C1489" t="s">
        <v>17</v>
      </c>
      <c r="D1489" t="s">
        <v>18</v>
      </c>
      <c r="E1489">
        <v>1300</v>
      </c>
      <c r="F1489">
        <v>0</v>
      </c>
      <c r="G1489">
        <v>79.900000000000006</v>
      </c>
      <c r="H1489">
        <v>103870</v>
      </c>
      <c r="I1489" t="s">
        <v>2020</v>
      </c>
      <c r="J1489">
        <v>156</v>
      </c>
      <c r="K1489">
        <v>36.909999999999997</v>
      </c>
      <c r="L1489">
        <v>0</v>
      </c>
      <c r="M1489">
        <v>0.11</v>
      </c>
      <c r="N1489">
        <v>580</v>
      </c>
      <c r="O1489">
        <v>111.06</v>
      </c>
      <c r="P1489">
        <v>884.08</v>
      </c>
      <c r="Q1489" s="18">
        <f t="shared" si="0"/>
        <v>2026</v>
      </c>
      <c r="R1489" s="18">
        <f t="shared" si="1"/>
        <v>4</v>
      </c>
      <c r="S1489" s="18">
        <f t="shared" si="2"/>
        <v>2026</v>
      </c>
      <c r="T1489" s="18">
        <f t="shared" si="3"/>
        <v>1</v>
      </c>
      <c r="U1489" s="18" t="str">
        <f t="shared" si="4"/>
        <v>01</v>
      </c>
      <c r="V1489" s="18" t="str">
        <f t="shared" si="5"/>
        <v>202601</v>
      </c>
      <c r="W1489" s="18" t="str">
        <f t="shared" si="6"/>
        <v>Apr-26</v>
      </c>
      <c r="X1489" s="19">
        <f t="shared" si="7"/>
        <v>102985.92</v>
      </c>
      <c r="Y1489" s="19">
        <f t="shared" si="8"/>
        <v>102.98591999999999</v>
      </c>
    </row>
    <row r="1490" spans="1:25" x14ac:dyDescent="0.25">
      <c r="A1490" s="1">
        <v>46125</v>
      </c>
      <c r="B1490" t="s">
        <v>2019</v>
      </c>
      <c r="C1490" t="s">
        <v>17</v>
      </c>
      <c r="D1490" t="s">
        <v>22</v>
      </c>
      <c r="E1490">
        <v>650</v>
      </c>
      <c r="F1490">
        <v>0</v>
      </c>
      <c r="G1490">
        <v>60.51</v>
      </c>
      <c r="H1490">
        <v>39328.25</v>
      </c>
      <c r="I1490" t="s">
        <v>2021</v>
      </c>
      <c r="J1490">
        <v>0</v>
      </c>
      <c r="K1490">
        <v>13.98</v>
      </c>
      <c r="L1490">
        <v>0</v>
      </c>
      <c r="M1490">
        <v>0.03</v>
      </c>
      <c r="N1490">
        <v>290</v>
      </c>
      <c r="O1490">
        <v>54.74</v>
      </c>
      <c r="P1490">
        <v>358.75</v>
      </c>
      <c r="Q1490" s="18">
        <f t="shared" si="0"/>
        <v>2026</v>
      </c>
      <c r="R1490" s="18">
        <f t="shared" si="1"/>
        <v>4</v>
      </c>
      <c r="S1490" s="18">
        <f t="shared" si="2"/>
        <v>2026</v>
      </c>
      <c r="T1490" s="18">
        <f t="shared" si="3"/>
        <v>1</v>
      </c>
      <c r="U1490" s="18" t="str">
        <f t="shared" si="4"/>
        <v>01</v>
      </c>
      <c r="V1490" s="18" t="str">
        <f t="shared" si="5"/>
        <v>202601</v>
      </c>
      <c r="W1490" s="18" t="str">
        <f t="shared" si="6"/>
        <v>Apr-26</v>
      </c>
      <c r="X1490" s="19">
        <f t="shared" si="7"/>
        <v>-39687</v>
      </c>
      <c r="Y1490" s="19">
        <f t="shared" si="8"/>
        <v>-39.686999999999998</v>
      </c>
    </row>
    <row r="1491" spans="1:25" x14ac:dyDescent="0.25">
      <c r="A1491" s="1">
        <v>46125</v>
      </c>
      <c r="B1491" t="s">
        <v>2019</v>
      </c>
      <c r="C1491" t="s">
        <v>17</v>
      </c>
      <c r="D1491" t="s">
        <v>22</v>
      </c>
      <c r="E1491">
        <v>650</v>
      </c>
      <c r="F1491">
        <v>0</v>
      </c>
      <c r="G1491">
        <v>66.75</v>
      </c>
      <c r="H1491">
        <v>43387.5</v>
      </c>
      <c r="I1491" t="s">
        <v>2022</v>
      </c>
      <c r="J1491">
        <v>0</v>
      </c>
      <c r="K1491">
        <v>15.41</v>
      </c>
      <c r="L1491">
        <v>2</v>
      </c>
      <c r="M1491">
        <v>0.04</v>
      </c>
      <c r="N1491">
        <v>290</v>
      </c>
      <c r="O1491">
        <v>54.98</v>
      </c>
      <c r="P1491">
        <v>362.43</v>
      </c>
      <c r="Q1491" s="18">
        <f t="shared" si="0"/>
        <v>2026</v>
      </c>
      <c r="R1491" s="18">
        <f t="shared" si="1"/>
        <v>4</v>
      </c>
      <c r="S1491" s="18">
        <f t="shared" si="2"/>
        <v>2026</v>
      </c>
      <c r="T1491" s="18">
        <f t="shared" si="3"/>
        <v>1</v>
      </c>
      <c r="U1491" s="18" t="str">
        <f t="shared" si="4"/>
        <v>01</v>
      </c>
      <c r="V1491" s="18" t="str">
        <f t="shared" si="5"/>
        <v>202601</v>
      </c>
      <c r="W1491" s="18" t="str">
        <f t="shared" si="6"/>
        <v>Apr-26</v>
      </c>
      <c r="X1491" s="19">
        <f t="shared" si="7"/>
        <v>-43749.93</v>
      </c>
      <c r="Y1491" s="19">
        <f t="shared" si="8"/>
        <v>-43.749929999999999</v>
      </c>
    </row>
    <row r="1492" spans="1:25" x14ac:dyDescent="0.25">
      <c r="A1492" s="1">
        <v>46127</v>
      </c>
      <c r="B1492" t="s">
        <v>2011</v>
      </c>
      <c r="C1492" t="s">
        <v>17</v>
      </c>
      <c r="D1492" t="s">
        <v>18</v>
      </c>
      <c r="E1492">
        <v>650</v>
      </c>
      <c r="F1492">
        <v>0</v>
      </c>
      <c r="G1492">
        <v>215</v>
      </c>
      <c r="H1492">
        <v>139750</v>
      </c>
      <c r="I1492" t="s">
        <v>2012</v>
      </c>
      <c r="J1492">
        <v>209.6</v>
      </c>
      <c r="K1492">
        <v>49.7</v>
      </c>
      <c r="L1492">
        <v>0</v>
      </c>
      <c r="M1492">
        <v>0.1</v>
      </c>
      <c r="N1492">
        <v>290</v>
      </c>
      <c r="O1492">
        <v>61.2</v>
      </c>
      <c r="P1492">
        <v>610.6</v>
      </c>
      <c r="Q1492" s="18">
        <f t="shared" si="0"/>
        <v>2026</v>
      </c>
      <c r="R1492" s="18">
        <f t="shared" si="1"/>
        <v>4</v>
      </c>
      <c r="S1492" s="18">
        <f t="shared" si="2"/>
        <v>2026</v>
      </c>
      <c r="T1492" s="18">
        <f t="shared" si="3"/>
        <v>1</v>
      </c>
      <c r="U1492" s="18" t="str">
        <f t="shared" si="4"/>
        <v>01</v>
      </c>
      <c r="V1492" s="18" t="str">
        <f t="shared" si="5"/>
        <v>202601</v>
      </c>
      <c r="W1492" s="18" t="str">
        <f t="shared" si="6"/>
        <v>Apr-26</v>
      </c>
      <c r="X1492" s="19">
        <f t="shared" si="7"/>
        <v>139139.4</v>
      </c>
      <c r="Y1492" s="19">
        <f t="shared" si="8"/>
        <v>139.13939999999999</v>
      </c>
    </row>
    <row r="1493" spans="1:25" x14ac:dyDescent="0.25">
      <c r="A1493" s="1">
        <v>46127</v>
      </c>
      <c r="B1493" t="s">
        <v>2011</v>
      </c>
      <c r="C1493" t="s">
        <v>17</v>
      </c>
      <c r="D1493" t="s">
        <v>22</v>
      </c>
      <c r="E1493">
        <v>650</v>
      </c>
      <c r="F1493">
        <v>0</v>
      </c>
      <c r="G1493">
        <v>227.72</v>
      </c>
      <c r="H1493">
        <v>148018</v>
      </c>
      <c r="I1493" t="s">
        <v>2013</v>
      </c>
      <c r="J1493">
        <v>0</v>
      </c>
      <c r="K1493">
        <v>52.59</v>
      </c>
      <c r="L1493">
        <v>0</v>
      </c>
      <c r="M1493">
        <v>0.14000000000000001</v>
      </c>
      <c r="N1493">
        <v>290</v>
      </c>
      <c r="O1493">
        <v>61.68</v>
      </c>
      <c r="P1493">
        <v>404.41</v>
      </c>
      <c r="Q1493" s="18">
        <f t="shared" si="0"/>
        <v>2026</v>
      </c>
      <c r="R1493" s="18">
        <f t="shared" si="1"/>
        <v>4</v>
      </c>
      <c r="S1493" s="18">
        <f t="shared" si="2"/>
        <v>2026</v>
      </c>
      <c r="T1493" s="18">
        <f t="shared" si="3"/>
        <v>1</v>
      </c>
      <c r="U1493" s="18" t="str">
        <f t="shared" si="4"/>
        <v>01</v>
      </c>
      <c r="V1493" s="18" t="str">
        <f t="shared" si="5"/>
        <v>202601</v>
      </c>
      <c r="W1493" s="18" t="str">
        <f t="shared" si="6"/>
        <v>Apr-26</v>
      </c>
      <c r="X1493" s="19">
        <f t="shared" si="7"/>
        <v>-148422.41</v>
      </c>
      <c r="Y1493" s="19">
        <f t="shared" si="8"/>
        <v>-148.42241000000001</v>
      </c>
    </row>
    <row r="1494" spans="1:25" x14ac:dyDescent="0.25">
      <c r="A1494" s="1">
        <v>46127</v>
      </c>
      <c r="B1494" t="s">
        <v>2011</v>
      </c>
      <c r="C1494" t="s">
        <v>17</v>
      </c>
      <c r="D1494" t="s">
        <v>18</v>
      </c>
      <c r="E1494">
        <v>650</v>
      </c>
      <c r="F1494">
        <v>0</v>
      </c>
      <c r="G1494">
        <v>195.9</v>
      </c>
      <c r="H1494">
        <v>127335</v>
      </c>
      <c r="I1494" t="s">
        <v>2014</v>
      </c>
      <c r="J1494">
        <v>191</v>
      </c>
      <c r="K1494">
        <v>45.24</v>
      </c>
      <c r="L1494">
        <v>0</v>
      </c>
      <c r="M1494">
        <v>0.13</v>
      </c>
      <c r="N1494">
        <v>290</v>
      </c>
      <c r="O1494">
        <v>60.36</v>
      </c>
      <c r="P1494">
        <v>586.73</v>
      </c>
      <c r="Q1494" s="18">
        <f t="shared" si="0"/>
        <v>2026</v>
      </c>
      <c r="R1494" s="18">
        <f t="shared" si="1"/>
        <v>4</v>
      </c>
      <c r="S1494" s="18">
        <f t="shared" si="2"/>
        <v>2026</v>
      </c>
      <c r="T1494" s="18">
        <f t="shared" si="3"/>
        <v>1</v>
      </c>
      <c r="U1494" s="18" t="str">
        <f t="shared" si="4"/>
        <v>01</v>
      </c>
      <c r="V1494" s="18" t="str">
        <f t="shared" si="5"/>
        <v>202601</v>
      </c>
      <c r="W1494" s="18" t="str">
        <f t="shared" si="6"/>
        <v>Apr-26</v>
      </c>
      <c r="X1494" s="19">
        <f t="shared" si="7"/>
        <v>126748.27</v>
      </c>
      <c r="Y1494" s="19">
        <f t="shared" si="8"/>
        <v>126.74827000000001</v>
      </c>
    </row>
    <row r="1495" spans="1:25" x14ac:dyDescent="0.25">
      <c r="A1495" s="1">
        <v>46127</v>
      </c>
      <c r="B1495" t="s">
        <v>2011</v>
      </c>
      <c r="C1495" t="s">
        <v>17</v>
      </c>
      <c r="D1495" t="s">
        <v>22</v>
      </c>
      <c r="E1495">
        <v>325</v>
      </c>
      <c r="F1495">
        <v>0</v>
      </c>
      <c r="G1495">
        <v>191.25</v>
      </c>
      <c r="H1495">
        <v>62156.25</v>
      </c>
      <c r="I1495" t="s">
        <v>2015</v>
      </c>
      <c r="J1495">
        <v>0</v>
      </c>
      <c r="K1495">
        <v>22.08</v>
      </c>
      <c r="L1495">
        <v>10</v>
      </c>
      <c r="M1495">
        <v>0.06</v>
      </c>
      <c r="N1495">
        <v>145</v>
      </c>
      <c r="O1495">
        <v>30.08</v>
      </c>
      <c r="P1495">
        <v>207.22</v>
      </c>
      <c r="Q1495" s="18">
        <f t="shared" si="0"/>
        <v>2026</v>
      </c>
      <c r="R1495" s="18">
        <f t="shared" si="1"/>
        <v>4</v>
      </c>
      <c r="S1495" s="18">
        <f t="shared" si="2"/>
        <v>2026</v>
      </c>
      <c r="T1495" s="18">
        <f t="shared" si="3"/>
        <v>1</v>
      </c>
      <c r="U1495" s="18" t="str">
        <f t="shared" si="4"/>
        <v>01</v>
      </c>
      <c r="V1495" s="18" t="str">
        <f t="shared" si="5"/>
        <v>202601</v>
      </c>
      <c r="W1495" s="18" t="str">
        <f t="shared" si="6"/>
        <v>Apr-26</v>
      </c>
      <c r="X1495" s="19">
        <f t="shared" si="7"/>
        <v>-62363.47</v>
      </c>
      <c r="Y1495" s="19">
        <f t="shared" si="8"/>
        <v>-62.36347</v>
      </c>
    </row>
    <row r="1496" spans="1:25" x14ac:dyDescent="0.25">
      <c r="A1496" s="1">
        <v>46127</v>
      </c>
      <c r="B1496" t="s">
        <v>2011</v>
      </c>
      <c r="C1496" t="s">
        <v>17</v>
      </c>
      <c r="D1496" t="s">
        <v>22</v>
      </c>
      <c r="E1496">
        <v>325</v>
      </c>
      <c r="F1496">
        <v>0</v>
      </c>
      <c r="G1496">
        <v>201.25</v>
      </c>
      <c r="H1496">
        <v>65406.25</v>
      </c>
      <c r="I1496" t="s">
        <v>2016</v>
      </c>
      <c r="J1496">
        <v>0</v>
      </c>
      <c r="K1496">
        <v>23.25</v>
      </c>
      <c r="L1496">
        <v>0</v>
      </c>
      <c r="M1496">
        <v>0.06</v>
      </c>
      <c r="N1496">
        <v>145</v>
      </c>
      <c r="O1496">
        <v>30.3</v>
      </c>
      <c r="P1496">
        <v>198.61</v>
      </c>
      <c r="Q1496" s="18">
        <f t="shared" si="0"/>
        <v>2026</v>
      </c>
      <c r="R1496" s="18">
        <f t="shared" si="1"/>
        <v>4</v>
      </c>
      <c r="S1496" s="18">
        <f t="shared" si="2"/>
        <v>2026</v>
      </c>
      <c r="T1496" s="18">
        <f t="shared" si="3"/>
        <v>1</v>
      </c>
      <c r="U1496" s="18" t="str">
        <f t="shared" si="4"/>
        <v>01</v>
      </c>
      <c r="V1496" s="18" t="str">
        <f t="shared" si="5"/>
        <v>202601</v>
      </c>
      <c r="W1496" s="18" t="str">
        <f t="shared" si="6"/>
        <v>Apr-26</v>
      </c>
      <c r="X1496" s="19">
        <f t="shared" si="7"/>
        <v>-65604.86</v>
      </c>
      <c r="Y1496" s="19">
        <f t="shared" si="8"/>
        <v>-65.604860000000002</v>
      </c>
    </row>
    <row r="1497" spans="1:25" x14ac:dyDescent="0.25">
      <c r="A1497" s="1">
        <v>46127</v>
      </c>
      <c r="B1497" t="s">
        <v>2011</v>
      </c>
      <c r="C1497" t="s">
        <v>17</v>
      </c>
      <c r="D1497" t="s">
        <v>18</v>
      </c>
      <c r="E1497">
        <v>325</v>
      </c>
      <c r="F1497">
        <v>0</v>
      </c>
      <c r="G1497">
        <v>239.9</v>
      </c>
      <c r="H1497">
        <v>77967.5</v>
      </c>
      <c r="I1497" t="s">
        <v>2017</v>
      </c>
      <c r="J1497">
        <v>117.37</v>
      </c>
      <c r="K1497">
        <v>27.7</v>
      </c>
      <c r="L1497">
        <v>0</v>
      </c>
      <c r="M1497">
        <v>0.08</v>
      </c>
      <c r="N1497">
        <v>145</v>
      </c>
      <c r="O1497">
        <v>31.1</v>
      </c>
      <c r="P1497">
        <v>321.25</v>
      </c>
      <c r="Q1497" s="18">
        <f t="shared" si="0"/>
        <v>2026</v>
      </c>
      <c r="R1497" s="18">
        <f t="shared" si="1"/>
        <v>4</v>
      </c>
      <c r="S1497" s="18">
        <f t="shared" si="2"/>
        <v>2026</v>
      </c>
      <c r="T1497" s="18">
        <f t="shared" si="3"/>
        <v>1</v>
      </c>
      <c r="U1497" s="18" t="str">
        <f t="shared" si="4"/>
        <v>01</v>
      </c>
      <c r="V1497" s="18" t="str">
        <f t="shared" si="5"/>
        <v>202601</v>
      </c>
      <c r="W1497" s="18" t="str">
        <f t="shared" si="6"/>
        <v>Apr-26</v>
      </c>
      <c r="X1497" s="19">
        <f t="shared" si="7"/>
        <v>77646.25</v>
      </c>
      <c r="Y1497" s="19">
        <f t="shared" si="8"/>
        <v>77.646249999999995</v>
      </c>
    </row>
    <row r="1498" spans="1:25" x14ac:dyDescent="0.25">
      <c r="A1498" s="1">
        <v>46127</v>
      </c>
      <c r="B1498" t="s">
        <v>2011</v>
      </c>
      <c r="C1498" t="s">
        <v>17</v>
      </c>
      <c r="D1498" t="s">
        <v>22</v>
      </c>
      <c r="E1498">
        <v>325</v>
      </c>
      <c r="F1498">
        <v>0</v>
      </c>
      <c r="G1498">
        <v>222.26</v>
      </c>
      <c r="H1498">
        <v>72234.5</v>
      </c>
      <c r="I1498" t="s">
        <v>2018</v>
      </c>
      <c r="J1498">
        <v>0</v>
      </c>
      <c r="K1498">
        <v>25.65</v>
      </c>
      <c r="L1498">
        <v>0</v>
      </c>
      <c r="M1498">
        <v>0.05</v>
      </c>
      <c r="N1498">
        <v>145</v>
      </c>
      <c r="O1498">
        <v>30.7</v>
      </c>
      <c r="P1498">
        <v>201.4</v>
      </c>
      <c r="Q1498" s="18">
        <f t="shared" si="0"/>
        <v>2026</v>
      </c>
      <c r="R1498" s="18">
        <f t="shared" si="1"/>
        <v>4</v>
      </c>
      <c r="S1498" s="18">
        <f t="shared" si="2"/>
        <v>2026</v>
      </c>
      <c r="T1498" s="18">
        <f t="shared" si="3"/>
        <v>1</v>
      </c>
      <c r="U1498" s="18" t="str">
        <f t="shared" si="4"/>
        <v>01</v>
      </c>
      <c r="V1498" s="18" t="str">
        <f t="shared" si="5"/>
        <v>202601</v>
      </c>
      <c r="W1498" s="18" t="str">
        <f t="shared" si="6"/>
        <v>Apr-26</v>
      </c>
      <c r="X1498" s="19">
        <f t="shared" si="7"/>
        <v>-72435.899999999994</v>
      </c>
      <c r="Y1498" s="19">
        <f t="shared" si="8"/>
        <v>-72.43589999999999</v>
      </c>
    </row>
    <row r="1499" spans="1:25" x14ac:dyDescent="0.25">
      <c r="A1499" s="1">
        <v>46128</v>
      </c>
      <c r="B1499" t="s">
        <v>1999</v>
      </c>
      <c r="C1499" t="s">
        <v>17</v>
      </c>
      <c r="D1499" t="s">
        <v>18</v>
      </c>
      <c r="E1499">
        <v>585</v>
      </c>
      <c r="F1499">
        <v>0</v>
      </c>
      <c r="G1499">
        <v>269.89999999999998</v>
      </c>
      <c r="H1499">
        <v>157891.5</v>
      </c>
      <c r="I1499" t="s">
        <v>2000</v>
      </c>
      <c r="J1499">
        <v>236.85</v>
      </c>
      <c r="K1499">
        <v>56.09</v>
      </c>
      <c r="L1499">
        <v>0</v>
      </c>
      <c r="M1499">
        <v>0.17</v>
      </c>
      <c r="N1499">
        <v>261</v>
      </c>
      <c r="O1499">
        <v>57.1</v>
      </c>
      <c r="P1499">
        <v>611.21</v>
      </c>
      <c r="Q1499" s="18">
        <f t="shared" si="0"/>
        <v>2026</v>
      </c>
      <c r="R1499" s="18">
        <f t="shared" si="1"/>
        <v>4</v>
      </c>
      <c r="S1499" s="18">
        <f t="shared" si="2"/>
        <v>2026</v>
      </c>
      <c r="T1499" s="18">
        <f t="shared" si="3"/>
        <v>1</v>
      </c>
      <c r="U1499" s="18" t="str">
        <f t="shared" si="4"/>
        <v>01</v>
      </c>
      <c r="V1499" s="18" t="str">
        <f t="shared" si="5"/>
        <v>202601</v>
      </c>
      <c r="W1499" s="18" t="str">
        <f t="shared" si="6"/>
        <v>Apr-26</v>
      </c>
      <c r="X1499" s="19">
        <f t="shared" si="7"/>
        <v>157280.29</v>
      </c>
      <c r="Y1499" s="19">
        <f t="shared" si="8"/>
        <v>157.28029000000001</v>
      </c>
    </row>
    <row r="1500" spans="1:25" x14ac:dyDescent="0.25">
      <c r="A1500" s="1">
        <v>46128</v>
      </c>
      <c r="B1500" t="s">
        <v>1999</v>
      </c>
      <c r="C1500" t="s">
        <v>17</v>
      </c>
      <c r="D1500" t="s">
        <v>22</v>
      </c>
      <c r="E1500">
        <v>325</v>
      </c>
      <c r="F1500">
        <v>0</v>
      </c>
      <c r="G1500">
        <v>261.49</v>
      </c>
      <c r="H1500">
        <v>84984.25</v>
      </c>
      <c r="I1500" t="s">
        <v>2001</v>
      </c>
      <c r="J1500">
        <v>0</v>
      </c>
      <c r="K1500">
        <v>30.2</v>
      </c>
      <c r="L1500">
        <v>0</v>
      </c>
      <c r="M1500">
        <v>0.1</v>
      </c>
      <c r="N1500">
        <v>145</v>
      </c>
      <c r="O1500">
        <v>31.6</v>
      </c>
      <c r="P1500">
        <v>206.9</v>
      </c>
      <c r="Q1500" s="18">
        <f t="shared" si="0"/>
        <v>2026</v>
      </c>
      <c r="R1500" s="18">
        <f t="shared" si="1"/>
        <v>4</v>
      </c>
      <c r="S1500" s="18">
        <f t="shared" si="2"/>
        <v>2026</v>
      </c>
      <c r="T1500" s="18">
        <f t="shared" si="3"/>
        <v>1</v>
      </c>
      <c r="U1500" s="18" t="str">
        <f t="shared" si="4"/>
        <v>01</v>
      </c>
      <c r="V1500" s="18" t="str">
        <f t="shared" si="5"/>
        <v>202601</v>
      </c>
      <c r="W1500" s="18" t="str">
        <f t="shared" si="6"/>
        <v>Apr-26</v>
      </c>
      <c r="X1500" s="19">
        <f t="shared" si="7"/>
        <v>-85191.15</v>
      </c>
      <c r="Y1500" s="19">
        <f t="shared" si="8"/>
        <v>-85.191149999999993</v>
      </c>
    </row>
    <row r="1501" spans="1:25" x14ac:dyDescent="0.25">
      <c r="A1501" s="1">
        <v>46128</v>
      </c>
      <c r="B1501" t="s">
        <v>1999</v>
      </c>
      <c r="C1501" t="s">
        <v>17</v>
      </c>
      <c r="D1501" t="s">
        <v>22</v>
      </c>
      <c r="E1501">
        <v>260</v>
      </c>
      <c r="F1501">
        <v>0</v>
      </c>
      <c r="G1501">
        <v>263.52999999999997</v>
      </c>
      <c r="H1501">
        <v>68516.5</v>
      </c>
      <c r="I1501" t="s">
        <v>2002</v>
      </c>
      <c r="J1501">
        <v>0</v>
      </c>
      <c r="K1501">
        <v>24.36</v>
      </c>
      <c r="L1501">
        <v>0</v>
      </c>
      <c r="M1501">
        <v>0.08</v>
      </c>
      <c r="N1501">
        <v>116</v>
      </c>
      <c r="O1501">
        <v>25.28</v>
      </c>
      <c r="P1501">
        <v>165.72</v>
      </c>
      <c r="Q1501" s="18">
        <f t="shared" si="0"/>
        <v>2026</v>
      </c>
      <c r="R1501" s="18">
        <f t="shared" si="1"/>
        <v>4</v>
      </c>
      <c r="S1501" s="18">
        <f t="shared" si="2"/>
        <v>2026</v>
      </c>
      <c r="T1501" s="18">
        <f t="shared" si="3"/>
        <v>1</v>
      </c>
      <c r="U1501" s="18" t="str">
        <f t="shared" si="4"/>
        <v>01</v>
      </c>
      <c r="V1501" s="18" t="str">
        <f t="shared" si="5"/>
        <v>202601</v>
      </c>
      <c r="W1501" s="18" t="str">
        <f t="shared" si="6"/>
        <v>Apr-26</v>
      </c>
      <c r="X1501" s="19">
        <f t="shared" si="7"/>
        <v>-68682.22</v>
      </c>
      <c r="Y1501" s="19">
        <f t="shared" si="8"/>
        <v>-68.682220000000001</v>
      </c>
    </row>
    <row r="1502" spans="1:25" x14ac:dyDescent="0.25">
      <c r="A1502" s="1">
        <v>46128</v>
      </c>
      <c r="B1502" t="s">
        <v>1999</v>
      </c>
      <c r="C1502" t="s">
        <v>17</v>
      </c>
      <c r="D1502" t="s">
        <v>18</v>
      </c>
      <c r="E1502">
        <v>195</v>
      </c>
      <c r="F1502">
        <v>0</v>
      </c>
      <c r="G1502">
        <v>228.85</v>
      </c>
      <c r="H1502">
        <v>44625.75</v>
      </c>
      <c r="I1502" t="s">
        <v>2003</v>
      </c>
      <c r="J1502">
        <v>66.94</v>
      </c>
      <c r="K1502">
        <v>15.86</v>
      </c>
      <c r="L1502">
        <v>0</v>
      </c>
      <c r="M1502">
        <v>0.04</v>
      </c>
      <c r="N1502">
        <v>87</v>
      </c>
      <c r="O1502">
        <v>18.52</v>
      </c>
      <c r="P1502">
        <v>188.36</v>
      </c>
      <c r="Q1502" s="18">
        <f t="shared" si="0"/>
        <v>2026</v>
      </c>
      <c r="R1502" s="18">
        <f t="shared" si="1"/>
        <v>4</v>
      </c>
      <c r="S1502" s="18">
        <f t="shared" si="2"/>
        <v>2026</v>
      </c>
      <c r="T1502" s="18">
        <f t="shared" si="3"/>
        <v>1</v>
      </c>
      <c r="U1502" s="18" t="str">
        <f t="shared" si="4"/>
        <v>01</v>
      </c>
      <c r="V1502" s="18" t="str">
        <f t="shared" si="5"/>
        <v>202601</v>
      </c>
      <c r="W1502" s="18" t="str">
        <f t="shared" si="6"/>
        <v>Apr-26</v>
      </c>
      <c r="X1502" s="19">
        <f t="shared" si="7"/>
        <v>44437.39</v>
      </c>
      <c r="Y1502" s="19">
        <f t="shared" si="8"/>
        <v>44.437390000000001</v>
      </c>
    </row>
    <row r="1503" spans="1:25" x14ac:dyDescent="0.25">
      <c r="A1503" s="1">
        <v>46128</v>
      </c>
      <c r="B1503" t="s">
        <v>1999</v>
      </c>
      <c r="C1503" t="s">
        <v>17</v>
      </c>
      <c r="D1503" t="s">
        <v>18</v>
      </c>
      <c r="E1503">
        <v>650</v>
      </c>
      <c r="F1503">
        <v>0</v>
      </c>
      <c r="G1503">
        <v>209.9</v>
      </c>
      <c r="H1503">
        <v>136435</v>
      </c>
      <c r="I1503" t="s">
        <v>2004</v>
      </c>
      <c r="J1503">
        <v>204.67</v>
      </c>
      <c r="K1503">
        <v>48.49</v>
      </c>
      <c r="L1503">
        <v>0</v>
      </c>
      <c r="M1503">
        <v>0.13</v>
      </c>
      <c r="N1503">
        <v>290</v>
      </c>
      <c r="O1503">
        <v>60.98</v>
      </c>
      <c r="P1503">
        <v>604.27</v>
      </c>
      <c r="Q1503" s="18">
        <f t="shared" si="0"/>
        <v>2026</v>
      </c>
      <c r="R1503" s="18">
        <f t="shared" si="1"/>
        <v>4</v>
      </c>
      <c r="S1503" s="18">
        <f t="shared" si="2"/>
        <v>2026</v>
      </c>
      <c r="T1503" s="18">
        <f t="shared" si="3"/>
        <v>1</v>
      </c>
      <c r="U1503" s="18" t="str">
        <f t="shared" si="4"/>
        <v>01</v>
      </c>
      <c r="V1503" s="18" t="str">
        <f t="shared" si="5"/>
        <v>202601</v>
      </c>
      <c r="W1503" s="18" t="str">
        <f t="shared" si="6"/>
        <v>Apr-26</v>
      </c>
      <c r="X1503" s="19">
        <f t="shared" si="7"/>
        <v>135830.73000000001</v>
      </c>
      <c r="Y1503" s="19">
        <f t="shared" si="8"/>
        <v>135.83073000000002</v>
      </c>
    </row>
    <row r="1504" spans="1:25" x14ac:dyDescent="0.25">
      <c r="A1504" s="1">
        <v>46128</v>
      </c>
      <c r="B1504" t="s">
        <v>1999</v>
      </c>
      <c r="C1504" t="s">
        <v>17</v>
      </c>
      <c r="D1504" t="s">
        <v>22</v>
      </c>
      <c r="E1504">
        <v>195</v>
      </c>
      <c r="F1504">
        <v>0</v>
      </c>
      <c r="G1504">
        <v>186.35</v>
      </c>
      <c r="H1504">
        <v>36338.25</v>
      </c>
      <c r="I1504" t="s">
        <v>2005</v>
      </c>
      <c r="J1504">
        <v>0</v>
      </c>
      <c r="K1504">
        <v>12.91</v>
      </c>
      <c r="L1504">
        <v>9.84</v>
      </c>
      <c r="M1504">
        <v>0.04</v>
      </c>
      <c r="N1504">
        <v>87</v>
      </c>
      <c r="O1504">
        <v>18</v>
      </c>
      <c r="P1504">
        <v>127.79</v>
      </c>
      <c r="Q1504" s="18">
        <f t="shared" si="0"/>
        <v>2026</v>
      </c>
      <c r="R1504" s="18">
        <f t="shared" si="1"/>
        <v>4</v>
      </c>
      <c r="S1504" s="18">
        <f t="shared" si="2"/>
        <v>2026</v>
      </c>
      <c r="T1504" s="18">
        <f t="shared" si="3"/>
        <v>1</v>
      </c>
      <c r="U1504" s="18" t="str">
        <f t="shared" si="4"/>
        <v>01</v>
      </c>
      <c r="V1504" s="18" t="str">
        <f t="shared" si="5"/>
        <v>202601</v>
      </c>
      <c r="W1504" s="18" t="str">
        <f t="shared" si="6"/>
        <v>Apr-26</v>
      </c>
      <c r="X1504" s="19">
        <f t="shared" si="7"/>
        <v>-36466.04</v>
      </c>
      <c r="Y1504" s="19">
        <f t="shared" si="8"/>
        <v>-36.46604</v>
      </c>
    </row>
    <row r="1505" spans="1:25" x14ac:dyDescent="0.25">
      <c r="A1505" s="1">
        <v>46128</v>
      </c>
      <c r="B1505" t="s">
        <v>1999</v>
      </c>
      <c r="C1505" t="s">
        <v>17</v>
      </c>
      <c r="D1505" t="s">
        <v>22</v>
      </c>
      <c r="E1505">
        <v>650</v>
      </c>
      <c r="F1505">
        <v>0</v>
      </c>
      <c r="G1505">
        <v>193.17</v>
      </c>
      <c r="H1505">
        <v>125557.25</v>
      </c>
      <c r="I1505" t="s">
        <v>2006</v>
      </c>
      <c r="J1505">
        <v>0</v>
      </c>
      <c r="K1505">
        <v>44.6</v>
      </c>
      <c r="L1505">
        <v>0</v>
      </c>
      <c r="M1505">
        <v>0.11</v>
      </c>
      <c r="N1505">
        <v>290</v>
      </c>
      <c r="O1505">
        <v>60.22</v>
      </c>
      <c r="P1505">
        <v>394.93</v>
      </c>
      <c r="Q1505" s="18">
        <f t="shared" si="0"/>
        <v>2026</v>
      </c>
      <c r="R1505" s="18">
        <f t="shared" si="1"/>
        <v>4</v>
      </c>
      <c r="S1505" s="18">
        <f t="shared" si="2"/>
        <v>2026</v>
      </c>
      <c r="T1505" s="18">
        <f t="shared" si="3"/>
        <v>1</v>
      </c>
      <c r="U1505" s="18" t="str">
        <f t="shared" si="4"/>
        <v>01</v>
      </c>
      <c r="V1505" s="18" t="str">
        <f t="shared" si="5"/>
        <v>202601</v>
      </c>
      <c r="W1505" s="18" t="str">
        <f t="shared" si="6"/>
        <v>Apr-26</v>
      </c>
      <c r="X1505" s="19">
        <f t="shared" si="7"/>
        <v>-125952.18</v>
      </c>
      <c r="Y1505" s="19">
        <f t="shared" si="8"/>
        <v>-125.95218</v>
      </c>
    </row>
    <row r="1506" spans="1:25" x14ac:dyDescent="0.25">
      <c r="A1506" s="1">
        <v>46128</v>
      </c>
      <c r="B1506" t="s">
        <v>2007</v>
      </c>
      <c r="C1506" t="s">
        <v>17</v>
      </c>
      <c r="D1506" t="s">
        <v>18</v>
      </c>
      <c r="E1506">
        <v>975</v>
      </c>
      <c r="F1506">
        <v>0</v>
      </c>
      <c r="G1506">
        <v>170.15</v>
      </c>
      <c r="H1506">
        <v>165899.5</v>
      </c>
      <c r="I1506" t="s">
        <v>2008</v>
      </c>
      <c r="J1506">
        <v>248.57</v>
      </c>
      <c r="K1506">
        <v>58.94</v>
      </c>
      <c r="L1506">
        <v>0</v>
      </c>
      <c r="M1506">
        <v>0.16</v>
      </c>
      <c r="N1506">
        <v>435</v>
      </c>
      <c r="O1506">
        <v>88.92</v>
      </c>
      <c r="P1506">
        <v>831.59</v>
      </c>
      <c r="Q1506" s="18">
        <f t="shared" si="0"/>
        <v>2026</v>
      </c>
      <c r="R1506" s="18">
        <f t="shared" si="1"/>
        <v>4</v>
      </c>
      <c r="S1506" s="18">
        <f t="shared" si="2"/>
        <v>2026</v>
      </c>
      <c r="T1506" s="18">
        <f t="shared" si="3"/>
        <v>1</v>
      </c>
      <c r="U1506" s="18" t="str">
        <f t="shared" si="4"/>
        <v>01</v>
      </c>
      <c r="V1506" s="18" t="str">
        <f t="shared" si="5"/>
        <v>202601</v>
      </c>
      <c r="W1506" s="18" t="str">
        <f t="shared" si="6"/>
        <v>Apr-26</v>
      </c>
      <c r="X1506" s="19">
        <f t="shared" si="7"/>
        <v>165067.91</v>
      </c>
      <c r="Y1506" s="19">
        <f t="shared" si="8"/>
        <v>165.06791000000001</v>
      </c>
    </row>
    <row r="1507" spans="1:25" x14ac:dyDescent="0.25">
      <c r="A1507" s="1">
        <v>46128</v>
      </c>
      <c r="B1507" t="s">
        <v>2007</v>
      </c>
      <c r="C1507" t="s">
        <v>17</v>
      </c>
      <c r="D1507" t="s">
        <v>22</v>
      </c>
      <c r="E1507">
        <v>325</v>
      </c>
      <c r="F1507">
        <v>0</v>
      </c>
      <c r="G1507">
        <v>169.75</v>
      </c>
      <c r="H1507">
        <v>55168.75</v>
      </c>
      <c r="I1507" t="s">
        <v>2009</v>
      </c>
      <c r="J1507">
        <v>0</v>
      </c>
      <c r="K1507">
        <v>19.600000000000001</v>
      </c>
      <c r="L1507">
        <v>5.16</v>
      </c>
      <c r="M1507">
        <v>0.06</v>
      </c>
      <c r="N1507">
        <v>145</v>
      </c>
      <c r="O1507">
        <v>29.64</v>
      </c>
      <c r="P1507">
        <v>199.46</v>
      </c>
      <c r="Q1507" s="18">
        <f t="shared" si="0"/>
        <v>2026</v>
      </c>
      <c r="R1507" s="18">
        <f t="shared" si="1"/>
        <v>4</v>
      </c>
      <c r="S1507" s="18">
        <f t="shared" si="2"/>
        <v>2026</v>
      </c>
      <c r="T1507" s="18">
        <f t="shared" si="3"/>
        <v>1</v>
      </c>
      <c r="U1507" s="18" t="str">
        <f t="shared" si="4"/>
        <v>01</v>
      </c>
      <c r="V1507" s="18" t="str">
        <f t="shared" si="5"/>
        <v>202601</v>
      </c>
      <c r="W1507" s="18" t="str">
        <f t="shared" si="6"/>
        <v>Apr-26</v>
      </c>
      <c r="X1507" s="19">
        <f t="shared" si="7"/>
        <v>-55368.21</v>
      </c>
      <c r="Y1507" s="19">
        <f t="shared" si="8"/>
        <v>-55.368209999999998</v>
      </c>
    </row>
    <row r="1508" spans="1:25" x14ac:dyDescent="0.25">
      <c r="A1508" s="1">
        <v>46128</v>
      </c>
      <c r="B1508" t="s">
        <v>2007</v>
      </c>
      <c r="C1508" t="s">
        <v>17</v>
      </c>
      <c r="D1508" t="s">
        <v>22</v>
      </c>
      <c r="E1508">
        <v>650</v>
      </c>
      <c r="F1508">
        <v>0</v>
      </c>
      <c r="G1508">
        <v>180</v>
      </c>
      <c r="H1508">
        <v>117000</v>
      </c>
      <c r="I1508" t="s">
        <v>2010</v>
      </c>
      <c r="J1508">
        <v>0</v>
      </c>
      <c r="K1508">
        <v>41.58</v>
      </c>
      <c r="L1508">
        <v>0</v>
      </c>
      <c r="M1508">
        <v>0.12</v>
      </c>
      <c r="N1508">
        <v>290</v>
      </c>
      <c r="O1508">
        <v>59.74</v>
      </c>
      <c r="P1508">
        <v>391.44</v>
      </c>
      <c r="Q1508" s="18">
        <f t="shared" si="0"/>
        <v>2026</v>
      </c>
      <c r="R1508" s="18">
        <f t="shared" si="1"/>
        <v>4</v>
      </c>
      <c r="S1508" s="18">
        <f t="shared" si="2"/>
        <v>2026</v>
      </c>
      <c r="T1508" s="18">
        <f t="shared" si="3"/>
        <v>1</v>
      </c>
      <c r="U1508" s="18" t="str">
        <f t="shared" si="4"/>
        <v>01</v>
      </c>
      <c r="V1508" s="18" t="str">
        <f t="shared" si="5"/>
        <v>202601</v>
      </c>
      <c r="W1508" s="18" t="str">
        <f t="shared" si="6"/>
        <v>Apr-26</v>
      </c>
      <c r="X1508" s="19">
        <f t="shared" si="7"/>
        <v>-117391.44</v>
      </c>
      <c r="Y1508" s="19">
        <f t="shared" si="8"/>
        <v>-117.39144</v>
      </c>
    </row>
    <row r="1509" spans="1:25" x14ac:dyDescent="0.25">
      <c r="A1509" s="1">
        <v>46129</v>
      </c>
      <c r="B1509" t="s">
        <v>1993</v>
      </c>
      <c r="C1509" t="s">
        <v>17</v>
      </c>
      <c r="D1509" t="s">
        <v>18</v>
      </c>
      <c r="E1509">
        <v>585</v>
      </c>
      <c r="F1509">
        <v>0</v>
      </c>
      <c r="G1509">
        <v>221.4</v>
      </c>
      <c r="H1509">
        <v>129519</v>
      </c>
      <c r="I1509" t="s">
        <v>1994</v>
      </c>
      <c r="J1509">
        <v>194.28</v>
      </c>
      <c r="K1509">
        <v>46.02</v>
      </c>
      <c r="L1509">
        <v>0</v>
      </c>
      <c r="M1509">
        <v>0.13</v>
      </c>
      <c r="N1509">
        <v>261</v>
      </c>
      <c r="O1509">
        <v>55.28</v>
      </c>
      <c r="P1509">
        <v>556.71</v>
      </c>
      <c r="Q1509" s="18">
        <f t="shared" si="0"/>
        <v>2026</v>
      </c>
      <c r="R1509" s="18">
        <f t="shared" si="1"/>
        <v>4</v>
      </c>
      <c r="S1509" s="18">
        <f t="shared" si="2"/>
        <v>2026</v>
      </c>
      <c r="T1509" s="18">
        <f t="shared" si="3"/>
        <v>1</v>
      </c>
      <c r="U1509" s="18" t="str">
        <f t="shared" si="4"/>
        <v>01</v>
      </c>
      <c r="V1509" s="18" t="str">
        <f t="shared" si="5"/>
        <v>202601</v>
      </c>
      <c r="W1509" s="18" t="str">
        <f t="shared" si="6"/>
        <v>Apr-26</v>
      </c>
      <c r="X1509" s="19">
        <f t="shared" si="7"/>
        <v>128962.29</v>
      </c>
      <c r="Y1509" s="19">
        <f t="shared" si="8"/>
        <v>128.96229</v>
      </c>
    </row>
    <row r="1510" spans="1:25" x14ac:dyDescent="0.25">
      <c r="A1510" s="1">
        <v>46129</v>
      </c>
      <c r="B1510" t="s">
        <v>1993</v>
      </c>
      <c r="C1510" t="s">
        <v>17</v>
      </c>
      <c r="D1510" t="s">
        <v>18</v>
      </c>
      <c r="E1510">
        <v>130</v>
      </c>
      <c r="F1510">
        <v>0</v>
      </c>
      <c r="G1510">
        <v>229.9</v>
      </c>
      <c r="H1510">
        <v>29887</v>
      </c>
      <c r="I1510" t="s">
        <v>1995</v>
      </c>
      <c r="J1510">
        <v>44.83</v>
      </c>
      <c r="K1510">
        <v>10.62</v>
      </c>
      <c r="L1510">
        <v>0</v>
      </c>
      <c r="M1510">
        <v>0.03</v>
      </c>
      <c r="N1510">
        <v>58</v>
      </c>
      <c r="O1510">
        <v>12.36</v>
      </c>
      <c r="P1510">
        <v>125.84</v>
      </c>
      <c r="Q1510" s="18">
        <f t="shared" si="0"/>
        <v>2026</v>
      </c>
      <c r="R1510" s="18">
        <f t="shared" si="1"/>
        <v>4</v>
      </c>
      <c r="S1510" s="18">
        <f t="shared" si="2"/>
        <v>2026</v>
      </c>
      <c r="T1510" s="18">
        <f t="shared" si="3"/>
        <v>1</v>
      </c>
      <c r="U1510" s="18" t="str">
        <f t="shared" si="4"/>
        <v>01</v>
      </c>
      <c r="V1510" s="18" t="str">
        <f t="shared" si="5"/>
        <v>202601</v>
      </c>
      <c r="W1510" s="18" t="str">
        <f t="shared" si="6"/>
        <v>Apr-26</v>
      </c>
      <c r="X1510" s="19">
        <f t="shared" si="7"/>
        <v>29761.16</v>
      </c>
      <c r="Y1510" s="19">
        <f t="shared" si="8"/>
        <v>29.76116</v>
      </c>
    </row>
    <row r="1511" spans="1:25" x14ac:dyDescent="0.25">
      <c r="A1511" s="1">
        <v>46129</v>
      </c>
      <c r="B1511" t="s">
        <v>1993</v>
      </c>
      <c r="C1511" t="s">
        <v>17</v>
      </c>
      <c r="D1511" t="s">
        <v>18</v>
      </c>
      <c r="E1511">
        <v>65</v>
      </c>
      <c r="F1511">
        <v>0</v>
      </c>
      <c r="G1511">
        <v>229.9</v>
      </c>
      <c r="H1511">
        <v>14943.5</v>
      </c>
      <c r="I1511" t="s">
        <v>1996</v>
      </c>
      <c r="J1511">
        <v>22.89</v>
      </c>
      <c r="K1511">
        <v>5.31</v>
      </c>
      <c r="L1511">
        <v>0</v>
      </c>
      <c r="M1511">
        <v>0.01</v>
      </c>
      <c r="N1511">
        <v>29</v>
      </c>
      <c r="O1511">
        <v>6.18</v>
      </c>
      <c r="P1511">
        <v>63.39</v>
      </c>
      <c r="Q1511" s="18">
        <f t="shared" si="0"/>
        <v>2026</v>
      </c>
      <c r="R1511" s="18">
        <f t="shared" si="1"/>
        <v>4</v>
      </c>
      <c r="S1511" s="18">
        <f t="shared" si="2"/>
        <v>2026</v>
      </c>
      <c r="T1511" s="18">
        <f t="shared" si="3"/>
        <v>1</v>
      </c>
      <c r="U1511" s="18" t="str">
        <f t="shared" si="4"/>
        <v>01</v>
      </c>
      <c r="V1511" s="18" t="str">
        <f t="shared" si="5"/>
        <v>202601</v>
      </c>
      <c r="W1511" s="18" t="str">
        <f t="shared" si="6"/>
        <v>Apr-26</v>
      </c>
      <c r="X1511" s="19">
        <f t="shared" si="7"/>
        <v>14880.11</v>
      </c>
      <c r="Y1511" s="19">
        <f t="shared" si="8"/>
        <v>14.88011</v>
      </c>
    </row>
    <row r="1512" spans="1:25" x14ac:dyDescent="0.25">
      <c r="A1512" s="1">
        <v>46129</v>
      </c>
      <c r="B1512" t="s">
        <v>1993</v>
      </c>
      <c r="C1512" t="s">
        <v>17</v>
      </c>
      <c r="D1512" t="s">
        <v>22</v>
      </c>
      <c r="E1512">
        <v>130</v>
      </c>
      <c r="F1512">
        <v>0</v>
      </c>
      <c r="G1512">
        <v>202.5</v>
      </c>
      <c r="H1512">
        <v>26325</v>
      </c>
      <c r="I1512" t="s">
        <v>1997</v>
      </c>
      <c r="J1512">
        <v>0</v>
      </c>
      <c r="K1512">
        <v>9.35</v>
      </c>
      <c r="L1512">
        <v>0</v>
      </c>
      <c r="M1512">
        <v>0.03</v>
      </c>
      <c r="N1512">
        <v>58</v>
      </c>
      <c r="O1512">
        <v>12.12</v>
      </c>
      <c r="P1512">
        <v>79.5</v>
      </c>
      <c r="Q1512" s="18">
        <f t="shared" si="0"/>
        <v>2026</v>
      </c>
      <c r="R1512" s="18">
        <f t="shared" si="1"/>
        <v>4</v>
      </c>
      <c r="S1512" s="18">
        <f t="shared" si="2"/>
        <v>2026</v>
      </c>
      <c r="T1512" s="18">
        <f t="shared" si="3"/>
        <v>1</v>
      </c>
      <c r="U1512" s="18" t="str">
        <f t="shared" si="4"/>
        <v>01</v>
      </c>
      <c r="V1512" s="18" t="str">
        <f t="shared" si="5"/>
        <v>202601</v>
      </c>
      <c r="W1512" s="18" t="str">
        <f t="shared" si="6"/>
        <v>Apr-26</v>
      </c>
      <c r="X1512" s="19">
        <f t="shared" si="7"/>
        <v>-26404.5</v>
      </c>
      <c r="Y1512" s="19">
        <f t="shared" si="8"/>
        <v>-26.404499999999999</v>
      </c>
    </row>
    <row r="1513" spans="1:25" x14ac:dyDescent="0.25">
      <c r="A1513" s="1">
        <v>46129</v>
      </c>
      <c r="B1513" t="s">
        <v>1993</v>
      </c>
      <c r="C1513" t="s">
        <v>17</v>
      </c>
      <c r="D1513" t="s">
        <v>22</v>
      </c>
      <c r="E1513">
        <v>650</v>
      </c>
      <c r="F1513">
        <v>0</v>
      </c>
      <c r="G1513">
        <v>220.75</v>
      </c>
      <c r="H1513">
        <v>143487.5</v>
      </c>
      <c r="I1513" t="s">
        <v>1998</v>
      </c>
      <c r="J1513">
        <v>0</v>
      </c>
      <c r="K1513">
        <v>50.98</v>
      </c>
      <c r="L1513">
        <v>5</v>
      </c>
      <c r="M1513">
        <v>0.13</v>
      </c>
      <c r="N1513">
        <v>290</v>
      </c>
      <c r="O1513">
        <v>61.4</v>
      </c>
      <c r="P1513">
        <v>407.51</v>
      </c>
      <c r="Q1513" s="18">
        <f t="shared" si="0"/>
        <v>2026</v>
      </c>
      <c r="R1513" s="18">
        <f t="shared" si="1"/>
        <v>4</v>
      </c>
      <c r="S1513" s="18">
        <f t="shared" si="2"/>
        <v>2026</v>
      </c>
      <c r="T1513" s="18">
        <f t="shared" si="3"/>
        <v>1</v>
      </c>
      <c r="U1513" s="18" t="str">
        <f t="shared" si="4"/>
        <v>01</v>
      </c>
      <c r="V1513" s="18" t="str">
        <f t="shared" si="5"/>
        <v>202601</v>
      </c>
      <c r="W1513" s="18" t="str">
        <f t="shared" si="6"/>
        <v>Apr-26</v>
      </c>
      <c r="X1513" s="19">
        <f t="shared" si="7"/>
        <v>-143895.01</v>
      </c>
      <c r="Y1513" s="19">
        <f t="shared" si="8"/>
        <v>-143.89501000000001</v>
      </c>
    </row>
    <row r="1514" spans="1:25" x14ac:dyDescent="0.25">
      <c r="A1514" s="1">
        <v>46132</v>
      </c>
      <c r="B1514" t="s">
        <v>1984</v>
      </c>
      <c r="C1514" t="s">
        <v>17</v>
      </c>
      <c r="D1514" t="s">
        <v>18</v>
      </c>
      <c r="E1514">
        <v>1040</v>
      </c>
      <c r="F1514">
        <v>0</v>
      </c>
      <c r="G1514">
        <v>81.2</v>
      </c>
      <c r="H1514">
        <v>84448</v>
      </c>
      <c r="I1514" t="s">
        <v>1985</v>
      </c>
      <c r="J1514">
        <v>126.67</v>
      </c>
      <c r="K1514">
        <v>30.01</v>
      </c>
      <c r="L1514">
        <v>0</v>
      </c>
      <c r="M1514">
        <v>0.09</v>
      </c>
      <c r="N1514">
        <v>464</v>
      </c>
      <c r="O1514">
        <v>88.94</v>
      </c>
      <c r="P1514">
        <v>709.71</v>
      </c>
      <c r="Q1514" s="18">
        <f t="shared" si="0"/>
        <v>2026</v>
      </c>
      <c r="R1514" s="18">
        <f t="shared" si="1"/>
        <v>4</v>
      </c>
      <c r="S1514" s="18">
        <f t="shared" si="2"/>
        <v>2026</v>
      </c>
      <c r="T1514" s="18">
        <f t="shared" si="3"/>
        <v>1</v>
      </c>
      <c r="U1514" s="18" t="str">
        <f t="shared" si="4"/>
        <v>01</v>
      </c>
      <c r="V1514" s="18" t="str">
        <f t="shared" si="5"/>
        <v>202601</v>
      </c>
      <c r="W1514" s="18" t="str">
        <f t="shared" si="6"/>
        <v>Apr-26</v>
      </c>
      <c r="X1514" s="19">
        <f t="shared" si="7"/>
        <v>83738.289999999994</v>
      </c>
      <c r="Y1514" s="19">
        <f t="shared" si="8"/>
        <v>83.738289999999992</v>
      </c>
    </row>
    <row r="1515" spans="1:25" x14ac:dyDescent="0.25">
      <c r="A1515" s="1">
        <v>46132</v>
      </c>
      <c r="B1515" t="s">
        <v>1984</v>
      </c>
      <c r="C1515" t="s">
        <v>17</v>
      </c>
      <c r="D1515" t="s">
        <v>22</v>
      </c>
      <c r="E1515">
        <v>260</v>
      </c>
      <c r="F1515">
        <v>0</v>
      </c>
      <c r="G1515">
        <v>121.25</v>
      </c>
      <c r="H1515">
        <v>31525</v>
      </c>
      <c r="I1515" t="s">
        <v>1986</v>
      </c>
      <c r="J1515">
        <v>0</v>
      </c>
      <c r="K1515">
        <v>11.2</v>
      </c>
      <c r="L1515">
        <v>0</v>
      </c>
      <c r="M1515">
        <v>0.03</v>
      </c>
      <c r="N1515">
        <v>116</v>
      </c>
      <c r="O1515">
        <v>22.9</v>
      </c>
      <c r="P1515">
        <v>150.13</v>
      </c>
      <c r="Q1515" s="18">
        <f t="shared" si="0"/>
        <v>2026</v>
      </c>
      <c r="R1515" s="18">
        <f t="shared" si="1"/>
        <v>4</v>
      </c>
      <c r="S1515" s="18">
        <f t="shared" si="2"/>
        <v>2026</v>
      </c>
      <c r="T1515" s="18">
        <f t="shared" si="3"/>
        <v>1</v>
      </c>
      <c r="U1515" s="18" t="str">
        <f t="shared" si="4"/>
        <v>01</v>
      </c>
      <c r="V1515" s="18" t="str">
        <f t="shared" si="5"/>
        <v>202601</v>
      </c>
      <c r="W1515" s="18" t="str">
        <f t="shared" si="6"/>
        <v>Apr-26</v>
      </c>
      <c r="X1515" s="19">
        <f t="shared" si="7"/>
        <v>-31675.13</v>
      </c>
      <c r="Y1515" s="19">
        <f t="shared" si="8"/>
        <v>-31.675129999999999</v>
      </c>
    </row>
    <row r="1516" spans="1:25" x14ac:dyDescent="0.25">
      <c r="A1516" s="1">
        <v>46132</v>
      </c>
      <c r="B1516" t="s">
        <v>1984</v>
      </c>
      <c r="C1516" t="s">
        <v>17</v>
      </c>
      <c r="D1516" t="s">
        <v>22</v>
      </c>
      <c r="E1516">
        <v>780</v>
      </c>
      <c r="F1516">
        <v>0</v>
      </c>
      <c r="G1516">
        <v>121.25</v>
      </c>
      <c r="H1516">
        <v>94575</v>
      </c>
      <c r="I1516" t="s">
        <v>1987</v>
      </c>
      <c r="J1516">
        <v>0</v>
      </c>
      <c r="K1516">
        <v>33.6</v>
      </c>
      <c r="L1516">
        <v>3.78</v>
      </c>
      <c r="M1516">
        <v>0.1</v>
      </c>
      <c r="N1516">
        <v>348</v>
      </c>
      <c r="O1516">
        <v>68.7</v>
      </c>
      <c r="P1516">
        <v>454.18</v>
      </c>
      <c r="Q1516" s="18">
        <f t="shared" si="0"/>
        <v>2026</v>
      </c>
      <c r="R1516" s="18">
        <f t="shared" si="1"/>
        <v>4</v>
      </c>
      <c r="S1516" s="18">
        <f t="shared" si="2"/>
        <v>2026</v>
      </c>
      <c r="T1516" s="18">
        <f t="shared" si="3"/>
        <v>1</v>
      </c>
      <c r="U1516" s="18" t="str">
        <f t="shared" si="4"/>
        <v>01</v>
      </c>
      <c r="V1516" s="18" t="str">
        <f t="shared" si="5"/>
        <v>202601</v>
      </c>
      <c r="W1516" s="18" t="str">
        <f t="shared" si="6"/>
        <v>Apr-26</v>
      </c>
      <c r="X1516" s="19">
        <f t="shared" si="7"/>
        <v>-95029.18</v>
      </c>
      <c r="Y1516" s="19">
        <f t="shared" si="8"/>
        <v>-95.029179999999997</v>
      </c>
    </row>
    <row r="1517" spans="1:25" x14ac:dyDescent="0.25">
      <c r="A1517" s="1">
        <v>46132</v>
      </c>
      <c r="B1517" t="s">
        <v>1988</v>
      </c>
      <c r="C1517" t="s">
        <v>17</v>
      </c>
      <c r="D1517" t="s">
        <v>18</v>
      </c>
      <c r="E1517">
        <v>1040</v>
      </c>
      <c r="F1517">
        <v>0</v>
      </c>
      <c r="G1517">
        <v>100.9</v>
      </c>
      <c r="H1517">
        <v>104936</v>
      </c>
      <c r="I1517" t="s">
        <v>1989</v>
      </c>
      <c r="J1517">
        <v>157.33000000000001</v>
      </c>
      <c r="K1517">
        <v>37.28</v>
      </c>
      <c r="L1517">
        <v>0</v>
      </c>
      <c r="M1517">
        <v>0.1</v>
      </c>
      <c r="N1517">
        <v>464</v>
      </c>
      <c r="O1517">
        <v>90.24</v>
      </c>
      <c r="P1517">
        <v>748.95</v>
      </c>
      <c r="Q1517" s="18">
        <f t="shared" si="0"/>
        <v>2026</v>
      </c>
      <c r="R1517" s="18">
        <f t="shared" si="1"/>
        <v>4</v>
      </c>
      <c r="S1517" s="18">
        <f t="shared" si="2"/>
        <v>2026</v>
      </c>
      <c r="T1517" s="18">
        <f t="shared" si="3"/>
        <v>1</v>
      </c>
      <c r="U1517" s="18" t="str">
        <f t="shared" si="4"/>
        <v>01</v>
      </c>
      <c r="V1517" s="18" t="str">
        <f t="shared" si="5"/>
        <v>202601</v>
      </c>
      <c r="W1517" s="18" t="str">
        <f t="shared" si="6"/>
        <v>Apr-26</v>
      </c>
      <c r="X1517" s="19">
        <f t="shared" si="7"/>
        <v>104187.05</v>
      </c>
      <c r="Y1517" s="19">
        <f t="shared" si="8"/>
        <v>104.18705</v>
      </c>
    </row>
    <row r="1518" spans="1:25" x14ac:dyDescent="0.25">
      <c r="A1518" s="1">
        <v>46132</v>
      </c>
      <c r="B1518" t="s">
        <v>1988</v>
      </c>
      <c r="C1518" t="s">
        <v>17</v>
      </c>
      <c r="D1518" t="s">
        <v>22</v>
      </c>
      <c r="E1518">
        <v>195</v>
      </c>
      <c r="F1518">
        <v>0</v>
      </c>
      <c r="G1518">
        <v>152.27000000000001</v>
      </c>
      <c r="H1518">
        <v>29692</v>
      </c>
      <c r="I1518" t="s">
        <v>1990</v>
      </c>
      <c r="J1518">
        <v>0</v>
      </c>
      <c r="K1518">
        <v>10.56</v>
      </c>
      <c r="L1518">
        <v>0</v>
      </c>
      <c r="M1518">
        <v>0.03</v>
      </c>
      <c r="N1518">
        <v>87</v>
      </c>
      <c r="O1518">
        <v>17.579999999999998</v>
      </c>
      <c r="P1518">
        <v>115.17</v>
      </c>
      <c r="Q1518" s="18">
        <f t="shared" si="0"/>
        <v>2026</v>
      </c>
      <c r="R1518" s="18">
        <f t="shared" si="1"/>
        <v>4</v>
      </c>
      <c r="S1518" s="18">
        <f t="shared" si="2"/>
        <v>2026</v>
      </c>
      <c r="T1518" s="18">
        <f t="shared" si="3"/>
        <v>1</v>
      </c>
      <c r="U1518" s="18" t="str">
        <f t="shared" si="4"/>
        <v>01</v>
      </c>
      <c r="V1518" s="18" t="str">
        <f t="shared" si="5"/>
        <v>202601</v>
      </c>
      <c r="W1518" s="18" t="str">
        <f t="shared" si="6"/>
        <v>Apr-26</v>
      </c>
      <c r="X1518" s="19">
        <f t="shared" si="7"/>
        <v>-29807.17</v>
      </c>
      <c r="Y1518" s="19">
        <f t="shared" si="8"/>
        <v>-29.807169999999999</v>
      </c>
    </row>
    <row r="1519" spans="1:25" x14ac:dyDescent="0.25">
      <c r="A1519" s="1">
        <v>46132</v>
      </c>
      <c r="B1519" t="s">
        <v>1988</v>
      </c>
      <c r="C1519" t="s">
        <v>17</v>
      </c>
      <c r="D1519" t="s">
        <v>22</v>
      </c>
      <c r="E1519">
        <v>585</v>
      </c>
      <c r="F1519">
        <v>0</v>
      </c>
      <c r="G1519">
        <v>157.47999999999999</v>
      </c>
      <c r="H1519">
        <v>92124.5</v>
      </c>
      <c r="I1519" t="s">
        <v>1991</v>
      </c>
      <c r="J1519">
        <v>0</v>
      </c>
      <c r="K1519">
        <v>32.729999999999997</v>
      </c>
      <c r="L1519">
        <v>5.22</v>
      </c>
      <c r="M1519">
        <v>0.09</v>
      </c>
      <c r="N1519">
        <v>261</v>
      </c>
      <c r="O1519">
        <v>52.92</v>
      </c>
      <c r="P1519">
        <v>351.96</v>
      </c>
      <c r="Q1519" s="18">
        <f t="shared" si="0"/>
        <v>2026</v>
      </c>
      <c r="R1519" s="18">
        <f t="shared" si="1"/>
        <v>4</v>
      </c>
      <c r="S1519" s="18">
        <f t="shared" si="2"/>
        <v>2026</v>
      </c>
      <c r="T1519" s="18">
        <f t="shared" si="3"/>
        <v>1</v>
      </c>
      <c r="U1519" s="18" t="str">
        <f t="shared" si="4"/>
        <v>01</v>
      </c>
      <c r="V1519" s="18" t="str">
        <f t="shared" si="5"/>
        <v>202601</v>
      </c>
      <c r="W1519" s="18" t="str">
        <f t="shared" si="6"/>
        <v>Apr-26</v>
      </c>
      <c r="X1519" s="19">
        <f t="shared" si="7"/>
        <v>-92476.46</v>
      </c>
      <c r="Y1519" s="19">
        <f t="shared" si="8"/>
        <v>-92.476460000000003</v>
      </c>
    </row>
    <row r="1520" spans="1:25" x14ac:dyDescent="0.25">
      <c r="A1520" s="1">
        <v>46132</v>
      </c>
      <c r="B1520" t="s">
        <v>1988</v>
      </c>
      <c r="C1520" t="s">
        <v>17</v>
      </c>
      <c r="D1520" t="s">
        <v>22</v>
      </c>
      <c r="E1520">
        <v>260</v>
      </c>
      <c r="F1520">
        <v>0</v>
      </c>
      <c r="G1520">
        <v>150.55000000000001</v>
      </c>
      <c r="H1520">
        <v>39143</v>
      </c>
      <c r="I1520" t="s">
        <v>1992</v>
      </c>
      <c r="J1520">
        <v>0</v>
      </c>
      <c r="K1520">
        <v>13.92</v>
      </c>
      <c r="L1520">
        <v>0</v>
      </c>
      <c r="M1520">
        <v>0.04</v>
      </c>
      <c r="N1520">
        <v>116</v>
      </c>
      <c r="O1520">
        <v>23.36</v>
      </c>
      <c r="P1520">
        <v>153.32</v>
      </c>
      <c r="Q1520" s="18">
        <f t="shared" si="0"/>
        <v>2026</v>
      </c>
      <c r="R1520" s="18">
        <f t="shared" si="1"/>
        <v>4</v>
      </c>
      <c r="S1520" s="18">
        <f t="shared" si="2"/>
        <v>2026</v>
      </c>
      <c r="T1520" s="18">
        <f t="shared" si="3"/>
        <v>1</v>
      </c>
      <c r="U1520" s="18" t="str">
        <f t="shared" si="4"/>
        <v>01</v>
      </c>
      <c r="V1520" s="18" t="str">
        <f t="shared" si="5"/>
        <v>202601</v>
      </c>
      <c r="W1520" s="18" t="str">
        <f t="shared" si="6"/>
        <v>Apr-26</v>
      </c>
      <c r="X1520" s="19">
        <f t="shared" si="7"/>
        <v>-39296.32</v>
      </c>
      <c r="Y1520" s="19">
        <f t="shared" si="8"/>
        <v>-39.296320000000001</v>
      </c>
    </row>
    <row r="1521" spans="1:25" x14ac:dyDescent="0.25">
      <c r="A1521" s="1">
        <v>46133</v>
      </c>
      <c r="B1521" t="s">
        <v>1975</v>
      </c>
      <c r="C1521" t="s">
        <v>17</v>
      </c>
      <c r="D1521" t="s">
        <v>18</v>
      </c>
      <c r="E1521">
        <v>1040</v>
      </c>
      <c r="F1521">
        <v>0</v>
      </c>
      <c r="G1521">
        <v>3.5</v>
      </c>
      <c r="H1521">
        <v>3640</v>
      </c>
      <c r="I1521" t="s">
        <v>1976</v>
      </c>
      <c r="J1521">
        <v>5.46</v>
      </c>
      <c r="K1521">
        <v>1.29</v>
      </c>
      <c r="L1521">
        <v>0</v>
      </c>
      <c r="M1521">
        <v>0</v>
      </c>
      <c r="N1521">
        <v>464</v>
      </c>
      <c r="O1521">
        <v>83.76</v>
      </c>
      <c r="P1521">
        <v>554.51</v>
      </c>
      <c r="Q1521" s="18">
        <f t="shared" si="0"/>
        <v>2026</v>
      </c>
      <c r="R1521" s="18">
        <f t="shared" si="1"/>
        <v>4</v>
      </c>
      <c r="S1521" s="18">
        <f t="shared" si="2"/>
        <v>2026</v>
      </c>
      <c r="T1521" s="18">
        <f t="shared" si="3"/>
        <v>1</v>
      </c>
      <c r="U1521" s="18" t="str">
        <f t="shared" si="4"/>
        <v>01</v>
      </c>
      <c r="V1521" s="18" t="str">
        <f t="shared" si="5"/>
        <v>202601</v>
      </c>
      <c r="W1521" s="18" t="str">
        <f t="shared" si="6"/>
        <v>Apr-26</v>
      </c>
      <c r="X1521" s="19">
        <f t="shared" si="7"/>
        <v>3085.49</v>
      </c>
      <c r="Y1521" s="19">
        <f t="shared" si="8"/>
        <v>3.0854899999999996</v>
      </c>
    </row>
    <row r="1522" spans="1:25" x14ac:dyDescent="0.25">
      <c r="A1522" s="1">
        <v>46133</v>
      </c>
      <c r="B1522" t="s">
        <v>1975</v>
      </c>
      <c r="C1522" t="s">
        <v>17</v>
      </c>
      <c r="D1522" t="s">
        <v>18</v>
      </c>
      <c r="E1522">
        <v>1040</v>
      </c>
      <c r="F1522">
        <v>0</v>
      </c>
      <c r="G1522">
        <v>4</v>
      </c>
      <c r="H1522">
        <v>4160</v>
      </c>
      <c r="I1522" t="s">
        <v>1977</v>
      </c>
      <c r="J1522">
        <v>6.24</v>
      </c>
      <c r="K1522">
        <v>1.48</v>
      </c>
      <c r="L1522">
        <v>0</v>
      </c>
      <c r="M1522">
        <v>0</v>
      </c>
      <c r="N1522">
        <v>464</v>
      </c>
      <c r="O1522">
        <v>83.78</v>
      </c>
      <c r="P1522">
        <v>555.5</v>
      </c>
      <c r="Q1522" s="18">
        <f t="shared" si="0"/>
        <v>2026</v>
      </c>
      <c r="R1522" s="18">
        <f t="shared" si="1"/>
        <v>4</v>
      </c>
      <c r="S1522" s="18">
        <f t="shared" si="2"/>
        <v>2026</v>
      </c>
      <c r="T1522" s="18">
        <f t="shared" si="3"/>
        <v>1</v>
      </c>
      <c r="U1522" s="18" t="str">
        <f t="shared" si="4"/>
        <v>01</v>
      </c>
      <c r="V1522" s="18" t="str">
        <f t="shared" si="5"/>
        <v>202601</v>
      </c>
      <c r="W1522" s="18" t="str">
        <f t="shared" si="6"/>
        <v>Apr-26</v>
      </c>
      <c r="X1522" s="19">
        <f t="shared" si="7"/>
        <v>3604.5</v>
      </c>
      <c r="Y1522" s="19">
        <f t="shared" si="8"/>
        <v>3.6044999999999998</v>
      </c>
    </row>
    <row r="1523" spans="1:25" x14ac:dyDescent="0.25">
      <c r="A1523" s="1">
        <v>46133</v>
      </c>
      <c r="B1523" t="s">
        <v>1975</v>
      </c>
      <c r="C1523" t="s">
        <v>17</v>
      </c>
      <c r="D1523" t="s">
        <v>18</v>
      </c>
      <c r="E1523">
        <v>1040</v>
      </c>
      <c r="F1523">
        <v>0</v>
      </c>
      <c r="G1523">
        <v>4</v>
      </c>
      <c r="H1523">
        <v>4160</v>
      </c>
      <c r="I1523" t="s">
        <v>1978</v>
      </c>
      <c r="J1523">
        <v>6.24</v>
      </c>
      <c r="K1523">
        <v>1.47</v>
      </c>
      <c r="L1523">
        <v>0</v>
      </c>
      <c r="M1523">
        <v>0</v>
      </c>
      <c r="N1523">
        <v>464</v>
      </c>
      <c r="O1523">
        <v>83.78</v>
      </c>
      <c r="P1523">
        <v>555.49</v>
      </c>
      <c r="Q1523" s="18">
        <f t="shared" si="0"/>
        <v>2026</v>
      </c>
      <c r="R1523" s="18">
        <f t="shared" si="1"/>
        <v>4</v>
      </c>
      <c r="S1523" s="18">
        <f t="shared" si="2"/>
        <v>2026</v>
      </c>
      <c r="T1523" s="18">
        <f t="shared" si="3"/>
        <v>1</v>
      </c>
      <c r="U1523" s="18" t="str">
        <f t="shared" si="4"/>
        <v>01</v>
      </c>
      <c r="V1523" s="18" t="str">
        <f t="shared" si="5"/>
        <v>202601</v>
      </c>
      <c r="W1523" s="18" t="str">
        <f t="shared" si="6"/>
        <v>Apr-26</v>
      </c>
      <c r="X1523" s="19">
        <f t="shared" si="7"/>
        <v>3604.51</v>
      </c>
      <c r="Y1523" s="19">
        <f t="shared" si="8"/>
        <v>3.6045100000000003</v>
      </c>
    </row>
    <row r="1524" spans="1:25" x14ac:dyDescent="0.25">
      <c r="A1524" s="1">
        <v>46133</v>
      </c>
      <c r="B1524" t="s">
        <v>1975</v>
      </c>
      <c r="C1524" t="s">
        <v>17</v>
      </c>
      <c r="D1524" t="s">
        <v>18</v>
      </c>
      <c r="E1524">
        <v>1040</v>
      </c>
      <c r="F1524">
        <v>0</v>
      </c>
      <c r="G1524">
        <v>4</v>
      </c>
      <c r="H1524">
        <v>4160</v>
      </c>
      <c r="I1524" t="s">
        <v>1979</v>
      </c>
      <c r="J1524">
        <v>6.06</v>
      </c>
      <c r="K1524">
        <v>1.48</v>
      </c>
      <c r="L1524">
        <v>0</v>
      </c>
      <c r="M1524">
        <v>0</v>
      </c>
      <c r="N1524">
        <v>464</v>
      </c>
      <c r="O1524">
        <v>83.78</v>
      </c>
      <c r="P1524">
        <v>555.32000000000005</v>
      </c>
      <c r="Q1524" s="18">
        <f t="shared" si="0"/>
        <v>2026</v>
      </c>
      <c r="R1524" s="18">
        <f t="shared" si="1"/>
        <v>4</v>
      </c>
      <c r="S1524" s="18">
        <f t="shared" si="2"/>
        <v>2026</v>
      </c>
      <c r="T1524" s="18">
        <f t="shared" si="3"/>
        <v>1</v>
      </c>
      <c r="U1524" s="18" t="str">
        <f t="shared" si="4"/>
        <v>01</v>
      </c>
      <c r="V1524" s="18" t="str">
        <f t="shared" si="5"/>
        <v>202601</v>
      </c>
      <c r="W1524" s="18" t="str">
        <f t="shared" si="6"/>
        <v>Apr-26</v>
      </c>
      <c r="X1524" s="19">
        <f t="shared" si="7"/>
        <v>3604.68</v>
      </c>
      <c r="Y1524" s="19">
        <f t="shared" si="8"/>
        <v>3.6046799999999997</v>
      </c>
    </row>
    <row r="1525" spans="1:25" x14ac:dyDescent="0.25">
      <c r="A1525" s="1">
        <v>46133</v>
      </c>
      <c r="B1525" t="s">
        <v>1975</v>
      </c>
      <c r="C1525" t="s">
        <v>17</v>
      </c>
      <c r="D1525" t="s">
        <v>22</v>
      </c>
      <c r="E1525">
        <v>1040</v>
      </c>
      <c r="F1525">
        <v>0</v>
      </c>
      <c r="G1525">
        <v>9</v>
      </c>
      <c r="H1525">
        <v>9360</v>
      </c>
      <c r="I1525" t="s">
        <v>1980</v>
      </c>
      <c r="J1525">
        <v>0</v>
      </c>
      <c r="K1525">
        <v>3.33</v>
      </c>
      <c r="L1525">
        <v>0</v>
      </c>
      <c r="M1525">
        <v>0</v>
      </c>
      <c r="N1525">
        <v>464</v>
      </c>
      <c r="O1525">
        <v>84.12</v>
      </c>
      <c r="P1525">
        <v>551.45000000000005</v>
      </c>
      <c r="Q1525" s="18">
        <f t="shared" si="0"/>
        <v>2026</v>
      </c>
      <c r="R1525" s="18">
        <f t="shared" si="1"/>
        <v>4</v>
      </c>
      <c r="S1525" s="18">
        <f t="shared" si="2"/>
        <v>2026</v>
      </c>
      <c r="T1525" s="18">
        <f t="shared" si="3"/>
        <v>1</v>
      </c>
      <c r="U1525" s="18" t="str">
        <f t="shared" si="4"/>
        <v>01</v>
      </c>
      <c r="V1525" s="18" t="str">
        <f t="shared" si="5"/>
        <v>202601</v>
      </c>
      <c r="W1525" s="18" t="str">
        <f t="shared" si="6"/>
        <v>Apr-26</v>
      </c>
      <c r="X1525" s="19">
        <f t="shared" si="7"/>
        <v>-9911.4500000000007</v>
      </c>
      <c r="Y1525" s="19">
        <f t="shared" si="8"/>
        <v>-9.9114500000000003</v>
      </c>
    </row>
    <row r="1526" spans="1:25" x14ac:dyDescent="0.25">
      <c r="A1526" s="1">
        <v>46133</v>
      </c>
      <c r="B1526" t="s">
        <v>1975</v>
      </c>
      <c r="C1526" t="s">
        <v>17</v>
      </c>
      <c r="D1526" t="s">
        <v>22</v>
      </c>
      <c r="E1526">
        <v>1040</v>
      </c>
      <c r="F1526">
        <v>0</v>
      </c>
      <c r="G1526">
        <v>20.05</v>
      </c>
      <c r="H1526">
        <v>20852</v>
      </c>
      <c r="I1526" t="s">
        <v>1981</v>
      </c>
      <c r="J1526">
        <v>0</v>
      </c>
      <c r="K1526">
        <v>7.41</v>
      </c>
      <c r="L1526">
        <v>4</v>
      </c>
      <c r="M1526">
        <v>0.02</v>
      </c>
      <c r="N1526">
        <v>464</v>
      </c>
      <c r="O1526">
        <v>84.86</v>
      </c>
      <c r="P1526">
        <v>560.29</v>
      </c>
      <c r="Q1526" s="18">
        <f t="shared" si="0"/>
        <v>2026</v>
      </c>
      <c r="R1526" s="18">
        <f t="shared" si="1"/>
        <v>4</v>
      </c>
      <c r="S1526" s="18">
        <f t="shared" si="2"/>
        <v>2026</v>
      </c>
      <c r="T1526" s="18">
        <f t="shared" si="3"/>
        <v>1</v>
      </c>
      <c r="U1526" s="18" t="str">
        <f t="shared" si="4"/>
        <v>01</v>
      </c>
      <c r="V1526" s="18" t="str">
        <f t="shared" si="5"/>
        <v>202601</v>
      </c>
      <c r="W1526" s="18" t="str">
        <f t="shared" si="6"/>
        <v>Apr-26</v>
      </c>
      <c r="X1526" s="19">
        <f t="shared" si="7"/>
        <v>-21412.29</v>
      </c>
      <c r="Y1526" s="19">
        <f t="shared" si="8"/>
        <v>-21.412290000000002</v>
      </c>
    </row>
    <row r="1527" spans="1:25" x14ac:dyDescent="0.25">
      <c r="A1527" s="1">
        <v>46133</v>
      </c>
      <c r="B1527" t="s">
        <v>1975</v>
      </c>
      <c r="C1527" t="s">
        <v>17</v>
      </c>
      <c r="D1527" t="s">
        <v>22</v>
      </c>
      <c r="E1527">
        <v>1040</v>
      </c>
      <c r="F1527">
        <v>0</v>
      </c>
      <c r="G1527">
        <v>39.549999999999997</v>
      </c>
      <c r="H1527">
        <v>41132</v>
      </c>
      <c r="I1527" t="s">
        <v>1982</v>
      </c>
      <c r="J1527">
        <v>0</v>
      </c>
      <c r="K1527">
        <v>14.62</v>
      </c>
      <c r="L1527">
        <v>0</v>
      </c>
      <c r="M1527">
        <v>0.05</v>
      </c>
      <c r="N1527">
        <v>464</v>
      </c>
      <c r="O1527">
        <v>86.18</v>
      </c>
      <c r="P1527">
        <v>564.85</v>
      </c>
      <c r="Q1527" s="18">
        <f t="shared" si="0"/>
        <v>2026</v>
      </c>
      <c r="R1527" s="18">
        <f t="shared" si="1"/>
        <v>4</v>
      </c>
      <c r="S1527" s="18">
        <f t="shared" si="2"/>
        <v>2026</v>
      </c>
      <c r="T1527" s="18">
        <f t="shared" si="3"/>
        <v>1</v>
      </c>
      <c r="U1527" s="18" t="str">
        <f t="shared" si="4"/>
        <v>01</v>
      </c>
      <c r="V1527" s="18" t="str">
        <f t="shared" si="5"/>
        <v>202601</v>
      </c>
      <c r="W1527" s="18" t="str">
        <f t="shared" si="6"/>
        <v>Apr-26</v>
      </c>
      <c r="X1527" s="19">
        <f t="shared" si="7"/>
        <v>-41696.85</v>
      </c>
      <c r="Y1527" s="19">
        <f t="shared" si="8"/>
        <v>-41.696849999999998</v>
      </c>
    </row>
    <row r="1528" spans="1:25" x14ac:dyDescent="0.25">
      <c r="A1528" s="1">
        <v>46133</v>
      </c>
      <c r="B1528" t="s">
        <v>1975</v>
      </c>
      <c r="C1528" t="s">
        <v>17</v>
      </c>
      <c r="D1528" t="s">
        <v>22</v>
      </c>
      <c r="E1528">
        <v>1040</v>
      </c>
      <c r="F1528">
        <v>0</v>
      </c>
      <c r="G1528">
        <v>67.430000000000007</v>
      </c>
      <c r="H1528">
        <v>70131.75</v>
      </c>
      <c r="I1528" t="s">
        <v>1983</v>
      </c>
      <c r="J1528">
        <v>0</v>
      </c>
      <c r="K1528">
        <v>24.93</v>
      </c>
      <c r="L1528">
        <v>0</v>
      </c>
      <c r="M1528">
        <v>0.06</v>
      </c>
      <c r="N1528">
        <v>464</v>
      </c>
      <c r="O1528">
        <v>88</v>
      </c>
      <c r="P1528">
        <v>576.99</v>
      </c>
      <c r="Q1528" s="18">
        <f t="shared" si="0"/>
        <v>2026</v>
      </c>
      <c r="R1528" s="18">
        <f t="shared" si="1"/>
        <v>4</v>
      </c>
      <c r="S1528" s="18">
        <f t="shared" si="2"/>
        <v>2026</v>
      </c>
      <c r="T1528" s="18">
        <f t="shared" si="3"/>
        <v>1</v>
      </c>
      <c r="U1528" s="18" t="str">
        <f t="shared" si="4"/>
        <v>01</v>
      </c>
      <c r="V1528" s="18" t="str">
        <f t="shared" si="5"/>
        <v>202601</v>
      </c>
      <c r="W1528" s="18" t="str">
        <f t="shared" si="6"/>
        <v>Apr-26</v>
      </c>
      <c r="X1528" s="19">
        <f t="shared" si="7"/>
        <v>-70708.740000000005</v>
      </c>
      <c r="Y1528" s="19">
        <f t="shared" si="8"/>
        <v>-70.708740000000006</v>
      </c>
    </row>
  </sheetData>
  <autoFilter ref="A1:Y1477" xr:uid="{00000000-0001-0000-0000-000000000000}">
    <sortState xmlns:xlrd2="http://schemas.microsoft.com/office/spreadsheetml/2017/richdata2" ref="A2:Y1528">
      <sortCondition ref="A1:A147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4DCE-624E-4A59-AF7E-0A48D428AF90}">
  <dimension ref="A1:U1001"/>
  <sheetViews>
    <sheetView workbookViewId="0">
      <selection activeCell="I4" sqref="I4"/>
    </sheetView>
  </sheetViews>
  <sheetFormatPr defaultRowHeight="15" x14ac:dyDescent="0.25"/>
  <cols>
    <col min="2" max="2" width="9.7109375" bestFit="1" customWidth="1"/>
    <col min="5" max="5" width="18.5703125" bestFit="1" customWidth="1"/>
    <col min="6" max="6" width="20.28515625" bestFit="1" customWidth="1"/>
    <col min="7" max="8" width="18.5703125" customWidth="1"/>
    <col min="9" max="9" width="29.85546875" bestFit="1" customWidth="1"/>
  </cols>
  <sheetData>
    <row r="1" spans="1:21" x14ac:dyDescent="0.25">
      <c r="A1" s="4" t="s">
        <v>963</v>
      </c>
      <c r="B1" s="4" t="s">
        <v>953</v>
      </c>
      <c r="C1" s="4" t="s">
        <v>964</v>
      </c>
      <c r="D1" s="4" t="s">
        <v>965</v>
      </c>
      <c r="E1" s="4" t="s">
        <v>954</v>
      </c>
      <c r="F1" s="4" t="s">
        <v>955</v>
      </c>
      <c r="G1" s="4" t="s">
        <v>956</v>
      </c>
      <c r="H1" s="4" t="s">
        <v>957</v>
      </c>
      <c r="I1" s="4" t="s">
        <v>967</v>
      </c>
      <c r="L1" t="s">
        <v>962</v>
      </c>
      <c r="M1">
        <f>SUM(D:D)</f>
        <v>-2625</v>
      </c>
      <c r="P1" t="s">
        <v>4</v>
      </c>
      <c r="Q1" t="s">
        <v>6</v>
      </c>
      <c r="R1" t="s">
        <v>7</v>
      </c>
    </row>
    <row r="2" spans="1:21" x14ac:dyDescent="0.25">
      <c r="A2" s="4">
        <v>1</v>
      </c>
      <c r="B2" s="5">
        <v>45644</v>
      </c>
      <c r="C2" s="4">
        <v>3</v>
      </c>
      <c r="D2" s="4">
        <v>4620</v>
      </c>
      <c r="E2" s="4" t="s">
        <v>971</v>
      </c>
      <c r="F2" s="4" t="s">
        <v>961</v>
      </c>
      <c r="G2" s="4" t="s">
        <v>959</v>
      </c>
      <c r="H2" s="4" t="s">
        <v>958</v>
      </c>
      <c r="I2" s="4"/>
      <c r="P2">
        <v>700</v>
      </c>
      <c r="Q2">
        <v>14.25</v>
      </c>
      <c r="R2">
        <f>P2*Q2</f>
        <v>9975</v>
      </c>
    </row>
    <row r="3" spans="1:21" x14ac:dyDescent="0.25">
      <c r="A3" s="4">
        <v>2</v>
      </c>
      <c r="B3" s="5">
        <v>45645</v>
      </c>
      <c r="C3" s="4">
        <v>3</v>
      </c>
      <c r="D3" s="4">
        <v>3570</v>
      </c>
      <c r="E3" s="4" t="s">
        <v>971</v>
      </c>
      <c r="F3" s="4" t="s">
        <v>961</v>
      </c>
      <c r="G3" s="4" t="s">
        <v>959</v>
      </c>
      <c r="H3" s="4" t="s">
        <v>958</v>
      </c>
      <c r="I3" s="4"/>
      <c r="P3">
        <v>1400</v>
      </c>
      <c r="Q3">
        <v>14.7</v>
      </c>
      <c r="R3">
        <f>P3*Q3</f>
        <v>20580</v>
      </c>
      <c r="T3">
        <f>16.25-14.55</f>
        <v>1.6999999999999993</v>
      </c>
      <c r="U3">
        <f>2100*T3</f>
        <v>3569.9999999999986</v>
      </c>
    </row>
    <row r="4" spans="1:21" x14ac:dyDescent="0.25">
      <c r="A4" s="4">
        <v>3</v>
      </c>
      <c r="B4" s="5">
        <v>45649</v>
      </c>
      <c r="C4" s="4">
        <v>5</v>
      </c>
      <c r="D4" s="6">
        <v>-10815</v>
      </c>
      <c r="E4" s="6" t="s">
        <v>972</v>
      </c>
      <c r="F4" s="6" t="s">
        <v>973</v>
      </c>
      <c r="G4" s="6" t="s">
        <v>960</v>
      </c>
      <c r="H4" s="6" t="s">
        <v>966</v>
      </c>
      <c r="I4" s="6" t="s">
        <v>974</v>
      </c>
      <c r="P4">
        <f>SUM(P2:P3)</f>
        <v>2100</v>
      </c>
      <c r="Q4">
        <f>R4/P4</f>
        <v>14.55</v>
      </c>
      <c r="R4">
        <f>SUM(R2:R3)</f>
        <v>30555</v>
      </c>
    </row>
    <row r="5" spans="1:21" x14ac:dyDescent="0.25">
      <c r="A5" s="4">
        <v>4</v>
      </c>
      <c r="B5" s="4"/>
      <c r="C5" s="4"/>
      <c r="D5" s="4"/>
      <c r="E5" s="4"/>
    </row>
    <row r="6" spans="1:21" x14ac:dyDescent="0.25">
      <c r="A6" s="4">
        <v>5</v>
      </c>
      <c r="B6" s="4"/>
      <c r="C6" s="4"/>
      <c r="D6" s="4"/>
      <c r="E6" s="4"/>
    </row>
    <row r="7" spans="1:21" x14ac:dyDescent="0.25">
      <c r="A7" s="4">
        <v>6</v>
      </c>
      <c r="B7" s="4"/>
      <c r="C7" s="4"/>
      <c r="D7" s="4"/>
      <c r="E7" s="4"/>
    </row>
    <row r="8" spans="1:21" x14ac:dyDescent="0.25">
      <c r="A8" s="4">
        <v>7</v>
      </c>
      <c r="B8" s="4"/>
      <c r="C8" s="4"/>
      <c r="D8" s="4"/>
      <c r="E8" s="4"/>
    </row>
    <row r="9" spans="1:21" x14ac:dyDescent="0.25">
      <c r="A9" s="4">
        <v>8</v>
      </c>
      <c r="B9" s="4"/>
      <c r="C9" s="4"/>
      <c r="D9" s="4"/>
      <c r="E9" s="4"/>
    </row>
    <row r="10" spans="1:21" x14ac:dyDescent="0.25">
      <c r="A10" s="4">
        <v>9</v>
      </c>
      <c r="B10" s="4"/>
      <c r="C10" s="4"/>
      <c r="D10" s="4"/>
      <c r="E10" s="4"/>
    </row>
    <row r="11" spans="1:21" x14ac:dyDescent="0.25">
      <c r="A11" s="4">
        <v>10</v>
      </c>
      <c r="B11" s="4"/>
      <c r="C11" s="4"/>
      <c r="D11" s="4"/>
      <c r="E11" s="4"/>
    </row>
    <row r="12" spans="1:21" x14ac:dyDescent="0.25">
      <c r="A12" s="4">
        <v>11</v>
      </c>
      <c r="B12" s="4"/>
      <c r="C12" s="4"/>
      <c r="D12" s="4"/>
      <c r="E12" s="4"/>
    </row>
    <row r="13" spans="1:21" x14ac:dyDescent="0.25">
      <c r="A13" s="4">
        <v>12</v>
      </c>
      <c r="B13" s="4"/>
      <c r="C13" s="4"/>
      <c r="D13" s="4"/>
      <c r="E13" s="4"/>
    </row>
    <row r="14" spans="1:21" x14ac:dyDescent="0.25">
      <c r="A14" s="4">
        <v>13</v>
      </c>
      <c r="B14" s="4"/>
      <c r="C14" s="4"/>
      <c r="D14" s="4"/>
      <c r="E14" s="4"/>
    </row>
    <row r="15" spans="1:21" x14ac:dyDescent="0.25">
      <c r="A15" s="4">
        <v>14</v>
      </c>
      <c r="B15" s="4"/>
      <c r="C15" s="4"/>
      <c r="D15" s="4"/>
      <c r="E15" s="4"/>
    </row>
    <row r="16" spans="1:21" x14ac:dyDescent="0.25">
      <c r="A16" s="4">
        <v>15</v>
      </c>
      <c r="B16" s="4"/>
      <c r="C16" s="4"/>
      <c r="D16" s="4"/>
      <c r="E16" s="4"/>
    </row>
    <row r="17" spans="1:5" x14ac:dyDescent="0.25">
      <c r="A17" s="4">
        <v>16</v>
      </c>
      <c r="B17" s="4"/>
      <c r="C17" s="4"/>
      <c r="D17" s="4"/>
      <c r="E17" s="4"/>
    </row>
    <row r="18" spans="1:5" x14ac:dyDescent="0.25">
      <c r="A18" s="4">
        <v>17</v>
      </c>
      <c r="B18" s="4"/>
      <c r="C18" s="4"/>
      <c r="D18" s="4"/>
      <c r="E18" s="4"/>
    </row>
    <row r="19" spans="1:5" x14ac:dyDescent="0.25">
      <c r="A19" s="4">
        <v>18</v>
      </c>
      <c r="B19" s="4"/>
      <c r="C19" s="4"/>
      <c r="D19" s="4"/>
      <c r="E19" s="4"/>
    </row>
    <row r="20" spans="1:5" x14ac:dyDescent="0.25">
      <c r="A20" s="4">
        <v>19</v>
      </c>
      <c r="B20" s="4"/>
      <c r="C20" s="4"/>
      <c r="D20" s="4"/>
      <c r="E20" s="4"/>
    </row>
    <row r="21" spans="1:5" x14ac:dyDescent="0.25">
      <c r="A21" s="4">
        <v>20</v>
      </c>
      <c r="B21" s="4"/>
      <c r="C21" s="4"/>
      <c r="D21" s="4"/>
      <c r="E21" s="4"/>
    </row>
    <row r="22" spans="1:5" x14ac:dyDescent="0.25">
      <c r="A22" s="4">
        <v>21</v>
      </c>
      <c r="B22" s="4"/>
      <c r="C22" s="4"/>
      <c r="D22" s="4"/>
      <c r="E22" s="4"/>
    </row>
    <row r="23" spans="1:5" x14ac:dyDescent="0.25">
      <c r="A23" s="4">
        <v>22</v>
      </c>
      <c r="B23" s="4"/>
      <c r="C23" s="4"/>
      <c r="D23" s="4"/>
      <c r="E23" s="4"/>
    </row>
    <row r="24" spans="1:5" x14ac:dyDescent="0.25">
      <c r="A24" s="4">
        <v>23</v>
      </c>
      <c r="B24" s="4"/>
      <c r="C24" s="4"/>
      <c r="D24" s="4"/>
      <c r="E24" s="4"/>
    </row>
    <row r="25" spans="1:5" x14ac:dyDescent="0.25">
      <c r="A25" s="4">
        <v>24</v>
      </c>
      <c r="B25" s="4"/>
      <c r="C25" s="4"/>
      <c r="D25" s="4"/>
      <c r="E25" s="4"/>
    </row>
    <row r="26" spans="1:5" x14ac:dyDescent="0.25">
      <c r="A26" s="4">
        <v>25</v>
      </c>
      <c r="B26" s="4"/>
      <c r="C26" s="4"/>
      <c r="D26" s="4"/>
      <c r="E26" s="4"/>
    </row>
    <row r="27" spans="1:5" x14ac:dyDescent="0.25">
      <c r="A27" s="4">
        <v>26</v>
      </c>
      <c r="B27" s="4"/>
      <c r="C27" s="4"/>
      <c r="D27" s="4"/>
      <c r="E27" s="4"/>
    </row>
    <row r="28" spans="1:5" x14ac:dyDescent="0.25">
      <c r="A28" s="4">
        <v>27</v>
      </c>
      <c r="B28" s="4"/>
      <c r="C28" s="4"/>
      <c r="D28" s="4"/>
      <c r="E28" s="4"/>
    </row>
    <row r="29" spans="1:5" x14ac:dyDescent="0.25">
      <c r="A29" s="4">
        <v>28</v>
      </c>
      <c r="B29" s="4"/>
      <c r="C29" s="4"/>
      <c r="D29" s="4"/>
      <c r="E29" s="4"/>
    </row>
    <row r="30" spans="1:5" x14ac:dyDescent="0.25">
      <c r="A30" s="4">
        <v>29</v>
      </c>
      <c r="B30" s="4"/>
      <c r="C30" s="4"/>
      <c r="D30" s="4"/>
      <c r="E30" s="4"/>
    </row>
    <row r="31" spans="1:5" x14ac:dyDescent="0.25">
      <c r="A31" s="4">
        <v>30</v>
      </c>
      <c r="B31" s="4"/>
      <c r="C31" s="4"/>
      <c r="D31" s="4"/>
      <c r="E31" s="4"/>
    </row>
    <row r="32" spans="1:5" x14ac:dyDescent="0.25">
      <c r="A32" s="4">
        <v>31</v>
      </c>
      <c r="B32" s="4"/>
      <c r="C32" s="4"/>
      <c r="D32" s="4"/>
      <c r="E32" s="4"/>
    </row>
    <row r="33" spans="1:5" x14ac:dyDescent="0.25">
      <c r="A33" s="4">
        <v>32</v>
      </c>
      <c r="B33" s="4"/>
      <c r="C33" s="4"/>
      <c r="D33" s="4"/>
      <c r="E33" s="4"/>
    </row>
    <row r="34" spans="1:5" x14ac:dyDescent="0.25">
      <c r="A34" s="4">
        <v>33</v>
      </c>
      <c r="B34" s="4"/>
      <c r="C34" s="4"/>
      <c r="D34" s="4"/>
      <c r="E34" s="4"/>
    </row>
    <row r="35" spans="1:5" x14ac:dyDescent="0.25">
      <c r="A35" s="4">
        <v>34</v>
      </c>
      <c r="B35" s="4"/>
      <c r="C35" s="4"/>
      <c r="D35" s="4"/>
      <c r="E35" s="4"/>
    </row>
    <row r="36" spans="1:5" x14ac:dyDescent="0.25">
      <c r="A36" s="4">
        <v>35</v>
      </c>
      <c r="B36" s="4"/>
      <c r="C36" s="4"/>
      <c r="D36" s="4"/>
      <c r="E36" s="4"/>
    </row>
    <row r="37" spans="1:5" x14ac:dyDescent="0.25">
      <c r="A37" s="4">
        <v>36</v>
      </c>
      <c r="B37" s="4"/>
      <c r="C37" s="4"/>
      <c r="D37" s="4"/>
      <c r="E37" s="4"/>
    </row>
    <row r="38" spans="1:5" x14ac:dyDescent="0.25">
      <c r="A38" s="4">
        <v>37</v>
      </c>
      <c r="B38" s="4"/>
      <c r="C38" s="4"/>
      <c r="D38" s="4"/>
      <c r="E38" s="4"/>
    </row>
    <row r="39" spans="1:5" x14ac:dyDescent="0.25">
      <c r="A39" s="4">
        <v>38</v>
      </c>
      <c r="B39" s="4"/>
      <c r="C39" s="4"/>
      <c r="D39" s="4"/>
      <c r="E39" s="4"/>
    </row>
    <row r="40" spans="1:5" x14ac:dyDescent="0.25">
      <c r="A40" s="4">
        <v>39</v>
      </c>
      <c r="B40" s="4"/>
      <c r="C40" s="4"/>
      <c r="D40" s="4"/>
      <c r="E40" s="4"/>
    </row>
    <row r="41" spans="1:5" x14ac:dyDescent="0.25">
      <c r="A41" s="4">
        <v>40</v>
      </c>
      <c r="B41" s="4"/>
      <c r="C41" s="4"/>
      <c r="D41" s="4"/>
      <c r="E41" s="4"/>
    </row>
    <row r="42" spans="1:5" x14ac:dyDescent="0.25">
      <c r="A42" s="4">
        <v>41</v>
      </c>
      <c r="B42" s="4"/>
      <c r="C42" s="4"/>
      <c r="D42" s="4"/>
      <c r="E42" s="4"/>
    </row>
    <row r="43" spans="1:5" x14ac:dyDescent="0.25">
      <c r="A43" s="4">
        <v>42</v>
      </c>
      <c r="B43" s="4"/>
      <c r="C43" s="4"/>
      <c r="D43" s="4"/>
      <c r="E43" s="4"/>
    </row>
    <row r="44" spans="1:5" x14ac:dyDescent="0.25">
      <c r="A44" s="4">
        <v>43</v>
      </c>
      <c r="B44" s="4"/>
      <c r="C44" s="4"/>
      <c r="D44" s="4"/>
      <c r="E44" s="4"/>
    </row>
    <row r="45" spans="1:5" x14ac:dyDescent="0.25">
      <c r="A45" s="4">
        <v>44</v>
      </c>
      <c r="B45" s="4"/>
      <c r="C45" s="4"/>
      <c r="D45" s="4"/>
      <c r="E45" s="4"/>
    </row>
    <row r="46" spans="1:5" x14ac:dyDescent="0.25">
      <c r="A46" s="4">
        <v>45</v>
      </c>
      <c r="B46" s="4"/>
      <c r="C46" s="4"/>
      <c r="D46" s="4"/>
      <c r="E46" s="4"/>
    </row>
    <row r="47" spans="1:5" x14ac:dyDescent="0.25">
      <c r="A47" s="4">
        <v>46</v>
      </c>
      <c r="B47" s="4"/>
      <c r="C47" s="4"/>
      <c r="D47" s="4"/>
      <c r="E47" s="4"/>
    </row>
    <row r="48" spans="1:5" x14ac:dyDescent="0.25">
      <c r="A48" s="4">
        <v>47</v>
      </c>
      <c r="B48" s="4"/>
      <c r="C48" s="4"/>
      <c r="D48" s="4"/>
      <c r="E48" s="4"/>
    </row>
    <row r="49" spans="1:5" x14ac:dyDescent="0.25">
      <c r="A49" s="4">
        <v>48</v>
      </c>
      <c r="B49" s="4"/>
      <c r="C49" s="4"/>
      <c r="D49" s="4"/>
      <c r="E49" s="4"/>
    </row>
    <row r="50" spans="1:5" x14ac:dyDescent="0.25">
      <c r="A50" s="4">
        <v>49</v>
      </c>
      <c r="B50" s="4"/>
      <c r="C50" s="4"/>
      <c r="D50" s="4"/>
      <c r="E50" s="4"/>
    </row>
    <row r="51" spans="1:5" x14ac:dyDescent="0.25">
      <c r="A51" s="4">
        <v>50</v>
      </c>
      <c r="B51" s="4"/>
      <c r="C51" s="4"/>
      <c r="D51" s="4"/>
      <c r="E51" s="4"/>
    </row>
    <row r="52" spans="1:5" x14ac:dyDescent="0.25">
      <c r="A52" s="4">
        <v>51</v>
      </c>
      <c r="B52" s="4"/>
      <c r="C52" s="4"/>
      <c r="D52" s="4"/>
      <c r="E52" s="4"/>
    </row>
    <row r="53" spans="1:5" x14ac:dyDescent="0.25">
      <c r="A53" s="4">
        <v>52</v>
      </c>
      <c r="B53" s="4"/>
      <c r="C53" s="4"/>
      <c r="D53" s="4"/>
      <c r="E53" s="4"/>
    </row>
    <row r="54" spans="1:5" x14ac:dyDescent="0.25">
      <c r="A54" s="4">
        <v>53</v>
      </c>
      <c r="B54" s="4"/>
      <c r="C54" s="4"/>
      <c r="D54" s="4"/>
      <c r="E54" s="4"/>
    </row>
    <row r="55" spans="1:5" x14ac:dyDescent="0.25">
      <c r="A55" s="4">
        <v>54</v>
      </c>
      <c r="B55" s="4"/>
      <c r="C55" s="4"/>
      <c r="D55" s="4"/>
      <c r="E55" s="4"/>
    </row>
    <row r="56" spans="1:5" x14ac:dyDescent="0.25">
      <c r="A56" s="4">
        <v>55</v>
      </c>
      <c r="B56" s="4"/>
      <c r="C56" s="4"/>
      <c r="D56" s="4"/>
      <c r="E56" s="4"/>
    </row>
    <row r="57" spans="1:5" x14ac:dyDescent="0.25">
      <c r="A57" s="4">
        <v>56</v>
      </c>
      <c r="B57" s="4"/>
      <c r="C57" s="4"/>
      <c r="D57" s="4"/>
      <c r="E57" s="4"/>
    </row>
    <row r="58" spans="1:5" x14ac:dyDescent="0.25">
      <c r="A58" s="4">
        <v>57</v>
      </c>
      <c r="B58" s="4"/>
      <c r="C58" s="4"/>
      <c r="D58" s="4"/>
      <c r="E58" s="4"/>
    </row>
    <row r="59" spans="1:5" x14ac:dyDescent="0.25">
      <c r="A59" s="4">
        <v>58</v>
      </c>
      <c r="B59" s="4"/>
      <c r="C59" s="4"/>
      <c r="D59" s="4"/>
      <c r="E59" s="4"/>
    </row>
    <row r="60" spans="1:5" x14ac:dyDescent="0.25">
      <c r="A60" s="4">
        <v>59</v>
      </c>
      <c r="B60" s="4"/>
      <c r="C60" s="4"/>
      <c r="D60" s="4"/>
      <c r="E60" s="4"/>
    </row>
    <row r="61" spans="1:5" x14ac:dyDescent="0.25">
      <c r="A61" s="4">
        <v>60</v>
      </c>
      <c r="B61" s="4"/>
      <c r="C61" s="4"/>
      <c r="D61" s="4"/>
      <c r="E61" s="4"/>
    </row>
    <row r="62" spans="1:5" x14ac:dyDescent="0.25">
      <c r="A62" s="4">
        <v>61</v>
      </c>
      <c r="B62" s="4"/>
      <c r="C62" s="4"/>
      <c r="D62" s="4"/>
      <c r="E62" s="4"/>
    </row>
    <row r="63" spans="1:5" x14ac:dyDescent="0.25">
      <c r="A63" s="4">
        <v>62</v>
      </c>
      <c r="B63" s="4"/>
      <c r="C63" s="4"/>
      <c r="D63" s="4"/>
      <c r="E63" s="4"/>
    </row>
    <row r="64" spans="1:5" x14ac:dyDescent="0.25">
      <c r="A64" s="4">
        <v>63</v>
      </c>
      <c r="B64" s="4"/>
      <c r="C64" s="4"/>
      <c r="D64" s="4"/>
      <c r="E64" s="4"/>
    </row>
    <row r="65" spans="1:5" x14ac:dyDescent="0.25">
      <c r="A65" s="4">
        <v>64</v>
      </c>
      <c r="B65" s="4"/>
      <c r="C65" s="4"/>
      <c r="D65" s="4"/>
      <c r="E65" s="4"/>
    </row>
    <row r="66" spans="1:5" x14ac:dyDescent="0.25">
      <c r="A66" s="4">
        <v>65</v>
      </c>
      <c r="B66" s="4"/>
      <c r="C66" s="4"/>
      <c r="D66" s="4"/>
      <c r="E66" s="4"/>
    </row>
    <row r="67" spans="1:5" x14ac:dyDescent="0.25">
      <c r="A67" s="4">
        <v>66</v>
      </c>
      <c r="B67" s="4"/>
      <c r="C67" s="4"/>
      <c r="D67" s="4"/>
      <c r="E67" s="4"/>
    </row>
    <row r="68" spans="1:5" x14ac:dyDescent="0.25">
      <c r="A68" s="4">
        <v>67</v>
      </c>
      <c r="B68" s="4"/>
      <c r="C68" s="4"/>
      <c r="D68" s="4"/>
      <c r="E68" s="4"/>
    </row>
    <row r="69" spans="1:5" x14ac:dyDescent="0.25">
      <c r="A69" s="4">
        <v>68</v>
      </c>
      <c r="B69" s="4"/>
      <c r="C69" s="4"/>
      <c r="D69" s="4"/>
      <c r="E69" s="4"/>
    </row>
    <row r="70" spans="1:5" x14ac:dyDescent="0.25">
      <c r="A70" s="4">
        <v>69</v>
      </c>
      <c r="B70" s="4"/>
      <c r="C70" s="4"/>
      <c r="D70" s="4"/>
      <c r="E70" s="4"/>
    </row>
    <row r="71" spans="1:5" x14ac:dyDescent="0.25">
      <c r="A71" s="4">
        <v>70</v>
      </c>
      <c r="B71" s="4"/>
      <c r="C71" s="4"/>
      <c r="D71" s="4"/>
      <c r="E71" s="4"/>
    </row>
    <row r="72" spans="1:5" x14ac:dyDescent="0.25">
      <c r="A72" s="4">
        <v>71</v>
      </c>
      <c r="B72" s="4"/>
      <c r="C72" s="4"/>
      <c r="D72" s="4"/>
      <c r="E72" s="4"/>
    </row>
    <row r="73" spans="1:5" x14ac:dyDescent="0.25">
      <c r="A73" s="4">
        <v>72</v>
      </c>
      <c r="B73" s="4"/>
      <c r="C73" s="4"/>
      <c r="D73" s="4"/>
      <c r="E73" s="4"/>
    </row>
    <row r="74" spans="1:5" x14ac:dyDescent="0.25">
      <c r="A74" s="4">
        <v>73</v>
      </c>
      <c r="B74" s="4"/>
      <c r="C74" s="4"/>
      <c r="D74" s="4"/>
      <c r="E74" s="4"/>
    </row>
    <row r="75" spans="1:5" x14ac:dyDescent="0.25">
      <c r="A75" s="4">
        <v>74</v>
      </c>
      <c r="B75" s="4"/>
      <c r="C75" s="4"/>
      <c r="D75" s="4"/>
      <c r="E75" s="4"/>
    </row>
    <row r="76" spans="1:5" x14ac:dyDescent="0.25">
      <c r="A76" s="4">
        <v>75</v>
      </c>
      <c r="B76" s="4"/>
      <c r="C76" s="4"/>
      <c r="D76" s="4"/>
      <c r="E76" s="4"/>
    </row>
    <row r="77" spans="1:5" x14ac:dyDescent="0.25">
      <c r="A77" s="4">
        <v>76</v>
      </c>
      <c r="B77" s="4"/>
      <c r="C77" s="4"/>
      <c r="D77" s="4"/>
      <c r="E77" s="4"/>
    </row>
    <row r="78" spans="1:5" x14ac:dyDescent="0.25">
      <c r="A78" s="4">
        <v>77</v>
      </c>
      <c r="B78" s="4"/>
      <c r="C78" s="4"/>
      <c r="D78" s="4"/>
      <c r="E78" s="4"/>
    </row>
    <row r="79" spans="1:5" x14ac:dyDescent="0.25">
      <c r="A79" s="4">
        <v>78</v>
      </c>
      <c r="B79" s="4"/>
      <c r="C79" s="4"/>
      <c r="D79" s="4"/>
      <c r="E79" s="4"/>
    </row>
    <row r="80" spans="1:5" x14ac:dyDescent="0.25">
      <c r="A80" s="4">
        <v>79</v>
      </c>
      <c r="B80" s="4"/>
      <c r="C80" s="4"/>
      <c r="D80" s="4"/>
      <c r="E80" s="4"/>
    </row>
    <row r="81" spans="1:5" x14ac:dyDescent="0.25">
      <c r="A81" s="4">
        <v>80</v>
      </c>
      <c r="B81" s="4"/>
      <c r="C81" s="4"/>
      <c r="D81" s="4"/>
      <c r="E81" s="4"/>
    </row>
    <row r="82" spans="1:5" x14ac:dyDescent="0.25">
      <c r="A82" s="4">
        <v>81</v>
      </c>
      <c r="B82" s="4"/>
      <c r="C82" s="4"/>
      <c r="D82" s="4"/>
      <c r="E82" s="4"/>
    </row>
    <row r="83" spans="1:5" x14ac:dyDescent="0.25">
      <c r="A83" s="4">
        <v>82</v>
      </c>
      <c r="B83" s="4"/>
      <c r="C83" s="4"/>
      <c r="D83" s="4"/>
      <c r="E83" s="4"/>
    </row>
    <row r="84" spans="1:5" x14ac:dyDescent="0.25">
      <c r="A84" s="4">
        <v>83</v>
      </c>
      <c r="B84" s="4"/>
      <c r="C84" s="4"/>
      <c r="D84" s="4"/>
      <c r="E84" s="4"/>
    </row>
    <row r="85" spans="1:5" x14ac:dyDescent="0.25">
      <c r="A85" s="4">
        <v>84</v>
      </c>
      <c r="B85" s="4"/>
      <c r="C85" s="4"/>
      <c r="D85" s="4"/>
      <c r="E85" s="4"/>
    </row>
    <row r="86" spans="1:5" x14ac:dyDescent="0.25">
      <c r="A86" s="4">
        <v>85</v>
      </c>
      <c r="B86" s="4"/>
      <c r="C86" s="4"/>
      <c r="D86" s="4"/>
      <c r="E86" s="4"/>
    </row>
    <row r="87" spans="1:5" x14ac:dyDescent="0.25">
      <c r="A87" s="4">
        <v>86</v>
      </c>
      <c r="B87" s="4"/>
      <c r="C87" s="4"/>
      <c r="D87" s="4"/>
      <c r="E87" s="4"/>
    </row>
    <row r="88" spans="1:5" x14ac:dyDescent="0.25">
      <c r="A88" s="4">
        <v>87</v>
      </c>
      <c r="B88" s="4"/>
      <c r="C88" s="4"/>
      <c r="D88" s="4"/>
      <c r="E88" s="4"/>
    </row>
    <row r="89" spans="1:5" x14ac:dyDescent="0.25">
      <c r="A89" s="4">
        <v>88</v>
      </c>
      <c r="B89" s="4"/>
      <c r="C89" s="4"/>
      <c r="D89" s="4"/>
      <c r="E89" s="4"/>
    </row>
    <row r="90" spans="1:5" x14ac:dyDescent="0.25">
      <c r="A90" s="4">
        <v>89</v>
      </c>
      <c r="B90" s="4"/>
      <c r="C90" s="4"/>
      <c r="D90" s="4"/>
      <c r="E90" s="4"/>
    </row>
    <row r="91" spans="1:5" x14ac:dyDescent="0.25">
      <c r="A91" s="4">
        <v>90</v>
      </c>
      <c r="B91" s="4"/>
      <c r="C91" s="4"/>
      <c r="D91" s="4"/>
      <c r="E91" s="4"/>
    </row>
    <row r="92" spans="1:5" x14ac:dyDescent="0.25">
      <c r="A92" s="4">
        <v>91</v>
      </c>
      <c r="B92" s="4"/>
      <c r="C92" s="4"/>
      <c r="D92" s="4"/>
      <c r="E92" s="4"/>
    </row>
    <row r="93" spans="1:5" x14ac:dyDescent="0.25">
      <c r="A93" s="4">
        <v>92</v>
      </c>
      <c r="B93" s="4"/>
      <c r="C93" s="4"/>
      <c r="D93" s="4"/>
      <c r="E93" s="4"/>
    </row>
    <row r="94" spans="1:5" x14ac:dyDescent="0.25">
      <c r="A94" s="4">
        <v>93</v>
      </c>
      <c r="B94" s="4"/>
      <c r="C94" s="4"/>
      <c r="D94" s="4"/>
      <c r="E94" s="4"/>
    </row>
    <row r="95" spans="1:5" x14ac:dyDescent="0.25">
      <c r="A95" s="4">
        <v>94</v>
      </c>
      <c r="B95" s="4"/>
      <c r="C95" s="4"/>
      <c r="D95" s="4"/>
      <c r="E95" s="4"/>
    </row>
    <row r="96" spans="1:5" x14ac:dyDescent="0.25">
      <c r="A96" s="4">
        <v>95</v>
      </c>
      <c r="B96" s="4"/>
      <c r="C96" s="4"/>
      <c r="D96" s="4"/>
      <c r="E96" s="4"/>
    </row>
    <row r="97" spans="1:5" x14ac:dyDescent="0.25">
      <c r="A97" s="4">
        <v>96</v>
      </c>
      <c r="B97" s="4"/>
      <c r="C97" s="4"/>
      <c r="D97" s="4"/>
      <c r="E97" s="4"/>
    </row>
    <row r="98" spans="1:5" x14ac:dyDescent="0.25">
      <c r="A98" s="4">
        <v>97</v>
      </c>
      <c r="B98" s="4"/>
      <c r="C98" s="4"/>
      <c r="D98" s="4"/>
      <c r="E98" s="4"/>
    </row>
    <row r="99" spans="1:5" x14ac:dyDescent="0.25">
      <c r="A99" s="4">
        <v>98</v>
      </c>
      <c r="B99" s="4"/>
      <c r="C99" s="4"/>
      <c r="D99" s="4"/>
      <c r="E99" s="4"/>
    </row>
    <row r="100" spans="1:5" x14ac:dyDescent="0.25">
      <c r="A100" s="4">
        <v>99</v>
      </c>
      <c r="B100" s="4"/>
      <c r="C100" s="4"/>
      <c r="D100" s="4"/>
      <c r="E100" s="4"/>
    </row>
    <row r="101" spans="1:5" x14ac:dyDescent="0.25">
      <c r="A101" s="4">
        <v>100</v>
      </c>
      <c r="B101" s="4"/>
      <c r="C101" s="4"/>
      <c r="D101" s="4"/>
      <c r="E101" s="4"/>
    </row>
    <row r="102" spans="1:5" x14ac:dyDescent="0.25">
      <c r="A102" s="4">
        <v>101</v>
      </c>
      <c r="B102" s="4"/>
      <c r="C102" s="4"/>
      <c r="D102" s="4"/>
      <c r="E102" s="4"/>
    </row>
    <row r="103" spans="1:5" x14ac:dyDescent="0.25">
      <c r="A103" s="4">
        <v>102</v>
      </c>
      <c r="B103" s="4"/>
      <c r="C103" s="4"/>
      <c r="D103" s="4"/>
      <c r="E103" s="4"/>
    </row>
    <row r="104" spans="1:5" x14ac:dyDescent="0.25">
      <c r="A104" s="4">
        <v>103</v>
      </c>
      <c r="B104" s="4"/>
      <c r="C104" s="4"/>
      <c r="D104" s="4"/>
      <c r="E104" s="4"/>
    </row>
    <row r="105" spans="1:5" x14ac:dyDescent="0.25">
      <c r="A105" s="4">
        <v>104</v>
      </c>
      <c r="B105" s="4"/>
      <c r="C105" s="4"/>
      <c r="D105" s="4"/>
      <c r="E105" s="4"/>
    </row>
    <row r="106" spans="1:5" x14ac:dyDescent="0.25">
      <c r="A106" s="4">
        <v>105</v>
      </c>
      <c r="B106" s="4"/>
      <c r="C106" s="4"/>
      <c r="D106" s="4"/>
      <c r="E106" s="4"/>
    </row>
    <row r="107" spans="1:5" x14ac:dyDescent="0.25">
      <c r="A107" s="4">
        <v>106</v>
      </c>
      <c r="B107" s="4"/>
      <c r="C107" s="4"/>
      <c r="D107" s="4"/>
      <c r="E107" s="4"/>
    </row>
    <row r="108" spans="1:5" x14ac:dyDescent="0.25">
      <c r="A108" s="4">
        <v>107</v>
      </c>
      <c r="B108" s="4"/>
      <c r="C108" s="4"/>
      <c r="D108" s="4"/>
      <c r="E108" s="4"/>
    </row>
    <row r="109" spans="1:5" x14ac:dyDescent="0.25">
      <c r="A109" s="4">
        <v>108</v>
      </c>
      <c r="B109" s="4"/>
      <c r="C109" s="4"/>
      <c r="D109" s="4"/>
      <c r="E109" s="4"/>
    </row>
    <row r="110" spans="1:5" x14ac:dyDescent="0.25">
      <c r="A110" s="4">
        <v>109</v>
      </c>
      <c r="B110" s="4"/>
      <c r="C110" s="4"/>
      <c r="D110" s="4"/>
      <c r="E110" s="4"/>
    </row>
    <row r="111" spans="1:5" x14ac:dyDescent="0.25">
      <c r="A111" s="4">
        <v>110</v>
      </c>
      <c r="B111" s="4"/>
      <c r="C111" s="4"/>
      <c r="D111" s="4"/>
      <c r="E111" s="4"/>
    </row>
    <row r="112" spans="1:5" x14ac:dyDescent="0.25">
      <c r="A112" s="4">
        <v>111</v>
      </c>
      <c r="B112" s="4"/>
      <c r="C112" s="4"/>
      <c r="D112" s="4"/>
      <c r="E112" s="4"/>
    </row>
    <row r="113" spans="1:5" x14ac:dyDescent="0.25">
      <c r="A113" s="4">
        <v>112</v>
      </c>
      <c r="B113" s="4"/>
      <c r="C113" s="4"/>
      <c r="D113" s="4"/>
      <c r="E113" s="4"/>
    </row>
    <row r="114" spans="1:5" x14ac:dyDescent="0.25">
      <c r="A114" s="4">
        <v>113</v>
      </c>
      <c r="B114" s="4"/>
      <c r="C114" s="4"/>
      <c r="D114" s="4"/>
      <c r="E114" s="4"/>
    </row>
    <row r="115" spans="1:5" x14ac:dyDescent="0.25">
      <c r="A115" s="4">
        <v>114</v>
      </c>
      <c r="B115" s="4"/>
      <c r="C115" s="4"/>
      <c r="D115" s="4"/>
      <c r="E115" s="4"/>
    </row>
    <row r="116" spans="1:5" x14ac:dyDescent="0.25">
      <c r="A116" s="4">
        <v>115</v>
      </c>
      <c r="B116" s="4"/>
      <c r="C116" s="4"/>
      <c r="D116" s="4"/>
      <c r="E116" s="4"/>
    </row>
    <row r="117" spans="1:5" x14ac:dyDescent="0.25">
      <c r="A117" s="4">
        <v>116</v>
      </c>
      <c r="B117" s="4"/>
      <c r="C117" s="4"/>
      <c r="D117" s="4"/>
      <c r="E117" s="4"/>
    </row>
    <row r="118" spans="1:5" x14ac:dyDescent="0.25">
      <c r="A118" s="4">
        <v>117</v>
      </c>
      <c r="B118" s="4"/>
      <c r="C118" s="4"/>
      <c r="D118" s="4"/>
      <c r="E118" s="4"/>
    </row>
    <row r="119" spans="1:5" x14ac:dyDescent="0.25">
      <c r="A119" s="4">
        <v>118</v>
      </c>
      <c r="B119" s="4"/>
      <c r="C119" s="4"/>
      <c r="D119" s="4"/>
      <c r="E119" s="4"/>
    </row>
    <row r="120" spans="1:5" x14ac:dyDescent="0.25">
      <c r="A120" s="4">
        <v>119</v>
      </c>
      <c r="B120" s="4"/>
      <c r="C120" s="4"/>
      <c r="D120" s="4"/>
      <c r="E120" s="4"/>
    </row>
    <row r="121" spans="1:5" x14ac:dyDescent="0.25">
      <c r="A121" s="4">
        <v>120</v>
      </c>
      <c r="B121" s="4"/>
      <c r="C121" s="4"/>
      <c r="D121" s="4"/>
      <c r="E121" s="4"/>
    </row>
    <row r="122" spans="1:5" x14ac:dyDescent="0.25">
      <c r="A122" s="4">
        <v>121</v>
      </c>
      <c r="B122" s="4"/>
      <c r="C122" s="4"/>
      <c r="D122" s="4"/>
      <c r="E122" s="4"/>
    </row>
    <row r="123" spans="1:5" x14ac:dyDescent="0.25">
      <c r="A123" s="4">
        <v>122</v>
      </c>
      <c r="B123" s="4"/>
      <c r="C123" s="4"/>
      <c r="D123" s="4"/>
      <c r="E123" s="4"/>
    </row>
    <row r="124" spans="1:5" x14ac:dyDescent="0.25">
      <c r="A124" s="4">
        <v>123</v>
      </c>
      <c r="B124" s="4"/>
      <c r="C124" s="4"/>
      <c r="D124" s="4"/>
      <c r="E124" s="4"/>
    </row>
    <row r="125" spans="1:5" x14ac:dyDescent="0.25">
      <c r="A125" s="4">
        <v>124</v>
      </c>
      <c r="B125" s="4"/>
      <c r="C125" s="4"/>
      <c r="D125" s="4"/>
      <c r="E125" s="4"/>
    </row>
    <row r="126" spans="1:5" x14ac:dyDescent="0.25">
      <c r="A126" s="4">
        <v>125</v>
      </c>
      <c r="B126" s="4"/>
      <c r="C126" s="4"/>
      <c r="D126" s="4"/>
      <c r="E126" s="4"/>
    </row>
    <row r="127" spans="1:5" x14ac:dyDescent="0.25">
      <c r="A127" s="4">
        <v>126</v>
      </c>
      <c r="B127" s="4"/>
      <c r="C127" s="4"/>
      <c r="D127" s="4"/>
      <c r="E127" s="4"/>
    </row>
    <row r="128" spans="1:5" x14ac:dyDescent="0.25">
      <c r="A128" s="4">
        <v>127</v>
      </c>
      <c r="B128" s="4"/>
      <c r="C128" s="4"/>
      <c r="D128" s="4"/>
      <c r="E128" s="4"/>
    </row>
    <row r="129" spans="1:5" x14ac:dyDescent="0.25">
      <c r="A129" s="4">
        <v>128</v>
      </c>
      <c r="B129" s="4"/>
      <c r="C129" s="4"/>
      <c r="D129" s="4"/>
      <c r="E129" s="4"/>
    </row>
    <row r="130" spans="1:5" x14ac:dyDescent="0.25">
      <c r="A130" s="4">
        <v>129</v>
      </c>
      <c r="B130" s="4"/>
      <c r="C130" s="4"/>
      <c r="D130" s="4"/>
      <c r="E130" s="4"/>
    </row>
    <row r="131" spans="1:5" x14ac:dyDescent="0.25">
      <c r="A131" s="4">
        <v>130</v>
      </c>
      <c r="B131" s="4"/>
      <c r="C131" s="4"/>
      <c r="D131" s="4"/>
      <c r="E131" s="4"/>
    </row>
    <row r="132" spans="1:5" x14ac:dyDescent="0.25">
      <c r="A132" s="4">
        <v>131</v>
      </c>
      <c r="B132" s="4"/>
      <c r="C132" s="4"/>
      <c r="D132" s="4"/>
      <c r="E132" s="4"/>
    </row>
    <row r="133" spans="1:5" x14ac:dyDescent="0.25">
      <c r="A133" s="4">
        <v>132</v>
      </c>
      <c r="B133" s="4"/>
      <c r="C133" s="4"/>
      <c r="D133" s="4"/>
      <c r="E133" s="4"/>
    </row>
    <row r="134" spans="1:5" x14ac:dyDescent="0.25">
      <c r="A134" s="4">
        <v>133</v>
      </c>
      <c r="B134" s="4"/>
      <c r="C134" s="4"/>
      <c r="D134" s="4"/>
      <c r="E134" s="4"/>
    </row>
    <row r="135" spans="1:5" x14ac:dyDescent="0.25">
      <c r="A135" s="4">
        <v>134</v>
      </c>
      <c r="B135" s="4"/>
      <c r="C135" s="4"/>
      <c r="D135" s="4"/>
      <c r="E135" s="4"/>
    </row>
    <row r="136" spans="1:5" x14ac:dyDescent="0.25">
      <c r="A136" s="4">
        <v>135</v>
      </c>
      <c r="B136" s="4"/>
      <c r="C136" s="4"/>
      <c r="D136" s="4"/>
      <c r="E136" s="4"/>
    </row>
    <row r="137" spans="1:5" x14ac:dyDescent="0.25">
      <c r="A137" s="4">
        <v>136</v>
      </c>
      <c r="B137" s="4"/>
      <c r="C137" s="4"/>
      <c r="D137" s="4"/>
      <c r="E137" s="4"/>
    </row>
    <row r="138" spans="1:5" x14ac:dyDescent="0.25">
      <c r="A138" s="4">
        <v>137</v>
      </c>
      <c r="B138" s="4"/>
      <c r="C138" s="4"/>
      <c r="D138" s="4"/>
      <c r="E138" s="4"/>
    </row>
    <row r="139" spans="1:5" x14ac:dyDescent="0.25">
      <c r="A139" s="4">
        <v>138</v>
      </c>
      <c r="B139" s="4"/>
      <c r="C139" s="4"/>
      <c r="D139" s="4"/>
      <c r="E139" s="4"/>
    </row>
    <row r="140" spans="1:5" x14ac:dyDescent="0.25">
      <c r="A140" s="4">
        <v>139</v>
      </c>
      <c r="B140" s="4"/>
      <c r="C140" s="4"/>
      <c r="D140" s="4"/>
      <c r="E140" s="4"/>
    </row>
    <row r="141" spans="1:5" x14ac:dyDescent="0.25">
      <c r="A141" s="4">
        <v>140</v>
      </c>
      <c r="B141" s="4"/>
      <c r="C141" s="4"/>
      <c r="D141" s="4"/>
      <c r="E141" s="4"/>
    </row>
    <row r="142" spans="1:5" x14ac:dyDescent="0.25">
      <c r="A142" s="4">
        <v>141</v>
      </c>
      <c r="B142" s="4"/>
      <c r="C142" s="4"/>
      <c r="D142" s="4"/>
      <c r="E142" s="4"/>
    </row>
    <row r="143" spans="1:5" x14ac:dyDescent="0.25">
      <c r="A143" s="4">
        <v>142</v>
      </c>
      <c r="B143" s="4"/>
      <c r="C143" s="4"/>
      <c r="D143" s="4"/>
      <c r="E143" s="4"/>
    </row>
    <row r="144" spans="1:5" x14ac:dyDescent="0.25">
      <c r="A144" s="4">
        <v>143</v>
      </c>
      <c r="B144" s="4"/>
      <c r="C144" s="4"/>
      <c r="D144" s="4"/>
      <c r="E144" s="4"/>
    </row>
    <row r="145" spans="1:5" x14ac:dyDescent="0.25">
      <c r="A145" s="4">
        <v>144</v>
      </c>
      <c r="B145" s="4"/>
      <c r="C145" s="4"/>
      <c r="D145" s="4"/>
      <c r="E145" s="4"/>
    </row>
    <row r="146" spans="1:5" x14ac:dyDescent="0.25">
      <c r="A146" s="4">
        <v>145</v>
      </c>
      <c r="B146" s="4"/>
      <c r="C146" s="4"/>
      <c r="D146" s="4"/>
      <c r="E146" s="4"/>
    </row>
    <row r="147" spans="1:5" x14ac:dyDescent="0.25">
      <c r="A147" s="4">
        <v>146</v>
      </c>
      <c r="B147" s="4"/>
      <c r="C147" s="4"/>
      <c r="D147" s="4"/>
      <c r="E147" s="4"/>
    </row>
    <row r="148" spans="1:5" x14ac:dyDescent="0.25">
      <c r="A148" s="4">
        <v>147</v>
      </c>
      <c r="B148" s="4"/>
      <c r="C148" s="4"/>
      <c r="D148" s="4"/>
      <c r="E148" s="4"/>
    </row>
    <row r="149" spans="1:5" x14ac:dyDescent="0.25">
      <c r="A149" s="4">
        <v>148</v>
      </c>
      <c r="B149" s="4"/>
      <c r="C149" s="4"/>
      <c r="D149" s="4"/>
      <c r="E149" s="4"/>
    </row>
    <row r="150" spans="1:5" x14ac:dyDescent="0.25">
      <c r="A150" s="4">
        <v>149</v>
      </c>
      <c r="B150" s="4"/>
      <c r="C150" s="4"/>
      <c r="D150" s="4"/>
      <c r="E150" s="4"/>
    </row>
    <row r="151" spans="1:5" x14ac:dyDescent="0.25">
      <c r="A151" s="4">
        <v>150</v>
      </c>
      <c r="B151" s="4"/>
      <c r="C151" s="4"/>
      <c r="D151" s="4"/>
      <c r="E151" s="4"/>
    </row>
    <row r="152" spans="1:5" x14ac:dyDescent="0.25">
      <c r="A152" s="4">
        <v>151</v>
      </c>
      <c r="B152" s="4"/>
      <c r="C152" s="4"/>
      <c r="D152" s="4"/>
      <c r="E152" s="4"/>
    </row>
    <row r="153" spans="1:5" x14ac:dyDescent="0.25">
      <c r="A153" s="4">
        <v>152</v>
      </c>
      <c r="B153" s="4"/>
      <c r="C153" s="4"/>
      <c r="D153" s="4"/>
      <c r="E153" s="4"/>
    </row>
    <row r="154" spans="1:5" x14ac:dyDescent="0.25">
      <c r="A154" s="4">
        <v>153</v>
      </c>
      <c r="B154" s="4"/>
      <c r="C154" s="4"/>
      <c r="D154" s="4"/>
      <c r="E154" s="4"/>
    </row>
    <row r="155" spans="1:5" x14ac:dyDescent="0.25">
      <c r="A155" s="4">
        <v>154</v>
      </c>
      <c r="B155" s="4"/>
      <c r="C155" s="4"/>
      <c r="D155" s="4"/>
      <c r="E155" s="4"/>
    </row>
    <row r="156" spans="1:5" x14ac:dyDescent="0.25">
      <c r="A156" s="4">
        <v>155</v>
      </c>
      <c r="B156" s="4"/>
      <c r="C156" s="4"/>
      <c r="D156" s="4"/>
      <c r="E156" s="4"/>
    </row>
    <row r="157" spans="1:5" x14ac:dyDescent="0.25">
      <c r="A157" s="4">
        <v>156</v>
      </c>
      <c r="B157" s="4"/>
      <c r="C157" s="4"/>
      <c r="D157" s="4"/>
      <c r="E157" s="4"/>
    </row>
    <row r="158" spans="1:5" x14ac:dyDescent="0.25">
      <c r="A158" s="4">
        <v>157</v>
      </c>
      <c r="B158" s="4"/>
      <c r="C158" s="4"/>
      <c r="D158" s="4"/>
      <c r="E158" s="4"/>
    </row>
    <row r="159" spans="1:5" x14ac:dyDescent="0.25">
      <c r="A159" s="4">
        <v>158</v>
      </c>
      <c r="B159" s="4"/>
      <c r="C159" s="4"/>
      <c r="D159" s="4"/>
      <c r="E159" s="4"/>
    </row>
    <row r="160" spans="1:5" x14ac:dyDescent="0.25">
      <c r="A160" s="4">
        <v>159</v>
      </c>
      <c r="B160" s="4"/>
      <c r="C160" s="4"/>
      <c r="D160" s="4"/>
      <c r="E160" s="4"/>
    </row>
    <row r="161" spans="1:5" x14ac:dyDescent="0.25">
      <c r="A161" s="4">
        <v>160</v>
      </c>
      <c r="B161" s="4"/>
      <c r="C161" s="4"/>
      <c r="D161" s="4"/>
      <c r="E161" s="4"/>
    </row>
    <row r="162" spans="1:5" x14ac:dyDescent="0.25">
      <c r="A162" s="4">
        <v>161</v>
      </c>
      <c r="B162" s="4"/>
      <c r="C162" s="4"/>
      <c r="D162" s="4"/>
      <c r="E162" s="4"/>
    </row>
    <row r="163" spans="1:5" x14ac:dyDescent="0.25">
      <c r="A163" s="4">
        <v>162</v>
      </c>
      <c r="B163" s="4"/>
      <c r="C163" s="4"/>
      <c r="D163" s="4"/>
      <c r="E163" s="4"/>
    </row>
    <row r="164" spans="1:5" x14ac:dyDescent="0.25">
      <c r="A164" s="4">
        <v>163</v>
      </c>
      <c r="B164" s="4"/>
      <c r="C164" s="4"/>
      <c r="D164" s="4"/>
      <c r="E164" s="4"/>
    </row>
    <row r="165" spans="1:5" x14ac:dyDescent="0.25">
      <c r="A165" s="4">
        <v>164</v>
      </c>
      <c r="B165" s="4"/>
      <c r="C165" s="4"/>
      <c r="D165" s="4"/>
      <c r="E165" s="4"/>
    </row>
    <row r="166" spans="1:5" x14ac:dyDescent="0.25">
      <c r="A166" s="4">
        <v>165</v>
      </c>
      <c r="B166" s="4"/>
      <c r="C166" s="4"/>
      <c r="D166" s="4"/>
      <c r="E166" s="4"/>
    </row>
    <row r="167" spans="1:5" x14ac:dyDescent="0.25">
      <c r="A167" s="4">
        <v>166</v>
      </c>
      <c r="B167" s="4"/>
      <c r="C167" s="4"/>
      <c r="D167" s="4"/>
      <c r="E167" s="4"/>
    </row>
    <row r="168" spans="1:5" x14ac:dyDescent="0.25">
      <c r="A168" s="4">
        <v>167</v>
      </c>
      <c r="B168" s="4"/>
      <c r="C168" s="4"/>
      <c r="D168" s="4"/>
      <c r="E168" s="4"/>
    </row>
    <row r="169" spans="1:5" x14ac:dyDescent="0.25">
      <c r="A169" s="4">
        <v>168</v>
      </c>
      <c r="B169" s="4"/>
      <c r="C169" s="4"/>
      <c r="D169" s="4"/>
      <c r="E169" s="4"/>
    </row>
    <row r="170" spans="1:5" x14ac:dyDescent="0.25">
      <c r="A170" s="4">
        <v>169</v>
      </c>
      <c r="B170" s="4"/>
      <c r="C170" s="4"/>
      <c r="D170" s="4"/>
      <c r="E170" s="4"/>
    </row>
    <row r="171" spans="1:5" x14ac:dyDescent="0.25">
      <c r="A171" s="4">
        <v>170</v>
      </c>
      <c r="B171" s="4"/>
      <c r="C171" s="4"/>
      <c r="D171" s="4"/>
      <c r="E171" s="4"/>
    </row>
    <row r="172" spans="1:5" x14ac:dyDescent="0.25">
      <c r="A172" s="4">
        <v>171</v>
      </c>
      <c r="B172" s="4"/>
      <c r="C172" s="4"/>
      <c r="D172" s="4"/>
      <c r="E172" s="4"/>
    </row>
    <row r="173" spans="1:5" x14ac:dyDescent="0.25">
      <c r="A173" s="4">
        <v>172</v>
      </c>
      <c r="B173" s="4"/>
      <c r="C173" s="4"/>
      <c r="D173" s="4"/>
      <c r="E173" s="4"/>
    </row>
    <row r="174" spans="1:5" x14ac:dyDescent="0.25">
      <c r="A174" s="4">
        <v>173</v>
      </c>
      <c r="B174" s="4"/>
      <c r="C174" s="4"/>
      <c r="D174" s="4"/>
      <c r="E174" s="4"/>
    </row>
    <row r="175" spans="1:5" x14ac:dyDescent="0.25">
      <c r="A175" s="4">
        <v>174</v>
      </c>
      <c r="B175" s="4"/>
      <c r="C175" s="4"/>
      <c r="D175" s="4"/>
      <c r="E175" s="4"/>
    </row>
    <row r="176" spans="1:5" x14ac:dyDescent="0.25">
      <c r="A176" s="4">
        <v>175</v>
      </c>
      <c r="B176" s="4"/>
      <c r="C176" s="4"/>
      <c r="D176" s="4"/>
      <c r="E176" s="4"/>
    </row>
    <row r="177" spans="1:5" x14ac:dyDescent="0.25">
      <c r="A177" s="4">
        <v>176</v>
      </c>
      <c r="B177" s="4"/>
      <c r="C177" s="4"/>
      <c r="D177" s="4"/>
      <c r="E177" s="4"/>
    </row>
    <row r="178" spans="1:5" x14ac:dyDescent="0.25">
      <c r="A178" s="4">
        <v>177</v>
      </c>
      <c r="B178" s="4"/>
      <c r="C178" s="4"/>
      <c r="D178" s="4"/>
      <c r="E178" s="4"/>
    </row>
    <row r="179" spans="1:5" x14ac:dyDescent="0.25">
      <c r="A179" s="4">
        <v>178</v>
      </c>
      <c r="B179" s="4"/>
      <c r="C179" s="4"/>
      <c r="D179" s="4"/>
      <c r="E179" s="4"/>
    </row>
    <row r="180" spans="1:5" x14ac:dyDescent="0.25">
      <c r="A180" s="4">
        <v>179</v>
      </c>
      <c r="B180" s="4"/>
      <c r="C180" s="4"/>
      <c r="D180" s="4"/>
      <c r="E180" s="4"/>
    </row>
    <row r="181" spans="1:5" x14ac:dyDescent="0.25">
      <c r="A181" s="4">
        <v>180</v>
      </c>
      <c r="B181" s="4"/>
      <c r="C181" s="4"/>
      <c r="D181" s="4"/>
      <c r="E181" s="4"/>
    </row>
    <row r="182" spans="1:5" x14ac:dyDescent="0.25">
      <c r="A182" s="4">
        <v>181</v>
      </c>
      <c r="B182" s="4"/>
      <c r="C182" s="4"/>
      <c r="D182" s="4"/>
      <c r="E182" s="4"/>
    </row>
    <row r="183" spans="1:5" x14ac:dyDescent="0.25">
      <c r="A183" s="4">
        <v>182</v>
      </c>
      <c r="B183" s="4"/>
      <c r="C183" s="4"/>
      <c r="D183" s="4"/>
      <c r="E183" s="4"/>
    </row>
    <row r="184" spans="1:5" x14ac:dyDescent="0.25">
      <c r="A184" s="4">
        <v>183</v>
      </c>
      <c r="B184" s="4"/>
      <c r="C184" s="4"/>
      <c r="D184" s="4"/>
      <c r="E184" s="4"/>
    </row>
    <row r="185" spans="1:5" x14ac:dyDescent="0.25">
      <c r="A185" s="4">
        <v>184</v>
      </c>
      <c r="B185" s="4"/>
      <c r="C185" s="4"/>
      <c r="D185" s="4"/>
      <c r="E185" s="4"/>
    </row>
    <row r="186" spans="1:5" x14ac:dyDescent="0.25">
      <c r="A186" s="4">
        <v>185</v>
      </c>
      <c r="B186" s="4"/>
      <c r="C186" s="4"/>
      <c r="D186" s="4"/>
      <c r="E186" s="4"/>
    </row>
    <row r="187" spans="1:5" x14ac:dyDescent="0.25">
      <c r="A187" s="4">
        <v>186</v>
      </c>
      <c r="B187" s="4"/>
      <c r="C187" s="4"/>
      <c r="D187" s="4"/>
      <c r="E187" s="4"/>
    </row>
    <row r="188" spans="1:5" x14ac:dyDescent="0.25">
      <c r="A188" s="4">
        <v>187</v>
      </c>
      <c r="B188" s="4"/>
      <c r="C188" s="4"/>
      <c r="D188" s="4"/>
      <c r="E188" s="4"/>
    </row>
    <row r="189" spans="1:5" x14ac:dyDescent="0.25">
      <c r="A189" s="4">
        <v>188</v>
      </c>
      <c r="B189" s="4"/>
      <c r="C189" s="4"/>
      <c r="D189" s="4"/>
      <c r="E189" s="4"/>
    </row>
    <row r="190" spans="1:5" x14ac:dyDescent="0.25">
      <c r="A190" s="4">
        <v>189</v>
      </c>
      <c r="B190" s="4"/>
      <c r="C190" s="4"/>
      <c r="D190" s="4"/>
      <c r="E190" s="4"/>
    </row>
    <row r="191" spans="1:5" x14ac:dyDescent="0.25">
      <c r="A191" s="4">
        <v>190</v>
      </c>
      <c r="B191" s="4"/>
      <c r="C191" s="4"/>
      <c r="D191" s="4"/>
      <c r="E191" s="4"/>
    </row>
    <row r="192" spans="1:5" x14ac:dyDescent="0.25">
      <c r="A192" s="4">
        <v>191</v>
      </c>
      <c r="B192" s="4"/>
      <c r="C192" s="4"/>
      <c r="D192" s="4"/>
      <c r="E192" s="4"/>
    </row>
    <row r="193" spans="1:5" x14ac:dyDescent="0.25">
      <c r="A193" s="4">
        <v>192</v>
      </c>
      <c r="B193" s="4"/>
      <c r="C193" s="4"/>
      <c r="D193" s="4"/>
      <c r="E193" s="4"/>
    </row>
    <row r="194" spans="1:5" x14ac:dyDescent="0.25">
      <c r="A194" s="4">
        <v>193</v>
      </c>
      <c r="B194" s="4"/>
      <c r="C194" s="4"/>
      <c r="D194" s="4"/>
      <c r="E194" s="4"/>
    </row>
    <row r="195" spans="1:5" x14ac:dyDescent="0.25">
      <c r="A195" s="4">
        <v>194</v>
      </c>
      <c r="B195" s="4"/>
      <c r="C195" s="4"/>
      <c r="D195" s="4"/>
      <c r="E195" s="4"/>
    </row>
    <row r="196" spans="1:5" x14ac:dyDescent="0.25">
      <c r="A196" s="4">
        <v>195</v>
      </c>
      <c r="B196" s="4"/>
      <c r="C196" s="4"/>
      <c r="D196" s="4"/>
      <c r="E196" s="4"/>
    </row>
    <row r="197" spans="1:5" x14ac:dyDescent="0.25">
      <c r="A197" s="4">
        <v>196</v>
      </c>
      <c r="B197" s="4"/>
      <c r="C197" s="4"/>
      <c r="D197" s="4"/>
      <c r="E197" s="4"/>
    </row>
    <row r="198" spans="1:5" x14ac:dyDescent="0.25">
      <c r="A198" s="4">
        <v>197</v>
      </c>
      <c r="B198" s="4"/>
      <c r="C198" s="4"/>
      <c r="D198" s="4"/>
      <c r="E198" s="4"/>
    </row>
    <row r="199" spans="1:5" x14ac:dyDescent="0.25">
      <c r="A199" s="4">
        <v>198</v>
      </c>
      <c r="B199" s="4"/>
      <c r="C199" s="4"/>
      <c r="D199" s="4"/>
      <c r="E199" s="4"/>
    </row>
    <row r="200" spans="1:5" x14ac:dyDescent="0.25">
      <c r="A200" s="4">
        <v>199</v>
      </c>
      <c r="B200" s="4"/>
      <c r="C200" s="4"/>
      <c r="D200" s="4"/>
      <c r="E200" s="4"/>
    </row>
    <row r="201" spans="1:5" x14ac:dyDescent="0.25">
      <c r="A201" s="4">
        <v>200</v>
      </c>
      <c r="B201" s="4"/>
      <c r="C201" s="4"/>
      <c r="D201" s="4"/>
      <c r="E201" s="4"/>
    </row>
    <row r="202" spans="1:5" x14ac:dyDescent="0.25">
      <c r="A202" s="4">
        <v>201</v>
      </c>
      <c r="B202" s="4"/>
      <c r="C202" s="4"/>
      <c r="D202" s="4"/>
      <c r="E202" s="4"/>
    </row>
    <row r="203" spans="1:5" x14ac:dyDescent="0.25">
      <c r="A203" s="4">
        <v>202</v>
      </c>
      <c r="B203" s="4"/>
      <c r="C203" s="4"/>
      <c r="D203" s="4"/>
      <c r="E203" s="4"/>
    </row>
    <row r="204" spans="1:5" x14ac:dyDescent="0.25">
      <c r="A204" s="4">
        <v>203</v>
      </c>
      <c r="B204" s="4"/>
      <c r="C204" s="4"/>
      <c r="D204" s="4"/>
      <c r="E204" s="4"/>
    </row>
    <row r="205" spans="1:5" x14ac:dyDescent="0.25">
      <c r="A205" s="4">
        <v>204</v>
      </c>
      <c r="B205" s="4"/>
      <c r="C205" s="4"/>
      <c r="D205" s="4"/>
      <c r="E205" s="4"/>
    </row>
    <row r="206" spans="1:5" x14ac:dyDescent="0.25">
      <c r="A206" s="4">
        <v>205</v>
      </c>
      <c r="B206" s="4"/>
      <c r="C206" s="4"/>
      <c r="D206" s="4"/>
      <c r="E206" s="4"/>
    </row>
    <row r="207" spans="1:5" x14ac:dyDescent="0.25">
      <c r="A207" s="4">
        <v>206</v>
      </c>
      <c r="B207" s="4"/>
      <c r="C207" s="4"/>
      <c r="D207" s="4"/>
      <c r="E207" s="4"/>
    </row>
    <row r="208" spans="1:5" x14ac:dyDescent="0.25">
      <c r="A208" s="4">
        <v>207</v>
      </c>
      <c r="B208" s="4"/>
      <c r="C208" s="4"/>
      <c r="D208" s="4"/>
      <c r="E208" s="4"/>
    </row>
    <row r="209" spans="1:5" x14ac:dyDescent="0.25">
      <c r="A209" s="4">
        <v>208</v>
      </c>
      <c r="B209" s="4"/>
      <c r="C209" s="4"/>
      <c r="D209" s="4"/>
      <c r="E209" s="4"/>
    </row>
    <row r="210" spans="1:5" x14ac:dyDescent="0.25">
      <c r="A210" s="4">
        <v>209</v>
      </c>
      <c r="B210" s="4"/>
      <c r="C210" s="4"/>
      <c r="D210" s="4"/>
      <c r="E210" s="4"/>
    </row>
    <row r="211" spans="1:5" x14ac:dyDescent="0.25">
      <c r="A211" s="4">
        <v>210</v>
      </c>
      <c r="B211" s="4"/>
      <c r="C211" s="4"/>
      <c r="D211" s="4"/>
      <c r="E211" s="4"/>
    </row>
    <row r="212" spans="1:5" x14ac:dyDescent="0.25">
      <c r="A212" s="4">
        <v>211</v>
      </c>
      <c r="B212" s="4"/>
      <c r="C212" s="4"/>
      <c r="D212" s="4"/>
      <c r="E212" s="4"/>
    </row>
    <row r="213" spans="1:5" x14ac:dyDescent="0.25">
      <c r="A213" s="4">
        <v>212</v>
      </c>
      <c r="B213" s="4"/>
      <c r="C213" s="4"/>
      <c r="D213" s="4"/>
      <c r="E213" s="4"/>
    </row>
    <row r="214" spans="1:5" x14ac:dyDescent="0.25">
      <c r="A214" s="4">
        <v>213</v>
      </c>
      <c r="B214" s="4"/>
      <c r="C214" s="4"/>
      <c r="D214" s="4"/>
      <c r="E214" s="4"/>
    </row>
    <row r="215" spans="1:5" x14ac:dyDescent="0.25">
      <c r="A215" s="4">
        <v>214</v>
      </c>
      <c r="B215" s="4"/>
      <c r="C215" s="4"/>
      <c r="D215" s="4"/>
      <c r="E215" s="4"/>
    </row>
    <row r="216" spans="1:5" x14ac:dyDescent="0.25">
      <c r="A216" s="4">
        <v>215</v>
      </c>
      <c r="B216" s="4"/>
      <c r="C216" s="4"/>
      <c r="D216" s="4"/>
      <c r="E216" s="4"/>
    </row>
    <row r="217" spans="1:5" x14ac:dyDescent="0.25">
      <c r="A217" s="4">
        <v>216</v>
      </c>
      <c r="B217" s="4"/>
      <c r="C217" s="4"/>
      <c r="D217" s="4"/>
      <c r="E217" s="4"/>
    </row>
    <row r="218" spans="1:5" x14ac:dyDescent="0.25">
      <c r="A218" s="4">
        <v>217</v>
      </c>
      <c r="B218" s="4"/>
      <c r="C218" s="4"/>
      <c r="D218" s="4"/>
      <c r="E218" s="4"/>
    </row>
    <row r="219" spans="1:5" x14ac:dyDescent="0.25">
      <c r="A219" s="4">
        <v>218</v>
      </c>
      <c r="B219" s="4"/>
      <c r="C219" s="4"/>
      <c r="D219" s="4"/>
      <c r="E219" s="4"/>
    </row>
    <row r="220" spans="1:5" x14ac:dyDescent="0.25">
      <c r="A220" s="4">
        <v>219</v>
      </c>
      <c r="B220" s="4"/>
      <c r="C220" s="4"/>
      <c r="D220" s="4"/>
      <c r="E220" s="4"/>
    </row>
    <row r="221" spans="1:5" x14ac:dyDescent="0.25">
      <c r="A221" s="4">
        <v>220</v>
      </c>
      <c r="B221" s="4"/>
      <c r="C221" s="4"/>
      <c r="D221" s="4"/>
      <c r="E221" s="4"/>
    </row>
    <row r="222" spans="1:5" x14ac:dyDescent="0.25">
      <c r="A222" s="4">
        <v>221</v>
      </c>
      <c r="B222" s="4"/>
      <c r="C222" s="4"/>
      <c r="D222" s="4"/>
      <c r="E222" s="4"/>
    </row>
    <row r="223" spans="1:5" x14ac:dyDescent="0.25">
      <c r="A223" s="4">
        <v>222</v>
      </c>
      <c r="B223" s="4"/>
      <c r="C223" s="4"/>
      <c r="D223" s="4"/>
      <c r="E223" s="4"/>
    </row>
    <row r="224" spans="1:5" x14ac:dyDescent="0.25">
      <c r="A224" s="4">
        <v>223</v>
      </c>
      <c r="B224" s="4"/>
      <c r="C224" s="4"/>
      <c r="D224" s="4"/>
      <c r="E224" s="4"/>
    </row>
    <row r="225" spans="1:5" x14ac:dyDescent="0.25">
      <c r="A225" s="4">
        <v>224</v>
      </c>
      <c r="B225" s="4"/>
      <c r="C225" s="4"/>
      <c r="D225" s="4"/>
      <c r="E225" s="4"/>
    </row>
    <row r="226" spans="1:5" x14ac:dyDescent="0.25">
      <c r="A226" s="4">
        <v>225</v>
      </c>
      <c r="B226" s="4"/>
      <c r="C226" s="4"/>
      <c r="D226" s="4"/>
      <c r="E226" s="4"/>
    </row>
    <row r="227" spans="1:5" x14ac:dyDescent="0.25">
      <c r="A227" s="4">
        <v>226</v>
      </c>
      <c r="B227" s="4"/>
      <c r="C227" s="4"/>
      <c r="D227" s="4"/>
      <c r="E227" s="4"/>
    </row>
    <row r="228" spans="1:5" x14ac:dyDescent="0.25">
      <c r="A228" s="4">
        <v>227</v>
      </c>
      <c r="B228" s="4"/>
      <c r="C228" s="4"/>
      <c r="D228" s="4"/>
      <c r="E228" s="4"/>
    </row>
    <row r="229" spans="1:5" x14ac:dyDescent="0.25">
      <c r="A229" s="4">
        <v>228</v>
      </c>
      <c r="B229" s="4"/>
      <c r="C229" s="4"/>
      <c r="D229" s="4"/>
      <c r="E229" s="4"/>
    </row>
    <row r="230" spans="1:5" x14ac:dyDescent="0.25">
      <c r="A230" s="4">
        <v>229</v>
      </c>
      <c r="B230" s="4"/>
      <c r="C230" s="4"/>
      <c r="D230" s="4"/>
      <c r="E230" s="4"/>
    </row>
    <row r="231" spans="1:5" x14ac:dyDescent="0.25">
      <c r="A231" s="4">
        <v>230</v>
      </c>
      <c r="B231" s="4"/>
      <c r="C231" s="4"/>
      <c r="D231" s="4"/>
      <c r="E231" s="4"/>
    </row>
    <row r="232" spans="1:5" x14ac:dyDescent="0.25">
      <c r="A232" s="4">
        <v>231</v>
      </c>
      <c r="B232" s="4"/>
      <c r="C232" s="4"/>
      <c r="D232" s="4"/>
      <c r="E232" s="4"/>
    </row>
    <row r="233" spans="1:5" x14ac:dyDescent="0.25">
      <c r="A233" s="4">
        <v>232</v>
      </c>
      <c r="B233" s="4"/>
      <c r="C233" s="4"/>
      <c r="D233" s="4"/>
      <c r="E233" s="4"/>
    </row>
    <row r="234" spans="1:5" x14ac:dyDescent="0.25">
      <c r="A234" s="4">
        <v>233</v>
      </c>
      <c r="B234" s="4"/>
      <c r="C234" s="4"/>
      <c r="D234" s="4"/>
      <c r="E234" s="4"/>
    </row>
    <row r="235" spans="1:5" x14ac:dyDescent="0.25">
      <c r="A235" s="4">
        <v>234</v>
      </c>
      <c r="B235" s="4"/>
      <c r="C235" s="4"/>
      <c r="D235" s="4"/>
      <c r="E235" s="4"/>
    </row>
    <row r="236" spans="1:5" x14ac:dyDescent="0.25">
      <c r="A236" s="4">
        <v>235</v>
      </c>
      <c r="B236" s="4"/>
      <c r="C236" s="4"/>
      <c r="D236" s="4"/>
      <c r="E236" s="4"/>
    </row>
    <row r="237" spans="1:5" x14ac:dyDescent="0.25">
      <c r="A237" s="4">
        <v>236</v>
      </c>
      <c r="B237" s="4"/>
      <c r="C237" s="4"/>
      <c r="D237" s="4"/>
      <c r="E237" s="4"/>
    </row>
    <row r="238" spans="1:5" x14ac:dyDescent="0.25">
      <c r="A238" s="4">
        <v>237</v>
      </c>
      <c r="B238" s="4"/>
      <c r="C238" s="4"/>
      <c r="D238" s="4"/>
      <c r="E238" s="4"/>
    </row>
    <row r="239" spans="1:5" x14ac:dyDescent="0.25">
      <c r="A239" s="4">
        <v>238</v>
      </c>
      <c r="B239" s="4"/>
      <c r="C239" s="4"/>
      <c r="D239" s="4"/>
      <c r="E239" s="4"/>
    </row>
    <row r="240" spans="1:5" x14ac:dyDescent="0.25">
      <c r="A240" s="4">
        <v>239</v>
      </c>
      <c r="B240" s="4"/>
      <c r="C240" s="4"/>
      <c r="D240" s="4"/>
      <c r="E240" s="4"/>
    </row>
    <row r="241" spans="1:5" x14ac:dyDescent="0.25">
      <c r="A241" s="4">
        <v>240</v>
      </c>
      <c r="B241" s="4"/>
      <c r="C241" s="4"/>
      <c r="D241" s="4"/>
      <c r="E241" s="4"/>
    </row>
    <row r="242" spans="1:5" x14ac:dyDescent="0.25">
      <c r="A242" s="4">
        <v>241</v>
      </c>
      <c r="B242" s="4"/>
      <c r="C242" s="4"/>
      <c r="D242" s="4"/>
      <c r="E242" s="4"/>
    </row>
    <row r="243" spans="1:5" x14ac:dyDescent="0.25">
      <c r="A243" s="4">
        <v>242</v>
      </c>
      <c r="B243" s="4"/>
      <c r="C243" s="4"/>
      <c r="D243" s="4"/>
      <c r="E243" s="4"/>
    </row>
    <row r="244" spans="1:5" x14ac:dyDescent="0.25">
      <c r="A244" s="4">
        <v>243</v>
      </c>
      <c r="B244" s="4"/>
      <c r="C244" s="4"/>
      <c r="D244" s="4"/>
      <c r="E244" s="4"/>
    </row>
    <row r="245" spans="1:5" x14ac:dyDescent="0.25">
      <c r="A245" s="4">
        <v>244</v>
      </c>
      <c r="B245" s="4"/>
      <c r="C245" s="4"/>
      <c r="D245" s="4"/>
      <c r="E245" s="4"/>
    </row>
    <row r="246" spans="1:5" x14ac:dyDescent="0.25">
      <c r="A246" s="4">
        <v>245</v>
      </c>
      <c r="B246" s="4"/>
      <c r="C246" s="4"/>
      <c r="D246" s="4"/>
      <c r="E246" s="4"/>
    </row>
    <row r="247" spans="1:5" x14ac:dyDescent="0.25">
      <c r="A247" s="4">
        <v>246</v>
      </c>
      <c r="B247" s="4"/>
      <c r="C247" s="4"/>
      <c r="D247" s="4"/>
      <c r="E247" s="4"/>
    </row>
    <row r="248" spans="1:5" x14ac:dyDescent="0.25">
      <c r="A248" s="4">
        <v>247</v>
      </c>
      <c r="B248" s="4"/>
      <c r="C248" s="4"/>
      <c r="D248" s="4"/>
      <c r="E248" s="4"/>
    </row>
    <row r="249" spans="1:5" x14ac:dyDescent="0.25">
      <c r="A249" s="4">
        <v>248</v>
      </c>
      <c r="B249" s="4"/>
      <c r="C249" s="4"/>
      <c r="D249" s="4"/>
      <c r="E249" s="4"/>
    </row>
    <row r="250" spans="1:5" x14ac:dyDescent="0.25">
      <c r="A250" s="4">
        <v>249</v>
      </c>
      <c r="B250" s="4"/>
      <c r="C250" s="4"/>
      <c r="D250" s="4"/>
      <c r="E250" s="4"/>
    </row>
    <row r="251" spans="1:5" x14ac:dyDescent="0.25">
      <c r="A251" s="4">
        <v>250</v>
      </c>
      <c r="B251" s="4"/>
      <c r="C251" s="4"/>
      <c r="D251" s="4"/>
      <c r="E251" s="4"/>
    </row>
    <row r="252" spans="1:5" x14ac:dyDescent="0.25">
      <c r="A252" s="4">
        <v>251</v>
      </c>
      <c r="B252" s="4"/>
      <c r="C252" s="4"/>
      <c r="D252" s="4"/>
      <c r="E252" s="4"/>
    </row>
    <row r="253" spans="1:5" x14ac:dyDescent="0.25">
      <c r="A253" s="4">
        <v>252</v>
      </c>
      <c r="B253" s="4"/>
      <c r="C253" s="4"/>
      <c r="D253" s="4"/>
      <c r="E253" s="4"/>
    </row>
    <row r="254" spans="1:5" x14ac:dyDescent="0.25">
      <c r="A254" s="4">
        <v>253</v>
      </c>
      <c r="B254" s="4"/>
      <c r="C254" s="4"/>
      <c r="D254" s="4"/>
      <c r="E254" s="4"/>
    </row>
    <row r="255" spans="1:5" x14ac:dyDescent="0.25">
      <c r="A255" s="4">
        <v>254</v>
      </c>
      <c r="B255" s="4"/>
      <c r="C255" s="4"/>
      <c r="D255" s="4"/>
      <c r="E255" s="4"/>
    </row>
    <row r="256" spans="1:5" x14ac:dyDescent="0.25">
      <c r="A256" s="4">
        <v>255</v>
      </c>
      <c r="B256" s="4"/>
      <c r="C256" s="4"/>
      <c r="D256" s="4"/>
      <c r="E256" s="4"/>
    </row>
    <row r="257" spans="1:5" x14ac:dyDescent="0.25">
      <c r="A257" s="4">
        <v>256</v>
      </c>
      <c r="B257" s="4"/>
      <c r="C257" s="4"/>
      <c r="D257" s="4"/>
      <c r="E257" s="4"/>
    </row>
    <row r="258" spans="1:5" x14ac:dyDescent="0.25">
      <c r="A258" s="4">
        <v>257</v>
      </c>
      <c r="B258" s="4"/>
      <c r="C258" s="4"/>
      <c r="D258" s="4"/>
      <c r="E258" s="4"/>
    </row>
    <row r="259" spans="1:5" x14ac:dyDescent="0.25">
      <c r="A259" s="4">
        <v>258</v>
      </c>
      <c r="B259" s="4"/>
      <c r="C259" s="4"/>
      <c r="D259" s="4"/>
      <c r="E259" s="4"/>
    </row>
    <row r="260" spans="1:5" x14ac:dyDescent="0.25">
      <c r="A260" s="4">
        <v>259</v>
      </c>
      <c r="B260" s="4"/>
      <c r="C260" s="4"/>
      <c r="D260" s="4"/>
      <c r="E260" s="4"/>
    </row>
    <row r="261" spans="1:5" x14ac:dyDescent="0.25">
      <c r="A261" s="4">
        <v>260</v>
      </c>
      <c r="B261" s="4"/>
      <c r="C261" s="4"/>
      <c r="D261" s="4"/>
      <c r="E261" s="4"/>
    </row>
    <row r="262" spans="1:5" x14ac:dyDescent="0.25">
      <c r="A262" s="4">
        <v>261</v>
      </c>
      <c r="B262" s="4"/>
      <c r="C262" s="4"/>
      <c r="D262" s="4"/>
      <c r="E262" s="4"/>
    </row>
    <row r="263" spans="1:5" x14ac:dyDescent="0.25">
      <c r="A263" s="4">
        <v>262</v>
      </c>
      <c r="B263" s="4"/>
      <c r="C263" s="4"/>
      <c r="D263" s="4"/>
      <c r="E263" s="4"/>
    </row>
    <row r="264" spans="1:5" x14ac:dyDescent="0.25">
      <c r="A264" s="4">
        <v>263</v>
      </c>
      <c r="B264" s="4"/>
      <c r="C264" s="4"/>
      <c r="D264" s="4"/>
      <c r="E264" s="4"/>
    </row>
    <row r="265" spans="1:5" x14ac:dyDescent="0.25">
      <c r="A265" s="4">
        <v>264</v>
      </c>
      <c r="B265" s="4"/>
      <c r="C265" s="4"/>
      <c r="D265" s="4"/>
      <c r="E265" s="4"/>
    </row>
    <row r="266" spans="1:5" x14ac:dyDescent="0.25">
      <c r="A266" s="4">
        <v>265</v>
      </c>
      <c r="B266" s="4"/>
      <c r="C266" s="4"/>
      <c r="D266" s="4"/>
      <c r="E266" s="4"/>
    </row>
    <row r="267" spans="1:5" x14ac:dyDescent="0.25">
      <c r="A267" s="4">
        <v>266</v>
      </c>
      <c r="B267" s="4"/>
      <c r="C267" s="4"/>
      <c r="D267" s="4"/>
      <c r="E267" s="4"/>
    </row>
    <row r="268" spans="1:5" x14ac:dyDescent="0.25">
      <c r="A268" s="4">
        <v>267</v>
      </c>
      <c r="B268" s="4"/>
      <c r="C268" s="4"/>
      <c r="D268" s="4"/>
      <c r="E268" s="4"/>
    </row>
    <row r="269" spans="1:5" x14ac:dyDescent="0.25">
      <c r="A269" s="4">
        <v>268</v>
      </c>
      <c r="B269" s="4"/>
      <c r="C269" s="4"/>
      <c r="D269" s="4"/>
      <c r="E269" s="4"/>
    </row>
    <row r="270" spans="1:5" x14ac:dyDescent="0.25">
      <c r="A270" s="4">
        <v>269</v>
      </c>
      <c r="B270" s="4"/>
      <c r="C270" s="4"/>
      <c r="D270" s="4"/>
      <c r="E270" s="4"/>
    </row>
    <row r="271" spans="1:5" x14ac:dyDescent="0.25">
      <c r="A271" s="4">
        <v>270</v>
      </c>
      <c r="B271" s="4"/>
      <c r="C271" s="4"/>
      <c r="D271" s="4"/>
      <c r="E271" s="4"/>
    </row>
    <row r="272" spans="1:5" x14ac:dyDescent="0.25">
      <c r="A272" s="4">
        <v>271</v>
      </c>
      <c r="B272" s="4"/>
      <c r="C272" s="4"/>
      <c r="D272" s="4"/>
      <c r="E272" s="4"/>
    </row>
    <row r="273" spans="1:5" x14ac:dyDescent="0.25">
      <c r="A273" s="4">
        <v>272</v>
      </c>
      <c r="B273" s="4"/>
      <c r="C273" s="4"/>
      <c r="D273" s="4"/>
      <c r="E273" s="4"/>
    </row>
    <row r="274" spans="1:5" x14ac:dyDescent="0.25">
      <c r="A274" s="4">
        <v>273</v>
      </c>
      <c r="B274" s="4"/>
      <c r="C274" s="4"/>
      <c r="D274" s="4"/>
      <c r="E274" s="4"/>
    </row>
    <row r="275" spans="1:5" x14ac:dyDescent="0.25">
      <c r="A275" s="4">
        <v>274</v>
      </c>
      <c r="B275" s="4"/>
      <c r="C275" s="4"/>
      <c r="D275" s="4"/>
      <c r="E275" s="4"/>
    </row>
    <row r="276" spans="1:5" x14ac:dyDescent="0.25">
      <c r="A276" s="4">
        <v>275</v>
      </c>
      <c r="B276" s="4"/>
      <c r="C276" s="4"/>
      <c r="D276" s="4"/>
      <c r="E276" s="4"/>
    </row>
    <row r="277" spans="1:5" x14ac:dyDescent="0.25">
      <c r="A277" s="4">
        <v>276</v>
      </c>
      <c r="B277" s="4"/>
      <c r="C277" s="4"/>
      <c r="D277" s="4"/>
      <c r="E277" s="4"/>
    </row>
    <row r="278" spans="1:5" x14ac:dyDescent="0.25">
      <c r="A278" s="4">
        <v>277</v>
      </c>
      <c r="B278" s="4"/>
      <c r="C278" s="4"/>
      <c r="D278" s="4"/>
      <c r="E278" s="4"/>
    </row>
    <row r="279" spans="1:5" x14ac:dyDescent="0.25">
      <c r="A279" s="4">
        <v>278</v>
      </c>
      <c r="B279" s="4"/>
      <c r="C279" s="4"/>
      <c r="D279" s="4"/>
      <c r="E279" s="4"/>
    </row>
    <row r="280" spans="1:5" x14ac:dyDescent="0.25">
      <c r="A280" s="4">
        <v>279</v>
      </c>
      <c r="B280" s="4"/>
      <c r="C280" s="4"/>
      <c r="D280" s="4"/>
      <c r="E280" s="4"/>
    </row>
    <row r="281" spans="1:5" x14ac:dyDescent="0.25">
      <c r="A281" s="4">
        <v>280</v>
      </c>
      <c r="B281" s="4"/>
      <c r="C281" s="4"/>
      <c r="D281" s="4"/>
      <c r="E281" s="4"/>
    </row>
    <row r="282" spans="1:5" x14ac:dyDescent="0.25">
      <c r="A282" s="4">
        <v>281</v>
      </c>
      <c r="B282" s="4"/>
      <c r="C282" s="4"/>
      <c r="D282" s="4"/>
      <c r="E282" s="4"/>
    </row>
    <row r="283" spans="1:5" x14ac:dyDescent="0.25">
      <c r="A283" s="4">
        <v>282</v>
      </c>
      <c r="B283" s="4"/>
      <c r="C283" s="4"/>
      <c r="D283" s="4"/>
      <c r="E283" s="4"/>
    </row>
    <row r="284" spans="1:5" x14ac:dyDescent="0.25">
      <c r="A284" s="4">
        <v>283</v>
      </c>
      <c r="B284" s="4"/>
      <c r="C284" s="4"/>
      <c r="D284" s="4"/>
      <c r="E284" s="4"/>
    </row>
    <row r="285" spans="1:5" x14ac:dyDescent="0.25">
      <c r="A285" s="4">
        <v>284</v>
      </c>
      <c r="B285" s="4"/>
      <c r="C285" s="4"/>
      <c r="D285" s="4"/>
      <c r="E285" s="4"/>
    </row>
    <row r="286" spans="1:5" x14ac:dyDescent="0.25">
      <c r="A286" s="4">
        <v>285</v>
      </c>
      <c r="B286" s="4"/>
      <c r="C286" s="4"/>
      <c r="D286" s="4"/>
      <c r="E286" s="4"/>
    </row>
    <row r="287" spans="1:5" x14ac:dyDescent="0.25">
      <c r="A287" s="4">
        <v>286</v>
      </c>
      <c r="B287" s="4"/>
      <c r="C287" s="4"/>
      <c r="D287" s="4"/>
      <c r="E287" s="4"/>
    </row>
    <row r="288" spans="1:5" x14ac:dyDescent="0.25">
      <c r="A288" s="4">
        <v>287</v>
      </c>
      <c r="B288" s="4"/>
      <c r="C288" s="4"/>
      <c r="D288" s="4"/>
      <c r="E288" s="4"/>
    </row>
    <row r="289" spans="1:5" x14ac:dyDescent="0.25">
      <c r="A289" s="4">
        <v>288</v>
      </c>
      <c r="B289" s="4"/>
      <c r="C289" s="4"/>
      <c r="D289" s="4"/>
      <c r="E289" s="4"/>
    </row>
    <row r="290" spans="1:5" x14ac:dyDescent="0.25">
      <c r="A290" s="4">
        <v>289</v>
      </c>
      <c r="B290" s="4"/>
      <c r="C290" s="4"/>
      <c r="D290" s="4"/>
      <c r="E290" s="4"/>
    </row>
    <row r="291" spans="1:5" x14ac:dyDescent="0.25">
      <c r="A291" s="4">
        <v>290</v>
      </c>
      <c r="B291" s="4"/>
      <c r="C291" s="4"/>
      <c r="D291" s="4"/>
      <c r="E291" s="4"/>
    </row>
    <row r="292" spans="1:5" x14ac:dyDescent="0.25">
      <c r="A292" s="4">
        <v>291</v>
      </c>
      <c r="B292" s="4"/>
      <c r="C292" s="4"/>
      <c r="D292" s="4"/>
      <c r="E292" s="4"/>
    </row>
    <row r="293" spans="1:5" x14ac:dyDescent="0.25">
      <c r="A293" s="4">
        <v>292</v>
      </c>
      <c r="B293" s="4"/>
      <c r="C293" s="4"/>
      <c r="D293" s="4"/>
      <c r="E293" s="4"/>
    </row>
    <row r="294" spans="1:5" x14ac:dyDescent="0.25">
      <c r="A294" s="4">
        <v>293</v>
      </c>
      <c r="B294" s="4"/>
      <c r="C294" s="4"/>
      <c r="D294" s="4"/>
      <c r="E294" s="4"/>
    </row>
    <row r="295" spans="1:5" x14ac:dyDescent="0.25">
      <c r="A295" s="4">
        <v>294</v>
      </c>
      <c r="B295" s="4"/>
      <c r="C295" s="4"/>
      <c r="D295" s="4"/>
      <c r="E295" s="4"/>
    </row>
    <row r="296" spans="1:5" x14ac:dyDescent="0.25">
      <c r="A296" s="4">
        <v>295</v>
      </c>
      <c r="B296" s="4"/>
      <c r="C296" s="4"/>
      <c r="D296" s="4"/>
      <c r="E296" s="4"/>
    </row>
    <row r="297" spans="1:5" x14ac:dyDescent="0.25">
      <c r="A297" s="4">
        <v>296</v>
      </c>
      <c r="B297" s="4"/>
      <c r="C297" s="4"/>
      <c r="D297" s="4"/>
      <c r="E297" s="4"/>
    </row>
    <row r="298" spans="1:5" x14ac:dyDescent="0.25">
      <c r="A298" s="4">
        <v>297</v>
      </c>
      <c r="B298" s="4"/>
      <c r="C298" s="4"/>
      <c r="D298" s="4"/>
      <c r="E298" s="4"/>
    </row>
    <row r="299" spans="1:5" x14ac:dyDescent="0.25">
      <c r="A299" s="4">
        <v>298</v>
      </c>
      <c r="B299" s="4"/>
      <c r="C299" s="4"/>
      <c r="D299" s="4"/>
      <c r="E299" s="4"/>
    </row>
    <row r="300" spans="1:5" x14ac:dyDescent="0.25">
      <c r="A300" s="4">
        <v>299</v>
      </c>
      <c r="B300" s="4"/>
      <c r="C300" s="4"/>
      <c r="D300" s="4"/>
      <c r="E300" s="4"/>
    </row>
    <row r="301" spans="1:5" x14ac:dyDescent="0.25">
      <c r="A301" s="4">
        <v>300</v>
      </c>
      <c r="B301" s="4"/>
      <c r="C301" s="4"/>
      <c r="D301" s="4"/>
      <c r="E301" s="4"/>
    </row>
    <row r="302" spans="1:5" x14ac:dyDescent="0.25">
      <c r="A302" s="4">
        <v>301</v>
      </c>
      <c r="B302" s="4"/>
      <c r="C302" s="4"/>
      <c r="D302" s="4"/>
      <c r="E302" s="4"/>
    </row>
    <row r="303" spans="1:5" x14ac:dyDescent="0.25">
      <c r="A303" s="4">
        <v>302</v>
      </c>
      <c r="B303" s="4"/>
      <c r="C303" s="4"/>
      <c r="D303" s="4"/>
      <c r="E303" s="4"/>
    </row>
    <row r="304" spans="1:5" x14ac:dyDescent="0.25">
      <c r="A304" s="4">
        <v>303</v>
      </c>
      <c r="B304" s="4"/>
      <c r="C304" s="4"/>
      <c r="D304" s="4"/>
      <c r="E304" s="4"/>
    </row>
    <row r="305" spans="1:5" x14ac:dyDescent="0.25">
      <c r="A305" s="4">
        <v>304</v>
      </c>
      <c r="B305" s="4"/>
      <c r="C305" s="4"/>
      <c r="D305" s="4"/>
      <c r="E305" s="4"/>
    </row>
    <row r="306" spans="1:5" x14ac:dyDescent="0.25">
      <c r="A306" s="4">
        <v>305</v>
      </c>
      <c r="B306" s="4"/>
      <c r="C306" s="4"/>
      <c r="D306" s="4"/>
      <c r="E306" s="4"/>
    </row>
    <row r="307" spans="1:5" x14ac:dyDescent="0.25">
      <c r="A307" s="4">
        <v>306</v>
      </c>
      <c r="B307" s="4"/>
      <c r="C307" s="4"/>
      <c r="D307" s="4"/>
      <c r="E307" s="4"/>
    </row>
    <row r="308" spans="1:5" x14ac:dyDescent="0.25">
      <c r="A308" s="4">
        <v>307</v>
      </c>
      <c r="B308" s="4"/>
      <c r="C308" s="4"/>
      <c r="D308" s="4"/>
      <c r="E308" s="4"/>
    </row>
    <row r="309" spans="1:5" x14ac:dyDescent="0.25">
      <c r="A309" s="4">
        <v>308</v>
      </c>
      <c r="B309" s="4"/>
      <c r="C309" s="4"/>
      <c r="D309" s="4"/>
      <c r="E309" s="4"/>
    </row>
    <row r="310" spans="1:5" x14ac:dyDescent="0.25">
      <c r="A310" s="4">
        <v>309</v>
      </c>
      <c r="B310" s="4"/>
      <c r="C310" s="4"/>
      <c r="D310" s="4"/>
      <c r="E310" s="4"/>
    </row>
    <row r="311" spans="1:5" x14ac:dyDescent="0.25">
      <c r="A311" s="4">
        <v>310</v>
      </c>
      <c r="B311" s="4"/>
      <c r="C311" s="4"/>
      <c r="D311" s="4"/>
      <c r="E311" s="4"/>
    </row>
    <row r="312" spans="1:5" x14ac:dyDescent="0.25">
      <c r="A312" s="4">
        <v>311</v>
      </c>
      <c r="B312" s="4"/>
      <c r="C312" s="4"/>
      <c r="D312" s="4"/>
      <c r="E312" s="4"/>
    </row>
    <row r="313" spans="1:5" x14ac:dyDescent="0.25">
      <c r="A313" s="4">
        <v>312</v>
      </c>
      <c r="B313" s="4"/>
      <c r="C313" s="4"/>
      <c r="D313" s="4"/>
      <c r="E313" s="4"/>
    </row>
    <row r="314" spans="1:5" x14ac:dyDescent="0.25">
      <c r="A314" s="4">
        <v>313</v>
      </c>
      <c r="B314" s="4"/>
      <c r="C314" s="4"/>
      <c r="D314" s="4"/>
      <c r="E314" s="4"/>
    </row>
    <row r="315" spans="1:5" x14ac:dyDescent="0.25">
      <c r="A315" s="4">
        <v>314</v>
      </c>
      <c r="B315" s="4"/>
      <c r="C315" s="4"/>
      <c r="D315" s="4"/>
      <c r="E315" s="4"/>
    </row>
    <row r="316" spans="1:5" x14ac:dyDescent="0.25">
      <c r="A316" s="4">
        <v>315</v>
      </c>
      <c r="B316" s="4"/>
      <c r="C316" s="4"/>
      <c r="D316" s="4"/>
      <c r="E316" s="4"/>
    </row>
    <row r="317" spans="1:5" x14ac:dyDescent="0.25">
      <c r="A317" s="4">
        <v>316</v>
      </c>
      <c r="B317" s="4"/>
      <c r="C317" s="4"/>
      <c r="D317" s="4"/>
      <c r="E317" s="4"/>
    </row>
    <row r="318" spans="1:5" x14ac:dyDescent="0.25">
      <c r="A318" s="4">
        <v>317</v>
      </c>
      <c r="B318" s="4"/>
      <c r="C318" s="4"/>
      <c r="D318" s="4"/>
      <c r="E318" s="4"/>
    </row>
    <row r="319" spans="1:5" x14ac:dyDescent="0.25">
      <c r="A319" s="4">
        <v>318</v>
      </c>
      <c r="B319" s="4"/>
      <c r="C319" s="4"/>
      <c r="D319" s="4"/>
      <c r="E319" s="4"/>
    </row>
    <row r="320" spans="1:5" x14ac:dyDescent="0.25">
      <c r="A320" s="4">
        <v>319</v>
      </c>
      <c r="B320" s="4"/>
      <c r="C320" s="4"/>
      <c r="D320" s="4"/>
      <c r="E320" s="4"/>
    </row>
    <row r="321" spans="1:5" x14ac:dyDescent="0.25">
      <c r="A321" s="4">
        <v>320</v>
      </c>
      <c r="B321" s="4"/>
      <c r="C321" s="4"/>
      <c r="D321" s="4"/>
      <c r="E321" s="4"/>
    </row>
    <row r="322" spans="1:5" x14ac:dyDescent="0.25">
      <c r="A322" s="4">
        <v>321</v>
      </c>
      <c r="B322" s="4"/>
      <c r="C322" s="4"/>
      <c r="D322" s="4"/>
      <c r="E322" s="4"/>
    </row>
    <row r="323" spans="1:5" x14ac:dyDescent="0.25">
      <c r="A323" s="4">
        <v>322</v>
      </c>
      <c r="B323" s="4"/>
      <c r="C323" s="4"/>
      <c r="D323" s="4"/>
      <c r="E323" s="4"/>
    </row>
    <row r="324" spans="1:5" x14ac:dyDescent="0.25">
      <c r="A324" s="4">
        <v>323</v>
      </c>
      <c r="B324" s="4"/>
      <c r="C324" s="4"/>
      <c r="D324" s="4"/>
      <c r="E324" s="4"/>
    </row>
    <row r="325" spans="1:5" x14ac:dyDescent="0.25">
      <c r="A325" s="4">
        <v>324</v>
      </c>
      <c r="B325" s="4"/>
      <c r="C325" s="4"/>
      <c r="D325" s="4"/>
      <c r="E325" s="4"/>
    </row>
    <row r="326" spans="1:5" x14ac:dyDescent="0.25">
      <c r="A326" s="4">
        <v>325</v>
      </c>
      <c r="B326" s="4"/>
      <c r="C326" s="4"/>
      <c r="D326" s="4"/>
      <c r="E326" s="4"/>
    </row>
    <row r="327" spans="1:5" x14ac:dyDescent="0.25">
      <c r="A327" s="4">
        <v>326</v>
      </c>
      <c r="B327" s="4"/>
      <c r="C327" s="4"/>
      <c r="D327" s="4"/>
      <c r="E327" s="4"/>
    </row>
    <row r="328" spans="1:5" x14ac:dyDescent="0.25">
      <c r="A328" s="4">
        <v>327</v>
      </c>
      <c r="B328" s="4"/>
      <c r="C328" s="4"/>
      <c r="D328" s="4"/>
      <c r="E328" s="4"/>
    </row>
    <row r="329" spans="1:5" x14ac:dyDescent="0.25">
      <c r="A329" s="4">
        <v>328</v>
      </c>
      <c r="B329" s="4"/>
      <c r="C329" s="4"/>
      <c r="D329" s="4"/>
      <c r="E329" s="4"/>
    </row>
    <row r="330" spans="1:5" x14ac:dyDescent="0.25">
      <c r="A330" s="4">
        <v>329</v>
      </c>
      <c r="B330" s="4"/>
      <c r="C330" s="4"/>
      <c r="D330" s="4"/>
      <c r="E330" s="4"/>
    </row>
    <row r="331" spans="1:5" x14ac:dyDescent="0.25">
      <c r="A331" s="4">
        <v>330</v>
      </c>
      <c r="B331" s="4"/>
      <c r="C331" s="4"/>
      <c r="D331" s="4"/>
      <c r="E331" s="4"/>
    </row>
    <row r="332" spans="1:5" x14ac:dyDescent="0.25">
      <c r="A332" s="4">
        <v>331</v>
      </c>
      <c r="B332" s="4"/>
      <c r="C332" s="4"/>
      <c r="D332" s="4"/>
      <c r="E332" s="4"/>
    </row>
    <row r="333" spans="1:5" x14ac:dyDescent="0.25">
      <c r="A333" s="4">
        <v>332</v>
      </c>
      <c r="B333" s="4"/>
      <c r="C333" s="4"/>
      <c r="D333" s="4"/>
      <c r="E333" s="4"/>
    </row>
    <row r="334" spans="1:5" x14ac:dyDescent="0.25">
      <c r="A334" s="4">
        <v>333</v>
      </c>
      <c r="B334" s="4"/>
      <c r="C334" s="4"/>
      <c r="D334" s="4"/>
      <c r="E334" s="4"/>
    </row>
    <row r="335" spans="1:5" x14ac:dyDescent="0.25">
      <c r="A335" s="4">
        <v>334</v>
      </c>
      <c r="B335" s="4"/>
      <c r="C335" s="4"/>
      <c r="D335" s="4"/>
      <c r="E335" s="4"/>
    </row>
    <row r="336" spans="1:5" x14ac:dyDescent="0.25">
      <c r="A336" s="4">
        <v>335</v>
      </c>
      <c r="B336" s="4"/>
      <c r="C336" s="4"/>
      <c r="D336" s="4"/>
      <c r="E336" s="4"/>
    </row>
    <row r="337" spans="1:5" x14ac:dyDescent="0.25">
      <c r="A337" s="4">
        <v>336</v>
      </c>
      <c r="B337" s="4"/>
      <c r="C337" s="4"/>
      <c r="D337" s="4"/>
      <c r="E337" s="4"/>
    </row>
    <row r="338" spans="1:5" x14ac:dyDescent="0.25">
      <c r="A338" s="4">
        <v>337</v>
      </c>
      <c r="B338" s="4"/>
      <c r="C338" s="4"/>
      <c r="D338" s="4"/>
      <c r="E338" s="4"/>
    </row>
    <row r="339" spans="1:5" x14ac:dyDescent="0.25">
      <c r="A339" s="4">
        <v>338</v>
      </c>
      <c r="B339" s="4"/>
      <c r="C339" s="4"/>
      <c r="D339" s="4"/>
      <c r="E339" s="4"/>
    </row>
    <row r="340" spans="1:5" x14ac:dyDescent="0.25">
      <c r="A340" s="4">
        <v>339</v>
      </c>
      <c r="B340" s="4"/>
      <c r="C340" s="4"/>
      <c r="D340" s="4"/>
      <c r="E340" s="4"/>
    </row>
    <row r="341" spans="1:5" x14ac:dyDescent="0.25">
      <c r="A341" s="4">
        <v>340</v>
      </c>
      <c r="B341" s="4"/>
      <c r="C341" s="4"/>
      <c r="D341" s="4"/>
      <c r="E341" s="4"/>
    </row>
    <row r="342" spans="1:5" x14ac:dyDescent="0.25">
      <c r="A342" s="4">
        <v>341</v>
      </c>
      <c r="B342" s="4"/>
      <c r="C342" s="4"/>
      <c r="D342" s="4"/>
      <c r="E342" s="4"/>
    </row>
    <row r="343" spans="1:5" x14ac:dyDescent="0.25">
      <c r="A343" s="4">
        <v>342</v>
      </c>
      <c r="B343" s="4"/>
      <c r="C343" s="4"/>
      <c r="D343" s="4"/>
      <c r="E343" s="4"/>
    </row>
    <row r="344" spans="1:5" x14ac:dyDescent="0.25">
      <c r="A344" s="4">
        <v>343</v>
      </c>
      <c r="B344" s="4"/>
      <c r="C344" s="4"/>
      <c r="D344" s="4"/>
      <c r="E344" s="4"/>
    </row>
    <row r="345" spans="1:5" x14ac:dyDescent="0.25">
      <c r="A345" s="4">
        <v>344</v>
      </c>
      <c r="B345" s="4"/>
      <c r="C345" s="4"/>
      <c r="D345" s="4"/>
      <c r="E345" s="4"/>
    </row>
    <row r="346" spans="1:5" x14ac:dyDescent="0.25">
      <c r="A346" s="4">
        <v>345</v>
      </c>
      <c r="B346" s="4"/>
      <c r="C346" s="4"/>
      <c r="D346" s="4"/>
      <c r="E346" s="4"/>
    </row>
    <row r="347" spans="1:5" x14ac:dyDescent="0.25">
      <c r="A347" s="4">
        <v>346</v>
      </c>
      <c r="B347" s="4"/>
      <c r="C347" s="4"/>
      <c r="D347" s="4"/>
      <c r="E347" s="4"/>
    </row>
    <row r="348" spans="1:5" x14ac:dyDescent="0.25">
      <c r="A348" s="4">
        <v>347</v>
      </c>
      <c r="B348" s="4"/>
      <c r="C348" s="4"/>
      <c r="D348" s="4"/>
      <c r="E348" s="4"/>
    </row>
    <row r="349" spans="1:5" x14ac:dyDescent="0.25">
      <c r="A349" s="4">
        <v>348</v>
      </c>
      <c r="B349" s="4"/>
      <c r="C349" s="4"/>
      <c r="D349" s="4"/>
      <c r="E349" s="4"/>
    </row>
    <row r="350" spans="1:5" x14ac:dyDescent="0.25">
      <c r="A350" s="4">
        <v>349</v>
      </c>
      <c r="B350" s="4"/>
      <c r="C350" s="4"/>
      <c r="D350" s="4"/>
      <c r="E350" s="4"/>
    </row>
    <row r="351" spans="1:5" x14ac:dyDescent="0.25">
      <c r="A351" s="4">
        <v>350</v>
      </c>
      <c r="B351" s="4"/>
      <c r="C351" s="4"/>
      <c r="D351" s="4"/>
      <c r="E351" s="4"/>
    </row>
    <row r="352" spans="1:5" x14ac:dyDescent="0.25">
      <c r="A352" s="4">
        <v>351</v>
      </c>
      <c r="B352" s="4"/>
      <c r="C352" s="4"/>
      <c r="D352" s="4"/>
      <c r="E352" s="4"/>
    </row>
    <row r="353" spans="1:5" x14ac:dyDescent="0.25">
      <c r="A353" s="4">
        <v>352</v>
      </c>
      <c r="B353" s="4"/>
      <c r="C353" s="4"/>
      <c r="D353" s="4"/>
      <c r="E353" s="4"/>
    </row>
    <row r="354" spans="1:5" x14ac:dyDescent="0.25">
      <c r="A354" s="4">
        <v>353</v>
      </c>
      <c r="B354" s="4"/>
      <c r="C354" s="4"/>
      <c r="D354" s="4"/>
      <c r="E354" s="4"/>
    </row>
    <row r="355" spans="1:5" x14ac:dyDescent="0.25">
      <c r="A355" s="4">
        <v>354</v>
      </c>
      <c r="B355" s="4"/>
      <c r="C355" s="4"/>
      <c r="D355" s="4"/>
      <c r="E355" s="4"/>
    </row>
    <row r="356" spans="1:5" x14ac:dyDescent="0.25">
      <c r="A356" s="4">
        <v>355</v>
      </c>
      <c r="B356" s="4"/>
      <c r="C356" s="4"/>
      <c r="D356" s="4"/>
      <c r="E356" s="4"/>
    </row>
    <row r="357" spans="1:5" x14ac:dyDescent="0.25">
      <c r="A357" s="4">
        <v>356</v>
      </c>
      <c r="B357" s="4"/>
      <c r="C357" s="4"/>
      <c r="D357" s="4"/>
      <c r="E357" s="4"/>
    </row>
    <row r="358" spans="1:5" x14ac:dyDescent="0.25">
      <c r="A358" s="4">
        <v>357</v>
      </c>
      <c r="B358" s="4"/>
      <c r="C358" s="4"/>
      <c r="D358" s="4"/>
      <c r="E358" s="4"/>
    </row>
    <row r="359" spans="1:5" x14ac:dyDescent="0.25">
      <c r="A359" s="4">
        <v>358</v>
      </c>
      <c r="B359" s="4"/>
      <c r="C359" s="4"/>
      <c r="D359" s="4"/>
      <c r="E359" s="4"/>
    </row>
    <row r="360" spans="1:5" x14ac:dyDescent="0.25">
      <c r="A360" s="4">
        <v>359</v>
      </c>
      <c r="B360" s="4"/>
      <c r="C360" s="4"/>
      <c r="D360" s="4"/>
      <c r="E360" s="4"/>
    </row>
    <row r="361" spans="1:5" x14ac:dyDescent="0.25">
      <c r="A361" s="4">
        <v>360</v>
      </c>
      <c r="B361" s="4"/>
      <c r="C361" s="4"/>
      <c r="D361" s="4"/>
      <c r="E361" s="4"/>
    </row>
    <row r="362" spans="1:5" x14ac:dyDescent="0.25">
      <c r="A362" s="4">
        <v>361</v>
      </c>
      <c r="B362" s="4"/>
      <c r="C362" s="4"/>
      <c r="D362" s="4"/>
      <c r="E362" s="4"/>
    </row>
    <row r="363" spans="1:5" x14ac:dyDescent="0.25">
      <c r="A363" s="4">
        <v>362</v>
      </c>
      <c r="B363" s="4"/>
      <c r="C363" s="4"/>
      <c r="D363" s="4"/>
      <c r="E363" s="4"/>
    </row>
    <row r="364" spans="1:5" x14ac:dyDescent="0.25">
      <c r="A364" s="4">
        <v>363</v>
      </c>
      <c r="B364" s="4"/>
      <c r="C364" s="4"/>
      <c r="D364" s="4"/>
      <c r="E364" s="4"/>
    </row>
    <row r="365" spans="1:5" x14ac:dyDescent="0.25">
      <c r="A365" s="4">
        <v>364</v>
      </c>
      <c r="B365" s="4"/>
      <c r="C365" s="4"/>
      <c r="D365" s="4"/>
      <c r="E365" s="4"/>
    </row>
    <row r="366" spans="1:5" x14ac:dyDescent="0.25">
      <c r="A366" s="4">
        <v>365</v>
      </c>
      <c r="B366" s="4"/>
      <c r="C366" s="4"/>
      <c r="D366" s="4"/>
      <c r="E366" s="4"/>
    </row>
    <row r="367" spans="1:5" x14ac:dyDescent="0.25">
      <c r="A367" s="4">
        <v>366</v>
      </c>
      <c r="B367" s="4"/>
      <c r="C367" s="4"/>
      <c r="D367" s="4"/>
      <c r="E367" s="4"/>
    </row>
    <row r="368" spans="1:5" x14ac:dyDescent="0.25">
      <c r="A368" s="4">
        <v>367</v>
      </c>
      <c r="B368" s="4"/>
      <c r="C368" s="4"/>
      <c r="D368" s="4"/>
      <c r="E368" s="4"/>
    </row>
    <row r="369" spans="1:5" x14ac:dyDescent="0.25">
      <c r="A369" s="4">
        <v>368</v>
      </c>
      <c r="B369" s="4"/>
      <c r="C369" s="4"/>
      <c r="D369" s="4"/>
      <c r="E369" s="4"/>
    </row>
    <row r="370" spans="1:5" x14ac:dyDescent="0.25">
      <c r="A370" s="4">
        <v>369</v>
      </c>
      <c r="B370" s="4"/>
      <c r="C370" s="4"/>
      <c r="D370" s="4"/>
      <c r="E370" s="4"/>
    </row>
    <row r="371" spans="1:5" x14ac:dyDescent="0.25">
      <c r="A371" s="4">
        <v>370</v>
      </c>
      <c r="B371" s="4"/>
      <c r="C371" s="4"/>
      <c r="D371" s="4"/>
      <c r="E371" s="4"/>
    </row>
    <row r="372" spans="1:5" x14ac:dyDescent="0.25">
      <c r="A372" s="4">
        <v>371</v>
      </c>
      <c r="B372" s="4"/>
      <c r="C372" s="4"/>
      <c r="D372" s="4"/>
      <c r="E372" s="4"/>
    </row>
    <row r="373" spans="1:5" x14ac:dyDescent="0.25">
      <c r="A373" s="4">
        <v>372</v>
      </c>
      <c r="B373" s="4"/>
      <c r="C373" s="4"/>
      <c r="D373" s="4"/>
      <c r="E373" s="4"/>
    </row>
    <row r="374" spans="1:5" x14ac:dyDescent="0.25">
      <c r="A374" s="4">
        <v>373</v>
      </c>
      <c r="B374" s="4"/>
      <c r="C374" s="4"/>
      <c r="D374" s="4"/>
      <c r="E374" s="4"/>
    </row>
    <row r="375" spans="1:5" x14ac:dyDescent="0.25">
      <c r="A375" s="4">
        <v>374</v>
      </c>
      <c r="B375" s="4"/>
      <c r="C375" s="4"/>
      <c r="D375" s="4"/>
      <c r="E375" s="4"/>
    </row>
    <row r="376" spans="1:5" x14ac:dyDescent="0.25">
      <c r="A376" s="4">
        <v>375</v>
      </c>
      <c r="B376" s="4"/>
      <c r="C376" s="4"/>
      <c r="D376" s="4"/>
      <c r="E376" s="4"/>
    </row>
    <row r="377" spans="1:5" x14ac:dyDescent="0.25">
      <c r="A377" s="4">
        <v>376</v>
      </c>
      <c r="B377" s="4"/>
      <c r="C377" s="4"/>
      <c r="D377" s="4"/>
      <c r="E377" s="4"/>
    </row>
    <row r="378" spans="1:5" x14ac:dyDescent="0.25">
      <c r="A378" s="4">
        <v>377</v>
      </c>
      <c r="B378" s="4"/>
      <c r="C378" s="4"/>
      <c r="D378" s="4"/>
      <c r="E378" s="4"/>
    </row>
    <row r="379" spans="1:5" x14ac:dyDescent="0.25">
      <c r="A379" s="4">
        <v>378</v>
      </c>
      <c r="B379" s="4"/>
      <c r="C379" s="4"/>
      <c r="D379" s="4"/>
      <c r="E379" s="4"/>
    </row>
    <row r="380" spans="1:5" x14ac:dyDescent="0.25">
      <c r="A380" s="4">
        <v>379</v>
      </c>
      <c r="B380" s="4"/>
      <c r="C380" s="4"/>
      <c r="D380" s="4"/>
      <c r="E380" s="4"/>
    </row>
    <row r="381" spans="1:5" x14ac:dyDescent="0.25">
      <c r="A381" s="4">
        <v>380</v>
      </c>
      <c r="B381" s="4"/>
      <c r="C381" s="4"/>
      <c r="D381" s="4"/>
      <c r="E381" s="4"/>
    </row>
    <row r="382" spans="1:5" x14ac:dyDescent="0.25">
      <c r="A382" s="4">
        <v>381</v>
      </c>
      <c r="B382" s="4"/>
      <c r="C382" s="4"/>
      <c r="D382" s="4"/>
      <c r="E382" s="4"/>
    </row>
    <row r="383" spans="1:5" x14ac:dyDescent="0.25">
      <c r="A383" s="4">
        <v>382</v>
      </c>
      <c r="B383" s="4"/>
      <c r="C383" s="4"/>
      <c r="D383" s="4"/>
      <c r="E383" s="4"/>
    </row>
    <row r="384" spans="1:5" x14ac:dyDescent="0.25">
      <c r="A384" s="4">
        <v>383</v>
      </c>
      <c r="B384" s="4"/>
      <c r="C384" s="4"/>
      <c r="D384" s="4"/>
      <c r="E384" s="4"/>
    </row>
    <row r="385" spans="1:5" x14ac:dyDescent="0.25">
      <c r="A385" s="4">
        <v>384</v>
      </c>
      <c r="B385" s="4"/>
      <c r="C385" s="4"/>
      <c r="D385" s="4"/>
      <c r="E385" s="4"/>
    </row>
    <row r="386" spans="1:5" x14ac:dyDescent="0.25">
      <c r="A386" s="4">
        <v>385</v>
      </c>
      <c r="B386" s="4"/>
      <c r="C386" s="4"/>
      <c r="D386" s="4"/>
      <c r="E386" s="4"/>
    </row>
    <row r="387" spans="1:5" x14ac:dyDescent="0.25">
      <c r="A387" s="4">
        <v>386</v>
      </c>
      <c r="B387" s="4"/>
      <c r="C387" s="4"/>
      <c r="D387" s="4"/>
      <c r="E387" s="4"/>
    </row>
    <row r="388" spans="1:5" x14ac:dyDescent="0.25">
      <c r="A388" s="4">
        <v>387</v>
      </c>
      <c r="B388" s="4"/>
      <c r="C388" s="4"/>
      <c r="D388" s="4"/>
      <c r="E388" s="4"/>
    </row>
    <row r="389" spans="1:5" x14ac:dyDescent="0.25">
      <c r="A389" s="4">
        <v>388</v>
      </c>
      <c r="B389" s="4"/>
      <c r="C389" s="4"/>
      <c r="D389" s="4"/>
      <c r="E389" s="4"/>
    </row>
    <row r="390" spans="1:5" x14ac:dyDescent="0.25">
      <c r="A390" s="4">
        <v>389</v>
      </c>
      <c r="B390" s="4"/>
      <c r="C390" s="4"/>
      <c r="D390" s="4"/>
      <c r="E390" s="4"/>
    </row>
    <row r="391" spans="1:5" x14ac:dyDescent="0.25">
      <c r="A391" s="4">
        <v>390</v>
      </c>
      <c r="B391" s="4"/>
      <c r="C391" s="4"/>
      <c r="D391" s="4"/>
      <c r="E391" s="4"/>
    </row>
    <row r="392" spans="1:5" x14ac:dyDescent="0.25">
      <c r="A392" s="4">
        <v>391</v>
      </c>
      <c r="B392" s="4"/>
      <c r="C392" s="4"/>
      <c r="D392" s="4"/>
      <c r="E392" s="4"/>
    </row>
    <row r="393" spans="1:5" x14ac:dyDescent="0.25">
      <c r="A393" s="4">
        <v>392</v>
      </c>
      <c r="B393" s="4"/>
      <c r="C393" s="4"/>
      <c r="D393" s="4"/>
      <c r="E393" s="4"/>
    </row>
    <row r="394" spans="1:5" x14ac:dyDescent="0.25">
      <c r="A394" s="4">
        <v>393</v>
      </c>
      <c r="B394" s="4"/>
      <c r="C394" s="4"/>
      <c r="D394" s="4"/>
      <c r="E394" s="4"/>
    </row>
    <row r="395" spans="1:5" x14ac:dyDescent="0.25">
      <c r="A395" s="4">
        <v>394</v>
      </c>
      <c r="B395" s="4"/>
      <c r="C395" s="4"/>
      <c r="D395" s="4"/>
      <c r="E395" s="4"/>
    </row>
    <row r="396" spans="1:5" x14ac:dyDescent="0.25">
      <c r="A396" s="4">
        <v>395</v>
      </c>
      <c r="B396" s="4"/>
      <c r="C396" s="4"/>
      <c r="D396" s="4"/>
      <c r="E396" s="4"/>
    </row>
    <row r="397" spans="1:5" x14ac:dyDescent="0.25">
      <c r="A397" s="4">
        <v>396</v>
      </c>
      <c r="B397" s="4"/>
      <c r="C397" s="4"/>
      <c r="D397" s="4"/>
      <c r="E397" s="4"/>
    </row>
    <row r="398" spans="1:5" x14ac:dyDescent="0.25">
      <c r="A398" s="4">
        <v>397</v>
      </c>
      <c r="B398" s="4"/>
      <c r="C398" s="4"/>
      <c r="D398" s="4"/>
      <c r="E398" s="4"/>
    </row>
    <row r="399" spans="1:5" x14ac:dyDescent="0.25">
      <c r="A399" s="4">
        <v>398</v>
      </c>
      <c r="B399" s="4"/>
      <c r="C399" s="4"/>
      <c r="D399" s="4"/>
      <c r="E399" s="4"/>
    </row>
    <row r="400" spans="1:5" x14ac:dyDescent="0.25">
      <c r="A400" s="4">
        <v>399</v>
      </c>
      <c r="B400" s="4"/>
      <c r="C400" s="4"/>
      <c r="D400" s="4"/>
      <c r="E400" s="4"/>
    </row>
    <row r="401" spans="1:5" x14ac:dyDescent="0.25">
      <c r="A401" s="4">
        <v>400</v>
      </c>
      <c r="B401" s="4"/>
      <c r="C401" s="4"/>
      <c r="D401" s="4"/>
      <c r="E401" s="4"/>
    </row>
    <row r="402" spans="1:5" x14ac:dyDescent="0.25">
      <c r="A402" s="4">
        <v>401</v>
      </c>
      <c r="B402" s="4"/>
      <c r="C402" s="4"/>
      <c r="D402" s="4"/>
      <c r="E402" s="4"/>
    </row>
    <row r="403" spans="1:5" x14ac:dyDescent="0.25">
      <c r="A403" s="4">
        <v>402</v>
      </c>
      <c r="B403" s="4"/>
      <c r="C403" s="4"/>
      <c r="D403" s="4"/>
      <c r="E403" s="4"/>
    </row>
    <row r="404" spans="1:5" x14ac:dyDescent="0.25">
      <c r="A404" s="4">
        <v>403</v>
      </c>
      <c r="B404" s="4"/>
      <c r="C404" s="4"/>
      <c r="D404" s="4"/>
      <c r="E404" s="4"/>
    </row>
    <row r="405" spans="1:5" x14ac:dyDescent="0.25">
      <c r="A405" s="4">
        <v>404</v>
      </c>
      <c r="B405" s="4"/>
      <c r="C405" s="4"/>
      <c r="D405" s="4"/>
      <c r="E405" s="4"/>
    </row>
    <row r="406" spans="1:5" x14ac:dyDescent="0.25">
      <c r="A406" s="4">
        <v>405</v>
      </c>
      <c r="B406" s="4"/>
      <c r="C406" s="4"/>
      <c r="D406" s="4"/>
      <c r="E406" s="4"/>
    </row>
    <row r="407" spans="1:5" x14ac:dyDescent="0.25">
      <c r="A407" s="4">
        <v>406</v>
      </c>
      <c r="B407" s="4"/>
      <c r="C407" s="4"/>
      <c r="D407" s="4"/>
      <c r="E407" s="4"/>
    </row>
    <row r="408" spans="1:5" x14ac:dyDescent="0.25">
      <c r="A408" s="4">
        <v>407</v>
      </c>
      <c r="B408" s="4"/>
      <c r="C408" s="4"/>
      <c r="D408" s="4"/>
      <c r="E408" s="4"/>
    </row>
    <row r="409" spans="1:5" x14ac:dyDescent="0.25">
      <c r="A409" s="4">
        <v>408</v>
      </c>
      <c r="B409" s="4"/>
      <c r="C409" s="4"/>
      <c r="D409" s="4"/>
      <c r="E409" s="4"/>
    </row>
    <row r="410" spans="1:5" x14ac:dyDescent="0.25">
      <c r="A410" s="4">
        <v>409</v>
      </c>
      <c r="B410" s="4"/>
      <c r="C410" s="4"/>
      <c r="D410" s="4"/>
      <c r="E410" s="4"/>
    </row>
    <row r="411" spans="1:5" x14ac:dyDescent="0.25">
      <c r="A411" s="4">
        <v>410</v>
      </c>
      <c r="B411" s="4"/>
      <c r="C411" s="4"/>
      <c r="D411" s="4"/>
      <c r="E411" s="4"/>
    </row>
    <row r="412" spans="1:5" x14ac:dyDescent="0.25">
      <c r="A412" s="4">
        <v>411</v>
      </c>
      <c r="B412" s="4"/>
      <c r="C412" s="4"/>
      <c r="D412" s="4"/>
      <c r="E412" s="4"/>
    </row>
    <row r="413" spans="1:5" x14ac:dyDescent="0.25">
      <c r="A413" s="4">
        <v>412</v>
      </c>
      <c r="B413" s="4"/>
      <c r="C413" s="4"/>
      <c r="D413" s="4"/>
      <c r="E413" s="4"/>
    </row>
    <row r="414" spans="1:5" x14ac:dyDescent="0.25">
      <c r="A414" s="4">
        <v>413</v>
      </c>
      <c r="B414" s="4"/>
      <c r="C414" s="4"/>
      <c r="D414" s="4"/>
      <c r="E414" s="4"/>
    </row>
    <row r="415" spans="1:5" x14ac:dyDescent="0.25">
      <c r="A415" s="4">
        <v>414</v>
      </c>
      <c r="B415" s="4"/>
      <c r="C415" s="4"/>
      <c r="D415" s="4"/>
      <c r="E415" s="4"/>
    </row>
    <row r="416" spans="1:5" x14ac:dyDescent="0.25">
      <c r="A416" s="4">
        <v>415</v>
      </c>
      <c r="B416" s="4"/>
      <c r="C416" s="4"/>
      <c r="D416" s="4"/>
      <c r="E416" s="4"/>
    </row>
    <row r="417" spans="1:5" x14ac:dyDescent="0.25">
      <c r="A417" s="4">
        <v>416</v>
      </c>
      <c r="B417" s="4"/>
      <c r="C417" s="4"/>
      <c r="D417" s="4"/>
      <c r="E417" s="4"/>
    </row>
    <row r="418" spans="1:5" x14ac:dyDescent="0.25">
      <c r="A418" s="4">
        <v>417</v>
      </c>
      <c r="B418" s="4"/>
      <c r="C418" s="4"/>
      <c r="D418" s="4"/>
      <c r="E418" s="4"/>
    </row>
    <row r="419" spans="1:5" x14ac:dyDescent="0.25">
      <c r="A419" s="4">
        <v>418</v>
      </c>
      <c r="B419" s="4"/>
      <c r="C419" s="4"/>
      <c r="D419" s="4"/>
      <c r="E419" s="4"/>
    </row>
    <row r="420" spans="1:5" x14ac:dyDescent="0.25">
      <c r="A420" s="4">
        <v>419</v>
      </c>
      <c r="B420" s="4"/>
      <c r="C420" s="4"/>
      <c r="D420" s="4"/>
      <c r="E420" s="4"/>
    </row>
    <row r="421" spans="1:5" x14ac:dyDescent="0.25">
      <c r="A421" s="4">
        <v>420</v>
      </c>
      <c r="B421" s="4"/>
      <c r="C421" s="4"/>
      <c r="D421" s="4"/>
      <c r="E421" s="4"/>
    </row>
    <row r="422" spans="1:5" x14ac:dyDescent="0.25">
      <c r="A422" s="4">
        <v>421</v>
      </c>
      <c r="B422" s="4"/>
      <c r="C422" s="4"/>
      <c r="D422" s="4"/>
      <c r="E422" s="4"/>
    </row>
    <row r="423" spans="1:5" x14ac:dyDescent="0.25">
      <c r="A423" s="4">
        <v>422</v>
      </c>
      <c r="B423" s="4"/>
      <c r="C423" s="4"/>
      <c r="D423" s="4"/>
      <c r="E423" s="4"/>
    </row>
    <row r="424" spans="1:5" x14ac:dyDescent="0.25">
      <c r="A424" s="4">
        <v>423</v>
      </c>
      <c r="B424" s="4"/>
      <c r="C424" s="4"/>
      <c r="D424" s="4"/>
      <c r="E424" s="4"/>
    </row>
    <row r="425" spans="1:5" x14ac:dyDescent="0.25">
      <c r="A425" s="4">
        <v>424</v>
      </c>
      <c r="B425" s="4"/>
      <c r="C425" s="4"/>
      <c r="D425" s="4"/>
      <c r="E425" s="4"/>
    </row>
    <row r="426" spans="1:5" x14ac:dyDescent="0.25">
      <c r="A426" s="4">
        <v>425</v>
      </c>
      <c r="B426" s="4"/>
      <c r="C426" s="4"/>
      <c r="D426" s="4"/>
      <c r="E426" s="4"/>
    </row>
    <row r="427" spans="1:5" x14ac:dyDescent="0.25">
      <c r="A427" s="4">
        <v>426</v>
      </c>
      <c r="B427" s="4"/>
      <c r="C427" s="4"/>
      <c r="D427" s="4"/>
      <c r="E427" s="4"/>
    </row>
    <row r="428" spans="1:5" x14ac:dyDescent="0.25">
      <c r="A428" s="4">
        <v>427</v>
      </c>
      <c r="B428" s="4"/>
      <c r="C428" s="4"/>
      <c r="D428" s="4"/>
      <c r="E428" s="4"/>
    </row>
    <row r="429" spans="1:5" x14ac:dyDescent="0.25">
      <c r="A429" s="4">
        <v>428</v>
      </c>
      <c r="B429" s="4"/>
      <c r="C429" s="4"/>
      <c r="D429" s="4"/>
      <c r="E429" s="4"/>
    </row>
    <row r="430" spans="1:5" x14ac:dyDescent="0.25">
      <c r="A430" s="4">
        <v>429</v>
      </c>
      <c r="B430" s="4"/>
      <c r="C430" s="4"/>
      <c r="D430" s="4"/>
      <c r="E430" s="4"/>
    </row>
    <row r="431" spans="1:5" x14ac:dyDescent="0.25">
      <c r="A431" s="4">
        <v>430</v>
      </c>
      <c r="B431" s="4"/>
      <c r="C431" s="4"/>
      <c r="D431" s="4"/>
      <c r="E431" s="4"/>
    </row>
    <row r="432" spans="1:5" x14ac:dyDescent="0.25">
      <c r="A432" s="4">
        <v>431</v>
      </c>
      <c r="B432" s="4"/>
      <c r="C432" s="4"/>
      <c r="D432" s="4"/>
      <c r="E432" s="4"/>
    </row>
    <row r="433" spans="1:5" x14ac:dyDescent="0.25">
      <c r="A433" s="4">
        <v>432</v>
      </c>
      <c r="B433" s="4"/>
      <c r="C433" s="4"/>
      <c r="D433" s="4"/>
      <c r="E433" s="4"/>
    </row>
    <row r="434" spans="1:5" x14ac:dyDescent="0.25">
      <c r="A434" s="4">
        <v>433</v>
      </c>
      <c r="B434" s="4"/>
      <c r="C434" s="4"/>
      <c r="D434" s="4"/>
      <c r="E434" s="4"/>
    </row>
    <row r="435" spans="1:5" x14ac:dyDescent="0.25">
      <c r="A435" s="4">
        <v>434</v>
      </c>
      <c r="B435" s="4"/>
      <c r="C435" s="4"/>
      <c r="D435" s="4"/>
      <c r="E435" s="4"/>
    </row>
    <row r="436" spans="1:5" x14ac:dyDescent="0.25">
      <c r="A436" s="4">
        <v>435</v>
      </c>
      <c r="B436" s="4"/>
      <c r="C436" s="4"/>
      <c r="D436" s="4"/>
      <c r="E436" s="4"/>
    </row>
    <row r="437" spans="1:5" x14ac:dyDescent="0.25">
      <c r="A437" s="4">
        <v>436</v>
      </c>
      <c r="B437" s="4"/>
      <c r="C437" s="4"/>
      <c r="D437" s="4"/>
      <c r="E437" s="4"/>
    </row>
    <row r="438" spans="1:5" x14ac:dyDescent="0.25">
      <c r="A438" s="4">
        <v>437</v>
      </c>
      <c r="B438" s="4"/>
      <c r="C438" s="4"/>
      <c r="D438" s="4"/>
      <c r="E438" s="4"/>
    </row>
    <row r="439" spans="1:5" x14ac:dyDescent="0.25">
      <c r="A439" s="4">
        <v>438</v>
      </c>
      <c r="B439" s="4"/>
      <c r="C439" s="4"/>
      <c r="D439" s="4"/>
      <c r="E439" s="4"/>
    </row>
    <row r="440" spans="1:5" x14ac:dyDescent="0.25">
      <c r="A440" s="4">
        <v>439</v>
      </c>
      <c r="B440" s="4"/>
      <c r="C440" s="4"/>
      <c r="D440" s="4"/>
      <c r="E440" s="4"/>
    </row>
    <row r="441" spans="1:5" x14ac:dyDescent="0.25">
      <c r="A441" s="4">
        <v>440</v>
      </c>
      <c r="B441" s="4"/>
      <c r="C441" s="4"/>
      <c r="D441" s="4"/>
      <c r="E441" s="4"/>
    </row>
    <row r="442" spans="1:5" x14ac:dyDescent="0.25">
      <c r="A442" s="4">
        <v>441</v>
      </c>
      <c r="B442" s="4"/>
      <c r="C442" s="4"/>
      <c r="D442" s="4"/>
      <c r="E442" s="4"/>
    </row>
    <row r="443" spans="1:5" x14ac:dyDescent="0.25">
      <c r="A443" s="4">
        <v>442</v>
      </c>
      <c r="B443" s="4"/>
      <c r="C443" s="4"/>
      <c r="D443" s="4"/>
      <c r="E443" s="4"/>
    </row>
    <row r="444" spans="1:5" x14ac:dyDescent="0.25">
      <c r="A444" s="4">
        <v>443</v>
      </c>
      <c r="B444" s="4"/>
      <c r="C444" s="4"/>
      <c r="D444" s="4"/>
      <c r="E444" s="4"/>
    </row>
    <row r="445" spans="1:5" x14ac:dyDescent="0.25">
      <c r="A445" s="4">
        <v>444</v>
      </c>
      <c r="B445" s="4"/>
      <c r="C445" s="4"/>
      <c r="D445" s="4"/>
      <c r="E445" s="4"/>
    </row>
    <row r="446" spans="1:5" x14ac:dyDescent="0.25">
      <c r="A446" s="4">
        <v>445</v>
      </c>
      <c r="B446" s="4"/>
      <c r="C446" s="4"/>
      <c r="D446" s="4"/>
      <c r="E446" s="4"/>
    </row>
    <row r="447" spans="1:5" x14ac:dyDescent="0.25">
      <c r="A447" s="4">
        <v>446</v>
      </c>
      <c r="B447" s="4"/>
      <c r="C447" s="4"/>
      <c r="D447" s="4"/>
      <c r="E447" s="4"/>
    </row>
    <row r="448" spans="1:5" x14ac:dyDescent="0.25">
      <c r="A448" s="4">
        <v>447</v>
      </c>
      <c r="B448" s="4"/>
      <c r="C448" s="4"/>
      <c r="D448" s="4"/>
      <c r="E448" s="4"/>
    </row>
    <row r="449" spans="1:5" x14ac:dyDescent="0.25">
      <c r="A449" s="4">
        <v>448</v>
      </c>
      <c r="B449" s="4"/>
      <c r="C449" s="4"/>
      <c r="D449" s="4"/>
      <c r="E449" s="4"/>
    </row>
    <row r="450" spans="1:5" x14ac:dyDescent="0.25">
      <c r="A450" s="4">
        <v>449</v>
      </c>
      <c r="B450" s="4"/>
      <c r="C450" s="4"/>
      <c r="D450" s="4"/>
      <c r="E450" s="4"/>
    </row>
    <row r="451" spans="1:5" x14ac:dyDescent="0.25">
      <c r="A451" s="4">
        <v>450</v>
      </c>
      <c r="B451" s="4"/>
      <c r="C451" s="4"/>
      <c r="D451" s="4"/>
      <c r="E451" s="4"/>
    </row>
    <row r="452" spans="1:5" x14ac:dyDescent="0.25">
      <c r="A452" s="4">
        <v>451</v>
      </c>
      <c r="B452" s="4"/>
      <c r="C452" s="4"/>
      <c r="D452" s="4"/>
      <c r="E452" s="4"/>
    </row>
    <row r="453" spans="1:5" x14ac:dyDescent="0.25">
      <c r="A453" s="4">
        <v>452</v>
      </c>
      <c r="B453" s="4"/>
      <c r="C453" s="4"/>
      <c r="D453" s="4"/>
      <c r="E453" s="4"/>
    </row>
    <row r="454" spans="1:5" x14ac:dyDescent="0.25">
      <c r="A454" s="4">
        <v>453</v>
      </c>
      <c r="B454" s="4"/>
      <c r="C454" s="4"/>
      <c r="D454" s="4"/>
      <c r="E454" s="4"/>
    </row>
    <row r="455" spans="1:5" x14ac:dyDescent="0.25">
      <c r="A455" s="4">
        <v>454</v>
      </c>
      <c r="B455" s="4"/>
      <c r="C455" s="4"/>
      <c r="D455" s="4"/>
      <c r="E455" s="4"/>
    </row>
    <row r="456" spans="1:5" x14ac:dyDescent="0.25">
      <c r="A456" s="4">
        <v>455</v>
      </c>
      <c r="B456" s="4"/>
      <c r="C456" s="4"/>
      <c r="D456" s="4"/>
      <c r="E456" s="4"/>
    </row>
    <row r="457" spans="1:5" x14ac:dyDescent="0.25">
      <c r="A457" s="4">
        <v>456</v>
      </c>
      <c r="B457" s="4"/>
      <c r="C457" s="4"/>
      <c r="D457" s="4"/>
      <c r="E457" s="4"/>
    </row>
    <row r="458" spans="1:5" x14ac:dyDescent="0.25">
      <c r="A458" s="4">
        <v>457</v>
      </c>
      <c r="B458" s="4"/>
      <c r="C458" s="4"/>
      <c r="D458" s="4"/>
      <c r="E458" s="4"/>
    </row>
    <row r="459" spans="1:5" x14ac:dyDescent="0.25">
      <c r="A459" s="4">
        <v>458</v>
      </c>
      <c r="B459" s="4"/>
      <c r="C459" s="4"/>
      <c r="D459" s="4"/>
      <c r="E459" s="4"/>
    </row>
    <row r="460" spans="1:5" x14ac:dyDescent="0.25">
      <c r="A460" s="4">
        <v>459</v>
      </c>
      <c r="B460" s="4"/>
      <c r="C460" s="4"/>
      <c r="D460" s="4"/>
      <c r="E460" s="4"/>
    </row>
    <row r="461" spans="1:5" x14ac:dyDescent="0.25">
      <c r="A461" s="4">
        <v>460</v>
      </c>
      <c r="B461" s="4"/>
      <c r="C461" s="4"/>
      <c r="D461" s="4"/>
      <c r="E461" s="4"/>
    </row>
    <row r="462" spans="1:5" x14ac:dyDescent="0.25">
      <c r="A462" s="4">
        <v>461</v>
      </c>
      <c r="B462" s="4"/>
      <c r="C462" s="4"/>
      <c r="D462" s="4"/>
      <c r="E462" s="4"/>
    </row>
    <row r="463" spans="1:5" x14ac:dyDescent="0.25">
      <c r="A463" s="4">
        <v>462</v>
      </c>
      <c r="B463" s="4"/>
      <c r="C463" s="4"/>
      <c r="D463" s="4"/>
      <c r="E463" s="4"/>
    </row>
    <row r="464" spans="1:5" x14ac:dyDescent="0.25">
      <c r="A464" s="4">
        <v>463</v>
      </c>
      <c r="B464" s="4"/>
      <c r="C464" s="4"/>
      <c r="D464" s="4"/>
      <c r="E464" s="4"/>
    </row>
    <row r="465" spans="1:5" x14ac:dyDescent="0.25">
      <c r="A465" s="4">
        <v>464</v>
      </c>
      <c r="B465" s="4"/>
      <c r="C465" s="4"/>
      <c r="D465" s="4"/>
      <c r="E465" s="4"/>
    </row>
    <row r="466" spans="1:5" x14ac:dyDescent="0.25">
      <c r="A466" s="4">
        <v>465</v>
      </c>
      <c r="B466" s="4"/>
      <c r="C466" s="4"/>
      <c r="D466" s="4"/>
      <c r="E466" s="4"/>
    </row>
    <row r="467" spans="1:5" x14ac:dyDescent="0.25">
      <c r="A467" s="4">
        <v>466</v>
      </c>
      <c r="B467" s="4"/>
      <c r="C467" s="4"/>
      <c r="D467" s="4"/>
      <c r="E467" s="4"/>
    </row>
    <row r="468" spans="1:5" x14ac:dyDescent="0.25">
      <c r="A468" s="4">
        <v>467</v>
      </c>
      <c r="B468" s="4"/>
      <c r="C468" s="4"/>
      <c r="D468" s="4"/>
      <c r="E468" s="4"/>
    </row>
    <row r="469" spans="1:5" x14ac:dyDescent="0.25">
      <c r="A469" s="4">
        <v>468</v>
      </c>
      <c r="B469" s="4"/>
      <c r="C469" s="4"/>
      <c r="D469" s="4"/>
      <c r="E469" s="4"/>
    </row>
    <row r="470" spans="1:5" x14ac:dyDescent="0.25">
      <c r="A470" s="4">
        <v>469</v>
      </c>
      <c r="B470" s="4"/>
      <c r="C470" s="4"/>
      <c r="D470" s="4"/>
      <c r="E470" s="4"/>
    </row>
    <row r="471" spans="1:5" x14ac:dyDescent="0.25">
      <c r="A471" s="4">
        <v>470</v>
      </c>
      <c r="B471" s="4"/>
      <c r="C471" s="4"/>
      <c r="D471" s="4"/>
      <c r="E471" s="4"/>
    </row>
    <row r="472" spans="1:5" x14ac:dyDescent="0.25">
      <c r="A472" s="4">
        <v>471</v>
      </c>
      <c r="B472" s="4"/>
      <c r="C472" s="4"/>
      <c r="D472" s="4"/>
      <c r="E472" s="4"/>
    </row>
    <row r="473" spans="1:5" x14ac:dyDescent="0.25">
      <c r="A473" s="4">
        <v>472</v>
      </c>
      <c r="B473" s="4"/>
      <c r="C473" s="4"/>
      <c r="D473" s="4"/>
      <c r="E473" s="4"/>
    </row>
    <row r="474" spans="1:5" x14ac:dyDescent="0.25">
      <c r="A474" s="4">
        <v>473</v>
      </c>
      <c r="B474" s="4"/>
      <c r="C474" s="4"/>
      <c r="D474" s="4"/>
      <c r="E474" s="4"/>
    </row>
    <row r="475" spans="1:5" x14ac:dyDescent="0.25">
      <c r="A475" s="4">
        <v>474</v>
      </c>
      <c r="B475" s="4"/>
      <c r="C475" s="4"/>
      <c r="D475" s="4"/>
      <c r="E475" s="4"/>
    </row>
    <row r="476" spans="1:5" x14ac:dyDescent="0.25">
      <c r="A476" s="4">
        <v>475</v>
      </c>
      <c r="B476" s="4"/>
      <c r="C476" s="4"/>
      <c r="D476" s="4"/>
      <c r="E476" s="4"/>
    </row>
    <row r="477" spans="1:5" x14ac:dyDescent="0.25">
      <c r="A477" s="4">
        <v>476</v>
      </c>
      <c r="B477" s="4"/>
      <c r="C477" s="4"/>
      <c r="D477" s="4"/>
      <c r="E477" s="4"/>
    </row>
    <row r="478" spans="1:5" x14ac:dyDescent="0.25">
      <c r="A478" s="4">
        <v>477</v>
      </c>
      <c r="B478" s="4"/>
      <c r="C478" s="4"/>
      <c r="D478" s="4"/>
      <c r="E478" s="4"/>
    </row>
    <row r="479" spans="1:5" x14ac:dyDescent="0.25">
      <c r="A479" s="4">
        <v>478</v>
      </c>
      <c r="B479" s="4"/>
      <c r="C479" s="4"/>
      <c r="D479" s="4"/>
      <c r="E479" s="4"/>
    </row>
    <row r="480" spans="1:5" x14ac:dyDescent="0.25">
      <c r="A480" s="4">
        <v>479</v>
      </c>
      <c r="B480" s="4"/>
      <c r="C480" s="4"/>
      <c r="D480" s="4"/>
      <c r="E480" s="4"/>
    </row>
    <row r="481" spans="1:5" x14ac:dyDescent="0.25">
      <c r="A481" s="4">
        <v>480</v>
      </c>
      <c r="B481" s="4"/>
      <c r="C481" s="4"/>
      <c r="D481" s="4"/>
      <c r="E481" s="4"/>
    </row>
    <row r="482" spans="1:5" x14ac:dyDescent="0.25">
      <c r="A482" s="4">
        <v>481</v>
      </c>
      <c r="B482" s="4"/>
      <c r="C482" s="4"/>
      <c r="D482" s="4"/>
      <c r="E482" s="4"/>
    </row>
    <row r="483" spans="1:5" x14ac:dyDescent="0.25">
      <c r="A483" s="4">
        <v>482</v>
      </c>
      <c r="B483" s="4"/>
      <c r="C483" s="4"/>
      <c r="D483" s="4"/>
      <c r="E483" s="4"/>
    </row>
    <row r="484" spans="1:5" x14ac:dyDescent="0.25">
      <c r="A484" s="4">
        <v>483</v>
      </c>
      <c r="B484" s="4"/>
      <c r="C484" s="4"/>
      <c r="D484" s="4"/>
      <c r="E484" s="4"/>
    </row>
    <row r="485" spans="1:5" x14ac:dyDescent="0.25">
      <c r="A485" s="4">
        <v>484</v>
      </c>
      <c r="B485" s="4"/>
      <c r="C485" s="4"/>
      <c r="D485" s="4"/>
      <c r="E485" s="4"/>
    </row>
    <row r="486" spans="1:5" x14ac:dyDescent="0.25">
      <c r="A486" s="4">
        <v>485</v>
      </c>
      <c r="B486" s="4"/>
      <c r="C486" s="4"/>
      <c r="D486" s="4"/>
      <c r="E486" s="4"/>
    </row>
    <row r="487" spans="1:5" x14ac:dyDescent="0.25">
      <c r="A487" s="4">
        <v>486</v>
      </c>
      <c r="B487" s="4"/>
      <c r="C487" s="4"/>
      <c r="D487" s="4"/>
      <c r="E487" s="4"/>
    </row>
    <row r="488" spans="1:5" x14ac:dyDescent="0.25">
      <c r="A488" s="4">
        <v>487</v>
      </c>
      <c r="B488" s="4"/>
      <c r="C488" s="4"/>
      <c r="D488" s="4"/>
      <c r="E488" s="4"/>
    </row>
    <row r="489" spans="1:5" x14ac:dyDescent="0.25">
      <c r="A489" s="4">
        <v>488</v>
      </c>
      <c r="B489" s="4"/>
      <c r="C489" s="4"/>
      <c r="D489" s="4"/>
      <c r="E489" s="4"/>
    </row>
    <row r="490" spans="1:5" x14ac:dyDescent="0.25">
      <c r="A490" s="4">
        <v>489</v>
      </c>
      <c r="B490" s="4"/>
      <c r="C490" s="4"/>
      <c r="D490" s="4"/>
      <c r="E490" s="4"/>
    </row>
    <row r="491" spans="1:5" x14ac:dyDescent="0.25">
      <c r="A491" s="4">
        <v>490</v>
      </c>
      <c r="B491" s="4"/>
      <c r="C491" s="4"/>
      <c r="D491" s="4"/>
      <c r="E491" s="4"/>
    </row>
    <row r="492" spans="1:5" x14ac:dyDescent="0.25">
      <c r="A492" s="4">
        <v>491</v>
      </c>
      <c r="B492" s="4"/>
      <c r="C492" s="4"/>
      <c r="D492" s="4"/>
      <c r="E492" s="4"/>
    </row>
    <row r="493" spans="1:5" x14ac:dyDescent="0.25">
      <c r="A493" s="4">
        <v>492</v>
      </c>
      <c r="B493" s="4"/>
      <c r="C493" s="4"/>
      <c r="D493" s="4"/>
      <c r="E493" s="4"/>
    </row>
    <row r="494" spans="1:5" x14ac:dyDescent="0.25">
      <c r="A494" s="4">
        <v>493</v>
      </c>
      <c r="B494" s="4"/>
      <c r="C494" s="4"/>
      <c r="D494" s="4"/>
      <c r="E494" s="4"/>
    </row>
    <row r="495" spans="1:5" x14ac:dyDescent="0.25">
      <c r="A495" s="4">
        <v>494</v>
      </c>
      <c r="B495" s="4"/>
      <c r="C495" s="4"/>
      <c r="D495" s="4"/>
      <c r="E495" s="4"/>
    </row>
    <row r="496" spans="1:5" x14ac:dyDescent="0.25">
      <c r="A496" s="4">
        <v>495</v>
      </c>
      <c r="B496" s="4"/>
      <c r="C496" s="4"/>
      <c r="D496" s="4"/>
      <c r="E496" s="4"/>
    </row>
    <row r="497" spans="1:5" x14ac:dyDescent="0.25">
      <c r="A497" s="4">
        <v>496</v>
      </c>
      <c r="B497" s="4"/>
      <c r="C497" s="4"/>
      <c r="D497" s="4"/>
      <c r="E497" s="4"/>
    </row>
    <row r="498" spans="1:5" x14ac:dyDescent="0.25">
      <c r="A498" s="4">
        <v>497</v>
      </c>
      <c r="B498" s="4"/>
      <c r="C498" s="4"/>
      <c r="D498" s="4"/>
      <c r="E498" s="4"/>
    </row>
    <row r="499" spans="1:5" x14ac:dyDescent="0.25">
      <c r="A499" s="4">
        <v>498</v>
      </c>
      <c r="B499" s="4"/>
      <c r="C499" s="4"/>
      <c r="D499" s="4"/>
      <c r="E499" s="4"/>
    </row>
    <row r="500" spans="1:5" x14ac:dyDescent="0.25">
      <c r="A500" s="4">
        <v>499</v>
      </c>
      <c r="B500" s="4"/>
      <c r="C500" s="4"/>
      <c r="D500" s="4"/>
      <c r="E500" s="4"/>
    </row>
    <row r="501" spans="1:5" x14ac:dyDescent="0.25">
      <c r="A501" s="4">
        <v>500</v>
      </c>
      <c r="B501" s="4"/>
      <c r="C501" s="4"/>
      <c r="D501" s="4"/>
      <c r="E501" s="4"/>
    </row>
    <row r="502" spans="1:5" x14ac:dyDescent="0.25">
      <c r="A502" s="4">
        <v>501</v>
      </c>
      <c r="B502" s="4"/>
      <c r="C502" s="4"/>
      <c r="D502" s="4"/>
      <c r="E502" s="4"/>
    </row>
    <row r="503" spans="1:5" x14ac:dyDescent="0.25">
      <c r="A503" s="4">
        <v>502</v>
      </c>
      <c r="B503" s="4"/>
      <c r="C503" s="4"/>
      <c r="D503" s="4"/>
      <c r="E503" s="4"/>
    </row>
    <row r="504" spans="1:5" x14ac:dyDescent="0.25">
      <c r="A504" s="4">
        <v>503</v>
      </c>
      <c r="B504" s="4"/>
      <c r="C504" s="4"/>
      <c r="D504" s="4"/>
      <c r="E504" s="4"/>
    </row>
    <row r="505" spans="1:5" x14ac:dyDescent="0.25">
      <c r="A505" s="4">
        <v>504</v>
      </c>
      <c r="B505" s="4"/>
      <c r="C505" s="4"/>
      <c r="D505" s="4"/>
      <c r="E505" s="4"/>
    </row>
    <row r="506" spans="1:5" x14ac:dyDescent="0.25">
      <c r="A506" s="4">
        <v>505</v>
      </c>
      <c r="B506" s="4"/>
      <c r="C506" s="4"/>
      <c r="D506" s="4"/>
      <c r="E506" s="4"/>
    </row>
    <row r="507" spans="1:5" x14ac:dyDescent="0.25">
      <c r="A507" s="4">
        <v>506</v>
      </c>
      <c r="B507" s="4"/>
      <c r="C507" s="4"/>
      <c r="D507" s="4"/>
      <c r="E507" s="4"/>
    </row>
    <row r="508" spans="1:5" x14ac:dyDescent="0.25">
      <c r="A508" s="4">
        <v>507</v>
      </c>
      <c r="B508" s="4"/>
      <c r="C508" s="4"/>
      <c r="D508" s="4"/>
      <c r="E508" s="4"/>
    </row>
    <row r="509" spans="1:5" x14ac:dyDescent="0.25">
      <c r="A509" s="4">
        <v>508</v>
      </c>
      <c r="B509" s="4"/>
      <c r="C509" s="4"/>
      <c r="D509" s="4"/>
      <c r="E509" s="4"/>
    </row>
    <row r="510" spans="1:5" x14ac:dyDescent="0.25">
      <c r="A510" s="4">
        <v>509</v>
      </c>
      <c r="B510" s="4"/>
      <c r="C510" s="4"/>
      <c r="D510" s="4"/>
      <c r="E510" s="4"/>
    </row>
    <row r="511" spans="1:5" x14ac:dyDescent="0.25">
      <c r="A511" s="4">
        <v>510</v>
      </c>
      <c r="B511" s="4"/>
      <c r="C511" s="4"/>
      <c r="D511" s="4"/>
      <c r="E511" s="4"/>
    </row>
    <row r="512" spans="1:5" x14ac:dyDescent="0.25">
      <c r="A512" s="4">
        <v>511</v>
      </c>
      <c r="B512" s="4"/>
      <c r="C512" s="4"/>
      <c r="D512" s="4"/>
      <c r="E512" s="4"/>
    </row>
    <row r="513" spans="1:5" x14ac:dyDescent="0.25">
      <c r="A513" s="4">
        <v>512</v>
      </c>
      <c r="B513" s="4"/>
      <c r="C513" s="4"/>
      <c r="D513" s="4"/>
      <c r="E513" s="4"/>
    </row>
    <row r="514" spans="1:5" x14ac:dyDescent="0.25">
      <c r="A514" s="4">
        <v>513</v>
      </c>
      <c r="B514" s="4"/>
      <c r="C514" s="4"/>
      <c r="D514" s="4"/>
      <c r="E514" s="4"/>
    </row>
    <row r="515" spans="1:5" x14ac:dyDescent="0.25">
      <c r="A515" s="4">
        <v>514</v>
      </c>
      <c r="B515" s="4"/>
      <c r="C515" s="4"/>
      <c r="D515" s="4"/>
      <c r="E515" s="4"/>
    </row>
    <row r="516" spans="1:5" x14ac:dyDescent="0.25">
      <c r="A516" s="4">
        <v>515</v>
      </c>
      <c r="B516" s="4"/>
      <c r="C516" s="4"/>
      <c r="D516" s="4"/>
      <c r="E516" s="4"/>
    </row>
    <row r="517" spans="1:5" x14ac:dyDescent="0.25">
      <c r="A517" s="4">
        <v>516</v>
      </c>
      <c r="B517" s="4"/>
      <c r="C517" s="4"/>
      <c r="D517" s="4"/>
      <c r="E517" s="4"/>
    </row>
    <row r="518" spans="1:5" x14ac:dyDescent="0.25">
      <c r="A518" s="4">
        <v>517</v>
      </c>
      <c r="B518" s="4"/>
      <c r="C518" s="4"/>
      <c r="D518" s="4"/>
      <c r="E518" s="4"/>
    </row>
    <row r="519" spans="1:5" x14ac:dyDescent="0.25">
      <c r="A519" s="4">
        <v>518</v>
      </c>
      <c r="B519" s="4"/>
      <c r="C519" s="4"/>
      <c r="D519" s="4"/>
      <c r="E519" s="4"/>
    </row>
    <row r="520" spans="1:5" x14ac:dyDescent="0.25">
      <c r="A520" s="4">
        <v>519</v>
      </c>
      <c r="B520" s="4"/>
      <c r="C520" s="4"/>
      <c r="D520" s="4"/>
      <c r="E520" s="4"/>
    </row>
    <row r="521" spans="1:5" x14ac:dyDescent="0.25">
      <c r="A521" s="4">
        <v>520</v>
      </c>
      <c r="B521" s="4"/>
      <c r="C521" s="4"/>
      <c r="D521" s="4"/>
      <c r="E521" s="4"/>
    </row>
    <row r="522" spans="1:5" x14ac:dyDescent="0.25">
      <c r="A522" s="4">
        <v>521</v>
      </c>
      <c r="B522" s="4"/>
      <c r="C522" s="4"/>
      <c r="D522" s="4"/>
      <c r="E522" s="4"/>
    </row>
    <row r="523" spans="1:5" x14ac:dyDescent="0.25">
      <c r="A523" s="4">
        <v>522</v>
      </c>
      <c r="B523" s="4"/>
      <c r="C523" s="4"/>
      <c r="D523" s="4"/>
      <c r="E523" s="4"/>
    </row>
    <row r="524" spans="1:5" x14ac:dyDescent="0.25">
      <c r="A524" s="4">
        <v>523</v>
      </c>
      <c r="B524" s="4"/>
      <c r="C524" s="4"/>
      <c r="D524" s="4"/>
      <c r="E524" s="4"/>
    </row>
    <row r="525" spans="1:5" x14ac:dyDescent="0.25">
      <c r="A525" s="4">
        <v>524</v>
      </c>
      <c r="B525" s="4"/>
      <c r="C525" s="4"/>
      <c r="D525" s="4"/>
      <c r="E525" s="4"/>
    </row>
    <row r="526" spans="1:5" x14ac:dyDescent="0.25">
      <c r="A526" s="4">
        <v>525</v>
      </c>
      <c r="B526" s="4"/>
      <c r="C526" s="4"/>
      <c r="D526" s="4"/>
      <c r="E526" s="4"/>
    </row>
    <row r="527" spans="1:5" x14ac:dyDescent="0.25">
      <c r="A527" s="4">
        <v>526</v>
      </c>
      <c r="B527" s="4"/>
      <c r="C527" s="4"/>
      <c r="D527" s="4"/>
      <c r="E527" s="4"/>
    </row>
    <row r="528" spans="1:5" x14ac:dyDescent="0.25">
      <c r="A528" s="4">
        <v>527</v>
      </c>
      <c r="B528" s="4"/>
      <c r="C528" s="4"/>
      <c r="D528" s="4"/>
      <c r="E528" s="4"/>
    </row>
    <row r="529" spans="1:5" x14ac:dyDescent="0.25">
      <c r="A529" s="4">
        <v>528</v>
      </c>
      <c r="B529" s="4"/>
      <c r="C529" s="4"/>
      <c r="D529" s="4"/>
      <c r="E529" s="4"/>
    </row>
    <row r="530" spans="1:5" x14ac:dyDescent="0.25">
      <c r="A530" s="4">
        <v>529</v>
      </c>
      <c r="B530" s="4"/>
      <c r="C530" s="4"/>
      <c r="D530" s="4"/>
      <c r="E530" s="4"/>
    </row>
    <row r="531" spans="1:5" x14ac:dyDescent="0.25">
      <c r="A531" s="4">
        <v>530</v>
      </c>
      <c r="B531" s="4"/>
      <c r="C531" s="4"/>
      <c r="D531" s="4"/>
      <c r="E531" s="4"/>
    </row>
    <row r="532" spans="1:5" x14ac:dyDescent="0.25">
      <c r="A532" s="4">
        <v>531</v>
      </c>
      <c r="B532" s="4"/>
      <c r="C532" s="4"/>
      <c r="D532" s="4"/>
      <c r="E532" s="4"/>
    </row>
    <row r="533" spans="1:5" x14ac:dyDescent="0.25">
      <c r="A533" s="4">
        <v>532</v>
      </c>
      <c r="B533" s="4"/>
      <c r="C533" s="4"/>
      <c r="D533" s="4"/>
      <c r="E533" s="4"/>
    </row>
    <row r="534" spans="1:5" x14ac:dyDescent="0.25">
      <c r="A534" s="4">
        <v>533</v>
      </c>
      <c r="B534" s="4"/>
      <c r="C534" s="4"/>
      <c r="D534" s="4"/>
      <c r="E534" s="4"/>
    </row>
    <row r="535" spans="1:5" x14ac:dyDescent="0.25">
      <c r="A535" s="4">
        <v>534</v>
      </c>
      <c r="B535" s="4"/>
      <c r="C535" s="4"/>
      <c r="D535" s="4"/>
      <c r="E535" s="4"/>
    </row>
    <row r="536" spans="1:5" x14ac:dyDescent="0.25">
      <c r="A536" s="4">
        <v>535</v>
      </c>
      <c r="B536" s="4"/>
      <c r="C536" s="4"/>
      <c r="D536" s="4"/>
      <c r="E536" s="4"/>
    </row>
    <row r="537" spans="1:5" x14ac:dyDescent="0.25">
      <c r="A537" s="4">
        <v>536</v>
      </c>
      <c r="B537" s="4"/>
      <c r="C537" s="4"/>
      <c r="D537" s="4"/>
      <c r="E537" s="4"/>
    </row>
    <row r="538" spans="1:5" x14ac:dyDescent="0.25">
      <c r="A538" s="4">
        <v>537</v>
      </c>
      <c r="B538" s="4"/>
      <c r="C538" s="4"/>
      <c r="D538" s="4"/>
      <c r="E538" s="4"/>
    </row>
    <row r="539" spans="1:5" x14ac:dyDescent="0.25">
      <c r="A539" s="4">
        <v>538</v>
      </c>
      <c r="B539" s="4"/>
      <c r="C539" s="4"/>
      <c r="D539" s="4"/>
      <c r="E539" s="4"/>
    </row>
    <row r="540" spans="1:5" x14ac:dyDescent="0.25">
      <c r="A540" s="4">
        <v>539</v>
      </c>
      <c r="B540" s="4"/>
      <c r="C540" s="4"/>
      <c r="D540" s="4"/>
      <c r="E540" s="4"/>
    </row>
    <row r="541" spans="1:5" x14ac:dyDescent="0.25">
      <c r="A541" s="4">
        <v>540</v>
      </c>
      <c r="B541" s="4"/>
      <c r="C541" s="4"/>
      <c r="D541" s="4"/>
      <c r="E541" s="4"/>
    </row>
    <row r="542" spans="1:5" x14ac:dyDescent="0.25">
      <c r="A542" s="4">
        <v>541</v>
      </c>
      <c r="B542" s="4"/>
      <c r="C542" s="4"/>
      <c r="D542" s="4"/>
      <c r="E542" s="4"/>
    </row>
    <row r="543" spans="1:5" x14ac:dyDescent="0.25">
      <c r="A543" s="4">
        <v>542</v>
      </c>
      <c r="B543" s="4"/>
      <c r="C543" s="4"/>
      <c r="D543" s="4"/>
      <c r="E543" s="4"/>
    </row>
    <row r="544" spans="1:5" x14ac:dyDescent="0.25">
      <c r="A544" s="4">
        <v>543</v>
      </c>
      <c r="B544" s="4"/>
      <c r="C544" s="4"/>
      <c r="D544" s="4"/>
      <c r="E544" s="4"/>
    </row>
    <row r="545" spans="1:5" x14ac:dyDescent="0.25">
      <c r="A545" s="4">
        <v>544</v>
      </c>
      <c r="B545" s="4"/>
      <c r="C545" s="4"/>
      <c r="D545" s="4"/>
      <c r="E545" s="4"/>
    </row>
    <row r="546" spans="1:5" x14ac:dyDescent="0.25">
      <c r="A546" s="4">
        <v>545</v>
      </c>
      <c r="B546" s="4"/>
      <c r="C546" s="4"/>
      <c r="D546" s="4"/>
      <c r="E546" s="4"/>
    </row>
    <row r="547" spans="1:5" x14ac:dyDescent="0.25">
      <c r="A547" s="4">
        <v>546</v>
      </c>
      <c r="B547" s="4"/>
      <c r="C547" s="4"/>
      <c r="D547" s="4"/>
      <c r="E547" s="4"/>
    </row>
    <row r="548" spans="1:5" x14ac:dyDescent="0.25">
      <c r="A548" s="4">
        <v>547</v>
      </c>
      <c r="B548" s="4"/>
      <c r="C548" s="4"/>
      <c r="D548" s="4"/>
      <c r="E548" s="4"/>
    </row>
    <row r="549" spans="1:5" x14ac:dyDescent="0.25">
      <c r="A549" s="4">
        <v>548</v>
      </c>
      <c r="B549" s="4"/>
      <c r="C549" s="4"/>
      <c r="D549" s="4"/>
      <c r="E549" s="4"/>
    </row>
    <row r="550" spans="1:5" x14ac:dyDescent="0.25">
      <c r="A550" s="4">
        <v>549</v>
      </c>
      <c r="B550" s="4"/>
      <c r="C550" s="4"/>
      <c r="D550" s="4"/>
      <c r="E550" s="4"/>
    </row>
    <row r="551" spans="1:5" x14ac:dyDescent="0.25">
      <c r="A551" s="4">
        <v>550</v>
      </c>
      <c r="B551" s="4"/>
      <c r="C551" s="4"/>
      <c r="D551" s="4"/>
      <c r="E551" s="4"/>
    </row>
    <row r="552" spans="1:5" x14ac:dyDescent="0.25">
      <c r="A552" s="4">
        <v>551</v>
      </c>
      <c r="B552" s="4"/>
      <c r="C552" s="4"/>
      <c r="D552" s="4"/>
      <c r="E552" s="4"/>
    </row>
    <row r="553" spans="1:5" x14ac:dyDescent="0.25">
      <c r="A553" s="4">
        <v>552</v>
      </c>
      <c r="B553" s="4"/>
      <c r="C553" s="4"/>
      <c r="D553" s="4"/>
      <c r="E553" s="4"/>
    </row>
    <row r="554" spans="1:5" x14ac:dyDescent="0.25">
      <c r="A554" s="4">
        <v>553</v>
      </c>
      <c r="B554" s="4"/>
      <c r="C554" s="4"/>
      <c r="D554" s="4"/>
      <c r="E554" s="4"/>
    </row>
    <row r="555" spans="1:5" x14ac:dyDescent="0.25">
      <c r="A555" s="4">
        <v>554</v>
      </c>
      <c r="B555" s="4"/>
      <c r="C555" s="4"/>
      <c r="D555" s="4"/>
      <c r="E555" s="4"/>
    </row>
    <row r="556" spans="1:5" x14ac:dyDescent="0.25">
      <c r="A556" s="4">
        <v>555</v>
      </c>
      <c r="B556" s="4"/>
      <c r="C556" s="4"/>
      <c r="D556" s="4"/>
      <c r="E556" s="4"/>
    </row>
    <row r="557" spans="1:5" x14ac:dyDescent="0.25">
      <c r="A557" s="4">
        <v>556</v>
      </c>
      <c r="B557" s="4"/>
      <c r="C557" s="4"/>
      <c r="D557" s="4"/>
      <c r="E557" s="4"/>
    </row>
    <row r="558" spans="1:5" x14ac:dyDescent="0.25">
      <c r="A558" s="4">
        <v>557</v>
      </c>
      <c r="B558" s="4"/>
      <c r="C558" s="4"/>
      <c r="D558" s="4"/>
      <c r="E558" s="4"/>
    </row>
    <row r="559" spans="1:5" x14ac:dyDescent="0.25">
      <c r="A559" s="4">
        <v>558</v>
      </c>
      <c r="B559" s="4"/>
      <c r="C559" s="4"/>
      <c r="D559" s="4"/>
      <c r="E559" s="4"/>
    </row>
    <row r="560" spans="1:5" x14ac:dyDescent="0.25">
      <c r="A560" s="4">
        <v>559</v>
      </c>
      <c r="B560" s="4"/>
      <c r="C560" s="4"/>
      <c r="D560" s="4"/>
      <c r="E560" s="4"/>
    </row>
    <row r="561" spans="1:5" x14ac:dyDescent="0.25">
      <c r="A561" s="4">
        <v>560</v>
      </c>
      <c r="B561" s="4"/>
      <c r="C561" s="4"/>
      <c r="D561" s="4"/>
      <c r="E561" s="4"/>
    </row>
    <row r="562" spans="1:5" x14ac:dyDescent="0.25">
      <c r="A562" s="4">
        <v>561</v>
      </c>
      <c r="B562" s="4"/>
      <c r="C562" s="4"/>
      <c r="D562" s="4"/>
      <c r="E562" s="4"/>
    </row>
    <row r="563" spans="1:5" x14ac:dyDescent="0.25">
      <c r="A563" s="4">
        <v>562</v>
      </c>
      <c r="B563" s="4"/>
      <c r="C563" s="4"/>
      <c r="D563" s="4"/>
      <c r="E563" s="4"/>
    </row>
    <row r="564" spans="1:5" x14ac:dyDescent="0.25">
      <c r="A564" s="4">
        <v>563</v>
      </c>
      <c r="B564" s="4"/>
      <c r="C564" s="4"/>
      <c r="D564" s="4"/>
      <c r="E564" s="4"/>
    </row>
    <row r="565" spans="1:5" x14ac:dyDescent="0.25">
      <c r="A565" s="4">
        <v>564</v>
      </c>
      <c r="B565" s="4"/>
      <c r="C565" s="4"/>
      <c r="D565" s="4"/>
      <c r="E565" s="4"/>
    </row>
    <row r="566" spans="1:5" x14ac:dyDescent="0.25">
      <c r="A566" s="4">
        <v>565</v>
      </c>
      <c r="B566" s="4"/>
      <c r="C566" s="4"/>
      <c r="D566" s="4"/>
      <c r="E566" s="4"/>
    </row>
    <row r="567" spans="1:5" x14ac:dyDescent="0.25">
      <c r="A567" s="4">
        <v>566</v>
      </c>
      <c r="B567" s="4"/>
      <c r="C567" s="4"/>
      <c r="D567" s="4"/>
      <c r="E567" s="4"/>
    </row>
    <row r="568" spans="1:5" x14ac:dyDescent="0.25">
      <c r="A568" s="4">
        <v>567</v>
      </c>
      <c r="B568" s="4"/>
      <c r="C568" s="4"/>
      <c r="D568" s="4"/>
      <c r="E568" s="4"/>
    </row>
    <row r="569" spans="1:5" x14ac:dyDescent="0.25">
      <c r="A569" s="4">
        <v>568</v>
      </c>
      <c r="B569" s="4"/>
      <c r="C569" s="4"/>
      <c r="D569" s="4"/>
      <c r="E569" s="4"/>
    </row>
    <row r="570" spans="1:5" x14ac:dyDescent="0.25">
      <c r="A570" s="4">
        <v>569</v>
      </c>
      <c r="B570" s="4"/>
      <c r="C570" s="4"/>
      <c r="D570" s="4"/>
      <c r="E570" s="4"/>
    </row>
    <row r="571" spans="1:5" x14ac:dyDescent="0.25">
      <c r="A571" s="4">
        <v>570</v>
      </c>
      <c r="B571" s="4"/>
      <c r="C571" s="4"/>
      <c r="D571" s="4"/>
      <c r="E571" s="4"/>
    </row>
    <row r="572" spans="1:5" x14ac:dyDescent="0.25">
      <c r="A572" s="4">
        <v>571</v>
      </c>
      <c r="B572" s="4"/>
      <c r="C572" s="4"/>
      <c r="D572" s="4"/>
      <c r="E572" s="4"/>
    </row>
    <row r="573" spans="1:5" x14ac:dyDescent="0.25">
      <c r="A573" s="4">
        <v>572</v>
      </c>
      <c r="B573" s="4"/>
      <c r="C573" s="4"/>
      <c r="D573" s="4"/>
      <c r="E573" s="4"/>
    </row>
    <row r="574" spans="1:5" x14ac:dyDescent="0.25">
      <c r="A574" s="4">
        <v>573</v>
      </c>
      <c r="B574" s="4"/>
      <c r="C574" s="4"/>
      <c r="D574" s="4"/>
      <c r="E574" s="4"/>
    </row>
    <row r="575" spans="1:5" x14ac:dyDescent="0.25">
      <c r="A575" s="4">
        <v>574</v>
      </c>
      <c r="B575" s="4"/>
      <c r="C575" s="4"/>
      <c r="D575" s="4"/>
      <c r="E575" s="4"/>
    </row>
    <row r="576" spans="1:5" x14ac:dyDescent="0.25">
      <c r="A576" s="4">
        <v>575</v>
      </c>
      <c r="B576" s="4"/>
      <c r="C576" s="4"/>
      <c r="D576" s="4"/>
      <c r="E576" s="4"/>
    </row>
    <row r="577" spans="1:5" x14ac:dyDescent="0.25">
      <c r="A577" s="4">
        <v>576</v>
      </c>
      <c r="B577" s="4"/>
      <c r="C577" s="4"/>
      <c r="D577" s="4"/>
      <c r="E577" s="4"/>
    </row>
    <row r="578" spans="1:5" x14ac:dyDescent="0.25">
      <c r="A578" s="4">
        <v>577</v>
      </c>
      <c r="B578" s="4"/>
      <c r="C578" s="4"/>
      <c r="D578" s="4"/>
      <c r="E578" s="4"/>
    </row>
    <row r="579" spans="1:5" x14ac:dyDescent="0.25">
      <c r="A579" s="4">
        <v>578</v>
      </c>
      <c r="B579" s="4"/>
      <c r="C579" s="4"/>
      <c r="D579" s="4"/>
      <c r="E579" s="4"/>
    </row>
    <row r="580" spans="1:5" x14ac:dyDescent="0.25">
      <c r="A580" s="4">
        <v>579</v>
      </c>
      <c r="B580" s="4"/>
      <c r="C580" s="4"/>
      <c r="D580" s="4"/>
      <c r="E580" s="4"/>
    </row>
    <row r="581" spans="1:5" x14ac:dyDescent="0.25">
      <c r="A581" s="4">
        <v>580</v>
      </c>
      <c r="B581" s="4"/>
      <c r="C581" s="4"/>
      <c r="D581" s="4"/>
      <c r="E581" s="4"/>
    </row>
    <row r="582" spans="1:5" x14ac:dyDescent="0.25">
      <c r="A582" s="4">
        <v>581</v>
      </c>
      <c r="B582" s="4"/>
      <c r="C582" s="4"/>
      <c r="D582" s="4"/>
      <c r="E582" s="4"/>
    </row>
    <row r="583" spans="1:5" x14ac:dyDescent="0.25">
      <c r="A583" s="4">
        <v>582</v>
      </c>
      <c r="B583" s="4"/>
      <c r="C583" s="4"/>
      <c r="D583" s="4"/>
      <c r="E583" s="4"/>
    </row>
    <row r="584" spans="1:5" x14ac:dyDescent="0.25">
      <c r="A584" s="4">
        <v>583</v>
      </c>
      <c r="B584" s="4"/>
      <c r="C584" s="4"/>
      <c r="D584" s="4"/>
      <c r="E584" s="4"/>
    </row>
    <row r="585" spans="1:5" x14ac:dyDescent="0.25">
      <c r="A585" s="4">
        <v>584</v>
      </c>
      <c r="B585" s="4"/>
      <c r="C585" s="4"/>
      <c r="D585" s="4"/>
      <c r="E585" s="4"/>
    </row>
    <row r="586" spans="1:5" x14ac:dyDescent="0.25">
      <c r="A586" s="4">
        <v>585</v>
      </c>
      <c r="B586" s="4"/>
      <c r="C586" s="4"/>
      <c r="D586" s="4"/>
      <c r="E586" s="4"/>
    </row>
    <row r="587" spans="1:5" x14ac:dyDescent="0.25">
      <c r="A587" s="4">
        <v>586</v>
      </c>
      <c r="B587" s="4"/>
      <c r="C587" s="4"/>
      <c r="D587" s="4"/>
      <c r="E587" s="4"/>
    </row>
    <row r="588" spans="1:5" x14ac:dyDescent="0.25">
      <c r="A588" s="4">
        <v>587</v>
      </c>
      <c r="B588" s="4"/>
      <c r="C588" s="4"/>
      <c r="D588" s="4"/>
      <c r="E588" s="4"/>
    </row>
    <row r="589" spans="1:5" x14ac:dyDescent="0.25">
      <c r="A589" s="4">
        <v>588</v>
      </c>
      <c r="B589" s="4"/>
      <c r="C589" s="4"/>
      <c r="D589" s="4"/>
      <c r="E589" s="4"/>
    </row>
    <row r="590" spans="1:5" x14ac:dyDescent="0.25">
      <c r="A590" s="4">
        <v>589</v>
      </c>
      <c r="B590" s="4"/>
      <c r="C590" s="4"/>
      <c r="D590" s="4"/>
      <c r="E590" s="4"/>
    </row>
    <row r="591" spans="1:5" x14ac:dyDescent="0.25">
      <c r="A591" s="4">
        <v>590</v>
      </c>
      <c r="B591" s="4"/>
      <c r="C591" s="4"/>
      <c r="D591" s="4"/>
      <c r="E591" s="4"/>
    </row>
    <row r="592" spans="1:5" x14ac:dyDescent="0.25">
      <c r="A592" s="4">
        <v>591</v>
      </c>
      <c r="B592" s="4"/>
      <c r="C592" s="4"/>
      <c r="D592" s="4"/>
      <c r="E592" s="4"/>
    </row>
    <row r="593" spans="1:5" x14ac:dyDescent="0.25">
      <c r="A593" s="4">
        <v>592</v>
      </c>
      <c r="B593" s="4"/>
      <c r="C593" s="4"/>
      <c r="D593" s="4"/>
      <c r="E593" s="4"/>
    </row>
    <row r="594" spans="1:5" x14ac:dyDescent="0.25">
      <c r="A594" s="4">
        <v>593</v>
      </c>
      <c r="B594" s="4"/>
      <c r="C594" s="4"/>
      <c r="D594" s="4"/>
      <c r="E594" s="4"/>
    </row>
    <row r="595" spans="1:5" x14ac:dyDescent="0.25">
      <c r="A595" s="4">
        <v>594</v>
      </c>
      <c r="B595" s="4"/>
      <c r="C595" s="4"/>
      <c r="D595" s="4"/>
      <c r="E595" s="4"/>
    </row>
    <row r="596" spans="1:5" x14ac:dyDescent="0.25">
      <c r="A596" s="4">
        <v>595</v>
      </c>
      <c r="B596" s="4"/>
      <c r="C596" s="4"/>
      <c r="D596" s="4"/>
      <c r="E596" s="4"/>
    </row>
    <row r="597" spans="1:5" x14ac:dyDescent="0.25">
      <c r="A597" s="4">
        <v>596</v>
      </c>
      <c r="B597" s="4"/>
      <c r="C597" s="4"/>
      <c r="D597" s="4"/>
      <c r="E597" s="4"/>
    </row>
    <row r="598" spans="1:5" x14ac:dyDescent="0.25">
      <c r="A598" s="4">
        <v>597</v>
      </c>
      <c r="B598" s="4"/>
      <c r="C598" s="4"/>
      <c r="D598" s="4"/>
      <c r="E598" s="4"/>
    </row>
    <row r="599" spans="1:5" x14ac:dyDescent="0.25">
      <c r="A599" s="4">
        <v>598</v>
      </c>
      <c r="B599" s="4"/>
      <c r="C599" s="4"/>
      <c r="D599" s="4"/>
      <c r="E599" s="4"/>
    </row>
    <row r="600" spans="1:5" x14ac:dyDescent="0.25">
      <c r="A600" s="4">
        <v>599</v>
      </c>
      <c r="B600" s="4"/>
      <c r="C600" s="4"/>
      <c r="D600" s="4"/>
      <c r="E600" s="4"/>
    </row>
    <row r="601" spans="1:5" x14ac:dyDescent="0.25">
      <c r="A601" s="4">
        <v>600</v>
      </c>
      <c r="B601" s="4"/>
      <c r="C601" s="4"/>
      <c r="D601" s="4"/>
      <c r="E601" s="4"/>
    </row>
    <row r="602" spans="1:5" x14ac:dyDescent="0.25">
      <c r="A602" s="4">
        <v>601</v>
      </c>
      <c r="B602" s="4"/>
      <c r="C602" s="4"/>
      <c r="D602" s="4"/>
      <c r="E602" s="4"/>
    </row>
    <row r="603" spans="1:5" x14ac:dyDescent="0.25">
      <c r="A603" s="4">
        <v>602</v>
      </c>
      <c r="B603" s="4"/>
      <c r="C603" s="4"/>
      <c r="D603" s="4"/>
      <c r="E603" s="4"/>
    </row>
    <row r="604" spans="1:5" x14ac:dyDescent="0.25">
      <c r="A604" s="4">
        <v>603</v>
      </c>
      <c r="B604" s="4"/>
      <c r="C604" s="4"/>
      <c r="D604" s="4"/>
      <c r="E604" s="4"/>
    </row>
    <row r="605" spans="1:5" x14ac:dyDescent="0.25">
      <c r="A605" s="4">
        <v>604</v>
      </c>
      <c r="B605" s="4"/>
      <c r="C605" s="4"/>
      <c r="D605" s="4"/>
      <c r="E605" s="4"/>
    </row>
    <row r="606" spans="1:5" x14ac:dyDescent="0.25">
      <c r="A606" s="4">
        <v>605</v>
      </c>
      <c r="B606" s="4"/>
      <c r="C606" s="4"/>
      <c r="D606" s="4"/>
      <c r="E606" s="4"/>
    </row>
    <row r="607" spans="1:5" x14ac:dyDescent="0.25">
      <c r="A607" s="4">
        <v>606</v>
      </c>
      <c r="B607" s="4"/>
      <c r="C607" s="4"/>
      <c r="D607" s="4"/>
      <c r="E607" s="4"/>
    </row>
    <row r="608" spans="1:5" x14ac:dyDescent="0.25">
      <c r="A608" s="4">
        <v>607</v>
      </c>
      <c r="B608" s="4"/>
      <c r="C608" s="4"/>
      <c r="D608" s="4"/>
      <c r="E608" s="4"/>
    </row>
    <row r="609" spans="1:5" x14ac:dyDescent="0.25">
      <c r="A609" s="4">
        <v>608</v>
      </c>
      <c r="B609" s="4"/>
      <c r="C609" s="4"/>
      <c r="D609" s="4"/>
      <c r="E609" s="4"/>
    </row>
    <row r="610" spans="1:5" x14ac:dyDescent="0.25">
      <c r="A610" s="4">
        <v>609</v>
      </c>
      <c r="B610" s="4"/>
      <c r="C610" s="4"/>
      <c r="D610" s="4"/>
      <c r="E610" s="4"/>
    </row>
    <row r="611" spans="1:5" x14ac:dyDescent="0.25">
      <c r="A611" s="4">
        <v>610</v>
      </c>
      <c r="B611" s="4"/>
      <c r="C611" s="4"/>
      <c r="D611" s="4"/>
      <c r="E611" s="4"/>
    </row>
    <row r="612" spans="1:5" x14ac:dyDescent="0.25">
      <c r="A612" s="4">
        <v>611</v>
      </c>
      <c r="B612" s="4"/>
      <c r="C612" s="4"/>
      <c r="D612" s="4"/>
      <c r="E612" s="4"/>
    </row>
    <row r="613" spans="1:5" x14ac:dyDescent="0.25">
      <c r="A613" s="4">
        <v>612</v>
      </c>
      <c r="B613" s="4"/>
      <c r="C613" s="4"/>
      <c r="D613" s="4"/>
      <c r="E613" s="4"/>
    </row>
    <row r="614" spans="1:5" x14ac:dyDescent="0.25">
      <c r="A614" s="4">
        <v>613</v>
      </c>
      <c r="B614" s="4"/>
      <c r="C614" s="4"/>
      <c r="D614" s="4"/>
      <c r="E614" s="4"/>
    </row>
    <row r="615" spans="1:5" x14ac:dyDescent="0.25">
      <c r="A615" s="4">
        <v>614</v>
      </c>
      <c r="B615" s="4"/>
      <c r="C615" s="4"/>
      <c r="D615" s="4"/>
      <c r="E615" s="4"/>
    </row>
    <row r="616" spans="1:5" x14ac:dyDescent="0.25">
      <c r="A616" s="4">
        <v>615</v>
      </c>
      <c r="B616" s="4"/>
      <c r="C616" s="4"/>
      <c r="D616" s="4"/>
      <c r="E616" s="4"/>
    </row>
    <row r="617" spans="1:5" x14ac:dyDescent="0.25">
      <c r="A617" s="4">
        <v>616</v>
      </c>
      <c r="B617" s="4"/>
      <c r="C617" s="4"/>
      <c r="D617" s="4"/>
      <c r="E617" s="4"/>
    </row>
    <row r="618" spans="1:5" x14ac:dyDescent="0.25">
      <c r="A618" s="4">
        <v>617</v>
      </c>
      <c r="B618" s="4"/>
      <c r="C618" s="4"/>
      <c r="D618" s="4"/>
      <c r="E618" s="4"/>
    </row>
    <row r="619" spans="1:5" x14ac:dyDescent="0.25">
      <c r="A619" s="4">
        <v>618</v>
      </c>
      <c r="B619" s="4"/>
      <c r="C619" s="4"/>
      <c r="D619" s="4"/>
      <c r="E619" s="4"/>
    </row>
    <row r="620" spans="1:5" x14ac:dyDescent="0.25">
      <c r="A620" s="4">
        <v>619</v>
      </c>
      <c r="B620" s="4"/>
      <c r="C620" s="4"/>
      <c r="D620" s="4"/>
      <c r="E620" s="4"/>
    </row>
    <row r="621" spans="1:5" x14ac:dyDescent="0.25">
      <c r="A621" s="4">
        <v>620</v>
      </c>
      <c r="B621" s="4"/>
      <c r="C621" s="4"/>
      <c r="D621" s="4"/>
      <c r="E621" s="4"/>
    </row>
    <row r="622" spans="1:5" x14ac:dyDescent="0.25">
      <c r="A622" s="4">
        <v>621</v>
      </c>
      <c r="B622" s="4"/>
      <c r="C622" s="4"/>
      <c r="D622" s="4"/>
      <c r="E622" s="4"/>
    </row>
    <row r="623" spans="1:5" x14ac:dyDescent="0.25">
      <c r="A623" s="4">
        <v>622</v>
      </c>
      <c r="B623" s="4"/>
      <c r="C623" s="4"/>
      <c r="D623" s="4"/>
      <c r="E623" s="4"/>
    </row>
    <row r="624" spans="1:5" x14ac:dyDescent="0.25">
      <c r="A624" s="4">
        <v>623</v>
      </c>
      <c r="B624" s="4"/>
      <c r="C624" s="4"/>
      <c r="D624" s="4"/>
      <c r="E624" s="4"/>
    </row>
    <row r="625" spans="1:5" x14ac:dyDescent="0.25">
      <c r="A625" s="4">
        <v>624</v>
      </c>
      <c r="B625" s="4"/>
      <c r="C625" s="4"/>
      <c r="D625" s="4"/>
      <c r="E625" s="4"/>
    </row>
    <row r="626" spans="1:5" x14ac:dyDescent="0.25">
      <c r="A626" s="4">
        <v>625</v>
      </c>
      <c r="B626" s="4"/>
      <c r="C626" s="4"/>
      <c r="D626" s="4"/>
      <c r="E626" s="4"/>
    </row>
    <row r="627" spans="1:5" x14ac:dyDescent="0.25">
      <c r="A627" s="4">
        <v>626</v>
      </c>
      <c r="B627" s="4"/>
      <c r="C627" s="4"/>
      <c r="D627" s="4"/>
      <c r="E627" s="4"/>
    </row>
    <row r="628" spans="1:5" x14ac:dyDescent="0.25">
      <c r="A628" s="4">
        <v>627</v>
      </c>
      <c r="B628" s="4"/>
      <c r="C628" s="4"/>
      <c r="D628" s="4"/>
      <c r="E628" s="4"/>
    </row>
    <row r="629" spans="1:5" x14ac:dyDescent="0.25">
      <c r="A629" s="4">
        <v>628</v>
      </c>
      <c r="B629" s="4"/>
      <c r="C629" s="4"/>
      <c r="D629" s="4"/>
      <c r="E629" s="4"/>
    </row>
    <row r="630" spans="1:5" x14ac:dyDescent="0.25">
      <c r="A630" s="4">
        <v>629</v>
      </c>
      <c r="B630" s="4"/>
      <c r="C630" s="4"/>
      <c r="D630" s="4"/>
      <c r="E630" s="4"/>
    </row>
    <row r="631" spans="1:5" x14ac:dyDescent="0.25">
      <c r="A631" s="4">
        <v>630</v>
      </c>
      <c r="B631" s="4"/>
      <c r="C631" s="4"/>
      <c r="D631" s="4"/>
      <c r="E631" s="4"/>
    </row>
    <row r="632" spans="1:5" x14ac:dyDescent="0.25">
      <c r="A632" s="4">
        <v>631</v>
      </c>
      <c r="B632" s="4"/>
      <c r="C632" s="4"/>
      <c r="D632" s="4"/>
      <c r="E632" s="4"/>
    </row>
    <row r="633" spans="1:5" x14ac:dyDescent="0.25">
      <c r="A633" s="4">
        <v>632</v>
      </c>
      <c r="B633" s="4"/>
      <c r="C633" s="4"/>
      <c r="D633" s="4"/>
      <c r="E633" s="4"/>
    </row>
    <row r="634" spans="1:5" x14ac:dyDescent="0.25">
      <c r="A634" s="4">
        <v>633</v>
      </c>
      <c r="B634" s="4"/>
      <c r="C634" s="4"/>
      <c r="D634" s="4"/>
      <c r="E634" s="4"/>
    </row>
    <row r="635" spans="1:5" x14ac:dyDescent="0.25">
      <c r="A635" s="4">
        <v>634</v>
      </c>
      <c r="B635" s="4"/>
      <c r="C635" s="4"/>
      <c r="D635" s="4"/>
      <c r="E635" s="4"/>
    </row>
    <row r="636" spans="1:5" x14ac:dyDescent="0.25">
      <c r="A636" s="4">
        <v>635</v>
      </c>
      <c r="B636" s="4"/>
      <c r="C636" s="4"/>
      <c r="D636" s="4"/>
      <c r="E636" s="4"/>
    </row>
    <row r="637" spans="1:5" x14ac:dyDescent="0.25">
      <c r="A637" s="4">
        <v>636</v>
      </c>
      <c r="B637" s="4"/>
      <c r="C637" s="4"/>
      <c r="D637" s="4"/>
      <c r="E637" s="4"/>
    </row>
    <row r="638" spans="1:5" x14ac:dyDescent="0.25">
      <c r="A638" s="4">
        <v>637</v>
      </c>
      <c r="B638" s="4"/>
      <c r="C638" s="4"/>
      <c r="D638" s="4"/>
      <c r="E638" s="4"/>
    </row>
    <row r="639" spans="1:5" x14ac:dyDescent="0.25">
      <c r="A639" s="4">
        <v>638</v>
      </c>
      <c r="B639" s="4"/>
      <c r="C639" s="4"/>
      <c r="D639" s="4"/>
      <c r="E639" s="4"/>
    </row>
    <row r="640" spans="1:5" x14ac:dyDescent="0.25">
      <c r="A640" s="4">
        <v>639</v>
      </c>
      <c r="B640" s="4"/>
      <c r="C640" s="4"/>
      <c r="D640" s="4"/>
      <c r="E640" s="4"/>
    </row>
    <row r="641" spans="1:5" x14ac:dyDescent="0.25">
      <c r="A641" s="4">
        <v>640</v>
      </c>
      <c r="B641" s="4"/>
      <c r="C641" s="4"/>
      <c r="D641" s="4"/>
      <c r="E641" s="4"/>
    </row>
    <row r="642" spans="1:5" x14ac:dyDescent="0.25">
      <c r="A642" s="4">
        <v>641</v>
      </c>
      <c r="B642" s="4"/>
      <c r="C642" s="4"/>
      <c r="D642" s="4"/>
      <c r="E642" s="4"/>
    </row>
    <row r="643" spans="1:5" x14ac:dyDescent="0.25">
      <c r="A643" s="4">
        <v>642</v>
      </c>
      <c r="B643" s="4"/>
      <c r="C643" s="4"/>
      <c r="D643" s="4"/>
      <c r="E643" s="4"/>
    </row>
    <row r="644" spans="1:5" x14ac:dyDescent="0.25">
      <c r="A644" s="4">
        <v>643</v>
      </c>
      <c r="B644" s="4"/>
      <c r="C644" s="4"/>
      <c r="D644" s="4"/>
      <c r="E644" s="4"/>
    </row>
    <row r="645" spans="1:5" x14ac:dyDescent="0.25">
      <c r="A645" s="4">
        <v>644</v>
      </c>
      <c r="B645" s="4"/>
      <c r="C645" s="4"/>
      <c r="D645" s="4"/>
      <c r="E645" s="4"/>
    </row>
    <row r="646" spans="1:5" x14ac:dyDescent="0.25">
      <c r="A646" s="4">
        <v>645</v>
      </c>
      <c r="B646" s="4"/>
      <c r="C646" s="4"/>
      <c r="D646" s="4"/>
      <c r="E646" s="4"/>
    </row>
    <row r="647" spans="1:5" x14ac:dyDescent="0.25">
      <c r="A647" s="4">
        <v>646</v>
      </c>
      <c r="B647" s="4"/>
      <c r="C647" s="4"/>
      <c r="D647" s="4"/>
      <c r="E647" s="4"/>
    </row>
    <row r="648" spans="1:5" x14ac:dyDescent="0.25">
      <c r="A648" s="4">
        <v>647</v>
      </c>
      <c r="B648" s="4"/>
      <c r="C648" s="4"/>
      <c r="D648" s="4"/>
      <c r="E648" s="4"/>
    </row>
    <row r="649" spans="1:5" x14ac:dyDescent="0.25">
      <c r="A649" s="4">
        <v>648</v>
      </c>
      <c r="B649" s="4"/>
      <c r="C649" s="4"/>
      <c r="D649" s="4"/>
      <c r="E649" s="4"/>
    </row>
    <row r="650" spans="1:5" x14ac:dyDescent="0.25">
      <c r="A650" s="4">
        <v>649</v>
      </c>
      <c r="B650" s="4"/>
      <c r="C650" s="4"/>
      <c r="D650" s="4"/>
      <c r="E650" s="4"/>
    </row>
    <row r="651" spans="1:5" x14ac:dyDescent="0.25">
      <c r="A651" s="4">
        <v>650</v>
      </c>
      <c r="B651" s="4"/>
      <c r="C651" s="4"/>
      <c r="D651" s="4"/>
      <c r="E651" s="4"/>
    </row>
    <row r="652" spans="1:5" x14ac:dyDescent="0.25">
      <c r="A652" s="4">
        <v>651</v>
      </c>
      <c r="B652" s="4"/>
      <c r="C652" s="4"/>
      <c r="D652" s="4"/>
      <c r="E652" s="4"/>
    </row>
    <row r="653" spans="1:5" x14ac:dyDescent="0.25">
      <c r="A653" s="4">
        <v>652</v>
      </c>
      <c r="B653" s="4"/>
      <c r="C653" s="4"/>
      <c r="D653" s="4"/>
      <c r="E653" s="4"/>
    </row>
    <row r="654" spans="1:5" x14ac:dyDescent="0.25">
      <c r="A654" s="4">
        <v>653</v>
      </c>
      <c r="B654" s="4"/>
      <c r="C654" s="4"/>
      <c r="D654" s="4"/>
      <c r="E654" s="4"/>
    </row>
    <row r="655" spans="1:5" x14ac:dyDescent="0.25">
      <c r="A655" s="4">
        <v>654</v>
      </c>
      <c r="B655" s="4"/>
      <c r="C655" s="4"/>
      <c r="D655" s="4"/>
      <c r="E655" s="4"/>
    </row>
    <row r="656" spans="1:5" x14ac:dyDescent="0.25">
      <c r="A656" s="4">
        <v>655</v>
      </c>
      <c r="B656" s="4"/>
      <c r="C656" s="4"/>
      <c r="D656" s="4"/>
      <c r="E656" s="4"/>
    </row>
    <row r="657" spans="1:5" x14ac:dyDescent="0.25">
      <c r="A657" s="4">
        <v>656</v>
      </c>
      <c r="B657" s="4"/>
      <c r="C657" s="4"/>
      <c r="D657" s="4"/>
      <c r="E657" s="4"/>
    </row>
    <row r="658" spans="1:5" x14ac:dyDescent="0.25">
      <c r="A658" s="4">
        <v>657</v>
      </c>
      <c r="B658" s="4"/>
      <c r="C658" s="4"/>
      <c r="D658" s="4"/>
      <c r="E658" s="4"/>
    </row>
    <row r="659" spans="1:5" x14ac:dyDescent="0.25">
      <c r="A659" s="4">
        <v>658</v>
      </c>
      <c r="B659" s="4"/>
      <c r="C659" s="4"/>
      <c r="D659" s="4"/>
      <c r="E659" s="4"/>
    </row>
    <row r="660" spans="1:5" x14ac:dyDescent="0.25">
      <c r="A660" s="4">
        <v>659</v>
      </c>
      <c r="B660" s="4"/>
      <c r="C660" s="4"/>
      <c r="D660" s="4"/>
      <c r="E660" s="4"/>
    </row>
    <row r="661" spans="1:5" x14ac:dyDescent="0.25">
      <c r="A661" s="4">
        <v>660</v>
      </c>
      <c r="B661" s="4"/>
      <c r="C661" s="4"/>
      <c r="D661" s="4"/>
      <c r="E661" s="4"/>
    </row>
    <row r="662" spans="1:5" x14ac:dyDescent="0.25">
      <c r="A662" s="4">
        <v>661</v>
      </c>
      <c r="B662" s="4"/>
      <c r="C662" s="4"/>
      <c r="D662" s="4"/>
      <c r="E662" s="4"/>
    </row>
    <row r="663" spans="1:5" x14ac:dyDescent="0.25">
      <c r="A663" s="4">
        <v>662</v>
      </c>
      <c r="B663" s="4"/>
      <c r="C663" s="4"/>
      <c r="D663" s="4"/>
      <c r="E663" s="4"/>
    </row>
    <row r="664" spans="1:5" x14ac:dyDescent="0.25">
      <c r="A664" s="4">
        <v>663</v>
      </c>
      <c r="B664" s="4"/>
      <c r="C664" s="4"/>
      <c r="D664" s="4"/>
      <c r="E664" s="4"/>
    </row>
    <row r="665" spans="1:5" x14ac:dyDescent="0.25">
      <c r="A665" s="4">
        <v>664</v>
      </c>
      <c r="B665" s="4"/>
      <c r="C665" s="4"/>
      <c r="D665" s="4"/>
      <c r="E665" s="4"/>
    </row>
    <row r="666" spans="1:5" x14ac:dyDescent="0.25">
      <c r="A666" s="4">
        <v>665</v>
      </c>
      <c r="B666" s="4"/>
      <c r="C666" s="4"/>
      <c r="D666" s="4"/>
      <c r="E666" s="4"/>
    </row>
    <row r="667" spans="1:5" x14ac:dyDescent="0.25">
      <c r="A667" s="4">
        <v>666</v>
      </c>
      <c r="B667" s="4"/>
      <c r="C667" s="4"/>
      <c r="D667" s="4"/>
      <c r="E667" s="4"/>
    </row>
    <row r="668" spans="1:5" x14ac:dyDescent="0.25">
      <c r="A668" s="4">
        <v>667</v>
      </c>
      <c r="B668" s="4"/>
      <c r="C668" s="4"/>
      <c r="D668" s="4"/>
      <c r="E668" s="4"/>
    </row>
    <row r="669" spans="1:5" x14ac:dyDescent="0.25">
      <c r="A669" s="4">
        <v>668</v>
      </c>
      <c r="B669" s="4"/>
      <c r="C669" s="4"/>
      <c r="D669" s="4"/>
      <c r="E669" s="4"/>
    </row>
    <row r="670" spans="1:5" x14ac:dyDescent="0.25">
      <c r="A670" s="4">
        <v>669</v>
      </c>
      <c r="B670" s="4"/>
      <c r="C670" s="4"/>
      <c r="D670" s="4"/>
      <c r="E670" s="4"/>
    </row>
    <row r="671" spans="1:5" x14ac:dyDescent="0.25">
      <c r="A671" s="4">
        <v>670</v>
      </c>
      <c r="B671" s="4"/>
      <c r="C671" s="4"/>
      <c r="D671" s="4"/>
      <c r="E671" s="4"/>
    </row>
    <row r="672" spans="1:5" x14ac:dyDescent="0.25">
      <c r="A672" s="4">
        <v>671</v>
      </c>
      <c r="B672" s="4"/>
      <c r="C672" s="4"/>
      <c r="D672" s="4"/>
      <c r="E672" s="4"/>
    </row>
    <row r="673" spans="1:5" x14ac:dyDescent="0.25">
      <c r="A673" s="4">
        <v>672</v>
      </c>
      <c r="B673" s="4"/>
      <c r="C673" s="4"/>
      <c r="D673" s="4"/>
      <c r="E673" s="4"/>
    </row>
    <row r="674" spans="1:5" x14ac:dyDescent="0.25">
      <c r="A674" s="4">
        <v>673</v>
      </c>
      <c r="B674" s="4"/>
      <c r="C674" s="4"/>
      <c r="D674" s="4"/>
      <c r="E674" s="4"/>
    </row>
    <row r="675" spans="1:5" x14ac:dyDescent="0.25">
      <c r="A675" s="4">
        <v>674</v>
      </c>
      <c r="B675" s="4"/>
      <c r="C675" s="4"/>
      <c r="D675" s="4"/>
      <c r="E675" s="4"/>
    </row>
    <row r="676" spans="1:5" x14ac:dyDescent="0.25">
      <c r="A676" s="4">
        <v>675</v>
      </c>
      <c r="B676" s="4"/>
      <c r="C676" s="4"/>
      <c r="D676" s="4"/>
      <c r="E676" s="4"/>
    </row>
    <row r="677" spans="1:5" x14ac:dyDescent="0.25">
      <c r="A677" s="4">
        <v>676</v>
      </c>
      <c r="B677" s="4"/>
      <c r="C677" s="4"/>
      <c r="D677" s="4"/>
      <c r="E677" s="4"/>
    </row>
    <row r="678" spans="1:5" x14ac:dyDescent="0.25">
      <c r="A678" s="4">
        <v>677</v>
      </c>
      <c r="B678" s="4"/>
      <c r="C678" s="4"/>
      <c r="D678" s="4"/>
      <c r="E678" s="4"/>
    </row>
    <row r="679" spans="1:5" x14ac:dyDescent="0.25">
      <c r="A679" s="4">
        <v>678</v>
      </c>
      <c r="B679" s="4"/>
      <c r="C679" s="4"/>
      <c r="D679" s="4"/>
      <c r="E679" s="4"/>
    </row>
    <row r="680" spans="1:5" x14ac:dyDescent="0.25">
      <c r="A680" s="4">
        <v>679</v>
      </c>
      <c r="B680" s="4"/>
      <c r="C680" s="4"/>
      <c r="D680" s="4"/>
      <c r="E680" s="4"/>
    </row>
    <row r="681" spans="1:5" x14ac:dyDescent="0.25">
      <c r="A681" s="4">
        <v>680</v>
      </c>
      <c r="B681" s="4"/>
      <c r="C681" s="4"/>
      <c r="D681" s="4"/>
      <c r="E681" s="4"/>
    </row>
    <row r="682" spans="1:5" x14ac:dyDescent="0.25">
      <c r="A682" s="4">
        <v>681</v>
      </c>
      <c r="B682" s="4"/>
      <c r="C682" s="4"/>
      <c r="D682" s="4"/>
      <c r="E682" s="4"/>
    </row>
    <row r="683" spans="1:5" x14ac:dyDescent="0.25">
      <c r="A683" s="4">
        <v>682</v>
      </c>
      <c r="B683" s="4"/>
      <c r="C683" s="4"/>
      <c r="D683" s="4"/>
      <c r="E683" s="4"/>
    </row>
    <row r="684" spans="1:5" x14ac:dyDescent="0.25">
      <c r="A684" s="4">
        <v>683</v>
      </c>
      <c r="B684" s="4"/>
      <c r="C684" s="4"/>
      <c r="D684" s="4"/>
      <c r="E684" s="4"/>
    </row>
    <row r="685" spans="1:5" x14ac:dyDescent="0.25">
      <c r="A685" s="4">
        <v>684</v>
      </c>
      <c r="B685" s="4"/>
      <c r="C685" s="4"/>
      <c r="D685" s="4"/>
      <c r="E685" s="4"/>
    </row>
    <row r="686" spans="1:5" x14ac:dyDescent="0.25">
      <c r="A686" s="4">
        <v>685</v>
      </c>
      <c r="B686" s="4"/>
      <c r="C686" s="4"/>
      <c r="D686" s="4"/>
      <c r="E686" s="4"/>
    </row>
    <row r="687" spans="1:5" x14ac:dyDescent="0.25">
      <c r="A687" s="4">
        <v>686</v>
      </c>
      <c r="B687" s="4"/>
      <c r="C687" s="4"/>
      <c r="D687" s="4"/>
      <c r="E687" s="4"/>
    </row>
    <row r="688" spans="1:5" x14ac:dyDescent="0.25">
      <c r="A688" s="4">
        <v>687</v>
      </c>
      <c r="B688" s="4"/>
      <c r="C688" s="4"/>
      <c r="D688" s="4"/>
      <c r="E688" s="4"/>
    </row>
    <row r="689" spans="1:5" x14ac:dyDescent="0.25">
      <c r="A689" s="4">
        <v>688</v>
      </c>
      <c r="B689" s="4"/>
      <c r="C689" s="4"/>
      <c r="D689" s="4"/>
      <c r="E689" s="4"/>
    </row>
    <row r="690" spans="1:5" x14ac:dyDescent="0.25">
      <c r="A690" s="4">
        <v>689</v>
      </c>
      <c r="B690" s="4"/>
      <c r="C690" s="4"/>
      <c r="D690" s="4"/>
      <c r="E690" s="4"/>
    </row>
    <row r="691" spans="1:5" x14ac:dyDescent="0.25">
      <c r="A691" s="4">
        <v>690</v>
      </c>
      <c r="B691" s="4"/>
      <c r="C691" s="4"/>
      <c r="D691" s="4"/>
      <c r="E691" s="4"/>
    </row>
    <row r="692" spans="1:5" x14ac:dyDescent="0.25">
      <c r="A692" s="4">
        <v>691</v>
      </c>
      <c r="B692" s="4"/>
      <c r="C692" s="4"/>
      <c r="D692" s="4"/>
      <c r="E692" s="4"/>
    </row>
    <row r="693" spans="1:5" x14ac:dyDescent="0.25">
      <c r="A693" s="4">
        <v>692</v>
      </c>
      <c r="B693" s="4"/>
      <c r="C693" s="4"/>
      <c r="D693" s="4"/>
      <c r="E693" s="4"/>
    </row>
    <row r="694" spans="1:5" x14ac:dyDescent="0.25">
      <c r="A694" s="4">
        <v>693</v>
      </c>
      <c r="B694" s="4"/>
      <c r="C694" s="4"/>
      <c r="D694" s="4"/>
      <c r="E694" s="4"/>
    </row>
    <row r="695" spans="1:5" x14ac:dyDescent="0.25">
      <c r="A695" s="4">
        <v>694</v>
      </c>
      <c r="B695" s="4"/>
      <c r="C695" s="4"/>
      <c r="D695" s="4"/>
      <c r="E695" s="4"/>
    </row>
    <row r="696" spans="1:5" x14ac:dyDescent="0.25">
      <c r="A696" s="4">
        <v>695</v>
      </c>
      <c r="B696" s="4"/>
      <c r="C696" s="4"/>
      <c r="D696" s="4"/>
      <c r="E696" s="4"/>
    </row>
    <row r="697" spans="1:5" x14ac:dyDescent="0.25">
      <c r="A697" s="4">
        <v>696</v>
      </c>
      <c r="B697" s="4"/>
      <c r="C697" s="4"/>
      <c r="D697" s="4"/>
      <c r="E697" s="4"/>
    </row>
    <row r="698" spans="1:5" x14ac:dyDescent="0.25">
      <c r="A698" s="4">
        <v>697</v>
      </c>
      <c r="B698" s="4"/>
      <c r="C698" s="4"/>
      <c r="D698" s="4"/>
      <c r="E698" s="4"/>
    </row>
    <row r="699" spans="1:5" x14ac:dyDescent="0.25">
      <c r="A699" s="4">
        <v>698</v>
      </c>
      <c r="B699" s="4"/>
      <c r="C699" s="4"/>
      <c r="D699" s="4"/>
      <c r="E699" s="4"/>
    </row>
    <row r="700" spans="1:5" x14ac:dyDescent="0.25">
      <c r="A700" s="4">
        <v>699</v>
      </c>
      <c r="B700" s="4"/>
      <c r="C700" s="4"/>
      <c r="D700" s="4"/>
      <c r="E700" s="4"/>
    </row>
    <row r="701" spans="1:5" x14ac:dyDescent="0.25">
      <c r="A701" s="4">
        <v>700</v>
      </c>
      <c r="B701" s="4"/>
      <c r="C701" s="4"/>
      <c r="D701" s="4"/>
      <c r="E701" s="4"/>
    </row>
    <row r="702" spans="1:5" x14ac:dyDescent="0.25">
      <c r="A702" s="4">
        <v>701</v>
      </c>
      <c r="B702" s="4"/>
      <c r="C702" s="4"/>
      <c r="D702" s="4"/>
      <c r="E702" s="4"/>
    </row>
    <row r="703" spans="1:5" x14ac:dyDescent="0.25">
      <c r="A703" s="4">
        <v>702</v>
      </c>
      <c r="B703" s="4"/>
      <c r="C703" s="4"/>
      <c r="D703" s="4"/>
      <c r="E703" s="4"/>
    </row>
    <row r="704" spans="1:5" x14ac:dyDescent="0.25">
      <c r="A704" s="4">
        <v>703</v>
      </c>
      <c r="B704" s="4"/>
      <c r="C704" s="4"/>
      <c r="D704" s="4"/>
      <c r="E704" s="4"/>
    </row>
    <row r="705" spans="1:5" x14ac:dyDescent="0.25">
      <c r="A705" s="4">
        <v>704</v>
      </c>
      <c r="B705" s="4"/>
      <c r="C705" s="4"/>
      <c r="D705" s="4"/>
      <c r="E705" s="4"/>
    </row>
    <row r="706" spans="1:5" x14ac:dyDescent="0.25">
      <c r="A706" s="4">
        <v>705</v>
      </c>
      <c r="B706" s="4"/>
      <c r="C706" s="4"/>
      <c r="D706" s="4"/>
      <c r="E706" s="4"/>
    </row>
    <row r="707" spans="1:5" x14ac:dyDescent="0.25">
      <c r="A707" s="4">
        <v>706</v>
      </c>
      <c r="B707" s="4"/>
      <c r="C707" s="4"/>
      <c r="D707" s="4"/>
      <c r="E707" s="4"/>
    </row>
    <row r="708" spans="1:5" x14ac:dyDescent="0.25">
      <c r="A708" s="4">
        <v>707</v>
      </c>
      <c r="B708" s="4"/>
      <c r="C708" s="4"/>
      <c r="D708" s="4"/>
      <c r="E708" s="4"/>
    </row>
    <row r="709" spans="1:5" x14ac:dyDescent="0.25">
      <c r="A709" s="4">
        <v>708</v>
      </c>
      <c r="B709" s="4"/>
      <c r="C709" s="4"/>
      <c r="D709" s="4"/>
      <c r="E709" s="4"/>
    </row>
    <row r="710" spans="1:5" x14ac:dyDescent="0.25">
      <c r="A710" s="4">
        <v>709</v>
      </c>
      <c r="B710" s="4"/>
      <c r="C710" s="4"/>
      <c r="D710" s="4"/>
      <c r="E710" s="4"/>
    </row>
    <row r="711" spans="1:5" x14ac:dyDescent="0.25">
      <c r="A711" s="4">
        <v>710</v>
      </c>
      <c r="B711" s="4"/>
      <c r="C711" s="4"/>
      <c r="D711" s="4"/>
      <c r="E711" s="4"/>
    </row>
    <row r="712" spans="1:5" x14ac:dyDescent="0.25">
      <c r="A712" s="4">
        <v>711</v>
      </c>
      <c r="B712" s="4"/>
      <c r="C712" s="4"/>
      <c r="D712" s="4"/>
      <c r="E712" s="4"/>
    </row>
    <row r="713" spans="1:5" x14ac:dyDescent="0.25">
      <c r="A713" s="4">
        <v>712</v>
      </c>
      <c r="B713" s="4"/>
      <c r="C713" s="4"/>
      <c r="D713" s="4"/>
      <c r="E713" s="4"/>
    </row>
    <row r="714" spans="1:5" x14ac:dyDescent="0.25">
      <c r="A714" s="4">
        <v>713</v>
      </c>
      <c r="B714" s="4"/>
      <c r="C714" s="4"/>
      <c r="D714" s="4"/>
      <c r="E714" s="4"/>
    </row>
    <row r="715" spans="1:5" x14ac:dyDescent="0.25">
      <c r="A715" s="4">
        <v>714</v>
      </c>
      <c r="B715" s="4"/>
      <c r="C715" s="4"/>
      <c r="D715" s="4"/>
      <c r="E715" s="4"/>
    </row>
    <row r="716" spans="1:5" x14ac:dyDescent="0.25">
      <c r="A716" s="4">
        <v>715</v>
      </c>
      <c r="B716" s="4"/>
      <c r="C716" s="4"/>
      <c r="D716" s="4"/>
      <c r="E716" s="4"/>
    </row>
    <row r="717" spans="1:5" x14ac:dyDescent="0.25">
      <c r="A717" s="4">
        <v>716</v>
      </c>
      <c r="B717" s="4"/>
      <c r="C717" s="4"/>
      <c r="D717" s="4"/>
      <c r="E717" s="4"/>
    </row>
    <row r="718" spans="1:5" x14ac:dyDescent="0.25">
      <c r="A718" s="4">
        <v>717</v>
      </c>
      <c r="B718" s="4"/>
      <c r="C718" s="4"/>
      <c r="D718" s="4"/>
      <c r="E718" s="4"/>
    </row>
    <row r="719" spans="1:5" x14ac:dyDescent="0.25">
      <c r="A719" s="4">
        <v>718</v>
      </c>
      <c r="B719" s="4"/>
      <c r="C719" s="4"/>
      <c r="D719" s="4"/>
      <c r="E719" s="4"/>
    </row>
    <row r="720" spans="1:5" x14ac:dyDescent="0.25">
      <c r="A720" s="4">
        <v>719</v>
      </c>
      <c r="B720" s="4"/>
      <c r="C720" s="4"/>
      <c r="D720" s="4"/>
      <c r="E720" s="4"/>
    </row>
    <row r="721" spans="1:5" x14ac:dyDescent="0.25">
      <c r="A721" s="4">
        <v>720</v>
      </c>
      <c r="B721" s="4"/>
      <c r="C721" s="4"/>
      <c r="D721" s="4"/>
      <c r="E721" s="4"/>
    </row>
    <row r="722" spans="1:5" x14ac:dyDescent="0.25">
      <c r="A722" s="4">
        <v>721</v>
      </c>
      <c r="B722" s="4"/>
      <c r="C722" s="4"/>
      <c r="D722" s="4"/>
      <c r="E722" s="4"/>
    </row>
    <row r="723" spans="1:5" x14ac:dyDescent="0.25">
      <c r="A723" s="4">
        <v>722</v>
      </c>
      <c r="B723" s="4"/>
      <c r="C723" s="4"/>
      <c r="D723" s="4"/>
      <c r="E723" s="4"/>
    </row>
    <row r="724" spans="1:5" x14ac:dyDescent="0.25">
      <c r="A724" s="4">
        <v>723</v>
      </c>
      <c r="B724" s="4"/>
      <c r="C724" s="4"/>
      <c r="D724" s="4"/>
      <c r="E724" s="4"/>
    </row>
    <row r="725" spans="1:5" x14ac:dyDescent="0.25">
      <c r="A725" s="4">
        <v>724</v>
      </c>
      <c r="B725" s="4"/>
      <c r="C725" s="4"/>
      <c r="D725" s="4"/>
      <c r="E725" s="4"/>
    </row>
    <row r="726" spans="1:5" x14ac:dyDescent="0.25">
      <c r="A726" s="4">
        <v>725</v>
      </c>
      <c r="B726" s="4"/>
      <c r="C726" s="4"/>
      <c r="D726" s="4"/>
      <c r="E726" s="4"/>
    </row>
    <row r="727" spans="1:5" x14ac:dyDescent="0.25">
      <c r="A727" s="4">
        <v>726</v>
      </c>
      <c r="B727" s="4"/>
      <c r="C727" s="4"/>
      <c r="D727" s="4"/>
      <c r="E727" s="4"/>
    </row>
    <row r="728" spans="1:5" x14ac:dyDescent="0.25">
      <c r="A728" s="4">
        <v>727</v>
      </c>
      <c r="B728" s="4"/>
      <c r="C728" s="4"/>
      <c r="D728" s="4"/>
      <c r="E728" s="4"/>
    </row>
    <row r="729" spans="1:5" x14ac:dyDescent="0.25">
      <c r="A729" s="4">
        <v>728</v>
      </c>
      <c r="B729" s="4"/>
      <c r="C729" s="4"/>
      <c r="D729" s="4"/>
      <c r="E729" s="4"/>
    </row>
    <row r="730" spans="1:5" x14ac:dyDescent="0.25">
      <c r="A730" s="4">
        <v>729</v>
      </c>
      <c r="B730" s="4"/>
      <c r="C730" s="4"/>
      <c r="D730" s="4"/>
      <c r="E730" s="4"/>
    </row>
    <row r="731" spans="1:5" x14ac:dyDescent="0.25">
      <c r="A731" s="4">
        <v>730</v>
      </c>
      <c r="B731" s="4"/>
      <c r="C731" s="4"/>
      <c r="D731" s="4"/>
      <c r="E731" s="4"/>
    </row>
    <row r="732" spans="1:5" x14ac:dyDescent="0.25">
      <c r="A732" s="4">
        <v>731</v>
      </c>
      <c r="B732" s="4"/>
      <c r="C732" s="4"/>
      <c r="D732" s="4"/>
      <c r="E732" s="4"/>
    </row>
    <row r="733" spans="1:5" x14ac:dyDescent="0.25">
      <c r="A733" s="4">
        <v>732</v>
      </c>
      <c r="B733" s="4"/>
      <c r="C733" s="4"/>
      <c r="D733" s="4"/>
      <c r="E733" s="4"/>
    </row>
    <row r="734" spans="1:5" x14ac:dyDescent="0.25">
      <c r="A734" s="4">
        <v>733</v>
      </c>
      <c r="B734" s="4"/>
      <c r="C734" s="4"/>
      <c r="D734" s="4"/>
      <c r="E734" s="4"/>
    </row>
    <row r="735" spans="1:5" x14ac:dyDescent="0.25">
      <c r="A735" s="4">
        <v>734</v>
      </c>
      <c r="B735" s="4"/>
      <c r="C735" s="4"/>
      <c r="D735" s="4"/>
      <c r="E735" s="4"/>
    </row>
    <row r="736" spans="1:5" x14ac:dyDescent="0.25">
      <c r="A736" s="4">
        <v>735</v>
      </c>
      <c r="B736" s="4"/>
      <c r="C736" s="4"/>
      <c r="D736" s="4"/>
      <c r="E736" s="4"/>
    </row>
    <row r="737" spans="1:5" x14ac:dyDescent="0.25">
      <c r="A737" s="4">
        <v>736</v>
      </c>
      <c r="B737" s="4"/>
      <c r="C737" s="4"/>
      <c r="D737" s="4"/>
      <c r="E737" s="4"/>
    </row>
    <row r="738" spans="1:5" x14ac:dyDescent="0.25">
      <c r="A738" s="4">
        <v>737</v>
      </c>
      <c r="B738" s="4"/>
      <c r="C738" s="4"/>
      <c r="D738" s="4"/>
      <c r="E738" s="4"/>
    </row>
    <row r="739" spans="1:5" x14ac:dyDescent="0.25">
      <c r="A739" s="4">
        <v>738</v>
      </c>
      <c r="B739" s="4"/>
      <c r="C739" s="4"/>
      <c r="D739" s="4"/>
      <c r="E739" s="4"/>
    </row>
    <row r="740" spans="1:5" x14ac:dyDescent="0.25">
      <c r="A740" s="4">
        <v>739</v>
      </c>
      <c r="B740" s="4"/>
      <c r="C740" s="4"/>
      <c r="D740" s="4"/>
      <c r="E740" s="4"/>
    </row>
    <row r="741" spans="1:5" x14ac:dyDescent="0.25">
      <c r="A741" s="4">
        <v>740</v>
      </c>
      <c r="B741" s="4"/>
      <c r="C741" s="4"/>
      <c r="D741" s="4"/>
      <c r="E741" s="4"/>
    </row>
    <row r="742" spans="1:5" x14ac:dyDescent="0.25">
      <c r="A742" s="4">
        <v>741</v>
      </c>
      <c r="B742" s="4"/>
      <c r="C742" s="4"/>
      <c r="D742" s="4"/>
      <c r="E742" s="4"/>
    </row>
    <row r="743" spans="1:5" x14ac:dyDescent="0.25">
      <c r="A743" s="4">
        <v>742</v>
      </c>
      <c r="B743" s="4"/>
      <c r="C743" s="4"/>
      <c r="D743" s="4"/>
      <c r="E743" s="4"/>
    </row>
    <row r="744" spans="1:5" x14ac:dyDescent="0.25">
      <c r="A744" s="4">
        <v>743</v>
      </c>
      <c r="B744" s="4"/>
      <c r="C744" s="4"/>
      <c r="D744" s="4"/>
      <c r="E744" s="4"/>
    </row>
    <row r="745" spans="1:5" x14ac:dyDescent="0.25">
      <c r="A745" s="4">
        <v>744</v>
      </c>
      <c r="B745" s="4"/>
      <c r="C745" s="4"/>
      <c r="D745" s="4"/>
      <c r="E745" s="4"/>
    </row>
    <row r="746" spans="1:5" x14ac:dyDescent="0.25">
      <c r="A746" s="4">
        <v>745</v>
      </c>
      <c r="B746" s="4"/>
      <c r="C746" s="4"/>
      <c r="D746" s="4"/>
      <c r="E746" s="4"/>
    </row>
    <row r="747" spans="1:5" x14ac:dyDescent="0.25">
      <c r="A747" s="4">
        <v>746</v>
      </c>
      <c r="B747" s="4"/>
      <c r="C747" s="4"/>
      <c r="D747" s="4"/>
      <c r="E747" s="4"/>
    </row>
    <row r="748" spans="1:5" x14ac:dyDescent="0.25">
      <c r="A748" s="4">
        <v>747</v>
      </c>
      <c r="B748" s="4"/>
      <c r="C748" s="4"/>
      <c r="D748" s="4"/>
      <c r="E748" s="4"/>
    </row>
    <row r="749" spans="1:5" x14ac:dyDescent="0.25">
      <c r="A749" s="4">
        <v>748</v>
      </c>
      <c r="B749" s="4"/>
      <c r="C749" s="4"/>
      <c r="D749" s="4"/>
      <c r="E749" s="4"/>
    </row>
    <row r="750" spans="1:5" x14ac:dyDescent="0.25">
      <c r="A750" s="4">
        <v>749</v>
      </c>
      <c r="B750" s="4"/>
      <c r="C750" s="4"/>
      <c r="D750" s="4"/>
      <c r="E750" s="4"/>
    </row>
    <row r="751" spans="1:5" x14ac:dyDescent="0.25">
      <c r="A751" s="4">
        <v>750</v>
      </c>
      <c r="B751" s="4"/>
      <c r="C751" s="4"/>
      <c r="D751" s="4"/>
      <c r="E751" s="4"/>
    </row>
    <row r="752" spans="1:5" x14ac:dyDescent="0.25">
      <c r="A752" s="4">
        <v>751</v>
      </c>
      <c r="B752" s="4"/>
      <c r="C752" s="4"/>
      <c r="D752" s="4"/>
      <c r="E752" s="4"/>
    </row>
    <row r="753" spans="1:5" x14ac:dyDescent="0.25">
      <c r="A753" s="4">
        <v>752</v>
      </c>
      <c r="B753" s="4"/>
      <c r="C753" s="4"/>
      <c r="D753" s="4"/>
      <c r="E753" s="4"/>
    </row>
    <row r="754" spans="1:5" x14ac:dyDescent="0.25">
      <c r="A754" s="4">
        <v>753</v>
      </c>
      <c r="B754" s="4"/>
      <c r="C754" s="4"/>
      <c r="D754" s="4"/>
      <c r="E754" s="4"/>
    </row>
    <row r="755" spans="1:5" x14ac:dyDescent="0.25">
      <c r="A755" s="4">
        <v>754</v>
      </c>
      <c r="B755" s="4"/>
      <c r="C755" s="4"/>
      <c r="D755" s="4"/>
      <c r="E755" s="4"/>
    </row>
    <row r="756" spans="1:5" x14ac:dyDescent="0.25">
      <c r="A756" s="4">
        <v>755</v>
      </c>
      <c r="B756" s="4"/>
      <c r="C756" s="4"/>
      <c r="D756" s="4"/>
      <c r="E756" s="4"/>
    </row>
    <row r="757" spans="1:5" x14ac:dyDescent="0.25">
      <c r="A757" s="4">
        <v>756</v>
      </c>
      <c r="B757" s="4"/>
      <c r="C757" s="4"/>
      <c r="D757" s="4"/>
      <c r="E757" s="4"/>
    </row>
    <row r="758" spans="1:5" x14ac:dyDescent="0.25">
      <c r="A758" s="4">
        <v>757</v>
      </c>
      <c r="B758" s="4"/>
      <c r="C758" s="4"/>
      <c r="D758" s="4"/>
      <c r="E758" s="4"/>
    </row>
    <row r="759" spans="1:5" x14ac:dyDescent="0.25">
      <c r="A759" s="4">
        <v>758</v>
      </c>
      <c r="B759" s="4"/>
      <c r="C759" s="4"/>
      <c r="D759" s="4"/>
      <c r="E759" s="4"/>
    </row>
    <row r="760" spans="1:5" x14ac:dyDescent="0.25">
      <c r="A760" s="4">
        <v>759</v>
      </c>
      <c r="B760" s="4"/>
      <c r="C760" s="4"/>
      <c r="D760" s="4"/>
      <c r="E760" s="4"/>
    </row>
    <row r="761" spans="1:5" x14ac:dyDescent="0.25">
      <c r="A761" s="4">
        <v>760</v>
      </c>
      <c r="B761" s="4"/>
      <c r="C761" s="4"/>
      <c r="D761" s="4"/>
      <c r="E761" s="4"/>
    </row>
    <row r="762" spans="1:5" x14ac:dyDescent="0.25">
      <c r="A762" s="4">
        <v>761</v>
      </c>
      <c r="B762" s="4"/>
      <c r="C762" s="4"/>
      <c r="D762" s="4"/>
      <c r="E762" s="4"/>
    </row>
    <row r="763" spans="1:5" x14ac:dyDescent="0.25">
      <c r="A763" s="4">
        <v>762</v>
      </c>
      <c r="B763" s="4"/>
      <c r="C763" s="4"/>
      <c r="D763" s="4"/>
      <c r="E763" s="4"/>
    </row>
    <row r="764" spans="1:5" x14ac:dyDescent="0.25">
      <c r="A764" s="4">
        <v>763</v>
      </c>
      <c r="B764" s="4"/>
      <c r="C764" s="4"/>
      <c r="D764" s="4"/>
      <c r="E764" s="4"/>
    </row>
    <row r="765" spans="1:5" x14ac:dyDescent="0.25">
      <c r="A765" s="4">
        <v>764</v>
      </c>
      <c r="B765" s="4"/>
      <c r="C765" s="4"/>
      <c r="D765" s="4"/>
      <c r="E765" s="4"/>
    </row>
    <row r="766" spans="1:5" x14ac:dyDescent="0.25">
      <c r="A766" s="4">
        <v>765</v>
      </c>
      <c r="B766" s="4"/>
      <c r="C766" s="4"/>
      <c r="D766" s="4"/>
      <c r="E766" s="4"/>
    </row>
    <row r="767" spans="1:5" x14ac:dyDescent="0.25">
      <c r="A767" s="4">
        <v>766</v>
      </c>
      <c r="B767" s="4"/>
      <c r="C767" s="4"/>
      <c r="D767" s="4"/>
      <c r="E767" s="4"/>
    </row>
    <row r="768" spans="1:5" x14ac:dyDescent="0.25">
      <c r="A768" s="4">
        <v>767</v>
      </c>
      <c r="B768" s="4"/>
      <c r="C768" s="4"/>
      <c r="D768" s="4"/>
      <c r="E768" s="4"/>
    </row>
    <row r="769" spans="1:5" x14ac:dyDescent="0.25">
      <c r="A769" s="4">
        <v>768</v>
      </c>
      <c r="B769" s="4"/>
      <c r="C769" s="4"/>
      <c r="D769" s="4"/>
      <c r="E769" s="4"/>
    </row>
    <row r="770" spans="1:5" x14ac:dyDescent="0.25">
      <c r="A770" s="4">
        <v>769</v>
      </c>
      <c r="B770" s="4"/>
      <c r="C770" s="4"/>
      <c r="D770" s="4"/>
      <c r="E770" s="4"/>
    </row>
    <row r="771" spans="1:5" x14ac:dyDescent="0.25">
      <c r="A771" s="4">
        <v>770</v>
      </c>
      <c r="B771" s="4"/>
      <c r="C771" s="4"/>
      <c r="D771" s="4"/>
      <c r="E771" s="4"/>
    </row>
    <row r="772" spans="1:5" x14ac:dyDescent="0.25">
      <c r="A772" s="4">
        <v>771</v>
      </c>
      <c r="B772" s="4"/>
      <c r="C772" s="4"/>
      <c r="D772" s="4"/>
      <c r="E772" s="4"/>
    </row>
    <row r="773" spans="1:5" x14ac:dyDescent="0.25">
      <c r="A773" s="4">
        <v>772</v>
      </c>
      <c r="B773" s="4"/>
      <c r="C773" s="4"/>
      <c r="D773" s="4"/>
      <c r="E773" s="4"/>
    </row>
    <row r="774" spans="1:5" x14ac:dyDescent="0.25">
      <c r="A774" s="4">
        <v>773</v>
      </c>
      <c r="B774" s="4"/>
      <c r="C774" s="4"/>
      <c r="D774" s="4"/>
      <c r="E774" s="4"/>
    </row>
    <row r="775" spans="1:5" x14ac:dyDescent="0.25">
      <c r="A775" s="4">
        <v>774</v>
      </c>
      <c r="B775" s="4"/>
      <c r="C775" s="4"/>
      <c r="D775" s="4"/>
      <c r="E775" s="4"/>
    </row>
    <row r="776" spans="1:5" x14ac:dyDescent="0.25">
      <c r="A776" s="4">
        <v>775</v>
      </c>
      <c r="B776" s="4"/>
      <c r="C776" s="4"/>
      <c r="D776" s="4"/>
      <c r="E776" s="4"/>
    </row>
    <row r="777" spans="1:5" x14ac:dyDescent="0.25">
      <c r="A777" s="4">
        <v>776</v>
      </c>
      <c r="B777" s="4"/>
      <c r="C777" s="4"/>
      <c r="D777" s="4"/>
      <c r="E777" s="4"/>
    </row>
    <row r="778" spans="1:5" x14ac:dyDescent="0.25">
      <c r="A778" s="4">
        <v>777</v>
      </c>
      <c r="B778" s="4"/>
      <c r="C778" s="4"/>
      <c r="D778" s="4"/>
      <c r="E778" s="4"/>
    </row>
    <row r="779" spans="1:5" x14ac:dyDescent="0.25">
      <c r="A779" s="4">
        <v>778</v>
      </c>
      <c r="B779" s="4"/>
      <c r="C779" s="4"/>
      <c r="D779" s="4"/>
      <c r="E779" s="4"/>
    </row>
    <row r="780" spans="1:5" x14ac:dyDescent="0.25">
      <c r="A780" s="4">
        <v>779</v>
      </c>
      <c r="B780" s="4"/>
      <c r="C780" s="4"/>
      <c r="D780" s="4"/>
      <c r="E780" s="4"/>
    </row>
    <row r="781" spans="1:5" x14ac:dyDescent="0.25">
      <c r="A781" s="4">
        <v>780</v>
      </c>
      <c r="B781" s="4"/>
      <c r="C781" s="4"/>
      <c r="D781" s="4"/>
      <c r="E781" s="4"/>
    </row>
    <row r="782" spans="1:5" x14ac:dyDescent="0.25">
      <c r="A782" s="4">
        <v>781</v>
      </c>
      <c r="B782" s="4"/>
      <c r="C782" s="4"/>
      <c r="D782" s="4"/>
      <c r="E782" s="4"/>
    </row>
    <row r="783" spans="1:5" x14ac:dyDescent="0.25">
      <c r="A783" s="4">
        <v>782</v>
      </c>
      <c r="B783" s="4"/>
      <c r="C783" s="4"/>
      <c r="D783" s="4"/>
      <c r="E783" s="4"/>
    </row>
    <row r="784" spans="1:5" x14ac:dyDescent="0.25">
      <c r="A784" s="4">
        <v>783</v>
      </c>
      <c r="B784" s="4"/>
      <c r="C784" s="4"/>
      <c r="D784" s="4"/>
      <c r="E784" s="4"/>
    </row>
    <row r="785" spans="1:5" x14ac:dyDescent="0.25">
      <c r="A785" s="4">
        <v>784</v>
      </c>
      <c r="B785" s="4"/>
      <c r="C785" s="4"/>
      <c r="D785" s="4"/>
      <c r="E785" s="4"/>
    </row>
    <row r="786" spans="1:5" x14ac:dyDescent="0.25">
      <c r="A786" s="4">
        <v>785</v>
      </c>
      <c r="B786" s="4"/>
      <c r="C786" s="4"/>
      <c r="D786" s="4"/>
      <c r="E786" s="4"/>
    </row>
    <row r="787" spans="1:5" x14ac:dyDescent="0.25">
      <c r="A787" s="4">
        <v>786</v>
      </c>
      <c r="B787" s="4"/>
      <c r="C787" s="4"/>
      <c r="D787" s="4"/>
      <c r="E787" s="4"/>
    </row>
    <row r="788" spans="1:5" x14ac:dyDescent="0.25">
      <c r="A788" s="4">
        <v>787</v>
      </c>
      <c r="B788" s="4"/>
      <c r="C788" s="4"/>
      <c r="D788" s="4"/>
      <c r="E788" s="4"/>
    </row>
    <row r="789" spans="1:5" x14ac:dyDescent="0.25">
      <c r="A789" s="4">
        <v>788</v>
      </c>
      <c r="B789" s="4"/>
      <c r="C789" s="4"/>
      <c r="D789" s="4"/>
      <c r="E789" s="4"/>
    </row>
    <row r="790" spans="1:5" x14ac:dyDescent="0.25">
      <c r="A790" s="4">
        <v>789</v>
      </c>
      <c r="B790" s="4"/>
      <c r="C790" s="4"/>
      <c r="D790" s="4"/>
      <c r="E790" s="4"/>
    </row>
    <row r="791" spans="1:5" x14ac:dyDescent="0.25">
      <c r="A791" s="4">
        <v>790</v>
      </c>
      <c r="B791" s="4"/>
      <c r="C791" s="4"/>
      <c r="D791" s="4"/>
      <c r="E791" s="4"/>
    </row>
    <row r="792" spans="1:5" x14ac:dyDescent="0.25">
      <c r="A792" s="4">
        <v>791</v>
      </c>
      <c r="B792" s="4"/>
      <c r="C792" s="4"/>
      <c r="D792" s="4"/>
      <c r="E792" s="4"/>
    </row>
    <row r="793" spans="1:5" x14ac:dyDescent="0.25">
      <c r="A793" s="4">
        <v>792</v>
      </c>
      <c r="B793" s="4"/>
      <c r="C793" s="4"/>
      <c r="D793" s="4"/>
      <c r="E793" s="4"/>
    </row>
    <row r="794" spans="1:5" x14ac:dyDescent="0.25">
      <c r="A794" s="4">
        <v>793</v>
      </c>
      <c r="B794" s="4"/>
      <c r="C794" s="4"/>
      <c r="D794" s="4"/>
      <c r="E794" s="4"/>
    </row>
    <row r="795" spans="1:5" x14ac:dyDescent="0.25">
      <c r="A795" s="4">
        <v>794</v>
      </c>
      <c r="B795" s="4"/>
      <c r="C795" s="4"/>
      <c r="D795" s="4"/>
      <c r="E795" s="4"/>
    </row>
    <row r="796" spans="1:5" x14ac:dyDescent="0.25">
      <c r="A796" s="4">
        <v>795</v>
      </c>
      <c r="B796" s="4"/>
      <c r="C796" s="4"/>
      <c r="D796" s="4"/>
      <c r="E796" s="4"/>
    </row>
    <row r="797" spans="1:5" x14ac:dyDescent="0.25">
      <c r="A797" s="4">
        <v>796</v>
      </c>
      <c r="B797" s="4"/>
      <c r="C797" s="4"/>
      <c r="D797" s="4"/>
      <c r="E797" s="4"/>
    </row>
    <row r="798" spans="1:5" x14ac:dyDescent="0.25">
      <c r="A798" s="4">
        <v>797</v>
      </c>
      <c r="B798" s="4"/>
      <c r="C798" s="4"/>
      <c r="D798" s="4"/>
      <c r="E798" s="4"/>
    </row>
    <row r="799" spans="1:5" x14ac:dyDescent="0.25">
      <c r="A799" s="4">
        <v>798</v>
      </c>
      <c r="B799" s="4"/>
      <c r="C799" s="4"/>
      <c r="D799" s="4"/>
      <c r="E799" s="4"/>
    </row>
    <row r="800" spans="1:5" x14ac:dyDescent="0.25">
      <c r="A800" s="4">
        <v>799</v>
      </c>
      <c r="B800" s="4"/>
      <c r="C800" s="4"/>
      <c r="D800" s="4"/>
      <c r="E800" s="4"/>
    </row>
    <row r="801" spans="1:5" x14ac:dyDescent="0.25">
      <c r="A801" s="4">
        <v>800</v>
      </c>
      <c r="B801" s="4"/>
      <c r="C801" s="4"/>
      <c r="D801" s="4"/>
      <c r="E801" s="4"/>
    </row>
    <row r="802" spans="1:5" x14ac:dyDescent="0.25">
      <c r="A802" s="4">
        <v>801</v>
      </c>
      <c r="B802" s="4"/>
      <c r="C802" s="4"/>
      <c r="D802" s="4"/>
      <c r="E802" s="4"/>
    </row>
    <row r="803" spans="1:5" x14ac:dyDescent="0.25">
      <c r="A803" s="4">
        <v>802</v>
      </c>
      <c r="B803" s="4"/>
      <c r="C803" s="4"/>
      <c r="D803" s="4"/>
      <c r="E803" s="4"/>
    </row>
    <row r="804" spans="1:5" x14ac:dyDescent="0.25">
      <c r="A804" s="4">
        <v>803</v>
      </c>
      <c r="B804" s="4"/>
      <c r="C804" s="4"/>
      <c r="D804" s="4"/>
      <c r="E804" s="4"/>
    </row>
    <row r="805" spans="1:5" x14ac:dyDescent="0.25">
      <c r="A805" s="4">
        <v>804</v>
      </c>
      <c r="B805" s="4"/>
      <c r="C805" s="4"/>
      <c r="D805" s="4"/>
      <c r="E805" s="4"/>
    </row>
    <row r="806" spans="1:5" x14ac:dyDescent="0.25">
      <c r="A806" s="4">
        <v>805</v>
      </c>
      <c r="B806" s="4"/>
      <c r="C806" s="4"/>
      <c r="D806" s="4"/>
      <c r="E806" s="4"/>
    </row>
    <row r="807" spans="1:5" x14ac:dyDescent="0.25">
      <c r="A807" s="4">
        <v>806</v>
      </c>
      <c r="B807" s="4"/>
      <c r="C807" s="4"/>
      <c r="D807" s="4"/>
      <c r="E807" s="4"/>
    </row>
    <row r="808" spans="1:5" x14ac:dyDescent="0.25">
      <c r="A808" s="4">
        <v>807</v>
      </c>
      <c r="B808" s="4"/>
      <c r="C808" s="4"/>
      <c r="D808" s="4"/>
      <c r="E808" s="4"/>
    </row>
    <row r="809" spans="1:5" x14ac:dyDescent="0.25">
      <c r="A809" s="4">
        <v>808</v>
      </c>
      <c r="B809" s="4"/>
      <c r="C809" s="4"/>
      <c r="D809" s="4"/>
      <c r="E809" s="4"/>
    </row>
    <row r="810" spans="1:5" x14ac:dyDescent="0.25">
      <c r="A810" s="4">
        <v>809</v>
      </c>
      <c r="B810" s="4"/>
      <c r="C810" s="4"/>
      <c r="D810" s="4"/>
      <c r="E810" s="4"/>
    </row>
    <row r="811" spans="1:5" x14ac:dyDescent="0.25">
      <c r="A811" s="4">
        <v>810</v>
      </c>
      <c r="B811" s="4"/>
      <c r="C811" s="4"/>
      <c r="D811" s="4"/>
      <c r="E811" s="4"/>
    </row>
    <row r="812" spans="1:5" x14ac:dyDescent="0.25">
      <c r="A812" s="4">
        <v>811</v>
      </c>
      <c r="B812" s="4"/>
      <c r="C812" s="4"/>
      <c r="D812" s="4"/>
      <c r="E812" s="4"/>
    </row>
    <row r="813" spans="1:5" x14ac:dyDescent="0.25">
      <c r="A813" s="4">
        <v>812</v>
      </c>
      <c r="B813" s="4"/>
      <c r="C813" s="4"/>
      <c r="D813" s="4"/>
      <c r="E813" s="4"/>
    </row>
    <row r="814" spans="1:5" x14ac:dyDescent="0.25">
      <c r="A814" s="4">
        <v>813</v>
      </c>
      <c r="B814" s="4"/>
      <c r="C814" s="4"/>
      <c r="D814" s="4"/>
      <c r="E814" s="4"/>
    </row>
    <row r="815" spans="1:5" x14ac:dyDescent="0.25">
      <c r="A815" s="4">
        <v>814</v>
      </c>
      <c r="B815" s="4"/>
      <c r="C815" s="4"/>
      <c r="D815" s="4"/>
      <c r="E815" s="4"/>
    </row>
    <row r="816" spans="1:5" x14ac:dyDescent="0.25">
      <c r="A816" s="4">
        <v>815</v>
      </c>
      <c r="B816" s="4"/>
      <c r="C816" s="4"/>
      <c r="D816" s="4"/>
      <c r="E816" s="4"/>
    </row>
    <row r="817" spans="1:5" x14ac:dyDescent="0.25">
      <c r="A817" s="4">
        <v>816</v>
      </c>
      <c r="B817" s="4"/>
      <c r="C817" s="4"/>
      <c r="D817" s="4"/>
      <c r="E817" s="4"/>
    </row>
    <row r="818" spans="1:5" x14ac:dyDescent="0.25">
      <c r="A818" s="4">
        <v>817</v>
      </c>
      <c r="B818" s="4"/>
      <c r="C818" s="4"/>
      <c r="D818" s="4"/>
      <c r="E818" s="4"/>
    </row>
    <row r="819" spans="1:5" x14ac:dyDescent="0.25">
      <c r="A819" s="4">
        <v>818</v>
      </c>
      <c r="B819" s="4"/>
      <c r="C819" s="4"/>
      <c r="D819" s="4"/>
      <c r="E819" s="4"/>
    </row>
    <row r="820" spans="1:5" x14ac:dyDescent="0.25">
      <c r="A820" s="4">
        <v>819</v>
      </c>
      <c r="B820" s="4"/>
      <c r="C820" s="4"/>
      <c r="D820" s="4"/>
      <c r="E820" s="4"/>
    </row>
    <row r="821" spans="1:5" x14ac:dyDescent="0.25">
      <c r="A821" s="4">
        <v>820</v>
      </c>
      <c r="B821" s="4"/>
      <c r="C821" s="4"/>
      <c r="D821" s="4"/>
      <c r="E821" s="4"/>
    </row>
    <row r="822" spans="1:5" x14ac:dyDescent="0.25">
      <c r="A822" s="4">
        <v>821</v>
      </c>
      <c r="B822" s="4"/>
      <c r="C822" s="4"/>
      <c r="D822" s="4"/>
      <c r="E822" s="4"/>
    </row>
    <row r="823" spans="1:5" x14ac:dyDescent="0.25">
      <c r="A823" s="4">
        <v>822</v>
      </c>
      <c r="B823" s="4"/>
      <c r="C823" s="4"/>
      <c r="D823" s="4"/>
      <c r="E823" s="4"/>
    </row>
    <row r="824" spans="1:5" x14ac:dyDescent="0.25">
      <c r="A824" s="4">
        <v>823</v>
      </c>
      <c r="B824" s="4"/>
      <c r="C824" s="4"/>
      <c r="D824" s="4"/>
      <c r="E824" s="4"/>
    </row>
    <row r="825" spans="1:5" x14ac:dyDescent="0.25">
      <c r="A825" s="4">
        <v>824</v>
      </c>
      <c r="B825" s="4"/>
      <c r="C825" s="4"/>
      <c r="D825" s="4"/>
      <c r="E825" s="4"/>
    </row>
    <row r="826" spans="1:5" x14ac:dyDescent="0.25">
      <c r="A826" s="4">
        <v>825</v>
      </c>
      <c r="B826" s="4"/>
      <c r="C826" s="4"/>
      <c r="D826" s="4"/>
      <c r="E826" s="4"/>
    </row>
    <row r="827" spans="1:5" x14ac:dyDescent="0.25">
      <c r="A827" s="4">
        <v>826</v>
      </c>
      <c r="B827" s="4"/>
      <c r="C827" s="4"/>
      <c r="D827" s="4"/>
      <c r="E827" s="4"/>
    </row>
    <row r="828" spans="1:5" x14ac:dyDescent="0.25">
      <c r="A828" s="4">
        <v>827</v>
      </c>
      <c r="B828" s="4"/>
      <c r="C828" s="4"/>
      <c r="D828" s="4"/>
      <c r="E828" s="4"/>
    </row>
    <row r="829" spans="1:5" x14ac:dyDescent="0.25">
      <c r="A829" s="4">
        <v>828</v>
      </c>
      <c r="B829" s="4"/>
      <c r="C829" s="4"/>
      <c r="D829" s="4"/>
      <c r="E829" s="4"/>
    </row>
    <row r="830" spans="1:5" x14ac:dyDescent="0.25">
      <c r="A830" s="4">
        <v>829</v>
      </c>
      <c r="B830" s="4"/>
      <c r="C830" s="4"/>
      <c r="D830" s="4"/>
      <c r="E830" s="4"/>
    </row>
    <row r="831" spans="1:5" x14ac:dyDescent="0.25">
      <c r="A831" s="4">
        <v>830</v>
      </c>
      <c r="B831" s="4"/>
      <c r="C831" s="4"/>
      <c r="D831" s="4"/>
      <c r="E831" s="4"/>
    </row>
    <row r="832" spans="1:5" x14ac:dyDescent="0.25">
      <c r="A832" s="4">
        <v>831</v>
      </c>
      <c r="B832" s="4"/>
      <c r="C832" s="4"/>
      <c r="D832" s="4"/>
      <c r="E832" s="4"/>
    </row>
    <row r="833" spans="1:5" x14ac:dyDescent="0.25">
      <c r="A833" s="4">
        <v>832</v>
      </c>
      <c r="B833" s="4"/>
      <c r="C833" s="4"/>
      <c r="D833" s="4"/>
      <c r="E833" s="4"/>
    </row>
    <row r="834" spans="1:5" x14ac:dyDescent="0.25">
      <c r="A834" s="4">
        <v>833</v>
      </c>
      <c r="B834" s="4"/>
      <c r="C834" s="4"/>
      <c r="D834" s="4"/>
      <c r="E834" s="4"/>
    </row>
    <row r="835" spans="1:5" x14ac:dyDescent="0.25">
      <c r="A835" s="4">
        <v>834</v>
      </c>
      <c r="B835" s="4"/>
      <c r="C835" s="4"/>
      <c r="D835" s="4"/>
      <c r="E835" s="4"/>
    </row>
    <row r="836" spans="1:5" x14ac:dyDescent="0.25">
      <c r="A836" s="4">
        <v>835</v>
      </c>
      <c r="B836" s="4"/>
      <c r="C836" s="4"/>
      <c r="D836" s="4"/>
      <c r="E836" s="4"/>
    </row>
    <row r="837" spans="1:5" x14ac:dyDescent="0.25">
      <c r="A837" s="4">
        <v>836</v>
      </c>
      <c r="B837" s="4"/>
      <c r="C837" s="4"/>
      <c r="D837" s="4"/>
      <c r="E837" s="4"/>
    </row>
    <row r="838" spans="1:5" x14ac:dyDescent="0.25">
      <c r="A838" s="4">
        <v>837</v>
      </c>
      <c r="B838" s="4"/>
      <c r="C838" s="4"/>
      <c r="D838" s="4"/>
      <c r="E838" s="4"/>
    </row>
    <row r="839" spans="1:5" x14ac:dyDescent="0.25">
      <c r="A839" s="4">
        <v>838</v>
      </c>
      <c r="B839" s="4"/>
      <c r="C839" s="4"/>
      <c r="D839" s="4"/>
      <c r="E839" s="4"/>
    </row>
    <row r="840" spans="1:5" x14ac:dyDescent="0.25">
      <c r="A840" s="4">
        <v>839</v>
      </c>
      <c r="B840" s="4"/>
      <c r="C840" s="4"/>
      <c r="D840" s="4"/>
      <c r="E840" s="4"/>
    </row>
    <row r="841" spans="1:5" x14ac:dyDescent="0.25">
      <c r="A841" s="4">
        <v>840</v>
      </c>
      <c r="B841" s="4"/>
      <c r="C841" s="4"/>
      <c r="D841" s="4"/>
      <c r="E841" s="4"/>
    </row>
    <row r="842" spans="1:5" x14ac:dyDescent="0.25">
      <c r="A842" s="4">
        <v>841</v>
      </c>
      <c r="B842" s="4"/>
      <c r="C842" s="4"/>
      <c r="D842" s="4"/>
      <c r="E842" s="4"/>
    </row>
    <row r="843" spans="1:5" x14ac:dyDescent="0.25">
      <c r="A843" s="4">
        <v>842</v>
      </c>
      <c r="B843" s="4"/>
      <c r="C843" s="4"/>
      <c r="D843" s="4"/>
      <c r="E843" s="4"/>
    </row>
    <row r="844" spans="1:5" x14ac:dyDescent="0.25">
      <c r="A844" s="4">
        <v>843</v>
      </c>
      <c r="B844" s="4"/>
      <c r="C844" s="4"/>
      <c r="D844" s="4"/>
      <c r="E844" s="4"/>
    </row>
    <row r="845" spans="1:5" x14ac:dyDescent="0.25">
      <c r="A845" s="4">
        <v>844</v>
      </c>
      <c r="B845" s="4"/>
      <c r="C845" s="4"/>
      <c r="D845" s="4"/>
      <c r="E845" s="4"/>
    </row>
    <row r="846" spans="1:5" x14ac:dyDescent="0.25">
      <c r="A846" s="4">
        <v>845</v>
      </c>
      <c r="B846" s="4"/>
      <c r="C846" s="4"/>
      <c r="D846" s="4"/>
      <c r="E846" s="4"/>
    </row>
    <row r="847" spans="1:5" x14ac:dyDescent="0.25">
      <c r="A847" s="4">
        <v>846</v>
      </c>
      <c r="B847" s="4"/>
      <c r="C847" s="4"/>
      <c r="D847" s="4"/>
      <c r="E847" s="4"/>
    </row>
    <row r="848" spans="1:5" x14ac:dyDescent="0.25">
      <c r="A848" s="4">
        <v>847</v>
      </c>
      <c r="B848" s="4"/>
      <c r="C848" s="4"/>
      <c r="D848" s="4"/>
      <c r="E848" s="4"/>
    </row>
    <row r="849" spans="1:5" x14ac:dyDescent="0.25">
      <c r="A849" s="4">
        <v>848</v>
      </c>
      <c r="B849" s="4"/>
      <c r="C849" s="4"/>
      <c r="D849" s="4"/>
      <c r="E849" s="4"/>
    </row>
    <row r="850" spans="1:5" x14ac:dyDescent="0.25">
      <c r="A850" s="4">
        <v>849</v>
      </c>
      <c r="B850" s="4"/>
      <c r="C850" s="4"/>
      <c r="D850" s="4"/>
      <c r="E850" s="4"/>
    </row>
    <row r="851" spans="1:5" x14ac:dyDescent="0.25">
      <c r="A851" s="4">
        <v>850</v>
      </c>
      <c r="B851" s="4"/>
      <c r="C851" s="4"/>
      <c r="D851" s="4"/>
      <c r="E851" s="4"/>
    </row>
    <row r="852" spans="1:5" x14ac:dyDescent="0.25">
      <c r="A852" s="4">
        <v>851</v>
      </c>
      <c r="B852" s="4"/>
      <c r="C852" s="4"/>
      <c r="D852" s="4"/>
      <c r="E852" s="4"/>
    </row>
    <row r="853" spans="1:5" x14ac:dyDescent="0.25">
      <c r="A853" s="4">
        <v>852</v>
      </c>
      <c r="B853" s="4"/>
      <c r="C853" s="4"/>
      <c r="D853" s="4"/>
      <c r="E853" s="4"/>
    </row>
    <row r="854" spans="1:5" x14ac:dyDescent="0.25">
      <c r="A854" s="4">
        <v>853</v>
      </c>
      <c r="B854" s="4"/>
      <c r="C854" s="4"/>
      <c r="D854" s="4"/>
      <c r="E854" s="4"/>
    </row>
    <row r="855" spans="1:5" x14ac:dyDescent="0.25">
      <c r="A855" s="4">
        <v>854</v>
      </c>
      <c r="B855" s="4"/>
      <c r="C855" s="4"/>
      <c r="D855" s="4"/>
      <c r="E855" s="4"/>
    </row>
    <row r="856" spans="1:5" x14ac:dyDescent="0.25">
      <c r="A856" s="4">
        <v>855</v>
      </c>
      <c r="B856" s="4"/>
      <c r="C856" s="4"/>
      <c r="D856" s="4"/>
      <c r="E856" s="4"/>
    </row>
    <row r="857" spans="1:5" x14ac:dyDescent="0.25">
      <c r="A857" s="4">
        <v>856</v>
      </c>
      <c r="B857" s="4"/>
      <c r="C857" s="4"/>
      <c r="D857" s="4"/>
      <c r="E857" s="4"/>
    </row>
    <row r="858" spans="1:5" x14ac:dyDescent="0.25">
      <c r="A858" s="4">
        <v>857</v>
      </c>
      <c r="B858" s="4"/>
      <c r="C858" s="4"/>
      <c r="D858" s="4"/>
      <c r="E858" s="4"/>
    </row>
    <row r="859" spans="1:5" x14ac:dyDescent="0.25">
      <c r="A859" s="4">
        <v>858</v>
      </c>
      <c r="B859" s="4"/>
      <c r="C859" s="4"/>
      <c r="D859" s="4"/>
      <c r="E859" s="4"/>
    </row>
    <row r="860" spans="1:5" x14ac:dyDescent="0.25">
      <c r="A860" s="4">
        <v>859</v>
      </c>
      <c r="B860" s="4"/>
      <c r="C860" s="4"/>
      <c r="D860" s="4"/>
      <c r="E860" s="4"/>
    </row>
    <row r="861" spans="1:5" x14ac:dyDescent="0.25">
      <c r="A861" s="4">
        <v>860</v>
      </c>
      <c r="B861" s="4"/>
      <c r="C861" s="4"/>
      <c r="D861" s="4"/>
      <c r="E861" s="4"/>
    </row>
    <row r="862" spans="1:5" x14ac:dyDescent="0.25">
      <c r="A862" s="4">
        <v>861</v>
      </c>
      <c r="B862" s="4"/>
      <c r="C862" s="4"/>
      <c r="D862" s="4"/>
      <c r="E862" s="4"/>
    </row>
    <row r="863" spans="1:5" x14ac:dyDescent="0.25">
      <c r="A863" s="4">
        <v>862</v>
      </c>
      <c r="B863" s="4"/>
      <c r="C863" s="4"/>
      <c r="D863" s="4"/>
      <c r="E863" s="4"/>
    </row>
    <row r="864" spans="1:5" x14ac:dyDescent="0.25">
      <c r="A864" s="4">
        <v>863</v>
      </c>
      <c r="B864" s="4"/>
      <c r="C864" s="4"/>
      <c r="D864" s="4"/>
      <c r="E864" s="4"/>
    </row>
    <row r="865" spans="1:5" x14ac:dyDescent="0.25">
      <c r="A865" s="4">
        <v>864</v>
      </c>
      <c r="B865" s="4"/>
      <c r="C865" s="4"/>
      <c r="D865" s="4"/>
      <c r="E865" s="4"/>
    </row>
    <row r="866" spans="1:5" x14ac:dyDescent="0.25">
      <c r="A866" s="4">
        <v>865</v>
      </c>
      <c r="B866" s="4"/>
      <c r="C866" s="4"/>
      <c r="D866" s="4"/>
      <c r="E866" s="4"/>
    </row>
    <row r="867" spans="1:5" x14ac:dyDescent="0.25">
      <c r="A867" s="4">
        <v>866</v>
      </c>
      <c r="B867" s="4"/>
      <c r="C867" s="4"/>
      <c r="D867" s="4"/>
      <c r="E867" s="4"/>
    </row>
    <row r="868" spans="1:5" x14ac:dyDescent="0.25">
      <c r="A868" s="4">
        <v>867</v>
      </c>
      <c r="B868" s="4"/>
      <c r="C868" s="4"/>
      <c r="D868" s="4"/>
      <c r="E868" s="4"/>
    </row>
    <row r="869" spans="1:5" x14ac:dyDescent="0.25">
      <c r="A869" s="4">
        <v>868</v>
      </c>
      <c r="B869" s="4"/>
      <c r="C869" s="4"/>
      <c r="D869" s="4"/>
      <c r="E869" s="4"/>
    </row>
    <row r="870" spans="1:5" x14ac:dyDescent="0.25">
      <c r="A870" s="4">
        <v>869</v>
      </c>
      <c r="B870" s="4"/>
      <c r="C870" s="4"/>
      <c r="D870" s="4"/>
      <c r="E870" s="4"/>
    </row>
    <row r="871" spans="1:5" x14ac:dyDescent="0.25">
      <c r="A871" s="4">
        <v>870</v>
      </c>
      <c r="B871" s="4"/>
      <c r="C871" s="4"/>
      <c r="D871" s="4"/>
      <c r="E871" s="4"/>
    </row>
    <row r="872" spans="1:5" x14ac:dyDescent="0.25">
      <c r="A872" s="4">
        <v>871</v>
      </c>
      <c r="B872" s="4"/>
      <c r="C872" s="4"/>
      <c r="D872" s="4"/>
      <c r="E872" s="4"/>
    </row>
    <row r="873" spans="1:5" x14ac:dyDescent="0.25">
      <c r="A873" s="4">
        <v>872</v>
      </c>
      <c r="B873" s="4"/>
      <c r="C873" s="4"/>
      <c r="D873" s="4"/>
      <c r="E873" s="4"/>
    </row>
    <row r="874" spans="1:5" x14ac:dyDescent="0.25">
      <c r="A874" s="4">
        <v>873</v>
      </c>
      <c r="B874" s="4"/>
      <c r="C874" s="4"/>
      <c r="D874" s="4"/>
      <c r="E874" s="4"/>
    </row>
    <row r="875" spans="1:5" x14ac:dyDescent="0.25">
      <c r="A875" s="4">
        <v>874</v>
      </c>
      <c r="B875" s="4"/>
      <c r="C875" s="4"/>
      <c r="D875" s="4"/>
      <c r="E875" s="4"/>
    </row>
    <row r="876" spans="1:5" x14ac:dyDescent="0.25">
      <c r="A876" s="4">
        <v>875</v>
      </c>
      <c r="B876" s="4"/>
      <c r="C876" s="4"/>
      <c r="D876" s="4"/>
      <c r="E876" s="4"/>
    </row>
    <row r="877" spans="1:5" x14ac:dyDescent="0.25">
      <c r="A877" s="4">
        <v>876</v>
      </c>
      <c r="B877" s="4"/>
      <c r="C877" s="4"/>
      <c r="D877" s="4"/>
      <c r="E877" s="4"/>
    </row>
    <row r="878" spans="1:5" x14ac:dyDescent="0.25">
      <c r="A878" s="4">
        <v>877</v>
      </c>
      <c r="B878" s="4"/>
      <c r="C878" s="4"/>
      <c r="D878" s="4"/>
      <c r="E878" s="4"/>
    </row>
    <row r="879" spans="1:5" x14ac:dyDescent="0.25">
      <c r="A879" s="4">
        <v>878</v>
      </c>
      <c r="B879" s="4"/>
      <c r="C879" s="4"/>
      <c r="D879" s="4"/>
      <c r="E879" s="4"/>
    </row>
    <row r="880" spans="1:5" x14ac:dyDescent="0.25">
      <c r="A880" s="4">
        <v>879</v>
      </c>
      <c r="B880" s="4"/>
      <c r="C880" s="4"/>
      <c r="D880" s="4"/>
      <c r="E880" s="4"/>
    </row>
    <row r="881" spans="1:5" x14ac:dyDescent="0.25">
      <c r="A881" s="4">
        <v>880</v>
      </c>
      <c r="B881" s="4"/>
      <c r="C881" s="4"/>
      <c r="D881" s="4"/>
      <c r="E881" s="4"/>
    </row>
    <row r="882" spans="1:5" x14ac:dyDescent="0.25">
      <c r="A882" s="4">
        <v>881</v>
      </c>
      <c r="B882" s="4"/>
      <c r="C882" s="4"/>
      <c r="D882" s="4"/>
      <c r="E882" s="4"/>
    </row>
    <row r="883" spans="1:5" x14ac:dyDescent="0.25">
      <c r="A883" s="4">
        <v>882</v>
      </c>
      <c r="B883" s="4"/>
      <c r="C883" s="4"/>
      <c r="D883" s="4"/>
      <c r="E883" s="4"/>
    </row>
    <row r="884" spans="1:5" x14ac:dyDescent="0.25">
      <c r="A884" s="4">
        <v>883</v>
      </c>
      <c r="B884" s="4"/>
      <c r="C884" s="4"/>
      <c r="D884" s="4"/>
      <c r="E884" s="4"/>
    </row>
    <row r="885" spans="1:5" x14ac:dyDescent="0.25">
      <c r="A885" s="4">
        <v>884</v>
      </c>
      <c r="B885" s="4"/>
      <c r="C885" s="4"/>
      <c r="D885" s="4"/>
      <c r="E885" s="4"/>
    </row>
    <row r="886" spans="1:5" x14ac:dyDescent="0.25">
      <c r="A886" s="4">
        <v>885</v>
      </c>
      <c r="B886" s="4"/>
      <c r="C886" s="4"/>
      <c r="D886" s="4"/>
      <c r="E886" s="4"/>
    </row>
    <row r="887" spans="1:5" x14ac:dyDescent="0.25">
      <c r="A887" s="4">
        <v>886</v>
      </c>
      <c r="B887" s="4"/>
      <c r="C887" s="4"/>
      <c r="D887" s="4"/>
      <c r="E887" s="4"/>
    </row>
    <row r="888" spans="1:5" x14ac:dyDescent="0.25">
      <c r="A888" s="4">
        <v>887</v>
      </c>
      <c r="B888" s="4"/>
      <c r="C888" s="4"/>
      <c r="D888" s="4"/>
      <c r="E888" s="4"/>
    </row>
    <row r="889" spans="1:5" x14ac:dyDescent="0.25">
      <c r="A889" s="4">
        <v>888</v>
      </c>
      <c r="B889" s="4"/>
      <c r="C889" s="4"/>
      <c r="D889" s="4"/>
      <c r="E889" s="4"/>
    </row>
    <row r="890" spans="1:5" x14ac:dyDescent="0.25">
      <c r="A890" s="4">
        <v>889</v>
      </c>
      <c r="B890" s="4"/>
      <c r="C890" s="4"/>
      <c r="D890" s="4"/>
      <c r="E890" s="4"/>
    </row>
    <row r="891" spans="1:5" x14ac:dyDescent="0.25">
      <c r="A891" s="4">
        <v>890</v>
      </c>
      <c r="B891" s="4"/>
      <c r="C891" s="4"/>
      <c r="D891" s="4"/>
      <c r="E891" s="4"/>
    </row>
    <row r="892" spans="1:5" x14ac:dyDescent="0.25">
      <c r="A892" s="4">
        <v>891</v>
      </c>
      <c r="B892" s="4"/>
      <c r="C892" s="4"/>
      <c r="D892" s="4"/>
      <c r="E892" s="4"/>
    </row>
    <row r="893" spans="1:5" x14ac:dyDescent="0.25">
      <c r="A893" s="4">
        <v>892</v>
      </c>
      <c r="B893" s="4"/>
      <c r="C893" s="4"/>
      <c r="D893" s="4"/>
      <c r="E893" s="4"/>
    </row>
    <row r="894" spans="1:5" x14ac:dyDescent="0.25">
      <c r="A894" s="4">
        <v>893</v>
      </c>
      <c r="B894" s="4"/>
      <c r="C894" s="4"/>
      <c r="D894" s="4"/>
      <c r="E894" s="4"/>
    </row>
    <row r="895" spans="1:5" x14ac:dyDescent="0.25">
      <c r="A895" s="4">
        <v>894</v>
      </c>
      <c r="B895" s="4"/>
      <c r="C895" s="4"/>
      <c r="D895" s="4"/>
      <c r="E895" s="4"/>
    </row>
    <row r="896" spans="1:5" x14ac:dyDescent="0.25">
      <c r="A896" s="4">
        <v>895</v>
      </c>
      <c r="B896" s="4"/>
      <c r="C896" s="4"/>
      <c r="D896" s="4"/>
      <c r="E896" s="4"/>
    </row>
    <row r="897" spans="1:5" x14ac:dyDescent="0.25">
      <c r="A897" s="4">
        <v>896</v>
      </c>
      <c r="B897" s="4"/>
      <c r="C897" s="4"/>
      <c r="D897" s="4"/>
      <c r="E897" s="4"/>
    </row>
    <row r="898" spans="1:5" x14ac:dyDescent="0.25">
      <c r="A898" s="4">
        <v>897</v>
      </c>
      <c r="B898" s="4"/>
      <c r="C898" s="4"/>
      <c r="D898" s="4"/>
      <c r="E898" s="4"/>
    </row>
    <row r="899" spans="1:5" x14ac:dyDescent="0.25">
      <c r="A899" s="4">
        <v>898</v>
      </c>
      <c r="B899" s="4"/>
      <c r="C899" s="4"/>
      <c r="D899" s="4"/>
      <c r="E899" s="4"/>
    </row>
    <row r="900" spans="1:5" x14ac:dyDescent="0.25">
      <c r="A900" s="4">
        <v>899</v>
      </c>
      <c r="B900" s="4"/>
      <c r="C900" s="4"/>
      <c r="D900" s="4"/>
      <c r="E900" s="4"/>
    </row>
    <row r="901" spans="1:5" x14ac:dyDescent="0.25">
      <c r="A901" s="4">
        <v>900</v>
      </c>
      <c r="B901" s="4"/>
      <c r="C901" s="4"/>
      <c r="D901" s="4"/>
      <c r="E901" s="4"/>
    </row>
    <row r="902" spans="1:5" x14ac:dyDescent="0.25">
      <c r="A902" s="4">
        <v>901</v>
      </c>
      <c r="B902" s="4"/>
      <c r="C902" s="4"/>
      <c r="D902" s="4"/>
      <c r="E902" s="4"/>
    </row>
    <row r="903" spans="1:5" x14ac:dyDescent="0.25">
      <c r="A903" s="4">
        <v>902</v>
      </c>
      <c r="B903" s="4"/>
      <c r="C903" s="4"/>
      <c r="D903" s="4"/>
      <c r="E903" s="4"/>
    </row>
    <row r="904" spans="1:5" x14ac:dyDescent="0.25">
      <c r="A904" s="4">
        <v>903</v>
      </c>
      <c r="B904" s="4"/>
      <c r="C904" s="4"/>
      <c r="D904" s="4"/>
      <c r="E904" s="4"/>
    </row>
    <row r="905" spans="1:5" x14ac:dyDescent="0.25">
      <c r="A905" s="4">
        <v>904</v>
      </c>
      <c r="B905" s="4"/>
      <c r="C905" s="4"/>
      <c r="D905" s="4"/>
      <c r="E905" s="4"/>
    </row>
    <row r="906" spans="1:5" x14ac:dyDescent="0.25">
      <c r="A906" s="4">
        <v>905</v>
      </c>
      <c r="B906" s="4"/>
      <c r="C906" s="4"/>
      <c r="D906" s="4"/>
      <c r="E906" s="4"/>
    </row>
    <row r="907" spans="1:5" x14ac:dyDescent="0.25">
      <c r="A907" s="4">
        <v>906</v>
      </c>
      <c r="B907" s="4"/>
      <c r="C907" s="4"/>
      <c r="D907" s="4"/>
      <c r="E907" s="4"/>
    </row>
    <row r="908" spans="1:5" x14ac:dyDescent="0.25">
      <c r="A908" s="4">
        <v>907</v>
      </c>
      <c r="B908" s="4"/>
      <c r="C908" s="4"/>
      <c r="D908" s="4"/>
      <c r="E908" s="4"/>
    </row>
    <row r="909" spans="1:5" x14ac:dyDescent="0.25">
      <c r="A909" s="4">
        <v>908</v>
      </c>
      <c r="B909" s="4"/>
      <c r="C909" s="4"/>
      <c r="D909" s="4"/>
      <c r="E909" s="4"/>
    </row>
    <row r="910" spans="1:5" x14ac:dyDescent="0.25">
      <c r="A910" s="4">
        <v>909</v>
      </c>
      <c r="B910" s="4"/>
      <c r="C910" s="4"/>
      <c r="D910" s="4"/>
      <c r="E910" s="4"/>
    </row>
    <row r="911" spans="1:5" x14ac:dyDescent="0.25">
      <c r="A911" s="4">
        <v>910</v>
      </c>
      <c r="B911" s="4"/>
      <c r="C911" s="4"/>
      <c r="D911" s="4"/>
      <c r="E911" s="4"/>
    </row>
    <row r="912" spans="1:5" x14ac:dyDescent="0.25">
      <c r="A912" s="4">
        <v>911</v>
      </c>
      <c r="B912" s="4"/>
      <c r="C912" s="4"/>
      <c r="D912" s="4"/>
      <c r="E912" s="4"/>
    </row>
    <row r="913" spans="1:5" x14ac:dyDescent="0.25">
      <c r="A913" s="4">
        <v>912</v>
      </c>
      <c r="B913" s="4"/>
      <c r="C913" s="4"/>
      <c r="D913" s="4"/>
      <c r="E913" s="4"/>
    </row>
    <row r="914" spans="1:5" x14ac:dyDescent="0.25">
      <c r="A914" s="4">
        <v>913</v>
      </c>
      <c r="B914" s="4"/>
      <c r="C914" s="4"/>
      <c r="D914" s="4"/>
      <c r="E914" s="4"/>
    </row>
    <row r="915" spans="1:5" x14ac:dyDescent="0.25">
      <c r="A915" s="4">
        <v>914</v>
      </c>
      <c r="B915" s="4"/>
      <c r="C915" s="4"/>
      <c r="D915" s="4"/>
      <c r="E915" s="4"/>
    </row>
    <row r="916" spans="1:5" x14ac:dyDescent="0.25">
      <c r="A916" s="4">
        <v>915</v>
      </c>
      <c r="B916" s="4"/>
      <c r="C916" s="4"/>
      <c r="D916" s="4"/>
      <c r="E916" s="4"/>
    </row>
    <row r="917" spans="1:5" x14ac:dyDescent="0.25">
      <c r="A917" s="4">
        <v>916</v>
      </c>
      <c r="B917" s="4"/>
      <c r="C917" s="4"/>
      <c r="D917" s="4"/>
      <c r="E917" s="4"/>
    </row>
    <row r="918" spans="1:5" x14ac:dyDescent="0.25">
      <c r="A918" s="4">
        <v>917</v>
      </c>
      <c r="B918" s="4"/>
      <c r="C918" s="4"/>
      <c r="D918" s="4"/>
      <c r="E918" s="4"/>
    </row>
    <row r="919" spans="1:5" x14ac:dyDescent="0.25">
      <c r="A919" s="4">
        <v>918</v>
      </c>
      <c r="B919" s="4"/>
      <c r="C919" s="4"/>
      <c r="D919" s="4"/>
      <c r="E919" s="4"/>
    </row>
    <row r="920" spans="1:5" x14ac:dyDescent="0.25">
      <c r="A920" s="4">
        <v>919</v>
      </c>
      <c r="B920" s="4"/>
      <c r="C920" s="4"/>
      <c r="D920" s="4"/>
      <c r="E920" s="4"/>
    </row>
    <row r="921" spans="1:5" x14ac:dyDescent="0.25">
      <c r="A921" s="4">
        <v>920</v>
      </c>
      <c r="B921" s="4"/>
      <c r="C921" s="4"/>
      <c r="D921" s="4"/>
      <c r="E921" s="4"/>
    </row>
    <row r="922" spans="1:5" x14ac:dyDescent="0.25">
      <c r="A922" s="4">
        <v>921</v>
      </c>
      <c r="B922" s="4"/>
      <c r="C922" s="4"/>
      <c r="D922" s="4"/>
      <c r="E922" s="4"/>
    </row>
    <row r="923" spans="1:5" x14ac:dyDescent="0.25">
      <c r="A923" s="4">
        <v>922</v>
      </c>
      <c r="B923" s="4"/>
      <c r="C923" s="4"/>
      <c r="D923" s="4"/>
      <c r="E923" s="4"/>
    </row>
    <row r="924" spans="1:5" x14ac:dyDescent="0.25">
      <c r="A924" s="4">
        <v>923</v>
      </c>
      <c r="B924" s="4"/>
      <c r="C924" s="4"/>
      <c r="D924" s="4"/>
      <c r="E924" s="4"/>
    </row>
    <row r="925" spans="1:5" x14ac:dyDescent="0.25">
      <c r="A925" s="4">
        <v>924</v>
      </c>
      <c r="B925" s="4"/>
      <c r="C925" s="4"/>
      <c r="D925" s="4"/>
      <c r="E925" s="4"/>
    </row>
    <row r="926" spans="1:5" x14ac:dyDescent="0.25">
      <c r="A926" s="4">
        <v>925</v>
      </c>
      <c r="B926" s="4"/>
      <c r="C926" s="4"/>
      <c r="D926" s="4"/>
      <c r="E926" s="4"/>
    </row>
    <row r="927" spans="1:5" x14ac:dyDescent="0.25">
      <c r="A927" s="4">
        <v>926</v>
      </c>
      <c r="B927" s="4"/>
      <c r="C927" s="4"/>
      <c r="D927" s="4"/>
      <c r="E927" s="4"/>
    </row>
    <row r="928" spans="1:5" x14ac:dyDescent="0.25">
      <c r="A928" s="4">
        <v>927</v>
      </c>
      <c r="B928" s="4"/>
      <c r="C928" s="4"/>
      <c r="D928" s="4"/>
      <c r="E928" s="4"/>
    </row>
    <row r="929" spans="1:5" x14ac:dyDescent="0.25">
      <c r="A929" s="4">
        <v>928</v>
      </c>
      <c r="B929" s="4"/>
      <c r="C929" s="4"/>
      <c r="D929" s="4"/>
      <c r="E929" s="4"/>
    </row>
    <row r="930" spans="1:5" x14ac:dyDescent="0.25">
      <c r="A930" s="4">
        <v>929</v>
      </c>
      <c r="B930" s="4"/>
      <c r="C930" s="4"/>
      <c r="D930" s="4"/>
      <c r="E930" s="4"/>
    </row>
    <row r="931" spans="1:5" x14ac:dyDescent="0.25">
      <c r="A931" s="4">
        <v>930</v>
      </c>
      <c r="B931" s="4"/>
      <c r="C931" s="4"/>
      <c r="D931" s="4"/>
      <c r="E931" s="4"/>
    </row>
    <row r="932" spans="1:5" x14ac:dyDescent="0.25">
      <c r="A932" s="4">
        <v>931</v>
      </c>
      <c r="B932" s="4"/>
      <c r="C932" s="4"/>
      <c r="D932" s="4"/>
      <c r="E932" s="4"/>
    </row>
    <row r="933" spans="1:5" x14ac:dyDescent="0.25">
      <c r="A933" s="4">
        <v>932</v>
      </c>
      <c r="B933" s="4"/>
      <c r="C933" s="4"/>
      <c r="D933" s="4"/>
      <c r="E933" s="4"/>
    </row>
    <row r="934" spans="1:5" x14ac:dyDescent="0.25">
      <c r="A934" s="4">
        <v>933</v>
      </c>
      <c r="B934" s="4"/>
      <c r="C934" s="4"/>
      <c r="D934" s="4"/>
      <c r="E934" s="4"/>
    </row>
    <row r="935" spans="1:5" x14ac:dyDescent="0.25">
      <c r="A935" s="4">
        <v>934</v>
      </c>
      <c r="B935" s="4"/>
      <c r="C935" s="4"/>
      <c r="D935" s="4"/>
      <c r="E935" s="4"/>
    </row>
    <row r="936" spans="1:5" x14ac:dyDescent="0.25">
      <c r="A936" s="4">
        <v>935</v>
      </c>
      <c r="B936" s="4"/>
      <c r="C936" s="4"/>
      <c r="D936" s="4"/>
      <c r="E936" s="4"/>
    </row>
    <row r="937" spans="1:5" x14ac:dyDescent="0.25">
      <c r="A937" s="4">
        <v>936</v>
      </c>
      <c r="B937" s="4"/>
      <c r="C937" s="4"/>
      <c r="D937" s="4"/>
      <c r="E937" s="4"/>
    </row>
    <row r="938" spans="1:5" x14ac:dyDescent="0.25">
      <c r="A938" s="4">
        <v>937</v>
      </c>
      <c r="B938" s="4"/>
      <c r="C938" s="4"/>
      <c r="D938" s="4"/>
      <c r="E938" s="4"/>
    </row>
    <row r="939" spans="1:5" x14ac:dyDescent="0.25">
      <c r="A939" s="4">
        <v>938</v>
      </c>
      <c r="B939" s="4"/>
      <c r="C939" s="4"/>
      <c r="D939" s="4"/>
      <c r="E939" s="4"/>
    </row>
    <row r="940" spans="1:5" x14ac:dyDescent="0.25">
      <c r="A940" s="4">
        <v>939</v>
      </c>
      <c r="B940" s="4"/>
      <c r="C940" s="4"/>
      <c r="D940" s="4"/>
      <c r="E940" s="4"/>
    </row>
    <row r="941" spans="1:5" x14ac:dyDescent="0.25">
      <c r="A941" s="4">
        <v>940</v>
      </c>
      <c r="B941" s="4"/>
      <c r="C941" s="4"/>
      <c r="D941" s="4"/>
      <c r="E941" s="4"/>
    </row>
    <row r="942" spans="1:5" x14ac:dyDescent="0.25">
      <c r="A942" s="4">
        <v>941</v>
      </c>
      <c r="B942" s="4"/>
      <c r="C942" s="4"/>
      <c r="D942" s="4"/>
      <c r="E942" s="4"/>
    </row>
    <row r="943" spans="1:5" x14ac:dyDescent="0.25">
      <c r="A943" s="4">
        <v>942</v>
      </c>
      <c r="B943" s="4"/>
      <c r="C943" s="4"/>
      <c r="D943" s="4"/>
      <c r="E943" s="4"/>
    </row>
    <row r="944" spans="1:5" x14ac:dyDescent="0.25">
      <c r="A944" s="4">
        <v>943</v>
      </c>
      <c r="B944" s="4"/>
      <c r="C944" s="4"/>
      <c r="D944" s="4"/>
      <c r="E944" s="4"/>
    </row>
    <row r="945" spans="1:5" x14ac:dyDescent="0.25">
      <c r="A945" s="4">
        <v>944</v>
      </c>
      <c r="B945" s="4"/>
      <c r="C945" s="4"/>
      <c r="D945" s="4"/>
      <c r="E945" s="4"/>
    </row>
    <row r="946" spans="1:5" x14ac:dyDescent="0.25">
      <c r="A946" s="4">
        <v>945</v>
      </c>
      <c r="B946" s="4"/>
      <c r="C946" s="4"/>
      <c r="D946" s="4"/>
      <c r="E946" s="4"/>
    </row>
    <row r="947" spans="1:5" x14ac:dyDescent="0.25">
      <c r="A947" s="4">
        <v>946</v>
      </c>
      <c r="B947" s="4"/>
      <c r="C947" s="4"/>
      <c r="D947" s="4"/>
      <c r="E947" s="4"/>
    </row>
    <row r="948" spans="1:5" x14ac:dyDescent="0.25">
      <c r="A948" s="4">
        <v>947</v>
      </c>
      <c r="B948" s="4"/>
      <c r="C948" s="4"/>
      <c r="D948" s="4"/>
      <c r="E948" s="4"/>
    </row>
    <row r="949" spans="1:5" x14ac:dyDescent="0.25">
      <c r="A949" s="4">
        <v>948</v>
      </c>
      <c r="B949" s="4"/>
      <c r="C949" s="4"/>
      <c r="D949" s="4"/>
      <c r="E949" s="4"/>
    </row>
    <row r="950" spans="1:5" x14ac:dyDescent="0.25">
      <c r="A950" s="4">
        <v>949</v>
      </c>
      <c r="B950" s="4"/>
      <c r="C950" s="4"/>
      <c r="D950" s="4"/>
      <c r="E950" s="4"/>
    </row>
    <row r="951" spans="1:5" x14ac:dyDescent="0.25">
      <c r="A951" s="4">
        <v>950</v>
      </c>
      <c r="B951" s="4"/>
      <c r="C951" s="4"/>
      <c r="D951" s="4"/>
      <c r="E951" s="4"/>
    </row>
    <row r="952" spans="1:5" x14ac:dyDescent="0.25">
      <c r="A952" s="4">
        <v>951</v>
      </c>
      <c r="B952" s="4"/>
      <c r="C952" s="4"/>
      <c r="D952" s="4"/>
      <c r="E952" s="4"/>
    </row>
    <row r="953" spans="1:5" x14ac:dyDescent="0.25">
      <c r="A953" s="4">
        <v>952</v>
      </c>
      <c r="B953" s="4"/>
      <c r="C953" s="4"/>
      <c r="D953" s="4"/>
      <c r="E953" s="4"/>
    </row>
    <row r="954" spans="1:5" x14ac:dyDescent="0.25">
      <c r="A954" s="4">
        <v>953</v>
      </c>
      <c r="B954" s="4"/>
      <c r="C954" s="4"/>
      <c r="D954" s="4"/>
      <c r="E954" s="4"/>
    </row>
    <row r="955" spans="1:5" x14ac:dyDescent="0.25">
      <c r="A955" s="4">
        <v>954</v>
      </c>
      <c r="B955" s="4"/>
      <c r="C955" s="4"/>
      <c r="D955" s="4"/>
      <c r="E955" s="4"/>
    </row>
    <row r="956" spans="1:5" x14ac:dyDescent="0.25">
      <c r="A956" s="4">
        <v>955</v>
      </c>
      <c r="B956" s="4"/>
      <c r="C956" s="4"/>
      <c r="D956" s="4"/>
      <c r="E956" s="4"/>
    </row>
    <row r="957" spans="1:5" x14ac:dyDescent="0.25">
      <c r="A957" s="4">
        <v>956</v>
      </c>
      <c r="B957" s="4"/>
      <c r="C957" s="4"/>
      <c r="D957" s="4"/>
      <c r="E957" s="4"/>
    </row>
    <row r="958" spans="1:5" x14ac:dyDescent="0.25">
      <c r="A958" s="4">
        <v>957</v>
      </c>
      <c r="B958" s="4"/>
      <c r="C958" s="4"/>
      <c r="D958" s="4"/>
      <c r="E958" s="4"/>
    </row>
    <row r="959" spans="1:5" x14ac:dyDescent="0.25">
      <c r="A959" s="4">
        <v>958</v>
      </c>
      <c r="B959" s="4"/>
      <c r="C959" s="4"/>
      <c r="D959" s="4"/>
      <c r="E959" s="4"/>
    </row>
    <row r="960" spans="1:5" x14ac:dyDescent="0.25">
      <c r="A960" s="4">
        <v>959</v>
      </c>
      <c r="B960" s="4"/>
      <c r="C960" s="4"/>
      <c r="D960" s="4"/>
      <c r="E960" s="4"/>
    </row>
    <row r="961" spans="1:5" x14ac:dyDescent="0.25">
      <c r="A961" s="4">
        <v>960</v>
      </c>
      <c r="B961" s="4"/>
      <c r="C961" s="4"/>
      <c r="D961" s="4"/>
      <c r="E961" s="4"/>
    </row>
    <row r="962" spans="1:5" x14ac:dyDescent="0.25">
      <c r="A962" s="4">
        <v>961</v>
      </c>
      <c r="B962" s="4"/>
      <c r="C962" s="4"/>
      <c r="D962" s="4"/>
      <c r="E962" s="4"/>
    </row>
    <row r="963" spans="1:5" x14ac:dyDescent="0.25">
      <c r="A963" s="4">
        <v>962</v>
      </c>
      <c r="B963" s="4"/>
      <c r="C963" s="4"/>
      <c r="D963" s="4"/>
      <c r="E963" s="4"/>
    </row>
    <row r="964" spans="1:5" x14ac:dyDescent="0.25">
      <c r="A964" s="4">
        <v>963</v>
      </c>
      <c r="B964" s="4"/>
      <c r="C964" s="4"/>
      <c r="D964" s="4"/>
      <c r="E964" s="4"/>
    </row>
    <row r="965" spans="1:5" x14ac:dyDescent="0.25">
      <c r="A965" s="4">
        <v>964</v>
      </c>
      <c r="B965" s="4"/>
      <c r="C965" s="4"/>
      <c r="D965" s="4"/>
      <c r="E965" s="4"/>
    </row>
    <row r="966" spans="1:5" x14ac:dyDescent="0.25">
      <c r="A966" s="4">
        <v>965</v>
      </c>
      <c r="B966" s="4"/>
      <c r="C966" s="4"/>
      <c r="D966" s="4"/>
      <c r="E966" s="4"/>
    </row>
    <row r="967" spans="1:5" x14ac:dyDescent="0.25">
      <c r="A967" s="4">
        <v>966</v>
      </c>
      <c r="B967" s="4"/>
      <c r="C967" s="4"/>
      <c r="D967" s="4"/>
      <c r="E967" s="4"/>
    </row>
    <row r="968" spans="1:5" x14ac:dyDescent="0.25">
      <c r="A968" s="4">
        <v>967</v>
      </c>
      <c r="B968" s="4"/>
      <c r="C968" s="4"/>
      <c r="D968" s="4"/>
      <c r="E968" s="4"/>
    </row>
    <row r="969" spans="1:5" x14ac:dyDescent="0.25">
      <c r="A969" s="4">
        <v>968</v>
      </c>
      <c r="B969" s="4"/>
      <c r="C969" s="4"/>
      <c r="D969" s="4"/>
      <c r="E969" s="4"/>
    </row>
    <row r="970" spans="1:5" x14ac:dyDescent="0.25">
      <c r="A970" s="4">
        <v>969</v>
      </c>
      <c r="B970" s="4"/>
      <c r="C970" s="4"/>
      <c r="D970" s="4"/>
      <c r="E970" s="4"/>
    </row>
    <row r="971" spans="1:5" x14ac:dyDescent="0.25">
      <c r="A971" s="4">
        <v>970</v>
      </c>
      <c r="B971" s="4"/>
      <c r="C971" s="4"/>
      <c r="D971" s="4"/>
      <c r="E971" s="4"/>
    </row>
    <row r="972" spans="1:5" x14ac:dyDescent="0.25">
      <c r="A972" s="4">
        <v>971</v>
      </c>
      <c r="B972" s="4"/>
      <c r="C972" s="4"/>
      <c r="D972" s="4"/>
      <c r="E972" s="4"/>
    </row>
    <row r="973" spans="1:5" x14ac:dyDescent="0.25">
      <c r="A973" s="4">
        <v>972</v>
      </c>
      <c r="B973" s="4"/>
      <c r="C973" s="4"/>
      <c r="D973" s="4"/>
      <c r="E973" s="4"/>
    </row>
    <row r="974" spans="1:5" x14ac:dyDescent="0.25">
      <c r="A974" s="4">
        <v>973</v>
      </c>
      <c r="B974" s="4"/>
      <c r="C974" s="4"/>
      <c r="D974" s="4"/>
      <c r="E974" s="4"/>
    </row>
    <row r="975" spans="1:5" x14ac:dyDescent="0.25">
      <c r="A975" s="4">
        <v>974</v>
      </c>
      <c r="B975" s="4"/>
      <c r="C975" s="4"/>
      <c r="D975" s="4"/>
      <c r="E975" s="4"/>
    </row>
    <row r="976" spans="1:5" x14ac:dyDescent="0.25">
      <c r="A976" s="4">
        <v>975</v>
      </c>
      <c r="B976" s="4"/>
      <c r="C976" s="4"/>
      <c r="D976" s="4"/>
      <c r="E976" s="4"/>
    </row>
    <row r="977" spans="1:5" x14ac:dyDescent="0.25">
      <c r="A977" s="4">
        <v>976</v>
      </c>
      <c r="B977" s="4"/>
      <c r="C977" s="4"/>
      <c r="D977" s="4"/>
      <c r="E977" s="4"/>
    </row>
    <row r="978" spans="1:5" x14ac:dyDescent="0.25">
      <c r="A978" s="4">
        <v>977</v>
      </c>
      <c r="B978" s="4"/>
      <c r="C978" s="4"/>
      <c r="D978" s="4"/>
      <c r="E978" s="4"/>
    </row>
    <row r="979" spans="1:5" x14ac:dyDescent="0.25">
      <c r="A979" s="4">
        <v>978</v>
      </c>
      <c r="B979" s="4"/>
      <c r="C979" s="4"/>
      <c r="D979" s="4"/>
      <c r="E979" s="4"/>
    </row>
    <row r="980" spans="1:5" x14ac:dyDescent="0.25">
      <c r="A980" s="4">
        <v>979</v>
      </c>
      <c r="B980" s="4"/>
      <c r="C980" s="4"/>
      <c r="D980" s="4"/>
      <c r="E980" s="4"/>
    </row>
    <row r="981" spans="1:5" x14ac:dyDescent="0.25">
      <c r="A981" s="4">
        <v>980</v>
      </c>
      <c r="B981" s="4"/>
      <c r="C981" s="4"/>
      <c r="D981" s="4"/>
      <c r="E981" s="4"/>
    </row>
    <row r="982" spans="1:5" x14ac:dyDescent="0.25">
      <c r="A982" s="4">
        <v>981</v>
      </c>
      <c r="B982" s="4"/>
      <c r="C982" s="4"/>
      <c r="D982" s="4"/>
      <c r="E982" s="4"/>
    </row>
    <row r="983" spans="1:5" x14ac:dyDescent="0.25">
      <c r="A983" s="4">
        <v>982</v>
      </c>
      <c r="B983" s="4"/>
      <c r="C983" s="4"/>
      <c r="D983" s="4"/>
      <c r="E983" s="4"/>
    </row>
    <row r="984" spans="1:5" x14ac:dyDescent="0.25">
      <c r="A984" s="4">
        <v>983</v>
      </c>
      <c r="B984" s="4"/>
      <c r="C984" s="4"/>
      <c r="D984" s="4"/>
      <c r="E984" s="4"/>
    </row>
    <row r="985" spans="1:5" x14ac:dyDescent="0.25">
      <c r="A985" s="4">
        <v>984</v>
      </c>
      <c r="B985" s="4"/>
      <c r="C985" s="4"/>
      <c r="D985" s="4"/>
      <c r="E985" s="4"/>
    </row>
    <row r="986" spans="1:5" x14ac:dyDescent="0.25">
      <c r="A986" s="4">
        <v>985</v>
      </c>
      <c r="B986" s="4"/>
      <c r="C986" s="4"/>
      <c r="D986" s="4"/>
      <c r="E986" s="4"/>
    </row>
    <row r="987" spans="1:5" x14ac:dyDescent="0.25">
      <c r="A987" s="4">
        <v>986</v>
      </c>
      <c r="B987" s="4"/>
      <c r="C987" s="4"/>
      <c r="D987" s="4"/>
      <c r="E987" s="4"/>
    </row>
    <row r="988" spans="1:5" x14ac:dyDescent="0.25">
      <c r="A988" s="4">
        <v>987</v>
      </c>
      <c r="B988" s="4"/>
      <c r="C988" s="4"/>
      <c r="D988" s="4"/>
      <c r="E988" s="4"/>
    </row>
    <row r="989" spans="1:5" x14ac:dyDescent="0.25">
      <c r="A989" s="4">
        <v>988</v>
      </c>
      <c r="B989" s="4"/>
      <c r="C989" s="4"/>
      <c r="D989" s="4"/>
      <c r="E989" s="4"/>
    </row>
    <row r="990" spans="1:5" x14ac:dyDescent="0.25">
      <c r="A990" s="4">
        <v>989</v>
      </c>
      <c r="B990" s="4"/>
      <c r="C990" s="4"/>
      <c r="D990" s="4"/>
      <c r="E990" s="4"/>
    </row>
    <row r="991" spans="1:5" x14ac:dyDescent="0.25">
      <c r="A991" s="4">
        <v>990</v>
      </c>
      <c r="B991" s="4"/>
      <c r="C991" s="4"/>
      <c r="D991" s="4"/>
      <c r="E991" s="4"/>
    </row>
    <row r="992" spans="1:5" x14ac:dyDescent="0.25">
      <c r="A992" s="4">
        <v>991</v>
      </c>
      <c r="B992" s="4"/>
      <c r="C992" s="4"/>
      <c r="D992" s="4"/>
      <c r="E992" s="4"/>
    </row>
    <row r="993" spans="1:5" x14ac:dyDescent="0.25">
      <c r="A993" s="4">
        <v>992</v>
      </c>
      <c r="B993" s="4"/>
      <c r="C993" s="4"/>
      <c r="D993" s="4"/>
      <c r="E993" s="4"/>
    </row>
    <row r="994" spans="1:5" x14ac:dyDescent="0.25">
      <c r="A994" s="4">
        <v>993</v>
      </c>
      <c r="B994" s="4"/>
      <c r="C994" s="4"/>
      <c r="D994" s="4"/>
      <c r="E994" s="4"/>
    </row>
    <row r="995" spans="1:5" x14ac:dyDescent="0.25">
      <c r="A995" s="4">
        <v>994</v>
      </c>
      <c r="B995" s="4"/>
      <c r="C995" s="4"/>
      <c r="D995" s="4"/>
      <c r="E995" s="4"/>
    </row>
    <row r="996" spans="1:5" x14ac:dyDescent="0.25">
      <c r="A996" s="4">
        <v>995</v>
      </c>
      <c r="B996" s="4"/>
      <c r="C996" s="4"/>
      <c r="D996" s="4"/>
      <c r="E996" s="4"/>
    </row>
    <row r="997" spans="1:5" x14ac:dyDescent="0.25">
      <c r="A997" s="4">
        <v>996</v>
      </c>
      <c r="B997" s="4"/>
      <c r="C997" s="4"/>
      <c r="D997" s="4"/>
      <c r="E997" s="4"/>
    </row>
    <row r="998" spans="1:5" x14ac:dyDescent="0.25">
      <c r="A998" s="4">
        <v>997</v>
      </c>
      <c r="B998" s="4"/>
      <c r="C998" s="4"/>
      <c r="D998" s="4"/>
      <c r="E998" s="4"/>
    </row>
    <row r="999" spans="1:5" x14ac:dyDescent="0.25">
      <c r="A999" s="4">
        <v>998</v>
      </c>
      <c r="B999" s="4"/>
      <c r="C999" s="4"/>
      <c r="D999" s="4"/>
      <c r="E999" s="4"/>
    </row>
    <row r="1000" spans="1:5" x14ac:dyDescent="0.25">
      <c r="A1000" s="4">
        <v>999</v>
      </c>
      <c r="B1000" s="4"/>
      <c r="C1000" s="4"/>
      <c r="D1000" s="4"/>
      <c r="E1000" s="4"/>
    </row>
    <row r="1001" spans="1:5" x14ac:dyDescent="0.25">
      <c r="A1001" s="4">
        <v>1000</v>
      </c>
      <c r="B1001" s="4"/>
      <c r="C1001" s="4"/>
      <c r="D1001" s="4"/>
      <c r="E100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0539-689B-457D-A813-31268C2C47CA}">
  <dimension ref="A1:J1001"/>
  <sheetViews>
    <sheetView workbookViewId="0"/>
  </sheetViews>
  <sheetFormatPr defaultRowHeight="15" x14ac:dyDescent="0.25"/>
  <cols>
    <col min="1" max="1" width="5" bestFit="1" customWidth="1"/>
    <col min="2" max="2" width="12.28515625" customWidth="1"/>
    <col min="3" max="3" width="9.7109375" bestFit="1" customWidth="1"/>
    <col min="4" max="4" width="3.7109375" bestFit="1" customWidth="1"/>
    <col min="5" max="5" width="5.85546875" bestFit="1" customWidth="1"/>
    <col min="6" max="6" width="18.5703125" bestFit="1" customWidth="1"/>
    <col min="9" max="9" width="5.42578125" bestFit="1" customWidth="1"/>
    <col min="10" max="10" width="5" bestFit="1" customWidth="1"/>
  </cols>
  <sheetData>
    <row r="1" spans="1:10" x14ac:dyDescent="0.25">
      <c r="A1" s="4" t="s">
        <v>963</v>
      </c>
      <c r="B1" s="4" t="s">
        <v>969</v>
      </c>
      <c r="C1" s="4" t="s">
        <v>953</v>
      </c>
      <c r="D1" s="4" t="s">
        <v>964</v>
      </c>
      <c r="E1" s="4" t="s">
        <v>965</v>
      </c>
      <c r="F1" s="4" t="s">
        <v>967</v>
      </c>
      <c r="I1" t="s">
        <v>962</v>
      </c>
      <c r="J1">
        <f>SUM(E:E)</f>
        <v>3330</v>
      </c>
    </row>
    <row r="2" spans="1:10" x14ac:dyDescent="0.25">
      <c r="A2" s="4">
        <v>1</v>
      </c>
      <c r="B2" s="4" t="s">
        <v>970</v>
      </c>
      <c r="C2" s="5">
        <v>45645</v>
      </c>
      <c r="D2" s="4">
        <v>4</v>
      </c>
      <c r="E2" s="4">
        <v>3330</v>
      </c>
      <c r="F2" s="4" t="s">
        <v>968</v>
      </c>
    </row>
    <row r="3" spans="1:10" x14ac:dyDescent="0.25">
      <c r="A3" s="4">
        <v>2</v>
      </c>
      <c r="B3" s="4"/>
      <c r="C3" s="4"/>
      <c r="D3" s="4"/>
      <c r="E3" s="4"/>
      <c r="F3" s="4"/>
    </row>
    <row r="4" spans="1:10" x14ac:dyDescent="0.25">
      <c r="A4" s="4">
        <v>3</v>
      </c>
      <c r="B4" s="4"/>
      <c r="C4" s="4"/>
      <c r="D4" s="4"/>
      <c r="E4" s="4"/>
      <c r="F4" s="4"/>
    </row>
    <row r="5" spans="1:10" x14ac:dyDescent="0.25">
      <c r="A5" s="4">
        <v>4</v>
      </c>
      <c r="B5" s="4"/>
      <c r="C5" s="4"/>
      <c r="D5" s="4"/>
      <c r="E5" s="4"/>
      <c r="F5" s="4"/>
    </row>
    <row r="6" spans="1:10" x14ac:dyDescent="0.25">
      <c r="A6" s="4">
        <v>5</v>
      </c>
      <c r="B6" s="4"/>
      <c r="C6" s="4"/>
      <c r="D6" s="4"/>
      <c r="E6" s="4"/>
      <c r="F6" s="4"/>
    </row>
    <row r="7" spans="1:10" x14ac:dyDescent="0.25">
      <c r="A7" s="4">
        <v>6</v>
      </c>
      <c r="B7" s="4"/>
      <c r="C7" s="4"/>
      <c r="D7" s="4"/>
      <c r="E7" s="4"/>
      <c r="F7" s="4"/>
    </row>
    <row r="8" spans="1:10" x14ac:dyDescent="0.25">
      <c r="A8" s="4">
        <v>7</v>
      </c>
      <c r="B8" s="4"/>
      <c r="C8" s="4"/>
      <c r="D8" s="4"/>
      <c r="E8" s="4"/>
      <c r="F8" s="4"/>
    </row>
    <row r="9" spans="1:10" x14ac:dyDescent="0.25">
      <c r="A9" s="4">
        <v>8</v>
      </c>
      <c r="B9" s="4"/>
      <c r="C9" s="4"/>
      <c r="D9" s="4"/>
      <c r="E9" s="4"/>
      <c r="F9" s="4"/>
    </row>
    <row r="10" spans="1:10" x14ac:dyDescent="0.25">
      <c r="A10" s="4">
        <v>9</v>
      </c>
      <c r="B10" s="4"/>
      <c r="C10" s="4"/>
      <c r="D10" s="4"/>
      <c r="E10" s="4"/>
      <c r="F10" s="4"/>
    </row>
    <row r="11" spans="1:10" x14ac:dyDescent="0.25">
      <c r="A11" s="4">
        <v>10</v>
      </c>
      <c r="B11" s="4"/>
      <c r="C11" s="4"/>
      <c r="D11" s="4"/>
      <c r="E11" s="4"/>
      <c r="F11" s="4"/>
    </row>
    <row r="12" spans="1:10" x14ac:dyDescent="0.25">
      <c r="A12" s="4">
        <v>11</v>
      </c>
      <c r="B12" s="4"/>
      <c r="C12" s="4"/>
      <c r="D12" s="4"/>
      <c r="E12" s="4"/>
      <c r="F12" s="4"/>
    </row>
    <row r="13" spans="1:10" x14ac:dyDescent="0.25">
      <c r="A13" s="4">
        <v>12</v>
      </c>
      <c r="B13" s="4"/>
      <c r="C13" s="4"/>
      <c r="D13" s="4"/>
      <c r="E13" s="4"/>
      <c r="F13" s="4"/>
    </row>
    <row r="14" spans="1:10" x14ac:dyDescent="0.25">
      <c r="A14" s="4">
        <v>13</v>
      </c>
      <c r="B14" s="4"/>
      <c r="C14" s="4"/>
      <c r="D14" s="4"/>
      <c r="E14" s="4"/>
      <c r="F14" s="4"/>
    </row>
    <row r="15" spans="1:10" x14ac:dyDescent="0.25">
      <c r="A15" s="4">
        <v>14</v>
      </c>
      <c r="B15" s="4"/>
      <c r="C15" s="4"/>
      <c r="D15" s="4"/>
      <c r="E15" s="4"/>
      <c r="F15" s="4"/>
    </row>
    <row r="16" spans="1:10" x14ac:dyDescent="0.25">
      <c r="A16" s="4">
        <v>15</v>
      </c>
      <c r="B16" s="4"/>
      <c r="C16" s="4"/>
      <c r="D16" s="4"/>
      <c r="E16" s="4"/>
      <c r="F16" s="4"/>
    </row>
    <row r="17" spans="1:6" x14ac:dyDescent="0.25">
      <c r="A17" s="4">
        <v>16</v>
      </c>
      <c r="B17" s="4"/>
      <c r="C17" s="4"/>
      <c r="D17" s="4"/>
      <c r="E17" s="4"/>
      <c r="F17" s="4"/>
    </row>
    <row r="18" spans="1:6" x14ac:dyDescent="0.25">
      <c r="A18" s="4">
        <v>17</v>
      </c>
      <c r="B18" s="4"/>
      <c r="C18" s="4"/>
      <c r="D18" s="4"/>
      <c r="E18" s="4"/>
      <c r="F18" s="4"/>
    </row>
    <row r="19" spans="1:6" x14ac:dyDescent="0.25">
      <c r="A19" s="4">
        <v>18</v>
      </c>
      <c r="B19" s="4"/>
      <c r="C19" s="4"/>
      <c r="D19" s="4"/>
      <c r="E19" s="4"/>
      <c r="F19" s="4"/>
    </row>
    <row r="20" spans="1:6" x14ac:dyDescent="0.25">
      <c r="A20" s="4">
        <v>19</v>
      </c>
      <c r="B20" s="4"/>
      <c r="C20" s="4"/>
      <c r="D20" s="4"/>
      <c r="E20" s="4"/>
      <c r="F20" s="4"/>
    </row>
    <row r="21" spans="1:6" x14ac:dyDescent="0.25">
      <c r="A21" s="4">
        <v>20</v>
      </c>
      <c r="B21" s="4"/>
      <c r="C21" s="4"/>
      <c r="D21" s="4"/>
      <c r="E21" s="4"/>
      <c r="F21" s="4"/>
    </row>
    <row r="22" spans="1:6" x14ac:dyDescent="0.25">
      <c r="A22" s="4">
        <v>21</v>
      </c>
      <c r="B22" s="4"/>
      <c r="C22" s="4"/>
      <c r="D22" s="4"/>
      <c r="E22" s="4"/>
      <c r="F22" s="4"/>
    </row>
    <row r="23" spans="1:6" x14ac:dyDescent="0.25">
      <c r="A23" s="4">
        <v>22</v>
      </c>
      <c r="B23" s="4"/>
      <c r="C23" s="4"/>
      <c r="D23" s="4"/>
      <c r="E23" s="4"/>
      <c r="F23" s="4"/>
    </row>
    <row r="24" spans="1:6" x14ac:dyDescent="0.25">
      <c r="A24" s="4">
        <v>23</v>
      </c>
      <c r="B24" s="4"/>
      <c r="C24" s="4"/>
      <c r="D24" s="4"/>
      <c r="E24" s="4"/>
      <c r="F24" s="4"/>
    </row>
    <row r="25" spans="1:6" x14ac:dyDescent="0.25">
      <c r="A25" s="4">
        <v>24</v>
      </c>
      <c r="B25" s="4"/>
      <c r="C25" s="4"/>
      <c r="D25" s="4"/>
      <c r="E25" s="4"/>
      <c r="F25" s="4"/>
    </row>
    <row r="26" spans="1:6" x14ac:dyDescent="0.25">
      <c r="A26" s="4">
        <v>25</v>
      </c>
      <c r="B26" s="4"/>
      <c r="C26" s="4"/>
      <c r="D26" s="4"/>
      <c r="E26" s="4"/>
      <c r="F26" s="4"/>
    </row>
    <row r="27" spans="1:6" x14ac:dyDescent="0.25">
      <c r="A27" s="4">
        <v>26</v>
      </c>
      <c r="B27" s="4"/>
      <c r="C27" s="4"/>
      <c r="D27" s="4"/>
      <c r="E27" s="4"/>
      <c r="F27" s="4"/>
    </row>
    <row r="28" spans="1:6" x14ac:dyDescent="0.25">
      <c r="A28" s="4">
        <v>27</v>
      </c>
      <c r="B28" s="4"/>
      <c r="C28" s="4"/>
      <c r="D28" s="4"/>
      <c r="E28" s="4"/>
      <c r="F28" s="4"/>
    </row>
    <row r="29" spans="1:6" x14ac:dyDescent="0.25">
      <c r="A29" s="4">
        <v>28</v>
      </c>
      <c r="B29" s="4"/>
      <c r="C29" s="4"/>
      <c r="D29" s="4"/>
      <c r="E29" s="4"/>
      <c r="F29" s="4"/>
    </row>
    <row r="30" spans="1:6" x14ac:dyDescent="0.25">
      <c r="A30" s="4">
        <v>29</v>
      </c>
      <c r="B30" s="4"/>
      <c r="C30" s="4"/>
      <c r="D30" s="4"/>
      <c r="E30" s="4"/>
      <c r="F30" s="4"/>
    </row>
    <row r="31" spans="1:6" x14ac:dyDescent="0.25">
      <c r="A31" s="4">
        <v>30</v>
      </c>
      <c r="B31" s="4"/>
      <c r="C31" s="4"/>
      <c r="D31" s="4"/>
      <c r="E31" s="4"/>
      <c r="F31" s="4"/>
    </row>
    <row r="32" spans="1:6" x14ac:dyDescent="0.25">
      <c r="A32" s="4">
        <v>31</v>
      </c>
      <c r="B32" s="4"/>
      <c r="C32" s="4"/>
      <c r="D32" s="4"/>
      <c r="E32" s="4"/>
      <c r="F32" s="4"/>
    </row>
    <row r="33" spans="1:6" x14ac:dyDescent="0.25">
      <c r="A33" s="4">
        <v>32</v>
      </c>
      <c r="B33" s="4"/>
      <c r="C33" s="4"/>
      <c r="D33" s="4"/>
      <c r="E33" s="4"/>
      <c r="F33" s="4"/>
    </row>
    <row r="34" spans="1:6" x14ac:dyDescent="0.25">
      <c r="A34" s="4">
        <v>33</v>
      </c>
      <c r="B34" s="4"/>
      <c r="C34" s="4"/>
      <c r="D34" s="4"/>
      <c r="E34" s="4"/>
      <c r="F34" s="4"/>
    </row>
    <row r="35" spans="1:6" x14ac:dyDescent="0.25">
      <c r="A35" s="4">
        <v>34</v>
      </c>
      <c r="B35" s="4"/>
      <c r="C35" s="4"/>
      <c r="D35" s="4"/>
      <c r="E35" s="4"/>
      <c r="F35" s="4"/>
    </row>
    <row r="36" spans="1:6" x14ac:dyDescent="0.25">
      <c r="A36" s="4">
        <v>35</v>
      </c>
      <c r="B36" s="4"/>
      <c r="C36" s="4"/>
      <c r="D36" s="4"/>
      <c r="E36" s="4"/>
      <c r="F36" s="4"/>
    </row>
    <row r="37" spans="1:6" x14ac:dyDescent="0.25">
      <c r="A37" s="4">
        <v>36</v>
      </c>
      <c r="B37" s="4"/>
      <c r="C37" s="4"/>
      <c r="D37" s="4"/>
      <c r="E37" s="4"/>
      <c r="F37" s="4"/>
    </row>
    <row r="38" spans="1:6" x14ac:dyDescent="0.25">
      <c r="A38" s="4">
        <v>37</v>
      </c>
      <c r="B38" s="4"/>
      <c r="C38" s="4"/>
      <c r="D38" s="4"/>
      <c r="E38" s="4"/>
      <c r="F38" s="4"/>
    </row>
    <row r="39" spans="1:6" x14ac:dyDescent="0.25">
      <c r="A39" s="4">
        <v>38</v>
      </c>
      <c r="B39" s="4"/>
      <c r="C39" s="4"/>
      <c r="D39" s="4"/>
      <c r="E39" s="4"/>
      <c r="F39" s="4"/>
    </row>
    <row r="40" spans="1:6" x14ac:dyDescent="0.25">
      <c r="A40" s="4">
        <v>39</v>
      </c>
      <c r="B40" s="4"/>
      <c r="C40" s="4"/>
      <c r="D40" s="4"/>
      <c r="E40" s="4"/>
      <c r="F40" s="4"/>
    </row>
    <row r="41" spans="1:6" x14ac:dyDescent="0.25">
      <c r="A41" s="4">
        <v>40</v>
      </c>
      <c r="B41" s="4"/>
      <c r="C41" s="4"/>
      <c r="D41" s="4"/>
      <c r="E41" s="4"/>
      <c r="F41" s="4"/>
    </row>
    <row r="42" spans="1:6" x14ac:dyDescent="0.25">
      <c r="A42" s="4">
        <v>41</v>
      </c>
      <c r="B42" s="4"/>
      <c r="C42" s="4"/>
      <c r="D42" s="4"/>
      <c r="E42" s="4"/>
      <c r="F42" s="4"/>
    </row>
    <row r="43" spans="1:6" x14ac:dyDescent="0.25">
      <c r="A43" s="4">
        <v>42</v>
      </c>
      <c r="B43" s="4"/>
      <c r="C43" s="4"/>
      <c r="D43" s="4"/>
      <c r="E43" s="4"/>
      <c r="F43" s="4"/>
    </row>
    <row r="44" spans="1:6" x14ac:dyDescent="0.25">
      <c r="A44" s="4">
        <v>43</v>
      </c>
      <c r="B44" s="4"/>
      <c r="C44" s="4"/>
      <c r="D44" s="4"/>
      <c r="E44" s="4"/>
      <c r="F44" s="4"/>
    </row>
    <row r="45" spans="1:6" x14ac:dyDescent="0.25">
      <c r="A45" s="4">
        <v>44</v>
      </c>
      <c r="B45" s="4"/>
      <c r="C45" s="4"/>
      <c r="D45" s="4"/>
      <c r="E45" s="4"/>
      <c r="F45" s="4"/>
    </row>
    <row r="46" spans="1:6" x14ac:dyDescent="0.25">
      <c r="A46" s="4">
        <v>45</v>
      </c>
      <c r="B46" s="4"/>
      <c r="C46" s="4"/>
      <c r="D46" s="4"/>
      <c r="E46" s="4"/>
      <c r="F46" s="4"/>
    </row>
    <row r="47" spans="1:6" x14ac:dyDescent="0.25">
      <c r="A47" s="4">
        <v>46</v>
      </c>
      <c r="B47" s="4"/>
      <c r="C47" s="4"/>
      <c r="D47" s="4"/>
      <c r="E47" s="4"/>
      <c r="F47" s="4"/>
    </row>
    <row r="48" spans="1:6" x14ac:dyDescent="0.25">
      <c r="A48" s="4">
        <v>47</v>
      </c>
      <c r="B48" s="4"/>
      <c r="C48" s="4"/>
      <c r="D48" s="4"/>
      <c r="E48" s="4"/>
      <c r="F48" s="4"/>
    </row>
    <row r="49" spans="1:6" x14ac:dyDescent="0.25">
      <c r="A49" s="4">
        <v>48</v>
      </c>
      <c r="B49" s="4"/>
      <c r="C49" s="4"/>
      <c r="D49" s="4"/>
      <c r="E49" s="4"/>
      <c r="F49" s="4"/>
    </row>
    <row r="50" spans="1:6" x14ac:dyDescent="0.25">
      <c r="A50" s="4">
        <v>49</v>
      </c>
      <c r="B50" s="4"/>
      <c r="C50" s="4"/>
      <c r="D50" s="4"/>
      <c r="E50" s="4"/>
      <c r="F50" s="4"/>
    </row>
    <row r="51" spans="1:6" x14ac:dyDescent="0.25">
      <c r="A51" s="4">
        <v>50</v>
      </c>
      <c r="B51" s="4"/>
      <c r="C51" s="4"/>
      <c r="D51" s="4"/>
      <c r="E51" s="4"/>
      <c r="F51" s="4"/>
    </row>
    <row r="52" spans="1:6" x14ac:dyDescent="0.25">
      <c r="A52" s="4">
        <v>51</v>
      </c>
      <c r="B52" s="4"/>
      <c r="C52" s="4"/>
      <c r="D52" s="4"/>
      <c r="E52" s="4"/>
      <c r="F52" s="4"/>
    </row>
    <row r="53" spans="1:6" x14ac:dyDescent="0.25">
      <c r="A53" s="4">
        <v>52</v>
      </c>
      <c r="B53" s="4"/>
      <c r="C53" s="4"/>
      <c r="D53" s="4"/>
      <c r="E53" s="4"/>
      <c r="F53" s="4"/>
    </row>
    <row r="54" spans="1:6" x14ac:dyDescent="0.25">
      <c r="A54" s="4">
        <v>53</v>
      </c>
      <c r="B54" s="4"/>
      <c r="C54" s="4"/>
      <c r="D54" s="4"/>
      <c r="E54" s="4"/>
      <c r="F54" s="4"/>
    </row>
    <row r="55" spans="1:6" x14ac:dyDescent="0.25">
      <c r="A55" s="4">
        <v>54</v>
      </c>
      <c r="B55" s="4"/>
      <c r="C55" s="4"/>
      <c r="D55" s="4"/>
      <c r="E55" s="4"/>
      <c r="F55" s="4"/>
    </row>
    <row r="56" spans="1:6" x14ac:dyDescent="0.25">
      <c r="A56" s="4">
        <v>55</v>
      </c>
      <c r="B56" s="4"/>
      <c r="C56" s="4"/>
      <c r="D56" s="4"/>
      <c r="E56" s="4"/>
      <c r="F56" s="4"/>
    </row>
    <row r="57" spans="1:6" x14ac:dyDescent="0.25">
      <c r="A57" s="4">
        <v>56</v>
      </c>
      <c r="B57" s="4"/>
      <c r="C57" s="4"/>
      <c r="D57" s="4"/>
      <c r="E57" s="4"/>
      <c r="F57" s="4"/>
    </row>
    <row r="58" spans="1:6" x14ac:dyDescent="0.25">
      <c r="A58" s="4">
        <v>57</v>
      </c>
      <c r="B58" s="4"/>
      <c r="C58" s="4"/>
      <c r="D58" s="4"/>
      <c r="E58" s="4"/>
      <c r="F58" s="4"/>
    </row>
    <row r="59" spans="1:6" x14ac:dyDescent="0.25">
      <c r="A59" s="4">
        <v>58</v>
      </c>
      <c r="B59" s="4"/>
      <c r="C59" s="4"/>
      <c r="D59" s="4"/>
      <c r="E59" s="4"/>
      <c r="F59" s="4"/>
    </row>
    <row r="60" spans="1:6" x14ac:dyDescent="0.25">
      <c r="A60" s="4">
        <v>59</v>
      </c>
      <c r="B60" s="4"/>
      <c r="C60" s="4"/>
      <c r="D60" s="4"/>
      <c r="E60" s="4"/>
      <c r="F60" s="4"/>
    </row>
    <row r="61" spans="1:6" x14ac:dyDescent="0.25">
      <c r="A61" s="4">
        <v>60</v>
      </c>
      <c r="B61" s="4"/>
      <c r="C61" s="4"/>
      <c r="D61" s="4"/>
      <c r="E61" s="4"/>
      <c r="F61" s="4"/>
    </row>
    <row r="62" spans="1:6" x14ac:dyDescent="0.25">
      <c r="A62" s="4">
        <v>61</v>
      </c>
      <c r="B62" s="4"/>
      <c r="C62" s="4"/>
      <c r="D62" s="4"/>
      <c r="E62" s="4"/>
      <c r="F62" s="4"/>
    </row>
    <row r="63" spans="1:6" x14ac:dyDescent="0.25">
      <c r="A63" s="4">
        <v>62</v>
      </c>
      <c r="B63" s="4"/>
      <c r="C63" s="4"/>
      <c r="D63" s="4"/>
      <c r="E63" s="4"/>
      <c r="F63" s="4"/>
    </row>
    <row r="64" spans="1:6" x14ac:dyDescent="0.25">
      <c r="A64" s="4">
        <v>63</v>
      </c>
      <c r="B64" s="4"/>
      <c r="C64" s="4"/>
      <c r="D64" s="4"/>
      <c r="E64" s="4"/>
      <c r="F64" s="4"/>
    </row>
    <row r="65" spans="1:6" x14ac:dyDescent="0.25">
      <c r="A65" s="4">
        <v>64</v>
      </c>
      <c r="B65" s="4"/>
      <c r="C65" s="4"/>
      <c r="D65" s="4"/>
      <c r="E65" s="4"/>
      <c r="F65" s="4"/>
    </row>
    <row r="66" spans="1:6" x14ac:dyDescent="0.25">
      <c r="A66" s="4">
        <v>65</v>
      </c>
      <c r="B66" s="4"/>
      <c r="C66" s="4"/>
      <c r="D66" s="4"/>
      <c r="E66" s="4"/>
      <c r="F66" s="4"/>
    </row>
    <row r="67" spans="1:6" x14ac:dyDescent="0.25">
      <c r="A67" s="4">
        <v>66</v>
      </c>
      <c r="B67" s="4"/>
      <c r="C67" s="4"/>
      <c r="D67" s="4"/>
      <c r="E67" s="4"/>
      <c r="F67" s="4"/>
    </row>
    <row r="68" spans="1:6" x14ac:dyDescent="0.25">
      <c r="A68" s="4">
        <v>67</v>
      </c>
      <c r="B68" s="4"/>
      <c r="C68" s="4"/>
      <c r="D68" s="4"/>
      <c r="E68" s="4"/>
      <c r="F68" s="4"/>
    </row>
    <row r="69" spans="1:6" x14ac:dyDescent="0.25">
      <c r="A69" s="4">
        <v>68</v>
      </c>
      <c r="B69" s="4"/>
      <c r="C69" s="4"/>
      <c r="D69" s="4"/>
      <c r="E69" s="4"/>
      <c r="F69" s="4"/>
    </row>
    <row r="70" spans="1:6" x14ac:dyDescent="0.25">
      <c r="A70" s="4">
        <v>69</v>
      </c>
      <c r="B70" s="4"/>
      <c r="C70" s="4"/>
      <c r="D70" s="4"/>
      <c r="E70" s="4"/>
      <c r="F70" s="4"/>
    </row>
    <row r="71" spans="1:6" x14ac:dyDescent="0.25">
      <c r="A71" s="4">
        <v>70</v>
      </c>
      <c r="B71" s="4"/>
      <c r="C71" s="4"/>
      <c r="D71" s="4"/>
      <c r="E71" s="4"/>
      <c r="F71" s="4"/>
    </row>
    <row r="72" spans="1:6" x14ac:dyDescent="0.25">
      <c r="A72" s="4">
        <v>71</v>
      </c>
      <c r="B72" s="4"/>
      <c r="C72" s="4"/>
      <c r="D72" s="4"/>
      <c r="E72" s="4"/>
      <c r="F72" s="4"/>
    </row>
    <row r="73" spans="1:6" x14ac:dyDescent="0.25">
      <c r="A73" s="4">
        <v>72</v>
      </c>
      <c r="B73" s="4"/>
      <c r="C73" s="4"/>
      <c r="D73" s="4"/>
      <c r="E73" s="4"/>
      <c r="F73" s="4"/>
    </row>
    <row r="74" spans="1:6" x14ac:dyDescent="0.25">
      <c r="A74" s="4">
        <v>73</v>
      </c>
      <c r="B74" s="4"/>
      <c r="C74" s="4"/>
      <c r="D74" s="4"/>
      <c r="E74" s="4"/>
      <c r="F74" s="4"/>
    </row>
    <row r="75" spans="1:6" x14ac:dyDescent="0.25">
      <c r="A75" s="4">
        <v>74</v>
      </c>
      <c r="B75" s="4"/>
      <c r="C75" s="4"/>
      <c r="D75" s="4"/>
      <c r="E75" s="4"/>
      <c r="F75" s="4"/>
    </row>
    <row r="76" spans="1:6" x14ac:dyDescent="0.25">
      <c r="A76" s="4">
        <v>75</v>
      </c>
      <c r="B76" s="4"/>
      <c r="C76" s="4"/>
      <c r="D76" s="4"/>
      <c r="E76" s="4"/>
      <c r="F76" s="4"/>
    </row>
    <row r="77" spans="1:6" x14ac:dyDescent="0.25">
      <c r="A77" s="4">
        <v>76</v>
      </c>
      <c r="B77" s="4"/>
      <c r="C77" s="4"/>
      <c r="D77" s="4"/>
      <c r="E77" s="4"/>
      <c r="F77" s="4"/>
    </row>
    <row r="78" spans="1:6" x14ac:dyDescent="0.25">
      <c r="A78" s="4">
        <v>77</v>
      </c>
      <c r="B78" s="4"/>
      <c r="C78" s="4"/>
      <c r="D78" s="4"/>
      <c r="E78" s="4"/>
      <c r="F78" s="4"/>
    </row>
    <row r="79" spans="1:6" x14ac:dyDescent="0.25">
      <c r="A79" s="4">
        <v>78</v>
      </c>
      <c r="B79" s="4"/>
      <c r="C79" s="4"/>
      <c r="D79" s="4"/>
      <c r="E79" s="4"/>
      <c r="F79" s="4"/>
    </row>
    <row r="80" spans="1:6" x14ac:dyDescent="0.25">
      <c r="A80" s="4">
        <v>79</v>
      </c>
      <c r="B80" s="4"/>
      <c r="C80" s="4"/>
      <c r="D80" s="4"/>
      <c r="E80" s="4"/>
      <c r="F80" s="4"/>
    </row>
    <row r="81" spans="1:6" x14ac:dyDescent="0.25">
      <c r="A81" s="4">
        <v>80</v>
      </c>
      <c r="B81" s="4"/>
      <c r="C81" s="4"/>
      <c r="D81" s="4"/>
      <c r="E81" s="4"/>
      <c r="F81" s="4"/>
    </row>
    <row r="82" spans="1:6" x14ac:dyDescent="0.25">
      <c r="A82" s="4">
        <v>81</v>
      </c>
      <c r="B82" s="4"/>
      <c r="C82" s="4"/>
      <c r="D82" s="4"/>
      <c r="E82" s="4"/>
      <c r="F82" s="4"/>
    </row>
    <row r="83" spans="1:6" x14ac:dyDescent="0.25">
      <c r="A83" s="4">
        <v>82</v>
      </c>
      <c r="B83" s="4"/>
      <c r="C83" s="4"/>
      <c r="D83" s="4"/>
      <c r="E83" s="4"/>
      <c r="F83" s="4"/>
    </row>
    <row r="84" spans="1:6" x14ac:dyDescent="0.25">
      <c r="A84" s="4">
        <v>83</v>
      </c>
      <c r="B84" s="4"/>
      <c r="C84" s="4"/>
      <c r="D84" s="4"/>
      <c r="E84" s="4"/>
      <c r="F84" s="4"/>
    </row>
    <row r="85" spans="1:6" x14ac:dyDescent="0.25">
      <c r="A85" s="4">
        <v>84</v>
      </c>
      <c r="B85" s="4"/>
      <c r="C85" s="4"/>
      <c r="D85" s="4"/>
      <c r="E85" s="4"/>
      <c r="F85" s="4"/>
    </row>
    <row r="86" spans="1:6" x14ac:dyDescent="0.25">
      <c r="A86" s="4">
        <v>85</v>
      </c>
      <c r="B86" s="4"/>
      <c r="C86" s="4"/>
      <c r="D86" s="4"/>
      <c r="E86" s="4"/>
      <c r="F86" s="4"/>
    </row>
    <row r="87" spans="1:6" x14ac:dyDescent="0.25">
      <c r="A87" s="4">
        <v>86</v>
      </c>
      <c r="B87" s="4"/>
      <c r="C87" s="4"/>
      <c r="D87" s="4"/>
      <c r="E87" s="4"/>
      <c r="F87" s="4"/>
    </row>
    <row r="88" spans="1:6" x14ac:dyDescent="0.25">
      <c r="A88" s="4">
        <v>87</v>
      </c>
      <c r="B88" s="4"/>
      <c r="C88" s="4"/>
      <c r="D88" s="4"/>
      <c r="E88" s="4"/>
      <c r="F88" s="4"/>
    </row>
    <row r="89" spans="1:6" x14ac:dyDescent="0.25">
      <c r="A89" s="4">
        <v>88</v>
      </c>
      <c r="B89" s="4"/>
      <c r="C89" s="4"/>
      <c r="D89" s="4"/>
      <c r="E89" s="4"/>
      <c r="F89" s="4"/>
    </row>
    <row r="90" spans="1:6" x14ac:dyDescent="0.25">
      <c r="A90" s="4">
        <v>89</v>
      </c>
      <c r="B90" s="4"/>
      <c r="C90" s="4"/>
      <c r="D90" s="4"/>
      <c r="E90" s="4"/>
      <c r="F90" s="4"/>
    </row>
    <row r="91" spans="1:6" x14ac:dyDescent="0.25">
      <c r="A91" s="4">
        <v>90</v>
      </c>
      <c r="B91" s="4"/>
      <c r="C91" s="4"/>
      <c r="D91" s="4"/>
      <c r="E91" s="4"/>
      <c r="F91" s="4"/>
    </row>
    <row r="92" spans="1:6" x14ac:dyDescent="0.25">
      <c r="A92" s="4">
        <v>91</v>
      </c>
      <c r="B92" s="4"/>
      <c r="C92" s="4"/>
      <c r="D92" s="4"/>
      <c r="E92" s="4"/>
      <c r="F92" s="4"/>
    </row>
    <row r="93" spans="1:6" x14ac:dyDescent="0.25">
      <c r="A93" s="4">
        <v>92</v>
      </c>
      <c r="B93" s="4"/>
      <c r="C93" s="4"/>
      <c r="D93" s="4"/>
      <c r="E93" s="4"/>
      <c r="F93" s="4"/>
    </row>
    <row r="94" spans="1:6" x14ac:dyDescent="0.25">
      <c r="A94" s="4">
        <v>93</v>
      </c>
      <c r="B94" s="4"/>
      <c r="C94" s="4"/>
      <c r="D94" s="4"/>
      <c r="E94" s="4"/>
      <c r="F94" s="4"/>
    </row>
    <row r="95" spans="1:6" x14ac:dyDescent="0.25">
      <c r="A95" s="4">
        <v>94</v>
      </c>
      <c r="B95" s="4"/>
      <c r="C95" s="4"/>
      <c r="D95" s="4"/>
      <c r="E95" s="4"/>
      <c r="F95" s="4"/>
    </row>
    <row r="96" spans="1:6" x14ac:dyDescent="0.25">
      <c r="A96" s="4">
        <v>95</v>
      </c>
      <c r="B96" s="4"/>
      <c r="C96" s="4"/>
      <c r="D96" s="4"/>
      <c r="E96" s="4"/>
      <c r="F96" s="4"/>
    </row>
    <row r="97" spans="1:6" x14ac:dyDescent="0.25">
      <c r="A97" s="4">
        <v>96</v>
      </c>
      <c r="B97" s="4"/>
      <c r="C97" s="4"/>
      <c r="D97" s="4"/>
      <c r="E97" s="4"/>
      <c r="F97" s="4"/>
    </row>
    <row r="98" spans="1:6" x14ac:dyDescent="0.25">
      <c r="A98" s="4">
        <v>97</v>
      </c>
      <c r="B98" s="4"/>
      <c r="C98" s="4"/>
      <c r="D98" s="4"/>
      <c r="E98" s="4"/>
      <c r="F98" s="4"/>
    </row>
    <row r="99" spans="1:6" x14ac:dyDescent="0.25">
      <c r="A99" s="4">
        <v>98</v>
      </c>
      <c r="B99" s="4"/>
      <c r="C99" s="4"/>
      <c r="D99" s="4"/>
      <c r="E99" s="4"/>
      <c r="F99" s="4"/>
    </row>
    <row r="100" spans="1:6" x14ac:dyDescent="0.25">
      <c r="A100" s="4">
        <v>99</v>
      </c>
      <c r="B100" s="4"/>
      <c r="C100" s="4"/>
      <c r="D100" s="4"/>
      <c r="E100" s="4"/>
      <c r="F100" s="4"/>
    </row>
    <row r="101" spans="1:6" x14ac:dyDescent="0.25">
      <c r="A101" s="4">
        <v>100</v>
      </c>
      <c r="B101" s="4"/>
      <c r="C101" s="4"/>
      <c r="D101" s="4"/>
      <c r="E101" s="4"/>
      <c r="F101" s="4"/>
    </row>
    <row r="102" spans="1:6" x14ac:dyDescent="0.25">
      <c r="A102" s="4">
        <v>101</v>
      </c>
      <c r="B102" s="4"/>
      <c r="C102" s="4"/>
      <c r="D102" s="4"/>
      <c r="E102" s="4"/>
      <c r="F102" s="4"/>
    </row>
    <row r="103" spans="1:6" x14ac:dyDescent="0.25">
      <c r="A103" s="4">
        <v>102</v>
      </c>
      <c r="B103" s="4"/>
      <c r="C103" s="4"/>
      <c r="D103" s="4"/>
      <c r="E103" s="4"/>
      <c r="F103" s="4"/>
    </row>
    <row r="104" spans="1:6" x14ac:dyDescent="0.25">
      <c r="A104" s="4">
        <v>103</v>
      </c>
      <c r="B104" s="4"/>
      <c r="C104" s="4"/>
      <c r="D104" s="4"/>
      <c r="E104" s="4"/>
      <c r="F104" s="4"/>
    </row>
    <row r="105" spans="1:6" x14ac:dyDescent="0.25">
      <c r="A105" s="4">
        <v>104</v>
      </c>
      <c r="B105" s="4"/>
      <c r="C105" s="4"/>
      <c r="D105" s="4"/>
      <c r="E105" s="4"/>
      <c r="F105" s="4"/>
    </row>
    <row r="106" spans="1:6" x14ac:dyDescent="0.25">
      <c r="A106" s="4">
        <v>105</v>
      </c>
      <c r="B106" s="4"/>
      <c r="C106" s="4"/>
      <c r="D106" s="4"/>
      <c r="E106" s="4"/>
      <c r="F106" s="4"/>
    </row>
    <row r="107" spans="1:6" x14ac:dyDescent="0.25">
      <c r="A107" s="4">
        <v>106</v>
      </c>
      <c r="B107" s="4"/>
      <c r="C107" s="4"/>
      <c r="D107" s="4"/>
      <c r="E107" s="4"/>
      <c r="F107" s="4"/>
    </row>
    <row r="108" spans="1:6" x14ac:dyDescent="0.25">
      <c r="A108" s="4">
        <v>107</v>
      </c>
      <c r="B108" s="4"/>
      <c r="C108" s="4"/>
      <c r="D108" s="4"/>
      <c r="E108" s="4"/>
      <c r="F108" s="4"/>
    </row>
    <row r="109" spans="1:6" x14ac:dyDescent="0.25">
      <c r="A109" s="4">
        <v>108</v>
      </c>
      <c r="B109" s="4"/>
      <c r="C109" s="4"/>
      <c r="D109" s="4"/>
      <c r="E109" s="4"/>
      <c r="F109" s="4"/>
    </row>
    <row r="110" spans="1:6" x14ac:dyDescent="0.25">
      <c r="A110" s="4">
        <v>109</v>
      </c>
      <c r="B110" s="4"/>
      <c r="C110" s="4"/>
      <c r="D110" s="4"/>
      <c r="E110" s="4"/>
      <c r="F110" s="4"/>
    </row>
    <row r="111" spans="1:6" x14ac:dyDescent="0.25">
      <c r="A111" s="4">
        <v>110</v>
      </c>
      <c r="B111" s="4"/>
      <c r="C111" s="4"/>
      <c r="D111" s="4"/>
      <c r="E111" s="4"/>
      <c r="F111" s="4"/>
    </row>
    <row r="112" spans="1:6" x14ac:dyDescent="0.25">
      <c r="A112" s="4">
        <v>111</v>
      </c>
      <c r="B112" s="4"/>
      <c r="C112" s="4"/>
      <c r="D112" s="4"/>
      <c r="E112" s="4"/>
      <c r="F112" s="4"/>
    </row>
    <row r="113" spans="1:6" x14ac:dyDescent="0.25">
      <c r="A113" s="4">
        <v>112</v>
      </c>
      <c r="B113" s="4"/>
      <c r="C113" s="4"/>
      <c r="D113" s="4"/>
      <c r="E113" s="4"/>
      <c r="F113" s="4"/>
    </row>
    <row r="114" spans="1:6" x14ac:dyDescent="0.25">
      <c r="A114" s="4">
        <v>113</v>
      </c>
      <c r="B114" s="4"/>
      <c r="C114" s="4"/>
      <c r="D114" s="4"/>
      <c r="E114" s="4"/>
      <c r="F114" s="4"/>
    </row>
    <row r="115" spans="1:6" x14ac:dyDescent="0.25">
      <c r="A115" s="4">
        <v>114</v>
      </c>
      <c r="B115" s="4"/>
      <c r="C115" s="4"/>
      <c r="D115" s="4"/>
      <c r="E115" s="4"/>
      <c r="F115" s="4"/>
    </row>
    <row r="116" spans="1:6" x14ac:dyDescent="0.25">
      <c r="A116" s="4">
        <v>115</v>
      </c>
      <c r="B116" s="4"/>
      <c r="C116" s="4"/>
      <c r="D116" s="4"/>
      <c r="E116" s="4"/>
      <c r="F116" s="4"/>
    </row>
    <row r="117" spans="1:6" x14ac:dyDescent="0.25">
      <c r="A117" s="4">
        <v>116</v>
      </c>
      <c r="B117" s="4"/>
      <c r="C117" s="4"/>
      <c r="D117" s="4"/>
      <c r="E117" s="4"/>
      <c r="F117" s="4"/>
    </row>
    <row r="118" spans="1:6" x14ac:dyDescent="0.25">
      <c r="A118" s="4">
        <v>117</v>
      </c>
      <c r="B118" s="4"/>
      <c r="C118" s="4"/>
      <c r="D118" s="4"/>
      <c r="E118" s="4"/>
      <c r="F118" s="4"/>
    </row>
    <row r="119" spans="1:6" x14ac:dyDescent="0.25">
      <c r="A119" s="4">
        <v>118</v>
      </c>
      <c r="B119" s="4"/>
      <c r="C119" s="4"/>
      <c r="D119" s="4"/>
      <c r="E119" s="4"/>
      <c r="F119" s="4"/>
    </row>
    <row r="120" spans="1:6" x14ac:dyDescent="0.25">
      <c r="A120" s="4">
        <v>119</v>
      </c>
      <c r="B120" s="4"/>
      <c r="C120" s="4"/>
      <c r="D120" s="4"/>
      <c r="E120" s="4"/>
      <c r="F120" s="4"/>
    </row>
    <row r="121" spans="1:6" x14ac:dyDescent="0.25">
      <c r="A121" s="4">
        <v>120</v>
      </c>
      <c r="B121" s="4"/>
      <c r="C121" s="4"/>
      <c r="D121" s="4"/>
      <c r="E121" s="4"/>
      <c r="F121" s="4"/>
    </row>
    <row r="122" spans="1:6" x14ac:dyDescent="0.25">
      <c r="A122" s="4">
        <v>121</v>
      </c>
      <c r="B122" s="4"/>
      <c r="C122" s="4"/>
      <c r="D122" s="4"/>
      <c r="E122" s="4"/>
      <c r="F122" s="4"/>
    </row>
    <row r="123" spans="1:6" x14ac:dyDescent="0.25">
      <c r="A123" s="4">
        <v>122</v>
      </c>
      <c r="B123" s="4"/>
      <c r="C123" s="4"/>
      <c r="D123" s="4"/>
      <c r="E123" s="4"/>
      <c r="F123" s="4"/>
    </row>
    <row r="124" spans="1:6" x14ac:dyDescent="0.25">
      <c r="A124" s="4">
        <v>123</v>
      </c>
      <c r="B124" s="4"/>
      <c r="C124" s="4"/>
      <c r="D124" s="4"/>
      <c r="E124" s="4"/>
      <c r="F124" s="4"/>
    </row>
    <row r="125" spans="1:6" x14ac:dyDescent="0.25">
      <c r="A125" s="4">
        <v>124</v>
      </c>
      <c r="B125" s="4"/>
      <c r="C125" s="4"/>
      <c r="D125" s="4"/>
      <c r="E125" s="4"/>
      <c r="F125" s="4"/>
    </row>
    <row r="126" spans="1:6" x14ac:dyDescent="0.25">
      <c r="A126" s="4">
        <v>125</v>
      </c>
      <c r="B126" s="4"/>
      <c r="C126" s="4"/>
      <c r="D126" s="4"/>
      <c r="E126" s="4"/>
      <c r="F126" s="4"/>
    </row>
    <row r="127" spans="1:6" x14ac:dyDescent="0.25">
      <c r="A127" s="4">
        <v>126</v>
      </c>
      <c r="B127" s="4"/>
      <c r="C127" s="4"/>
      <c r="D127" s="4"/>
      <c r="E127" s="4"/>
      <c r="F127" s="4"/>
    </row>
    <row r="128" spans="1:6" x14ac:dyDescent="0.25">
      <c r="A128" s="4">
        <v>127</v>
      </c>
      <c r="B128" s="4"/>
      <c r="C128" s="4"/>
      <c r="D128" s="4"/>
      <c r="E128" s="4"/>
      <c r="F128" s="4"/>
    </row>
    <row r="129" spans="1:6" x14ac:dyDescent="0.25">
      <c r="A129" s="4">
        <v>128</v>
      </c>
      <c r="B129" s="4"/>
      <c r="C129" s="4"/>
      <c r="D129" s="4"/>
      <c r="E129" s="4"/>
      <c r="F129" s="4"/>
    </row>
    <row r="130" spans="1:6" x14ac:dyDescent="0.25">
      <c r="A130" s="4">
        <v>129</v>
      </c>
      <c r="B130" s="4"/>
      <c r="C130" s="4"/>
      <c r="D130" s="4"/>
      <c r="E130" s="4"/>
      <c r="F130" s="4"/>
    </row>
    <row r="131" spans="1:6" x14ac:dyDescent="0.25">
      <c r="A131" s="4">
        <v>130</v>
      </c>
      <c r="B131" s="4"/>
      <c r="C131" s="4"/>
      <c r="D131" s="4"/>
      <c r="E131" s="4"/>
      <c r="F131" s="4"/>
    </row>
    <row r="132" spans="1:6" x14ac:dyDescent="0.25">
      <c r="A132" s="4">
        <v>131</v>
      </c>
      <c r="B132" s="4"/>
      <c r="C132" s="4"/>
      <c r="D132" s="4"/>
      <c r="E132" s="4"/>
      <c r="F132" s="4"/>
    </row>
    <row r="133" spans="1:6" x14ac:dyDescent="0.25">
      <c r="A133" s="4">
        <v>132</v>
      </c>
      <c r="B133" s="4"/>
      <c r="C133" s="4"/>
      <c r="D133" s="4"/>
      <c r="E133" s="4"/>
      <c r="F133" s="4"/>
    </row>
    <row r="134" spans="1:6" x14ac:dyDescent="0.25">
      <c r="A134" s="4">
        <v>133</v>
      </c>
      <c r="B134" s="4"/>
      <c r="C134" s="4"/>
      <c r="D134" s="4"/>
      <c r="E134" s="4"/>
      <c r="F134" s="4"/>
    </row>
    <row r="135" spans="1:6" x14ac:dyDescent="0.25">
      <c r="A135" s="4">
        <v>134</v>
      </c>
      <c r="B135" s="4"/>
      <c r="C135" s="4"/>
      <c r="D135" s="4"/>
      <c r="E135" s="4"/>
      <c r="F135" s="4"/>
    </row>
    <row r="136" spans="1:6" x14ac:dyDescent="0.25">
      <c r="A136" s="4">
        <v>135</v>
      </c>
      <c r="B136" s="4"/>
      <c r="C136" s="4"/>
      <c r="D136" s="4"/>
      <c r="E136" s="4"/>
      <c r="F136" s="4"/>
    </row>
    <row r="137" spans="1:6" x14ac:dyDescent="0.25">
      <c r="A137" s="4">
        <v>136</v>
      </c>
      <c r="B137" s="4"/>
      <c r="C137" s="4"/>
      <c r="D137" s="4"/>
      <c r="E137" s="4"/>
      <c r="F137" s="4"/>
    </row>
    <row r="138" spans="1:6" x14ac:dyDescent="0.25">
      <c r="A138" s="4">
        <v>137</v>
      </c>
      <c r="B138" s="4"/>
      <c r="C138" s="4"/>
      <c r="D138" s="4"/>
      <c r="E138" s="4"/>
      <c r="F138" s="4"/>
    </row>
    <row r="139" spans="1:6" x14ac:dyDescent="0.25">
      <c r="A139" s="4">
        <v>138</v>
      </c>
      <c r="B139" s="4"/>
      <c r="C139" s="4"/>
      <c r="D139" s="4"/>
      <c r="E139" s="4"/>
      <c r="F139" s="4"/>
    </row>
    <row r="140" spans="1:6" x14ac:dyDescent="0.25">
      <c r="A140" s="4">
        <v>139</v>
      </c>
      <c r="B140" s="4"/>
      <c r="C140" s="4"/>
      <c r="D140" s="4"/>
      <c r="E140" s="4"/>
      <c r="F140" s="4"/>
    </row>
    <row r="141" spans="1:6" x14ac:dyDescent="0.25">
      <c r="A141" s="4">
        <v>140</v>
      </c>
      <c r="B141" s="4"/>
      <c r="C141" s="4"/>
      <c r="D141" s="4"/>
      <c r="E141" s="4"/>
      <c r="F141" s="4"/>
    </row>
    <row r="142" spans="1:6" x14ac:dyDescent="0.25">
      <c r="A142" s="4">
        <v>141</v>
      </c>
      <c r="B142" s="4"/>
      <c r="C142" s="4"/>
      <c r="D142" s="4"/>
      <c r="E142" s="4"/>
      <c r="F142" s="4"/>
    </row>
    <row r="143" spans="1:6" x14ac:dyDescent="0.25">
      <c r="A143" s="4">
        <v>142</v>
      </c>
      <c r="B143" s="4"/>
      <c r="C143" s="4"/>
      <c r="D143" s="4"/>
      <c r="E143" s="4"/>
      <c r="F143" s="4"/>
    </row>
    <row r="144" spans="1:6" x14ac:dyDescent="0.25">
      <c r="A144" s="4">
        <v>143</v>
      </c>
      <c r="B144" s="4"/>
      <c r="C144" s="4"/>
      <c r="D144" s="4"/>
      <c r="E144" s="4"/>
      <c r="F144" s="4"/>
    </row>
    <row r="145" spans="1:6" x14ac:dyDescent="0.25">
      <c r="A145" s="4">
        <v>144</v>
      </c>
      <c r="B145" s="4"/>
      <c r="C145" s="4"/>
      <c r="D145" s="4"/>
      <c r="E145" s="4"/>
      <c r="F145" s="4"/>
    </row>
    <row r="146" spans="1:6" x14ac:dyDescent="0.25">
      <c r="A146" s="4">
        <v>145</v>
      </c>
      <c r="B146" s="4"/>
      <c r="C146" s="4"/>
      <c r="D146" s="4"/>
      <c r="E146" s="4"/>
      <c r="F146" s="4"/>
    </row>
    <row r="147" spans="1:6" x14ac:dyDescent="0.25">
      <c r="A147" s="4">
        <v>146</v>
      </c>
      <c r="B147" s="4"/>
      <c r="C147" s="4"/>
      <c r="D147" s="4"/>
      <c r="E147" s="4"/>
      <c r="F147" s="4"/>
    </row>
    <row r="148" spans="1:6" x14ac:dyDescent="0.25">
      <c r="A148" s="4">
        <v>147</v>
      </c>
      <c r="B148" s="4"/>
      <c r="C148" s="4"/>
      <c r="D148" s="4"/>
      <c r="E148" s="4"/>
      <c r="F148" s="4"/>
    </row>
    <row r="149" spans="1:6" x14ac:dyDescent="0.25">
      <c r="A149" s="4">
        <v>148</v>
      </c>
      <c r="B149" s="4"/>
      <c r="C149" s="4"/>
      <c r="D149" s="4"/>
      <c r="E149" s="4"/>
      <c r="F149" s="4"/>
    </row>
    <row r="150" spans="1:6" x14ac:dyDescent="0.25">
      <c r="A150" s="4">
        <v>149</v>
      </c>
      <c r="B150" s="4"/>
      <c r="C150" s="4"/>
      <c r="D150" s="4"/>
      <c r="E150" s="4"/>
      <c r="F150" s="4"/>
    </row>
    <row r="151" spans="1:6" x14ac:dyDescent="0.25">
      <c r="A151" s="4">
        <v>150</v>
      </c>
      <c r="B151" s="4"/>
      <c r="C151" s="4"/>
      <c r="D151" s="4"/>
      <c r="E151" s="4"/>
      <c r="F151" s="4"/>
    </row>
    <row r="152" spans="1:6" x14ac:dyDescent="0.25">
      <c r="A152" s="4">
        <v>151</v>
      </c>
      <c r="B152" s="4"/>
      <c r="C152" s="4"/>
      <c r="D152" s="4"/>
      <c r="E152" s="4"/>
      <c r="F152" s="4"/>
    </row>
    <row r="153" spans="1:6" x14ac:dyDescent="0.25">
      <c r="A153" s="4">
        <v>152</v>
      </c>
      <c r="B153" s="4"/>
      <c r="C153" s="4"/>
      <c r="D153" s="4"/>
      <c r="E153" s="4"/>
      <c r="F153" s="4"/>
    </row>
    <row r="154" spans="1:6" x14ac:dyDescent="0.25">
      <c r="A154" s="4">
        <v>153</v>
      </c>
      <c r="B154" s="4"/>
      <c r="C154" s="4"/>
      <c r="D154" s="4"/>
      <c r="E154" s="4"/>
      <c r="F154" s="4"/>
    </row>
    <row r="155" spans="1:6" x14ac:dyDescent="0.25">
      <c r="A155" s="4">
        <v>154</v>
      </c>
      <c r="B155" s="4"/>
      <c r="C155" s="4"/>
      <c r="D155" s="4"/>
      <c r="E155" s="4"/>
      <c r="F155" s="4"/>
    </row>
    <row r="156" spans="1:6" x14ac:dyDescent="0.25">
      <c r="A156" s="4">
        <v>155</v>
      </c>
      <c r="B156" s="4"/>
      <c r="C156" s="4"/>
      <c r="D156" s="4"/>
      <c r="E156" s="4"/>
      <c r="F156" s="4"/>
    </row>
    <row r="157" spans="1:6" x14ac:dyDescent="0.25">
      <c r="A157" s="4">
        <v>156</v>
      </c>
      <c r="B157" s="4"/>
      <c r="C157" s="4"/>
      <c r="D157" s="4"/>
      <c r="E157" s="4"/>
      <c r="F157" s="4"/>
    </row>
    <row r="158" spans="1:6" x14ac:dyDescent="0.25">
      <c r="A158" s="4">
        <v>157</v>
      </c>
      <c r="B158" s="4"/>
      <c r="C158" s="4"/>
      <c r="D158" s="4"/>
      <c r="E158" s="4"/>
      <c r="F158" s="4"/>
    </row>
    <row r="159" spans="1:6" x14ac:dyDescent="0.25">
      <c r="A159" s="4">
        <v>158</v>
      </c>
      <c r="B159" s="4"/>
      <c r="C159" s="4"/>
      <c r="D159" s="4"/>
      <c r="E159" s="4"/>
      <c r="F159" s="4"/>
    </row>
    <row r="160" spans="1:6" x14ac:dyDescent="0.25">
      <c r="A160" s="4">
        <v>159</v>
      </c>
      <c r="B160" s="4"/>
      <c r="C160" s="4"/>
      <c r="D160" s="4"/>
      <c r="E160" s="4"/>
      <c r="F160" s="4"/>
    </row>
    <row r="161" spans="1:6" x14ac:dyDescent="0.25">
      <c r="A161" s="4">
        <v>160</v>
      </c>
      <c r="B161" s="4"/>
      <c r="C161" s="4"/>
      <c r="D161" s="4"/>
      <c r="E161" s="4"/>
      <c r="F161" s="4"/>
    </row>
    <row r="162" spans="1:6" x14ac:dyDescent="0.25">
      <c r="A162" s="4">
        <v>161</v>
      </c>
      <c r="B162" s="4"/>
      <c r="C162" s="4"/>
      <c r="D162" s="4"/>
      <c r="E162" s="4"/>
      <c r="F162" s="4"/>
    </row>
    <row r="163" spans="1:6" x14ac:dyDescent="0.25">
      <c r="A163" s="4">
        <v>162</v>
      </c>
      <c r="B163" s="4"/>
      <c r="C163" s="4"/>
      <c r="D163" s="4"/>
      <c r="E163" s="4"/>
      <c r="F163" s="4"/>
    </row>
    <row r="164" spans="1:6" x14ac:dyDescent="0.25">
      <c r="A164" s="4">
        <v>163</v>
      </c>
      <c r="B164" s="4"/>
      <c r="C164" s="4"/>
      <c r="D164" s="4"/>
      <c r="E164" s="4"/>
      <c r="F164" s="4"/>
    </row>
    <row r="165" spans="1:6" x14ac:dyDescent="0.25">
      <c r="A165" s="4">
        <v>164</v>
      </c>
      <c r="B165" s="4"/>
      <c r="C165" s="4"/>
      <c r="D165" s="4"/>
      <c r="E165" s="4"/>
      <c r="F165" s="4"/>
    </row>
    <row r="166" spans="1:6" x14ac:dyDescent="0.25">
      <c r="A166" s="4">
        <v>165</v>
      </c>
      <c r="B166" s="4"/>
      <c r="C166" s="4"/>
      <c r="D166" s="4"/>
      <c r="E166" s="4"/>
      <c r="F166" s="4"/>
    </row>
    <row r="167" spans="1:6" x14ac:dyDescent="0.25">
      <c r="A167" s="4">
        <v>166</v>
      </c>
      <c r="B167" s="4"/>
      <c r="C167" s="4"/>
      <c r="D167" s="4"/>
      <c r="E167" s="4"/>
      <c r="F167" s="4"/>
    </row>
    <row r="168" spans="1:6" x14ac:dyDescent="0.25">
      <c r="A168" s="4">
        <v>167</v>
      </c>
      <c r="B168" s="4"/>
      <c r="C168" s="4"/>
      <c r="D168" s="4"/>
      <c r="E168" s="4"/>
      <c r="F168" s="4"/>
    </row>
    <row r="169" spans="1:6" x14ac:dyDescent="0.25">
      <c r="A169" s="4">
        <v>168</v>
      </c>
      <c r="B169" s="4"/>
      <c r="C169" s="4"/>
      <c r="D169" s="4"/>
      <c r="E169" s="4"/>
      <c r="F169" s="4"/>
    </row>
    <row r="170" spans="1:6" x14ac:dyDescent="0.25">
      <c r="A170" s="4">
        <v>169</v>
      </c>
      <c r="B170" s="4"/>
      <c r="C170" s="4"/>
      <c r="D170" s="4"/>
      <c r="E170" s="4"/>
      <c r="F170" s="4"/>
    </row>
    <row r="171" spans="1:6" x14ac:dyDescent="0.25">
      <c r="A171" s="4">
        <v>170</v>
      </c>
      <c r="B171" s="4"/>
      <c r="C171" s="4"/>
      <c r="D171" s="4"/>
      <c r="E171" s="4"/>
      <c r="F171" s="4"/>
    </row>
    <row r="172" spans="1:6" x14ac:dyDescent="0.25">
      <c r="A172" s="4">
        <v>171</v>
      </c>
      <c r="B172" s="4"/>
      <c r="C172" s="4"/>
      <c r="D172" s="4"/>
      <c r="E172" s="4"/>
      <c r="F172" s="4"/>
    </row>
    <row r="173" spans="1:6" x14ac:dyDescent="0.25">
      <c r="A173" s="4">
        <v>172</v>
      </c>
      <c r="B173" s="4"/>
      <c r="C173" s="4"/>
      <c r="D173" s="4"/>
      <c r="E173" s="4"/>
      <c r="F173" s="4"/>
    </row>
    <row r="174" spans="1:6" x14ac:dyDescent="0.25">
      <c r="A174" s="4">
        <v>173</v>
      </c>
      <c r="B174" s="4"/>
      <c r="C174" s="4"/>
      <c r="D174" s="4"/>
      <c r="E174" s="4"/>
      <c r="F174" s="4"/>
    </row>
    <row r="175" spans="1:6" x14ac:dyDescent="0.25">
      <c r="A175" s="4">
        <v>174</v>
      </c>
      <c r="B175" s="4"/>
      <c r="C175" s="4"/>
      <c r="D175" s="4"/>
      <c r="E175" s="4"/>
      <c r="F175" s="4"/>
    </row>
    <row r="176" spans="1:6" x14ac:dyDescent="0.25">
      <c r="A176" s="4">
        <v>175</v>
      </c>
      <c r="B176" s="4"/>
      <c r="C176" s="4"/>
      <c r="D176" s="4"/>
      <c r="E176" s="4"/>
      <c r="F176" s="4"/>
    </row>
    <row r="177" spans="1:6" x14ac:dyDescent="0.25">
      <c r="A177" s="4">
        <v>176</v>
      </c>
      <c r="B177" s="4"/>
      <c r="C177" s="4"/>
      <c r="D177" s="4"/>
      <c r="E177" s="4"/>
      <c r="F177" s="4"/>
    </row>
    <row r="178" spans="1:6" x14ac:dyDescent="0.25">
      <c r="A178" s="4">
        <v>177</v>
      </c>
      <c r="B178" s="4"/>
      <c r="C178" s="4"/>
      <c r="D178" s="4"/>
      <c r="E178" s="4"/>
      <c r="F178" s="4"/>
    </row>
    <row r="179" spans="1:6" x14ac:dyDescent="0.25">
      <c r="A179" s="4">
        <v>178</v>
      </c>
      <c r="B179" s="4"/>
      <c r="C179" s="4"/>
      <c r="D179" s="4"/>
      <c r="E179" s="4"/>
      <c r="F179" s="4"/>
    </row>
    <row r="180" spans="1:6" x14ac:dyDescent="0.25">
      <c r="A180" s="4">
        <v>179</v>
      </c>
      <c r="B180" s="4"/>
      <c r="C180" s="4"/>
      <c r="D180" s="4"/>
      <c r="E180" s="4"/>
      <c r="F180" s="4"/>
    </row>
    <row r="181" spans="1:6" x14ac:dyDescent="0.25">
      <c r="A181" s="4">
        <v>180</v>
      </c>
      <c r="B181" s="4"/>
      <c r="C181" s="4"/>
      <c r="D181" s="4"/>
      <c r="E181" s="4"/>
      <c r="F181" s="4"/>
    </row>
    <row r="182" spans="1:6" x14ac:dyDescent="0.25">
      <c r="A182" s="4">
        <v>181</v>
      </c>
      <c r="B182" s="4"/>
      <c r="C182" s="4"/>
      <c r="D182" s="4"/>
      <c r="E182" s="4"/>
      <c r="F182" s="4"/>
    </row>
    <row r="183" spans="1:6" x14ac:dyDescent="0.25">
      <c r="A183" s="4">
        <v>182</v>
      </c>
      <c r="B183" s="4"/>
      <c r="C183" s="4"/>
      <c r="D183" s="4"/>
      <c r="E183" s="4"/>
      <c r="F183" s="4"/>
    </row>
    <row r="184" spans="1:6" x14ac:dyDescent="0.25">
      <c r="A184" s="4">
        <v>183</v>
      </c>
      <c r="B184" s="4"/>
      <c r="C184" s="4"/>
      <c r="D184" s="4"/>
      <c r="E184" s="4"/>
      <c r="F184" s="4"/>
    </row>
    <row r="185" spans="1:6" x14ac:dyDescent="0.25">
      <c r="A185" s="4">
        <v>184</v>
      </c>
      <c r="B185" s="4"/>
      <c r="C185" s="4"/>
      <c r="D185" s="4"/>
      <c r="E185" s="4"/>
      <c r="F185" s="4"/>
    </row>
    <row r="186" spans="1:6" x14ac:dyDescent="0.25">
      <c r="A186" s="4">
        <v>185</v>
      </c>
      <c r="B186" s="4"/>
      <c r="C186" s="4"/>
      <c r="D186" s="4"/>
      <c r="E186" s="4"/>
      <c r="F186" s="4"/>
    </row>
    <row r="187" spans="1:6" x14ac:dyDescent="0.25">
      <c r="A187" s="4">
        <v>186</v>
      </c>
      <c r="B187" s="4"/>
      <c r="C187" s="4"/>
      <c r="D187" s="4"/>
      <c r="E187" s="4"/>
      <c r="F187" s="4"/>
    </row>
    <row r="188" spans="1:6" x14ac:dyDescent="0.25">
      <c r="A188" s="4">
        <v>187</v>
      </c>
      <c r="B188" s="4"/>
      <c r="C188" s="4"/>
      <c r="D188" s="4"/>
      <c r="E188" s="4"/>
      <c r="F188" s="4"/>
    </row>
    <row r="189" spans="1:6" x14ac:dyDescent="0.25">
      <c r="A189" s="4">
        <v>188</v>
      </c>
      <c r="B189" s="4"/>
      <c r="C189" s="4"/>
      <c r="D189" s="4"/>
      <c r="E189" s="4"/>
      <c r="F189" s="4"/>
    </row>
    <row r="190" spans="1:6" x14ac:dyDescent="0.25">
      <c r="A190" s="4">
        <v>189</v>
      </c>
      <c r="B190" s="4"/>
      <c r="C190" s="4"/>
      <c r="D190" s="4"/>
      <c r="E190" s="4"/>
      <c r="F190" s="4"/>
    </row>
    <row r="191" spans="1:6" x14ac:dyDescent="0.25">
      <c r="A191" s="4">
        <v>190</v>
      </c>
      <c r="B191" s="4"/>
      <c r="C191" s="4"/>
      <c r="D191" s="4"/>
      <c r="E191" s="4"/>
      <c r="F191" s="4"/>
    </row>
    <row r="192" spans="1:6" x14ac:dyDescent="0.25">
      <c r="A192" s="4">
        <v>191</v>
      </c>
      <c r="B192" s="4"/>
      <c r="C192" s="4"/>
      <c r="D192" s="4"/>
      <c r="E192" s="4"/>
      <c r="F192" s="4"/>
    </row>
    <row r="193" spans="1:6" x14ac:dyDescent="0.25">
      <c r="A193" s="4">
        <v>192</v>
      </c>
      <c r="B193" s="4"/>
      <c r="C193" s="4"/>
      <c r="D193" s="4"/>
      <c r="E193" s="4"/>
      <c r="F193" s="4"/>
    </row>
    <row r="194" spans="1:6" x14ac:dyDescent="0.25">
      <c r="A194" s="4">
        <v>193</v>
      </c>
      <c r="B194" s="4"/>
      <c r="C194" s="4"/>
      <c r="D194" s="4"/>
      <c r="E194" s="4"/>
      <c r="F194" s="4"/>
    </row>
    <row r="195" spans="1:6" x14ac:dyDescent="0.25">
      <c r="A195" s="4">
        <v>194</v>
      </c>
      <c r="B195" s="4"/>
      <c r="C195" s="4"/>
      <c r="D195" s="4"/>
      <c r="E195" s="4"/>
      <c r="F195" s="4"/>
    </row>
    <row r="196" spans="1:6" x14ac:dyDescent="0.25">
      <c r="A196" s="4">
        <v>195</v>
      </c>
      <c r="B196" s="4"/>
      <c r="C196" s="4"/>
      <c r="D196" s="4"/>
      <c r="E196" s="4"/>
      <c r="F196" s="4"/>
    </row>
    <row r="197" spans="1:6" x14ac:dyDescent="0.25">
      <c r="A197" s="4">
        <v>196</v>
      </c>
      <c r="B197" s="4"/>
      <c r="C197" s="4"/>
      <c r="D197" s="4"/>
      <c r="E197" s="4"/>
      <c r="F197" s="4"/>
    </row>
    <row r="198" spans="1:6" x14ac:dyDescent="0.25">
      <c r="A198" s="4">
        <v>197</v>
      </c>
      <c r="B198" s="4"/>
      <c r="C198" s="4"/>
      <c r="D198" s="4"/>
      <c r="E198" s="4"/>
      <c r="F198" s="4"/>
    </row>
    <row r="199" spans="1:6" x14ac:dyDescent="0.25">
      <c r="A199" s="4">
        <v>198</v>
      </c>
      <c r="B199" s="4"/>
      <c r="C199" s="4"/>
      <c r="D199" s="4"/>
      <c r="E199" s="4"/>
      <c r="F199" s="4"/>
    </row>
    <row r="200" spans="1:6" x14ac:dyDescent="0.25">
      <c r="A200" s="4">
        <v>199</v>
      </c>
      <c r="B200" s="4"/>
      <c r="C200" s="4"/>
      <c r="D200" s="4"/>
      <c r="E200" s="4"/>
      <c r="F200" s="4"/>
    </row>
    <row r="201" spans="1:6" x14ac:dyDescent="0.25">
      <c r="A201" s="4">
        <v>200</v>
      </c>
      <c r="B201" s="4"/>
      <c r="C201" s="4"/>
      <c r="D201" s="4"/>
      <c r="E201" s="4"/>
      <c r="F201" s="4"/>
    </row>
    <row r="202" spans="1:6" x14ac:dyDescent="0.25">
      <c r="A202" s="4">
        <v>201</v>
      </c>
      <c r="B202" s="4"/>
      <c r="C202" s="4"/>
      <c r="D202" s="4"/>
      <c r="E202" s="4"/>
      <c r="F202" s="4"/>
    </row>
    <row r="203" spans="1:6" x14ac:dyDescent="0.25">
      <c r="A203" s="4">
        <v>202</v>
      </c>
      <c r="B203" s="4"/>
      <c r="C203" s="4"/>
      <c r="D203" s="4"/>
      <c r="E203" s="4"/>
      <c r="F203" s="4"/>
    </row>
    <row r="204" spans="1:6" x14ac:dyDescent="0.25">
      <c r="A204" s="4">
        <v>203</v>
      </c>
      <c r="B204" s="4"/>
      <c r="C204" s="4"/>
      <c r="D204" s="4"/>
      <c r="E204" s="4"/>
      <c r="F204" s="4"/>
    </row>
    <row r="205" spans="1:6" x14ac:dyDescent="0.25">
      <c r="A205" s="4">
        <v>204</v>
      </c>
      <c r="B205" s="4"/>
      <c r="C205" s="4"/>
      <c r="D205" s="4"/>
      <c r="E205" s="4"/>
      <c r="F205" s="4"/>
    </row>
    <row r="206" spans="1:6" x14ac:dyDescent="0.25">
      <c r="A206" s="4">
        <v>205</v>
      </c>
      <c r="B206" s="4"/>
      <c r="C206" s="4"/>
      <c r="D206" s="4"/>
      <c r="E206" s="4"/>
      <c r="F206" s="4"/>
    </row>
    <row r="207" spans="1:6" x14ac:dyDescent="0.25">
      <c r="A207" s="4">
        <v>206</v>
      </c>
      <c r="B207" s="4"/>
      <c r="C207" s="4"/>
      <c r="D207" s="4"/>
      <c r="E207" s="4"/>
      <c r="F207" s="4"/>
    </row>
    <row r="208" spans="1:6" x14ac:dyDescent="0.25">
      <c r="A208" s="4">
        <v>207</v>
      </c>
      <c r="B208" s="4"/>
      <c r="C208" s="4"/>
      <c r="D208" s="4"/>
      <c r="E208" s="4"/>
      <c r="F208" s="4"/>
    </row>
    <row r="209" spans="1:6" x14ac:dyDescent="0.25">
      <c r="A209" s="4">
        <v>208</v>
      </c>
      <c r="B209" s="4"/>
      <c r="C209" s="4"/>
      <c r="D209" s="4"/>
      <c r="E209" s="4"/>
      <c r="F209" s="4"/>
    </row>
    <row r="210" spans="1:6" x14ac:dyDescent="0.25">
      <c r="A210" s="4">
        <v>209</v>
      </c>
      <c r="B210" s="4"/>
      <c r="C210" s="4"/>
      <c r="D210" s="4"/>
      <c r="E210" s="4"/>
      <c r="F210" s="4"/>
    </row>
    <row r="211" spans="1:6" x14ac:dyDescent="0.25">
      <c r="A211" s="4">
        <v>210</v>
      </c>
      <c r="B211" s="4"/>
      <c r="C211" s="4"/>
      <c r="D211" s="4"/>
      <c r="E211" s="4"/>
      <c r="F211" s="4"/>
    </row>
    <row r="212" spans="1:6" x14ac:dyDescent="0.25">
      <c r="A212" s="4">
        <v>211</v>
      </c>
      <c r="B212" s="4"/>
      <c r="C212" s="4"/>
      <c r="D212" s="4"/>
      <c r="E212" s="4"/>
      <c r="F212" s="4"/>
    </row>
    <row r="213" spans="1:6" x14ac:dyDescent="0.25">
      <c r="A213" s="4">
        <v>212</v>
      </c>
      <c r="B213" s="4"/>
      <c r="C213" s="4"/>
      <c r="D213" s="4"/>
      <c r="E213" s="4"/>
      <c r="F213" s="4"/>
    </row>
    <row r="214" spans="1:6" x14ac:dyDescent="0.25">
      <c r="A214" s="4">
        <v>213</v>
      </c>
      <c r="B214" s="4"/>
      <c r="C214" s="4"/>
      <c r="D214" s="4"/>
      <c r="E214" s="4"/>
      <c r="F214" s="4"/>
    </row>
    <row r="215" spans="1:6" x14ac:dyDescent="0.25">
      <c r="A215" s="4">
        <v>214</v>
      </c>
      <c r="B215" s="4"/>
      <c r="C215" s="4"/>
      <c r="D215" s="4"/>
      <c r="E215" s="4"/>
      <c r="F215" s="4"/>
    </row>
    <row r="216" spans="1:6" x14ac:dyDescent="0.25">
      <c r="A216" s="4">
        <v>215</v>
      </c>
      <c r="B216" s="4"/>
      <c r="C216" s="4"/>
      <c r="D216" s="4"/>
      <c r="E216" s="4"/>
      <c r="F216" s="4"/>
    </row>
    <row r="217" spans="1:6" x14ac:dyDescent="0.25">
      <c r="A217" s="4">
        <v>216</v>
      </c>
      <c r="B217" s="4"/>
      <c r="C217" s="4"/>
      <c r="D217" s="4"/>
      <c r="E217" s="4"/>
      <c r="F217" s="4"/>
    </row>
    <row r="218" spans="1:6" x14ac:dyDescent="0.25">
      <c r="A218" s="4">
        <v>217</v>
      </c>
      <c r="B218" s="4"/>
      <c r="C218" s="4"/>
      <c r="D218" s="4"/>
      <c r="E218" s="4"/>
      <c r="F218" s="4"/>
    </row>
    <row r="219" spans="1:6" x14ac:dyDescent="0.25">
      <c r="A219" s="4">
        <v>218</v>
      </c>
      <c r="B219" s="4"/>
      <c r="C219" s="4"/>
      <c r="D219" s="4"/>
      <c r="E219" s="4"/>
      <c r="F219" s="4"/>
    </row>
    <row r="220" spans="1:6" x14ac:dyDescent="0.25">
      <c r="A220" s="4">
        <v>219</v>
      </c>
      <c r="B220" s="4"/>
      <c r="C220" s="4"/>
      <c r="D220" s="4"/>
      <c r="E220" s="4"/>
      <c r="F220" s="4"/>
    </row>
    <row r="221" spans="1:6" x14ac:dyDescent="0.25">
      <c r="A221" s="4">
        <v>220</v>
      </c>
      <c r="B221" s="4"/>
      <c r="C221" s="4"/>
      <c r="D221" s="4"/>
      <c r="E221" s="4"/>
      <c r="F221" s="4"/>
    </row>
    <row r="222" spans="1:6" x14ac:dyDescent="0.25">
      <c r="A222" s="4">
        <v>221</v>
      </c>
      <c r="B222" s="4"/>
      <c r="C222" s="4"/>
      <c r="D222" s="4"/>
      <c r="E222" s="4"/>
      <c r="F222" s="4"/>
    </row>
    <row r="223" spans="1:6" x14ac:dyDescent="0.25">
      <c r="A223" s="4">
        <v>222</v>
      </c>
      <c r="B223" s="4"/>
      <c r="C223" s="4"/>
      <c r="D223" s="4"/>
      <c r="E223" s="4"/>
      <c r="F223" s="4"/>
    </row>
    <row r="224" spans="1:6" x14ac:dyDescent="0.25">
      <c r="A224" s="4">
        <v>223</v>
      </c>
      <c r="B224" s="4"/>
      <c r="C224" s="4"/>
      <c r="D224" s="4"/>
      <c r="E224" s="4"/>
      <c r="F224" s="4"/>
    </row>
    <row r="225" spans="1:6" x14ac:dyDescent="0.25">
      <c r="A225" s="4">
        <v>224</v>
      </c>
      <c r="B225" s="4"/>
      <c r="C225" s="4"/>
      <c r="D225" s="4"/>
      <c r="E225" s="4"/>
      <c r="F225" s="4"/>
    </row>
    <row r="226" spans="1:6" x14ac:dyDescent="0.25">
      <c r="A226" s="4">
        <v>225</v>
      </c>
      <c r="B226" s="4"/>
      <c r="C226" s="4"/>
      <c r="D226" s="4"/>
      <c r="E226" s="4"/>
      <c r="F226" s="4"/>
    </row>
    <row r="227" spans="1:6" x14ac:dyDescent="0.25">
      <c r="A227" s="4">
        <v>226</v>
      </c>
      <c r="B227" s="4"/>
      <c r="C227" s="4"/>
      <c r="D227" s="4"/>
      <c r="E227" s="4"/>
      <c r="F227" s="4"/>
    </row>
    <row r="228" spans="1:6" x14ac:dyDescent="0.25">
      <c r="A228" s="4">
        <v>227</v>
      </c>
      <c r="B228" s="4"/>
      <c r="C228" s="4"/>
      <c r="D228" s="4"/>
      <c r="E228" s="4"/>
      <c r="F228" s="4"/>
    </row>
    <row r="229" spans="1:6" x14ac:dyDescent="0.25">
      <c r="A229" s="4">
        <v>228</v>
      </c>
      <c r="B229" s="4"/>
      <c r="C229" s="4"/>
      <c r="D229" s="4"/>
      <c r="E229" s="4"/>
      <c r="F229" s="4"/>
    </row>
    <row r="230" spans="1:6" x14ac:dyDescent="0.25">
      <c r="A230" s="4">
        <v>229</v>
      </c>
      <c r="B230" s="4"/>
      <c r="C230" s="4"/>
      <c r="D230" s="4"/>
      <c r="E230" s="4"/>
      <c r="F230" s="4"/>
    </row>
    <row r="231" spans="1:6" x14ac:dyDescent="0.25">
      <c r="A231" s="4">
        <v>230</v>
      </c>
      <c r="B231" s="4"/>
      <c r="C231" s="4"/>
      <c r="D231" s="4"/>
      <c r="E231" s="4"/>
      <c r="F231" s="4"/>
    </row>
    <row r="232" spans="1:6" x14ac:dyDescent="0.25">
      <c r="A232" s="4">
        <v>231</v>
      </c>
      <c r="B232" s="4"/>
      <c r="C232" s="4"/>
      <c r="D232" s="4"/>
      <c r="E232" s="4"/>
      <c r="F232" s="4"/>
    </row>
    <row r="233" spans="1:6" x14ac:dyDescent="0.25">
      <c r="A233" s="4">
        <v>232</v>
      </c>
      <c r="B233" s="4"/>
      <c r="C233" s="4"/>
      <c r="D233" s="4"/>
      <c r="E233" s="4"/>
      <c r="F233" s="4"/>
    </row>
    <row r="234" spans="1:6" x14ac:dyDescent="0.25">
      <c r="A234" s="4">
        <v>233</v>
      </c>
      <c r="B234" s="4"/>
      <c r="C234" s="4"/>
      <c r="D234" s="4"/>
      <c r="E234" s="4"/>
      <c r="F234" s="4"/>
    </row>
    <row r="235" spans="1:6" x14ac:dyDescent="0.25">
      <c r="A235" s="4">
        <v>234</v>
      </c>
      <c r="B235" s="4"/>
      <c r="C235" s="4"/>
      <c r="D235" s="4"/>
      <c r="E235" s="4"/>
      <c r="F235" s="4"/>
    </row>
    <row r="236" spans="1:6" x14ac:dyDescent="0.25">
      <c r="A236" s="4">
        <v>235</v>
      </c>
      <c r="B236" s="4"/>
      <c r="C236" s="4"/>
      <c r="D236" s="4"/>
      <c r="E236" s="4"/>
      <c r="F236" s="4"/>
    </row>
    <row r="237" spans="1:6" x14ac:dyDescent="0.25">
      <c r="A237" s="4">
        <v>236</v>
      </c>
      <c r="B237" s="4"/>
      <c r="C237" s="4"/>
      <c r="D237" s="4"/>
      <c r="E237" s="4"/>
      <c r="F237" s="4"/>
    </row>
    <row r="238" spans="1:6" x14ac:dyDescent="0.25">
      <c r="A238" s="4">
        <v>237</v>
      </c>
      <c r="B238" s="4"/>
      <c r="C238" s="4"/>
      <c r="D238" s="4"/>
      <c r="E238" s="4"/>
      <c r="F238" s="4"/>
    </row>
    <row r="239" spans="1:6" x14ac:dyDescent="0.25">
      <c r="A239" s="4">
        <v>238</v>
      </c>
      <c r="B239" s="4"/>
      <c r="C239" s="4"/>
      <c r="D239" s="4"/>
      <c r="E239" s="4"/>
      <c r="F239" s="4"/>
    </row>
    <row r="240" spans="1:6" x14ac:dyDescent="0.25">
      <c r="A240" s="4">
        <v>239</v>
      </c>
      <c r="B240" s="4"/>
      <c r="C240" s="4"/>
      <c r="D240" s="4"/>
      <c r="E240" s="4"/>
      <c r="F240" s="4"/>
    </row>
    <row r="241" spans="1:6" x14ac:dyDescent="0.25">
      <c r="A241" s="4">
        <v>240</v>
      </c>
      <c r="B241" s="4"/>
      <c r="C241" s="4"/>
      <c r="D241" s="4"/>
      <c r="E241" s="4"/>
      <c r="F241" s="4"/>
    </row>
    <row r="242" spans="1:6" x14ac:dyDescent="0.25">
      <c r="A242" s="4">
        <v>241</v>
      </c>
      <c r="B242" s="4"/>
      <c r="C242" s="4"/>
      <c r="D242" s="4"/>
      <c r="E242" s="4"/>
      <c r="F242" s="4"/>
    </row>
    <row r="243" spans="1:6" x14ac:dyDescent="0.25">
      <c r="A243" s="4">
        <v>242</v>
      </c>
      <c r="B243" s="4"/>
      <c r="C243" s="4"/>
      <c r="D243" s="4"/>
      <c r="E243" s="4"/>
      <c r="F243" s="4"/>
    </row>
    <row r="244" spans="1:6" x14ac:dyDescent="0.25">
      <c r="A244" s="4">
        <v>243</v>
      </c>
      <c r="B244" s="4"/>
      <c r="C244" s="4"/>
      <c r="D244" s="4"/>
      <c r="E244" s="4"/>
      <c r="F244" s="4"/>
    </row>
    <row r="245" spans="1:6" x14ac:dyDescent="0.25">
      <c r="A245" s="4">
        <v>244</v>
      </c>
      <c r="B245" s="4"/>
      <c r="C245" s="4"/>
      <c r="D245" s="4"/>
      <c r="E245" s="4"/>
      <c r="F245" s="4"/>
    </row>
    <row r="246" spans="1:6" x14ac:dyDescent="0.25">
      <c r="A246" s="4">
        <v>245</v>
      </c>
      <c r="B246" s="4"/>
      <c r="C246" s="4"/>
      <c r="D246" s="4"/>
      <c r="E246" s="4"/>
      <c r="F246" s="4"/>
    </row>
    <row r="247" spans="1:6" x14ac:dyDescent="0.25">
      <c r="A247" s="4">
        <v>246</v>
      </c>
      <c r="B247" s="4"/>
      <c r="C247" s="4"/>
      <c r="D247" s="4"/>
      <c r="E247" s="4"/>
      <c r="F247" s="4"/>
    </row>
    <row r="248" spans="1:6" x14ac:dyDescent="0.25">
      <c r="A248" s="4">
        <v>247</v>
      </c>
      <c r="B248" s="4"/>
      <c r="C248" s="4"/>
      <c r="D248" s="4"/>
      <c r="E248" s="4"/>
      <c r="F248" s="4"/>
    </row>
    <row r="249" spans="1:6" x14ac:dyDescent="0.25">
      <c r="A249" s="4">
        <v>248</v>
      </c>
      <c r="B249" s="4"/>
      <c r="C249" s="4"/>
      <c r="D249" s="4"/>
      <c r="E249" s="4"/>
      <c r="F249" s="4"/>
    </row>
    <row r="250" spans="1:6" x14ac:dyDescent="0.25">
      <c r="A250" s="4">
        <v>249</v>
      </c>
      <c r="B250" s="4"/>
      <c r="C250" s="4"/>
      <c r="D250" s="4"/>
      <c r="E250" s="4"/>
      <c r="F250" s="4"/>
    </row>
    <row r="251" spans="1:6" x14ac:dyDescent="0.25">
      <c r="A251" s="4">
        <v>250</v>
      </c>
      <c r="B251" s="4"/>
      <c r="C251" s="4"/>
      <c r="D251" s="4"/>
      <c r="E251" s="4"/>
      <c r="F251" s="4"/>
    </row>
    <row r="252" spans="1:6" x14ac:dyDescent="0.25">
      <c r="A252" s="4">
        <v>251</v>
      </c>
      <c r="B252" s="4"/>
      <c r="C252" s="4"/>
      <c r="D252" s="4"/>
      <c r="E252" s="4"/>
      <c r="F252" s="4"/>
    </row>
    <row r="253" spans="1:6" x14ac:dyDescent="0.25">
      <c r="A253" s="4">
        <v>252</v>
      </c>
      <c r="B253" s="4"/>
      <c r="C253" s="4"/>
      <c r="D253" s="4"/>
      <c r="E253" s="4"/>
      <c r="F253" s="4"/>
    </row>
    <row r="254" spans="1:6" x14ac:dyDescent="0.25">
      <c r="A254" s="4">
        <v>253</v>
      </c>
      <c r="B254" s="4"/>
      <c r="C254" s="4"/>
      <c r="D254" s="4"/>
      <c r="E254" s="4"/>
      <c r="F254" s="4"/>
    </row>
    <row r="255" spans="1:6" x14ac:dyDescent="0.25">
      <c r="A255" s="4">
        <v>254</v>
      </c>
      <c r="B255" s="4"/>
      <c r="C255" s="4"/>
      <c r="D255" s="4"/>
      <c r="E255" s="4"/>
      <c r="F255" s="4"/>
    </row>
    <row r="256" spans="1:6" x14ac:dyDescent="0.25">
      <c r="A256" s="4">
        <v>255</v>
      </c>
      <c r="B256" s="4"/>
      <c r="C256" s="4"/>
      <c r="D256" s="4"/>
      <c r="E256" s="4"/>
      <c r="F256" s="4"/>
    </row>
    <row r="257" spans="1:6" x14ac:dyDescent="0.25">
      <c r="A257" s="4">
        <v>256</v>
      </c>
      <c r="B257" s="4"/>
      <c r="C257" s="4"/>
      <c r="D257" s="4"/>
      <c r="E257" s="4"/>
      <c r="F257" s="4"/>
    </row>
    <row r="258" spans="1:6" x14ac:dyDescent="0.25">
      <c r="A258" s="4">
        <v>257</v>
      </c>
      <c r="B258" s="4"/>
      <c r="C258" s="4"/>
      <c r="D258" s="4"/>
      <c r="E258" s="4"/>
      <c r="F258" s="4"/>
    </row>
    <row r="259" spans="1:6" x14ac:dyDescent="0.25">
      <c r="A259" s="4">
        <v>258</v>
      </c>
      <c r="B259" s="4"/>
      <c r="C259" s="4"/>
      <c r="D259" s="4"/>
      <c r="E259" s="4"/>
      <c r="F259" s="4"/>
    </row>
    <row r="260" spans="1:6" x14ac:dyDescent="0.25">
      <c r="A260" s="4">
        <v>259</v>
      </c>
      <c r="B260" s="4"/>
      <c r="C260" s="4"/>
      <c r="D260" s="4"/>
      <c r="E260" s="4"/>
      <c r="F260" s="4"/>
    </row>
    <row r="261" spans="1:6" x14ac:dyDescent="0.25">
      <c r="A261" s="4">
        <v>260</v>
      </c>
      <c r="B261" s="4"/>
      <c r="C261" s="4"/>
      <c r="D261" s="4"/>
      <c r="E261" s="4"/>
      <c r="F261" s="4"/>
    </row>
    <row r="262" spans="1:6" x14ac:dyDescent="0.25">
      <c r="A262" s="4">
        <v>261</v>
      </c>
      <c r="B262" s="4"/>
      <c r="C262" s="4"/>
      <c r="D262" s="4"/>
      <c r="E262" s="4"/>
      <c r="F262" s="4"/>
    </row>
    <row r="263" spans="1:6" x14ac:dyDescent="0.25">
      <c r="A263" s="4">
        <v>262</v>
      </c>
      <c r="B263" s="4"/>
      <c r="C263" s="4"/>
      <c r="D263" s="4"/>
      <c r="E263" s="4"/>
      <c r="F263" s="4"/>
    </row>
    <row r="264" spans="1:6" x14ac:dyDescent="0.25">
      <c r="A264" s="4">
        <v>263</v>
      </c>
      <c r="B264" s="4"/>
      <c r="C264" s="4"/>
      <c r="D264" s="4"/>
      <c r="E264" s="4"/>
      <c r="F264" s="4"/>
    </row>
    <row r="265" spans="1:6" x14ac:dyDescent="0.25">
      <c r="A265" s="4">
        <v>264</v>
      </c>
      <c r="B265" s="4"/>
      <c r="C265" s="4"/>
      <c r="D265" s="4"/>
      <c r="E265" s="4"/>
      <c r="F265" s="4"/>
    </row>
    <row r="266" spans="1:6" x14ac:dyDescent="0.25">
      <c r="A266" s="4">
        <v>265</v>
      </c>
      <c r="B266" s="4"/>
      <c r="C266" s="4"/>
      <c r="D266" s="4"/>
      <c r="E266" s="4"/>
      <c r="F266" s="4"/>
    </row>
    <row r="267" spans="1:6" x14ac:dyDescent="0.25">
      <c r="A267" s="4">
        <v>266</v>
      </c>
      <c r="B267" s="4"/>
      <c r="C267" s="4"/>
      <c r="D267" s="4"/>
      <c r="E267" s="4"/>
      <c r="F267" s="4"/>
    </row>
    <row r="268" spans="1:6" x14ac:dyDescent="0.25">
      <c r="A268" s="4">
        <v>267</v>
      </c>
      <c r="B268" s="4"/>
      <c r="C268" s="4"/>
      <c r="D268" s="4"/>
      <c r="E268" s="4"/>
      <c r="F268" s="4"/>
    </row>
    <row r="269" spans="1:6" x14ac:dyDescent="0.25">
      <c r="A269" s="4">
        <v>268</v>
      </c>
      <c r="B269" s="4"/>
      <c r="C269" s="4"/>
      <c r="D269" s="4"/>
      <c r="E269" s="4"/>
      <c r="F269" s="4"/>
    </row>
    <row r="270" spans="1:6" x14ac:dyDescent="0.25">
      <c r="A270" s="4">
        <v>269</v>
      </c>
      <c r="B270" s="4"/>
      <c r="C270" s="4"/>
      <c r="D270" s="4"/>
      <c r="E270" s="4"/>
      <c r="F270" s="4"/>
    </row>
    <row r="271" spans="1:6" x14ac:dyDescent="0.25">
      <c r="A271" s="4">
        <v>270</v>
      </c>
      <c r="B271" s="4"/>
      <c r="C271" s="4"/>
      <c r="D271" s="4"/>
      <c r="E271" s="4"/>
      <c r="F271" s="4"/>
    </row>
    <row r="272" spans="1:6" x14ac:dyDescent="0.25">
      <c r="A272" s="4">
        <v>271</v>
      </c>
      <c r="B272" s="4"/>
      <c r="C272" s="4"/>
      <c r="D272" s="4"/>
      <c r="E272" s="4"/>
      <c r="F272" s="4"/>
    </row>
    <row r="273" spans="1:6" x14ac:dyDescent="0.25">
      <c r="A273" s="4">
        <v>272</v>
      </c>
      <c r="B273" s="4"/>
      <c r="C273" s="4"/>
      <c r="D273" s="4"/>
      <c r="E273" s="4"/>
      <c r="F273" s="4"/>
    </row>
    <row r="274" spans="1:6" x14ac:dyDescent="0.25">
      <c r="A274" s="4">
        <v>273</v>
      </c>
      <c r="B274" s="4"/>
      <c r="C274" s="4"/>
      <c r="D274" s="4"/>
      <c r="E274" s="4"/>
      <c r="F274" s="4"/>
    </row>
    <row r="275" spans="1:6" x14ac:dyDescent="0.25">
      <c r="A275" s="4">
        <v>274</v>
      </c>
      <c r="B275" s="4"/>
      <c r="C275" s="4"/>
      <c r="D275" s="4"/>
      <c r="E275" s="4"/>
      <c r="F275" s="4"/>
    </row>
    <row r="276" spans="1:6" x14ac:dyDescent="0.25">
      <c r="A276" s="4">
        <v>275</v>
      </c>
      <c r="B276" s="4"/>
      <c r="C276" s="4"/>
      <c r="D276" s="4"/>
      <c r="E276" s="4"/>
      <c r="F276" s="4"/>
    </row>
    <row r="277" spans="1:6" x14ac:dyDescent="0.25">
      <c r="A277" s="4">
        <v>276</v>
      </c>
      <c r="B277" s="4"/>
      <c r="C277" s="4"/>
      <c r="D277" s="4"/>
      <c r="E277" s="4"/>
      <c r="F277" s="4"/>
    </row>
    <row r="278" spans="1:6" x14ac:dyDescent="0.25">
      <c r="A278" s="4">
        <v>277</v>
      </c>
      <c r="B278" s="4"/>
      <c r="C278" s="4"/>
      <c r="D278" s="4"/>
      <c r="E278" s="4"/>
      <c r="F278" s="4"/>
    </row>
    <row r="279" spans="1:6" x14ac:dyDescent="0.25">
      <c r="A279" s="4">
        <v>278</v>
      </c>
      <c r="B279" s="4"/>
      <c r="C279" s="4"/>
      <c r="D279" s="4"/>
      <c r="E279" s="4"/>
      <c r="F279" s="4"/>
    </row>
    <row r="280" spans="1:6" x14ac:dyDescent="0.25">
      <c r="A280" s="4">
        <v>279</v>
      </c>
      <c r="B280" s="4"/>
      <c r="C280" s="4"/>
      <c r="D280" s="4"/>
      <c r="E280" s="4"/>
      <c r="F280" s="4"/>
    </row>
    <row r="281" spans="1:6" x14ac:dyDescent="0.25">
      <c r="A281" s="4">
        <v>280</v>
      </c>
      <c r="B281" s="4"/>
      <c r="C281" s="4"/>
      <c r="D281" s="4"/>
      <c r="E281" s="4"/>
      <c r="F281" s="4"/>
    </row>
    <row r="282" spans="1:6" x14ac:dyDescent="0.25">
      <c r="A282" s="4">
        <v>281</v>
      </c>
      <c r="B282" s="4"/>
      <c r="C282" s="4"/>
      <c r="D282" s="4"/>
      <c r="E282" s="4"/>
      <c r="F282" s="4"/>
    </row>
    <row r="283" spans="1:6" x14ac:dyDescent="0.25">
      <c r="A283" s="4">
        <v>282</v>
      </c>
      <c r="B283" s="4"/>
      <c r="C283" s="4"/>
      <c r="D283" s="4"/>
      <c r="E283" s="4"/>
      <c r="F283" s="4"/>
    </row>
    <row r="284" spans="1:6" x14ac:dyDescent="0.25">
      <c r="A284" s="4">
        <v>283</v>
      </c>
      <c r="B284" s="4"/>
      <c r="C284" s="4"/>
      <c r="D284" s="4"/>
      <c r="E284" s="4"/>
      <c r="F284" s="4"/>
    </row>
    <row r="285" spans="1:6" x14ac:dyDescent="0.25">
      <c r="A285" s="4">
        <v>284</v>
      </c>
      <c r="B285" s="4"/>
      <c r="C285" s="4"/>
      <c r="D285" s="4"/>
      <c r="E285" s="4"/>
      <c r="F285" s="4"/>
    </row>
    <row r="286" spans="1:6" x14ac:dyDescent="0.25">
      <c r="A286" s="4">
        <v>285</v>
      </c>
      <c r="B286" s="4"/>
      <c r="C286" s="4"/>
      <c r="D286" s="4"/>
      <c r="E286" s="4"/>
      <c r="F286" s="4"/>
    </row>
    <row r="287" spans="1:6" x14ac:dyDescent="0.25">
      <c r="A287" s="4">
        <v>286</v>
      </c>
      <c r="B287" s="4"/>
      <c r="C287" s="4"/>
      <c r="D287" s="4"/>
      <c r="E287" s="4"/>
      <c r="F287" s="4"/>
    </row>
    <row r="288" spans="1:6" x14ac:dyDescent="0.25">
      <c r="A288" s="4">
        <v>287</v>
      </c>
      <c r="B288" s="4"/>
      <c r="C288" s="4"/>
      <c r="D288" s="4"/>
      <c r="E288" s="4"/>
      <c r="F288" s="4"/>
    </row>
    <row r="289" spans="1:6" x14ac:dyDescent="0.25">
      <c r="A289" s="4">
        <v>288</v>
      </c>
      <c r="B289" s="4"/>
      <c r="C289" s="4"/>
      <c r="D289" s="4"/>
      <c r="E289" s="4"/>
      <c r="F289" s="4"/>
    </row>
    <row r="290" spans="1:6" x14ac:dyDescent="0.25">
      <c r="A290" s="4">
        <v>289</v>
      </c>
      <c r="B290" s="4"/>
      <c r="C290" s="4"/>
      <c r="D290" s="4"/>
      <c r="E290" s="4"/>
      <c r="F290" s="4"/>
    </row>
    <row r="291" spans="1:6" x14ac:dyDescent="0.25">
      <c r="A291" s="4">
        <v>290</v>
      </c>
      <c r="B291" s="4"/>
      <c r="C291" s="4"/>
      <c r="D291" s="4"/>
      <c r="E291" s="4"/>
      <c r="F291" s="4"/>
    </row>
    <row r="292" spans="1:6" x14ac:dyDescent="0.25">
      <c r="A292" s="4">
        <v>291</v>
      </c>
      <c r="B292" s="4"/>
      <c r="C292" s="4"/>
      <c r="D292" s="4"/>
      <c r="E292" s="4"/>
      <c r="F292" s="4"/>
    </row>
    <row r="293" spans="1:6" x14ac:dyDescent="0.25">
      <c r="A293" s="4">
        <v>292</v>
      </c>
      <c r="B293" s="4"/>
      <c r="C293" s="4"/>
      <c r="D293" s="4"/>
      <c r="E293" s="4"/>
      <c r="F293" s="4"/>
    </row>
    <row r="294" spans="1:6" x14ac:dyDescent="0.25">
      <c r="A294" s="4">
        <v>293</v>
      </c>
      <c r="B294" s="4"/>
      <c r="C294" s="4"/>
      <c r="D294" s="4"/>
      <c r="E294" s="4"/>
      <c r="F294" s="4"/>
    </row>
    <row r="295" spans="1:6" x14ac:dyDescent="0.25">
      <c r="A295" s="4">
        <v>294</v>
      </c>
      <c r="B295" s="4"/>
      <c r="C295" s="4"/>
      <c r="D295" s="4"/>
      <c r="E295" s="4"/>
      <c r="F295" s="4"/>
    </row>
    <row r="296" spans="1:6" x14ac:dyDescent="0.25">
      <c r="A296" s="4">
        <v>295</v>
      </c>
      <c r="B296" s="4"/>
      <c r="C296" s="4"/>
      <c r="D296" s="4"/>
      <c r="E296" s="4"/>
      <c r="F296" s="4"/>
    </row>
    <row r="297" spans="1:6" x14ac:dyDescent="0.25">
      <c r="A297" s="4">
        <v>296</v>
      </c>
      <c r="B297" s="4"/>
      <c r="C297" s="4"/>
      <c r="D297" s="4"/>
      <c r="E297" s="4"/>
      <c r="F297" s="4"/>
    </row>
    <row r="298" spans="1:6" x14ac:dyDescent="0.25">
      <c r="A298" s="4">
        <v>297</v>
      </c>
      <c r="B298" s="4"/>
      <c r="C298" s="4"/>
      <c r="D298" s="4"/>
      <c r="E298" s="4"/>
      <c r="F298" s="4"/>
    </row>
    <row r="299" spans="1:6" x14ac:dyDescent="0.25">
      <c r="A299" s="4">
        <v>298</v>
      </c>
      <c r="B299" s="4"/>
      <c r="C299" s="4"/>
      <c r="D299" s="4"/>
      <c r="E299" s="4"/>
      <c r="F299" s="4"/>
    </row>
    <row r="300" spans="1:6" x14ac:dyDescent="0.25">
      <c r="A300" s="4">
        <v>299</v>
      </c>
      <c r="B300" s="4"/>
      <c r="C300" s="4"/>
      <c r="D300" s="4"/>
      <c r="E300" s="4"/>
      <c r="F300" s="4"/>
    </row>
    <row r="301" spans="1:6" x14ac:dyDescent="0.25">
      <c r="A301" s="4">
        <v>300</v>
      </c>
      <c r="B301" s="4"/>
      <c r="C301" s="4"/>
      <c r="D301" s="4"/>
      <c r="E301" s="4"/>
      <c r="F301" s="4"/>
    </row>
    <row r="302" spans="1:6" x14ac:dyDescent="0.25">
      <c r="A302" s="4">
        <v>301</v>
      </c>
      <c r="B302" s="4"/>
      <c r="C302" s="4"/>
      <c r="D302" s="4"/>
      <c r="E302" s="4"/>
      <c r="F302" s="4"/>
    </row>
    <row r="303" spans="1:6" x14ac:dyDescent="0.25">
      <c r="A303" s="4">
        <v>302</v>
      </c>
      <c r="B303" s="4"/>
      <c r="C303" s="4"/>
      <c r="D303" s="4"/>
      <c r="E303" s="4"/>
      <c r="F303" s="4"/>
    </row>
    <row r="304" spans="1:6" x14ac:dyDescent="0.25">
      <c r="A304" s="4">
        <v>303</v>
      </c>
      <c r="B304" s="4"/>
      <c r="C304" s="4"/>
      <c r="D304" s="4"/>
      <c r="E304" s="4"/>
      <c r="F304" s="4"/>
    </row>
    <row r="305" spans="1:6" x14ac:dyDescent="0.25">
      <c r="A305" s="4">
        <v>304</v>
      </c>
      <c r="B305" s="4"/>
      <c r="C305" s="4"/>
      <c r="D305" s="4"/>
      <c r="E305" s="4"/>
      <c r="F305" s="4"/>
    </row>
    <row r="306" spans="1:6" x14ac:dyDescent="0.25">
      <c r="A306" s="4">
        <v>305</v>
      </c>
      <c r="B306" s="4"/>
      <c r="C306" s="4"/>
      <c r="D306" s="4"/>
      <c r="E306" s="4"/>
      <c r="F306" s="4"/>
    </row>
    <row r="307" spans="1:6" x14ac:dyDescent="0.25">
      <c r="A307" s="4">
        <v>306</v>
      </c>
      <c r="B307" s="4"/>
      <c r="C307" s="4"/>
      <c r="D307" s="4"/>
      <c r="E307" s="4"/>
      <c r="F307" s="4"/>
    </row>
    <row r="308" spans="1:6" x14ac:dyDescent="0.25">
      <c r="A308" s="4">
        <v>307</v>
      </c>
      <c r="B308" s="4"/>
      <c r="C308" s="4"/>
      <c r="D308" s="4"/>
      <c r="E308" s="4"/>
      <c r="F308" s="4"/>
    </row>
    <row r="309" spans="1:6" x14ac:dyDescent="0.25">
      <c r="A309" s="4">
        <v>308</v>
      </c>
      <c r="B309" s="4"/>
      <c r="C309" s="4"/>
      <c r="D309" s="4"/>
      <c r="E309" s="4"/>
      <c r="F309" s="4"/>
    </row>
    <row r="310" spans="1:6" x14ac:dyDescent="0.25">
      <c r="A310" s="4">
        <v>309</v>
      </c>
      <c r="B310" s="4"/>
      <c r="C310" s="4"/>
      <c r="D310" s="4"/>
      <c r="E310" s="4"/>
      <c r="F310" s="4"/>
    </row>
    <row r="311" spans="1:6" x14ac:dyDescent="0.25">
      <c r="A311" s="4">
        <v>310</v>
      </c>
      <c r="B311" s="4"/>
      <c r="C311" s="4"/>
      <c r="D311" s="4"/>
      <c r="E311" s="4"/>
      <c r="F311" s="4"/>
    </row>
    <row r="312" spans="1:6" x14ac:dyDescent="0.25">
      <c r="A312" s="4">
        <v>311</v>
      </c>
      <c r="B312" s="4"/>
      <c r="C312" s="4"/>
      <c r="D312" s="4"/>
      <c r="E312" s="4"/>
      <c r="F312" s="4"/>
    </row>
    <row r="313" spans="1:6" x14ac:dyDescent="0.25">
      <c r="A313" s="4">
        <v>312</v>
      </c>
      <c r="B313" s="4"/>
      <c r="C313" s="4"/>
      <c r="D313" s="4"/>
      <c r="E313" s="4"/>
      <c r="F313" s="4"/>
    </row>
    <row r="314" spans="1:6" x14ac:dyDescent="0.25">
      <c r="A314" s="4">
        <v>313</v>
      </c>
      <c r="B314" s="4"/>
      <c r="C314" s="4"/>
      <c r="D314" s="4"/>
      <c r="E314" s="4"/>
      <c r="F314" s="4"/>
    </row>
    <row r="315" spans="1:6" x14ac:dyDescent="0.25">
      <c r="A315" s="4">
        <v>314</v>
      </c>
      <c r="B315" s="4"/>
      <c r="C315" s="4"/>
      <c r="D315" s="4"/>
      <c r="E315" s="4"/>
      <c r="F315" s="4"/>
    </row>
    <row r="316" spans="1:6" x14ac:dyDescent="0.25">
      <c r="A316" s="4">
        <v>315</v>
      </c>
      <c r="B316" s="4"/>
      <c r="C316" s="4"/>
      <c r="D316" s="4"/>
      <c r="E316" s="4"/>
      <c r="F316" s="4"/>
    </row>
    <row r="317" spans="1:6" x14ac:dyDescent="0.25">
      <c r="A317" s="4">
        <v>316</v>
      </c>
      <c r="B317" s="4"/>
      <c r="C317" s="4"/>
      <c r="D317" s="4"/>
      <c r="E317" s="4"/>
      <c r="F317" s="4"/>
    </row>
    <row r="318" spans="1:6" x14ac:dyDescent="0.25">
      <c r="A318" s="4">
        <v>317</v>
      </c>
      <c r="B318" s="4"/>
      <c r="C318" s="4"/>
      <c r="D318" s="4"/>
      <c r="E318" s="4"/>
      <c r="F318" s="4"/>
    </row>
    <row r="319" spans="1:6" x14ac:dyDescent="0.25">
      <c r="A319" s="4">
        <v>318</v>
      </c>
      <c r="B319" s="4"/>
      <c r="C319" s="4"/>
      <c r="D319" s="4"/>
      <c r="E319" s="4"/>
      <c r="F319" s="4"/>
    </row>
    <row r="320" spans="1:6" x14ac:dyDescent="0.25">
      <c r="A320" s="4">
        <v>319</v>
      </c>
      <c r="B320" s="4"/>
      <c r="C320" s="4"/>
      <c r="D320" s="4"/>
      <c r="E320" s="4"/>
      <c r="F320" s="4"/>
    </row>
    <row r="321" spans="1:6" x14ac:dyDescent="0.25">
      <c r="A321" s="4">
        <v>320</v>
      </c>
      <c r="B321" s="4"/>
      <c r="C321" s="4"/>
      <c r="D321" s="4"/>
      <c r="E321" s="4"/>
      <c r="F321" s="4"/>
    </row>
    <row r="322" spans="1:6" x14ac:dyDescent="0.25">
      <c r="A322" s="4">
        <v>321</v>
      </c>
      <c r="B322" s="4"/>
      <c r="C322" s="4"/>
      <c r="D322" s="4"/>
      <c r="E322" s="4"/>
      <c r="F322" s="4"/>
    </row>
    <row r="323" spans="1:6" x14ac:dyDescent="0.25">
      <c r="A323" s="4">
        <v>322</v>
      </c>
      <c r="B323" s="4"/>
      <c r="C323" s="4"/>
      <c r="D323" s="4"/>
      <c r="E323" s="4"/>
      <c r="F323" s="4"/>
    </row>
    <row r="324" spans="1:6" x14ac:dyDescent="0.25">
      <c r="A324" s="4">
        <v>323</v>
      </c>
      <c r="B324" s="4"/>
      <c r="C324" s="4"/>
      <c r="D324" s="4"/>
      <c r="E324" s="4"/>
      <c r="F324" s="4"/>
    </row>
    <row r="325" spans="1:6" x14ac:dyDescent="0.25">
      <c r="A325" s="4">
        <v>324</v>
      </c>
      <c r="B325" s="4"/>
      <c r="C325" s="4"/>
      <c r="D325" s="4"/>
      <c r="E325" s="4"/>
      <c r="F325" s="4"/>
    </row>
    <row r="326" spans="1:6" x14ac:dyDescent="0.25">
      <c r="A326" s="4">
        <v>325</v>
      </c>
      <c r="B326" s="4"/>
      <c r="C326" s="4"/>
      <c r="D326" s="4"/>
      <c r="E326" s="4"/>
      <c r="F326" s="4"/>
    </row>
    <row r="327" spans="1:6" x14ac:dyDescent="0.25">
      <c r="A327" s="4">
        <v>326</v>
      </c>
      <c r="B327" s="4"/>
      <c r="C327" s="4"/>
      <c r="D327" s="4"/>
      <c r="E327" s="4"/>
      <c r="F327" s="4"/>
    </row>
    <row r="328" spans="1:6" x14ac:dyDescent="0.25">
      <c r="A328" s="4">
        <v>327</v>
      </c>
      <c r="B328" s="4"/>
      <c r="C328" s="4"/>
      <c r="D328" s="4"/>
      <c r="E328" s="4"/>
      <c r="F328" s="4"/>
    </row>
    <row r="329" spans="1:6" x14ac:dyDescent="0.25">
      <c r="A329" s="4">
        <v>328</v>
      </c>
      <c r="B329" s="4"/>
      <c r="C329" s="4"/>
      <c r="D329" s="4"/>
      <c r="E329" s="4"/>
      <c r="F329" s="4"/>
    </row>
    <row r="330" spans="1:6" x14ac:dyDescent="0.25">
      <c r="A330" s="4">
        <v>329</v>
      </c>
      <c r="B330" s="4"/>
      <c r="C330" s="4"/>
      <c r="D330" s="4"/>
      <c r="E330" s="4"/>
      <c r="F330" s="4"/>
    </row>
    <row r="331" spans="1:6" x14ac:dyDescent="0.25">
      <c r="A331" s="4">
        <v>330</v>
      </c>
      <c r="B331" s="4"/>
      <c r="C331" s="4"/>
      <c r="D331" s="4"/>
      <c r="E331" s="4"/>
      <c r="F331" s="4"/>
    </row>
    <row r="332" spans="1:6" x14ac:dyDescent="0.25">
      <c r="A332" s="4">
        <v>331</v>
      </c>
      <c r="B332" s="4"/>
      <c r="C332" s="4"/>
      <c r="D332" s="4"/>
      <c r="E332" s="4"/>
      <c r="F332" s="4"/>
    </row>
    <row r="333" spans="1:6" x14ac:dyDescent="0.25">
      <c r="A333" s="4">
        <v>332</v>
      </c>
      <c r="B333" s="4"/>
      <c r="C333" s="4"/>
      <c r="D333" s="4"/>
      <c r="E333" s="4"/>
      <c r="F333" s="4"/>
    </row>
    <row r="334" spans="1:6" x14ac:dyDescent="0.25">
      <c r="A334" s="4">
        <v>333</v>
      </c>
      <c r="B334" s="4"/>
      <c r="C334" s="4"/>
      <c r="D334" s="4"/>
      <c r="E334" s="4"/>
      <c r="F334" s="4"/>
    </row>
    <row r="335" spans="1:6" x14ac:dyDescent="0.25">
      <c r="A335" s="4">
        <v>334</v>
      </c>
      <c r="B335" s="4"/>
      <c r="C335" s="4"/>
      <c r="D335" s="4"/>
      <c r="E335" s="4"/>
      <c r="F335" s="4"/>
    </row>
    <row r="336" spans="1:6" x14ac:dyDescent="0.25">
      <c r="A336" s="4">
        <v>335</v>
      </c>
      <c r="B336" s="4"/>
      <c r="C336" s="4"/>
      <c r="D336" s="4"/>
      <c r="E336" s="4"/>
      <c r="F336" s="4"/>
    </row>
    <row r="337" spans="1:6" x14ac:dyDescent="0.25">
      <c r="A337" s="4">
        <v>336</v>
      </c>
      <c r="B337" s="4"/>
      <c r="C337" s="4"/>
      <c r="D337" s="4"/>
      <c r="E337" s="4"/>
      <c r="F337" s="4"/>
    </row>
    <row r="338" spans="1:6" x14ac:dyDescent="0.25">
      <c r="A338" s="4">
        <v>337</v>
      </c>
      <c r="B338" s="4"/>
      <c r="C338" s="4"/>
      <c r="D338" s="4"/>
      <c r="E338" s="4"/>
      <c r="F338" s="4"/>
    </row>
    <row r="339" spans="1:6" x14ac:dyDescent="0.25">
      <c r="A339" s="4">
        <v>338</v>
      </c>
      <c r="B339" s="4"/>
      <c r="C339" s="4"/>
      <c r="D339" s="4"/>
      <c r="E339" s="4"/>
      <c r="F339" s="4"/>
    </row>
    <row r="340" spans="1:6" x14ac:dyDescent="0.25">
      <c r="A340" s="4">
        <v>339</v>
      </c>
      <c r="B340" s="4"/>
      <c r="C340" s="4"/>
      <c r="D340" s="4"/>
      <c r="E340" s="4"/>
      <c r="F340" s="4"/>
    </row>
    <row r="341" spans="1:6" x14ac:dyDescent="0.25">
      <c r="A341" s="4">
        <v>340</v>
      </c>
      <c r="B341" s="4"/>
      <c r="C341" s="4"/>
      <c r="D341" s="4"/>
      <c r="E341" s="4"/>
      <c r="F341" s="4"/>
    </row>
    <row r="342" spans="1:6" x14ac:dyDescent="0.25">
      <c r="A342" s="4">
        <v>341</v>
      </c>
      <c r="B342" s="4"/>
      <c r="C342" s="4"/>
      <c r="D342" s="4"/>
      <c r="E342" s="4"/>
      <c r="F342" s="4"/>
    </row>
    <row r="343" spans="1:6" x14ac:dyDescent="0.25">
      <c r="A343" s="4">
        <v>342</v>
      </c>
      <c r="B343" s="4"/>
      <c r="C343" s="4"/>
      <c r="D343" s="4"/>
      <c r="E343" s="4"/>
      <c r="F343" s="4"/>
    </row>
    <row r="344" spans="1:6" x14ac:dyDescent="0.25">
      <c r="A344" s="4">
        <v>343</v>
      </c>
      <c r="B344" s="4"/>
      <c r="C344" s="4"/>
      <c r="D344" s="4"/>
      <c r="E344" s="4"/>
      <c r="F344" s="4"/>
    </row>
    <row r="345" spans="1:6" x14ac:dyDescent="0.25">
      <c r="A345" s="4">
        <v>344</v>
      </c>
      <c r="B345" s="4"/>
      <c r="C345" s="4"/>
      <c r="D345" s="4"/>
      <c r="E345" s="4"/>
      <c r="F345" s="4"/>
    </row>
    <row r="346" spans="1:6" x14ac:dyDescent="0.25">
      <c r="A346" s="4">
        <v>345</v>
      </c>
      <c r="B346" s="4"/>
      <c r="C346" s="4"/>
      <c r="D346" s="4"/>
      <c r="E346" s="4"/>
      <c r="F346" s="4"/>
    </row>
    <row r="347" spans="1:6" x14ac:dyDescent="0.25">
      <c r="A347" s="4">
        <v>346</v>
      </c>
      <c r="B347" s="4"/>
      <c r="C347" s="4"/>
      <c r="D347" s="4"/>
      <c r="E347" s="4"/>
      <c r="F347" s="4"/>
    </row>
    <row r="348" spans="1:6" x14ac:dyDescent="0.25">
      <c r="A348" s="4">
        <v>347</v>
      </c>
      <c r="B348" s="4"/>
      <c r="C348" s="4"/>
      <c r="D348" s="4"/>
      <c r="E348" s="4"/>
      <c r="F348" s="4"/>
    </row>
    <row r="349" spans="1:6" x14ac:dyDescent="0.25">
      <c r="A349" s="4">
        <v>348</v>
      </c>
      <c r="B349" s="4"/>
      <c r="C349" s="4"/>
      <c r="D349" s="4"/>
      <c r="E349" s="4"/>
      <c r="F349" s="4"/>
    </row>
    <row r="350" spans="1:6" x14ac:dyDescent="0.25">
      <c r="A350" s="4">
        <v>349</v>
      </c>
      <c r="B350" s="4"/>
      <c r="C350" s="4"/>
      <c r="D350" s="4"/>
      <c r="E350" s="4"/>
      <c r="F350" s="4"/>
    </row>
    <row r="351" spans="1:6" x14ac:dyDescent="0.25">
      <c r="A351" s="4">
        <v>350</v>
      </c>
      <c r="B351" s="4"/>
      <c r="C351" s="4"/>
      <c r="D351" s="4"/>
      <c r="E351" s="4"/>
      <c r="F351" s="4"/>
    </row>
    <row r="352" spans="1:6" x14ac:dyDescent="0.25">
      <c r="A352" s="4">
        <v>351</v>
      </c>
      <c r="B352" s="4"/>
      <c r="C352" s="4"/>
      <c r="D352" s="4"/>
      <c r="E352" s="4"/>
      <c r="F352" s="4"/>
    </row>
    <row r="353" spans="1:6" x14ac:dyDescent="0.25">
      <c r="A353" s="4">
        <v>352</v>
      </c>
      <c r="B353" s="4"/>
      <c r="C353" s="4"/>
      <c r="D353" s="4"/>
      <c r="E353" s="4"/>
      <c r="F353" s="4"/>
    </row>
    <row r="354" spans="1:6" x14ac:dyDescent="0.25">
      <c r="A354" s="4">
        <v>353</v>
      </c>
      <c r="B354" s="4"/>
      <c r="C354" s="4"/>
      <c r="D354" s="4"/>
      <c r="E354" s="4"/>
      <c r="F354" s="4"/>
    </row>
    <row r="355" spans="1:6" x14ac:dyDescent="0.25">
      <c r="A355" s="4">
        <v>354</v>
      </c>
      <c r="B355" s="4"/>
      <c r="C355" s="4"/>
      <c r="D355" s="4"/>
      <c r="E355" s="4"/>
      <c r="F355" s="4"/>
    </row>
    <row r="356" spans="1:6" x14ac:dyDescent="0.25">
      <c r="A356" s="4">
        <v>355</v>
      </c>
      <c r="B356" s="4"/>
      <c r="C356" s="4"/>
      <c r="D356" s="4"/>
      <c r="E356" s="4"/>
      <c r="F356" s="4"/>
    </row>
    <row r="357" spans="1:6" x14ac:dyDescent="0.25">
      <c r="A357" s="4">
        <v>356</v>
      </c>
      <c r="B357" s="4"/>
      <c r="C357" s="4"/>
      <c r="D357" s="4"/>
      <c r="E357" s="4"/>
      <c r="F357" s="4"/>
    </row>
    <row r="358" spans="1:6" x14ac:dyDescent="0.25">
      <c r="A358" s="4">
        <v>357</v>
      </c>
      <c r="B358" s="4"/>
      <c r="C358" s="4"/>
      <c r="D358" s="4"/>
      <c r="E358" s="4"/>
      <c r="F358" s="4"/>
    </row>
    <row r="359" spans="1:6" x14ac:dyDescent="0.25">
      <c r="A359" s="4">
        <v>358</v>
      </c>
      <c r="B359" s="4"/>
      <c r="C359" s="4"/>
      <c r="D359" s="4"/>
      <c r="E359" s="4"/>
      <c r="F359" s="4"/>
    </row>
    <row r="360" spans="1:6" x14ac:dyDescent="0.25">
      <c r="A360" s="4">
        <v>359</v>
      </c>
      <c r="B360" s="4"/>
      <c r="C360" s="4"/>
      <c r="D360" s="4"/>
      <c r="E360" s="4"/>
      <c r="F360" s="4"/>
    </row>
    <row r="361" spans="1:6" x14ac:dyDescent="0.25">
      <c r="A361" s="4">
        <v>360</v>
      </c>
      <c r="B361" s="4"/>
      <c r="C361" s="4"/>
      <c r="D361" s="4"/>
      <c r="E361" s="4"/>
      <c r="F361" s="4"/>
    </row>
    <row r="362" spans="1:6" x14ac:dyDescent="0.25">
      <c r="A362" s="4">
        <v>361</v>
      </c>
      <c r="B362" s="4"/>
      <c r="C362" s="4"/>
      <c r="D362" s="4"/>
      <c r="E362" s="4"/>
      <c r="F362" s="4"/>
    </row>
    <row r="363" spans="1:6" x14ac:dyDescent="0.25">
      <c r="A363" s="4">
        <v>362</v>
      </c>
      <c r="B363" s="4"/>
      <c r="C363" s="4"/>
      <c r="D363" s="4"/>
      <c r="E363" s="4"/>
      <c r="F363" s="4"/>
    </row>
    <row r="364" spans="1:6" x14ac:dyDescent="0.25">
      <c r="A364" s="4">
        <v>363</v>
      </c>
      <c r="B364" s="4"/>
      <c r="C364" s="4"/>
      <c r="D364" s="4"/>
      <c r="E364" s="4"/>
      <c r="F364" s="4"/>
    </row>
    <row r="365" spans="1:6" x14ac:dyDescent="0.25">
      <c r="A365" s="4">
        <v>364</v>
      </c>
      <c r="B365" s="4"/>
      <c r="C365" s="4"/>
      <c r="D365" s="4"/>
      <c r="E365" s="4"/>
      <c r="F365" s="4"/>
    </row>
    <row r="366" spans="1:6" x14ac:dyDescent="0.25">
      <c r="A366" s="4">
        <v>365</v>
      </c>
      <c r="B366" s="4"/>
      <c r="C366" s="4"/>
      <c r="D366" s="4"/>
      <c r="E366" s="4"/>
      <c r="F366" s="4"/>
    </row>
    <row r="367" spans="1:6" x14ac:dyDescent="0.25">
      <c r="A367" s="4">
        <v>366</v>
      </c>
      <c r="B367" s="4"/>
      <c r="C367" s="4"/>
      <c r="D367" s="4"/>
      <c r="E367" s="4"/>
      <c r="F367" s="4"/>
    </row>
    <row r="368" spans="1:6" x14ac:dyDescent="0.25">
      <c r="A368" s="4">
        <v>367</v>
      </c>
      <c r="B368" s="4"/>
      <c r="C368" s="4"/>
      <c r="D368" s="4"/>
      <c r="E368" s="4"/>
      <c r="F368" s="4"/>
    </row>
    <row r="369" spans="1:6" x14ac:dyDescent="0.25">
      <c r="A369" s="4">
        <v>368</v>
      </c>
      <c r="B369" s="4"/>
      <c r="C369" s="4"/>
      <c r="D369" s="4"/>
      <c r="E369" s="4"/>
      <c r="F369" s="4"/>
    </row>
    <row r="370" spans="1:6" x14ac:dyDescent="0.25">
      <c r="A370" s="4">
        <v>369</v>
      </c>
      <c r="B370" s="4"/>
      <c r="C370" s="4"/>
      <c r="D370" s="4"/>
      <c r="E370" s="4"/>
      <c r="F370" s="4"/>
    </row>
    <row r="371" spans="1:6" x14ac:dyDescent="0.25">
      <c r="A371" s="4">
        <v>370</v>
      </c>
      <c r="B371" s="4"/>
      <c r="C371" s="4"/>
      <c r="D371" s="4"/>
      <c r="E371" s="4"/>
      <c r="F371" s="4"/>
    </row>
    <row r="372" spans="1:6" x14ac:dyDescent="0.25">
      <c r="A372" s="4">
        <v>371</v>
      </c>
      <c r="B372" s="4"/>
      <c r="C372" s="4"/>
      <c r="D372" s="4"/>
      <c r="E372" s="4"/>
      <c r="F372" s="4"/>
    </row>
    <row r="373" spans="1:6" x14ac:dyDescent="0.25">
      <c r="A373" s="4">
        <v>372</v>
      </c>
      <c r="B373" s="4"/>
      <c r="C373" s="4"/>
      <c r="D373" s="4"/>
      <c r="E373" s="4"/>
      <c r="F373" s="4"/>
    </row>
    <row r="374" spans="1:6" x14ac:dyDescent="0.25">
      <c r="A374" s="4">
        <v>373</v>
      </c>
      <c r="B374" s="4"/>
      <c r="C374" s="4"/>
      <c r="D374" s="4"/>
      <c r="E374" s="4"/>
      <c r="F374" s="4"/>
    </row>
    <row r="375" spans="1:6" x14ac:dyDescent="0.25">
      <c r="A375" s="4">
        <v>374</v>
      </c>
      <c r="B375" s="4"/>
      <c r="C375" s="4"/>
      <c r="D375" s="4"/>
      <c r="E375" s="4"/>
      <c r="F375" s="4"/>
    </row>
    <row r="376" spans="1:6" x14ac:dyDescent="0.25">
      <c r="A376" s="4">
        <v>375</v>
      </c>
      <c r="B376" s="4"/>
      <c r="C376" s="4"/>
      <c r="D376" s="4"/>
      <c r="E376" s="4"/>
      <c r="F376" s="4"/>
    </row>
    <row r="377" spans="1:6" x14ac:dyDescent="0.25">
      <c r="A377" s="4">
        <v>376</v>
      </c>
      <c r="B377" s="4"/>
      <c r="C377" s="4"/>
      <c r="D377" s="4"/>
      <c r="E377" s="4"/>
      <c r="F377" s="4"/>
    </row>
    <row r="378" spans="1:6" x14ac:dyDescent="0.25">
      <c r="A378" s="4">
        <v>377</v>
      </c>
      <c r="B378" s="4"/>
      <c r="C378" s="4"/>
      <c r="D378" s="4"/>
      <c r="E378" s="4"/>
      <c r="F378" s="4"/>
    </row>
    <row r="379" spans="1:6" x14ac:dyDescent="0.25">
      <c r="A379" s="4">
        <v>378</v>
      </c>
      <c r="B379" s="4"/>
      <c r="C379" s="4"/>
      <c r="D379" s="4"/>
      <c r="E379" s="4"/>
      <c r="F379" s="4"/>
    </row>
    <row r="380" spans="1:6" x14ac:dyDescent="0.25">
      <c r="A380" s="4">
        <v>379</v>
      </c>
      <c r="B380" s="4"/>
      <c r="C380" s="4"/>
      <c r="D380" s="4"/>
      <c r="E380" s="4"/>
      <c r="F380" s="4"/>
    </row>
    <row r="381" spans="1:6" x14ac:dyDescent="0.25">
      <c r="A381" s="4">
        <v>380</v>
      </c>
      <c r="B381" s="4"/>
      <c r="C381" s="4"/>
      <c r="D381" s="4"/>
      <c r="E381" s="4"/>
      <c r="F381" s="4"/>
    </row>
    <row r="382" spans="1:6" x14ac:dyDescent="0.25">
      <c r="A382" s="4">
        <v>381</v>
      </c>
      <c r="B382" s="4"/>
      <c r="C382" s="4"/>
      <c r="D382" s="4"/>
      <c r="E382" s="4"/>
      <c r="F382" s="4"/>
    </row>
    <row r="383" spans="1:6" x14ac:dyDescent="0.25">
      <c r="A383" s="4">
        <v>382</v>
      </c>
      <c r="B383" s="4"/>
      <c r="C383" s="4"/>
      <c r="D383" s="4"/>
      <c r="E383" s="4"/>
      <c r="F383" s="4"/>
    </row>
    <row r="384" spans="1:6" x14ac:dyDescent="0.25">
      <c r="A384" s="4">
        <v>383</v>
      </c>
      <c r="B384" s="4"/>
      <c r="C384" s="4"/>
      <c r="D384" s="4"/>
      <c r="E384" s="4"/>
      <c r="F384" s="4"/>
    </row>
    <row r="385" spans="1:6" x14ac:dyDescent="0.25">
      <c r="A385" s="4">
        <v>384</v>
      </c>
      <c r="B385" s="4"/>
      <c r="C385" s="4"/>
      <c r="D385" s="4"/>
      <c r="E385" s="4"/>
      <c r="F385" s="4"/>
    </row>
    <row r="386" spans="1:6" x14ac:dyDescent="0.25">
      <c r="A386" s="4">
        <v>385</v>
      </c>
      <c r="B386" s="4"/>
      <c r="C386" s="4"/>
      <c r="D386" s="4"/>
      <c r="E386" s="4"/>
      <c r="F386" s="4"/>
    </row>
    <row r="387" spans="1:6" x14ac:dyDescent="0.25">
      <c r="A387" s="4">
        <v>386</v>
      </c>
      <c r="B387" s="4"/>
      <c r="C387" s="4"/>
      <c r="D387" s="4"/>
      <c r="E387" s="4"/>
      <c r="F387" s="4"/>
    </row>
    <row r="388" spans="1:6" x14ac:dyDescent="0.25">
      <c r="A388" s="4">
        <v>387</v>
      </c>
      <c r="B388" s="4"/>
      <c r="C388" s="4"/>
      <c r="D388" s="4"/>
      <c r="E388" s="4"/>
      <c r="F388" s="4"/>
    </row>
    <row r="389" spans="1:6" x14ac:dyDescent="0.25">
      <c r="A389" s="4">
        <v>388</v>
      </c>
      <c r="B389" s="4"/>
      <c r="C389" s="4"/>
      <c r="D389" s="4"/>
      <c r="E389" s="4"/>
      <c r="F389" s="4"/>
    </row>
    <row r="390" spans="1:6" x14ac:dyDescent="0.25">
      <c r="A390" s="4">
        <v>389</v>
      </c>
      <c r="B390" s="4"/>
      <c r="C390" s="4"/>
      <c r="D390" s="4"/>
      <c r="E390" s="4"/>
      <c r="F390" s="4"/>
    </row>
    <row r="391" spans="1:6" x14ac:dyDescent="0.25">
      <c r="A391" s="4">
        <v>390</v>
      </c>
      <c r="B391" s="4"/>
      <c r="C391" s="4"/>
      <c r="D391" s="4"/>
      <c r="E391" s="4"/>
      <c r="F391" s="4"/>
    </row>
    <row r="392" spans="1:6" x14ac:dyDescent="0.25">
      <c r="A392" s="4">
        <v>391</v>
      </c>
      <c r="B392" s="4"/>
      <c r="C392" s="4"/>
      <c r="D392" s="4"/>
      <c r="E392" s="4"/>
      <c r="F392" s="4"/>
    </row>
    <row r="393" spans="1:6" x14ac:dyDescent="0.25">
      <c r="A393" s="4">
        <v>392</v>
      </c>
      <c r="B393" s="4"/>
      <c r="C393" s="4"/>
      <c r="D393" s="4"/>
      <c r="E393" s="4"/>
      <c r="F393" s="4"/>
    </row>
    <row r="394" spans="1:6" x14ac:dyDescent="0.25">
      <c r="A394" s="4">
        <v>393</v>
      </c>
      <c r="B394" s="4"/>
      <c r="C394" s="4"/>
      <c r="D394" s="4"/>
      <c r="E394" s="4"/>
      <c r="F394" s="4"/>
    </row>
    <row r="395" spans="1:6" x14ac:dyDescent="0.25">
      <c r="A395" s="4">
        <v>394</v>
      </c>
      <c r="B395" s="4"/>
      <c r="C395" s="4"/>
      <c r="D395" s="4"/>
      <c r="E395" s="4"/>
      <c r="F395" s="4"/>
    </row>
    <row r="396" spans="1:6" x14ac:dyDescent="0.25">
      <c r="A396" s="4">
        <v>395</v>
      </c>
      <c r="B396" s="4"/>
      <c r="C396" s="4"/>
      <c r="D396" s="4"/>
      <c r="E396" s="4"/>
      <c r="F396" s="4"/>
    </row>
    <row r="397" spans="1:6" x14ac:dyDescent="0.25">
      <c r="A397" s="4">
        <v>396</v>
      </c>
      <c r="B397" s="4"/>
      <c r="C397" s="4"/>
      <c r="D397" s="4"/>
      <c r="E397" s="4"/>
      <c r="F397" s="4"/>
    </row>
    <row r="398" spans="1:6" x14ac:dyDescent="0.25">
      <c r="A398" s="4">
        <v>397</v>
      </c>
      <c r="B398" s="4"/>
      <c r="C398" s="4"/>
      <c r="D398" s="4"/>
      <c r="E398" s="4"/>
      <c r="F398" s="4"/>
    </row>
    <row r="399" spans="1:6" x14ac:dyDescent="0.25">
      <c r="A399" s="4">
        <v>398</v>
      </c>
      <c r="B399" s="4"/>
      <c r="C399" s="4"/>
      <c r="D399" s="4"/>
      <c r="E399" s="4"/>
      <c r="F399" s="4"/>
    </row>
    <row r="400" spans="1:6" x14ac:dyDescent="0.25">
      <c r="A400" s="4">
        <v>399</v>
      </c>
      <c r="B400" s="4"/>
      <c r="C400" s="4"/>
      <c r="D400" s="4"/>
      <c r="E400" s="4"/>
      <c r="F400" s="4"/>
    </row>
    <row r="401" spans="1:6" x14ac:dyDescent="0.25">
      <c r="A401" s="4">
        <v>400</v>
      </c>
      <c r="B401" s="4"/>
      <c r="C401" s="4"/>
      <c r="D401" s="4"/>
      <c r="E401" s="4"/>
      <c r="F401" s="4"/>
    </row>
    <row r="402" spans="1:6" x14ac:dyDescent="0.25">
      <c r="A402" s="4">
        <v>401</v>
      </c>
      <c r="B402" s="4"/>
      <c r="C402" s="4"/>
      <c r="D402" s="4"/>
      <c r="E402" s="4"/>
      <c r="F402" s="4"/>
    </row>
    <row r="403" spans="1:6" x14ac:dyDescent="0.25">
      <c r="A403" s="4">
        <v>402</v>
      </c>
      <c r="B403" s="4"/>
      <c r="C403" s="4"/>
      <c r="D403" s="4"/>
      <c r="E403" s="4"/>
      <c r="F403" s="4"/>
    </row>
    <row r="404" spans="1:6" x14ac:dyDescent="0.25">
      <c r="A404" s="4">
        <v>403</v>
      </c>
      <c r="B404" s="4"/>
      <c r="C404" s="4"/>
      <c r="D404" s="4"/>
      <c r="E404" s="4"/>
      <c r="F404" s="4"/>
    </row>
    <row r="405" spans="1:6" x14ac:dyDescent="0.25">
      <c r="A405" s="4">
        <v>404</v>
      </c>
      <c r="B405" s="4"/>
      <c r="C405" s="4"/>
      <c r="D405" s="4"/>
      <c r="E405" s="4"/>
      <c r="F405" s="4"/>
    </row>
    <row r="406" spans="1:6" x14ac:dyDescent="0.25">
      <c r="A406" s="4">
        <v>405</v>
      </c>
      <c r="B406" s="4"/>
      <c r="C406" s="4"/>
      <c r="D406" s="4"/>
      <c r="E406" s="4"/>
      <c r="F406" s="4"/>
    </row>
    <row r="407" spans="1:6" x14ac:dyDescent="0.25">
      <c r="A407" s="4">
        <v>406</v>
      </c>
      <c r="B407" s="4"/>
      <c r="C407" s="4"/>
      <c r="D407" s="4"/>
      <c r="E407" s="4"/>
      <c r="F407" s="4"/>
    </row>
    <row r="408" spans="1:6" x14ac:dyDescent="0.25">
      <c r="A408" s="4">
        <v>407</v>
      </c>
      <c r="B408" s="4"/>
      <c r="C408" s="4"/>
      <c r="D408" s="4"/>
      <c r="E408" s="4"/>
      <c r="F408" s="4"/>
    </row>
    <row r="409" spans="1:6" x14ac:dyDescent="0.25">
      <c r="A409" s="4">
        <v>408</v>
      </c>
      <c r="B409" s="4"/>
      <c r="C409" s="4"/>
      <c r="D409" s="4"/>
      <c r="E409" s="4"/>
      <c r="F409" s="4"/>
    </row>
    <row r="410" spans="1:6" x14ac:dyDescent="0.25">
      <c r="A410" s="4">
        <v>409</v>
      </c>
      <c r="B410" s="4"/>
      <c r="C410" s="4"/>
      <c r="D410" s="4"/>
      <c r="E410" s="4"/>
      <c r="F410" s="4"/>
    </row>
    <row r="411" spans="1:6" x14ac:dyDescent="0.25">
      <c r="A411" s="4">
        <v>410</v>
      </c>
      <c r="B411" s="4"/>
      <c r="C411" s="4"/>
      <c r="D411" s="4"/>
      <c r="E411" s="4"/>
      <c r="F411" s="4"/>
    </row>
    <row r="412" spans="1:6" x14ac:dyDescent="0.25">
      <c r="A412" s="4">
        <v>411</v>
      </c>
      <c r="B412" s="4"/>
      <c r="C412" s="4"/>
      <c r="D412" s="4"/>
      <c r="E412" s="4"/>
      <c r="F412" s="4"/>
    </row>
    <row r="413" spans="1:6" x14ac:dyDescent="0.25">
      <c r="A413" s="4">
        <v>412</v>
      </c>
      <c r="B413" s="4"/>
      <c r="C413" s="4"/>
      <c r="D413" s="4"/>
      <c r="E413" s="4"/>
      <c r="F413" s="4"/>
    </row>
    <row r="414" spans="1:6" x14ac:dyDescent="0.25">
      <c r="A414" s="4">
        <v>413</v>
      </c>
      <c r="B414" s="4"/>
      <c r="C414" s="4"/>
      <c r="D414" s="4"/>
      <c r="E414" s="4"/>
      <c r="F414" s="4"/>
    </row>
    <row r="415" spans="1:6" x14ac:dyDescent="0.25">
      <c r="A415" s="4">
        <v>414</v>
      </c>
      <c r="B415" s="4"/>
      <c r="C415" s="4"/>
      <c r="D415" s="4"/>
      <c r="E415" s="4"/>
      <c r="F415" s="4"/>
    </row>
    <row r="416" spans="1:6" x14ac:dyDescent="0.25">
      <c r="A416" s="4">
        <v>415</v>
      </c>
      <c r="B416" s="4"/>
      <c r="C416" s="4"/>
      <c r="D416" s="4"/>
      <c r="E416" s="4"/>
      <c r="F416" s="4"/>
    </row>
    <row r="417" spans="1:6" x14ac:dyDescent="0.25">
      <c r="A417" s="4">
        <v>416</v>
      </c>
      <c r="B417" s="4"/>
      <c r="C417" s="4"/>
      <c r="D417" s="4"/>
      <c r="E417" s="4"/>
      <c r="F417" s="4"/>
    </row>
    <row r="418" spans="1:6" x14ac:dyDescent="0.25">
      <c r="A418" s="4">
        <v>417</v>
      </c>
      <c r="B418" s="4"/>
      <c r="C418" s="4"/>
      <c r="D418" s="4"/>
      <c r="E418" s="4"/>
      <c r="F418" s="4"/>
    </row>
    <row r="419" spans="1:6" x14ac:dyDescent="0.25">
      <c r="A419" s="4">
        <v>418</v>
      </c>
      <c r="B419" s="4"/>
      <c r="C419" s="4"/>
      <c r="D419" s="4"/>
      <c r="E419" s="4"/>
      <c r="F419" s="4"/>
    </row>
    <row r="420" spans="1:6" x14ac:dyDescent="0.25">
      <c r="A420" s="4">
        <v>419</v>
      </c>
      <c r="B420" s="4"/>
      <c r="C420" s="4"/>
      <c r="D420" s="4"/>
      <c r="E420" s="4"/>
      <c r="F420" s="4"/>
    </row>
    <row r="421" spans="1:6" x14ac:dyDescent="0.25">
      <c r="A421" s="4">
        <v>420</v>
      </c>
      <c r="B421" s="4"/>
      <c r="C421" s="4"/>
      <c r="D421" s="4"/>
      <c r="E421" s="4"/>
      <c r="F421" s="4"/>
    </row>
    <row r="422" spans="1:6" x14ac:dyDescent="0.25">
      <c r="A422" s="4">
        <v>421</v>
      </c>
      <c r="B422" s="4"/>
      <c r="C422" s="4"/>
      <c r="D422" s="4"/>
      <c r="E422" s="4"/>
      <c r="F422" s="4"/>
    </row>
    <row r="423" spans="1:6" x14ac:dyDescent="0.25">
      <c r="A423" s="4">
        <v>422</v>
      </c>
      <c r="B423" s="4"/>
      <c r="C423" s="4"/>
      <c r="D423" s="4"/>
      <c r="E423" s="4"/>
      <c r="F423" s="4"/>
    </row>
    <row r="424" spans="1:6" x14ac:dyDescent="0.25">
      <c r="A424" s="4">
        <v>423</v>
      </c>
      <c r="B424" s="4"/>
      <c r="C424" s="4"/>
      <c r="D424" s="4"/>
      <c r="E424" s="4"/>
      <c r="F424" s="4"/>
    </row>
    <row r="425" spans="1:6" x14ac:dyDescent="0.25">
      <c r="A425" s="4">
        <v>424</v>
      </c>
      <c r="B425" s="4"/>
      <c r="C425" s="4"/>
      <c r="D425" s="4"/>
      <c r="E425" s="4"/>
      <c r="F425" s="4"/>
    </row>
    <row r="426" spans="1:6" x14ac:dyDescent="0.25">
      <c r="A426" s="4">
        <v>425</v>
      </c>
      <c r="B426" s="4"/>
      <c r="C426" s="4"/>
      <c r="D426" s="4"/>
      <c r="E426" s="4"/>
      <c r="F426" s="4"/>
    </row>
    <row r="427" spans="1:6" x14ac:dyDescent="0.25">
      <c r="A427" s="4">
        <v>426</v>
      </c>
      <c r="B427" s="4"/>
      <c r="C427" s="4"/>
      <c r="D427" s="4"/>
      <c r="E427" s="4"/>
      <c r="F427" s="4"/>
    </row>
    <row r="428" spans="1:6" x14ac:dyDescent="0.25">
      <c r="A428" s="4">
        <v>427</v>
      </c>
      <c r="B428" s="4"/>
      <c r="C428" s="4"/>
      <c r="D428" s="4"/>
      <c r="E428" s="4"/>
      <c r="F428" s="4"/>
    </row>
    <row r="429" spans="1:6" x14ac:dyDescent="0.25">
      <c r="A429" s="4">
        <v>428</v>
      </c>
      <c r="B429" s="4"/>
      <c r="C429" s="4"/>
      <c r="D429" s="4"/>
      <c r="E429" s="4"/>
      <c r="F429" s="4"/>
    </row>
    <row r="430" spans="1:6" x14ac:dyDescent="0.25">
      <c r="A430" s="4">
        <v>429</v>
      </c>
      <c r="B430" s="4"/>
      <c r="C430" s="4"/>
      <c r="D430" s="4"/>
      <c r="E430" s="4"/>
      <c r="F430" s="4"/>
    </row>
    <row r="431" spans="1:6" x14ac:dyDescent="0.25">
      <c r="A431" s="4">
        <v>430</v>
      </c>
      <c r="B431" s="4"/>
      <c r="C431" s="4"/>
      <c r="D431" s="4"/>
      <c r="E431" s="4"/>
      <c r="F431" s="4"/>
    </row>
    <row r="432" spans="1:6" x14ac:dyDescent="0.25">
      <c r="A432" s="4">
        <v>431</v>
      </c>
      <c r="B432" s="4"/>
      <c r="C432" s="4"/>
      <c r="D432" s="4"/>
      <c r="E432" s="4"/>
      <c r="F432" s="4"/>
    </row>
    <row r="433" spans="1:6" x14ac:dyDescent="0.25">
      <c r="A433" s="4">
        <v>432</v>
      </c>
      <c r="B433" s="4"/>
      <c r="C433" s="4"/>
      <c r="D433" s="4"/>
      <c r="E433" s="4"/>
      <c r="F433" s="4"/>
    </row>
    <row r="434" spans="1:6" x14ac:dyDescent="0.25">
      <c r="A434" s="4">
        <v>433</v>
      </c>
      <c r="B434" s="4"/>
      <c r="C434" s="4"/>
      <c r="D434" s="4"/>
      <c r="E434" s="4"/>
      <c r="F434" s="4"/>
    </row>
    <row r="435" spans="1:6" x14ac:dyDescent="0.25">
      <c r="A435" s="4">
        <v>434</v>
      </c>
      <c r="B435" s="4"/>
      <c r="C435" s="4"/>
      <c r="D435" s="4"/>
      <c r="E435" s="4"/>
      <c r="F435" s="4"/>
    </row>
    <row r="436" spans="1:6" x14ac:dyDescent="0.25">
      <c r="A436" s="4">
        <v>435</v>
      </c>
      <c r="B436" s="4"/>
      <c r="C436" s="4"/>
      <c r="D436" s="4"/>
      <c r="E436" s="4"/>
      <c r="F436" s="4"/>
    </row>
    <row r="437" spans="1:6" x14ac:dyDescent="0.25">
      <c r="A437" s="4">
        <v>436</v>
      </c>
      <c r="B437" s="4"/>
      <c r="C437" s="4"/>
      <c r="D437" s="4"/>
      <c r="E437" s="4"/>
      <c r="F437" s="4"/>
    </row>
    <row r="438" spans="1:6" x14ac:dyDescent="0.25">
      <c r="A438" s="4">
        <v>437</v>
      </c>
      <c r="B438" s="4"/>
      <c r="C438" s="4"/>
      <c r="D438" s="4"/>
      <c r="E438" s="4"/>
      <c r="F438" s="4"/>
    </row>
    <row r="439" spans="1:6" x14ac:dyDescent="0.25">
      <c r="A439" s="4">
        <v>438</v>
      </c>
      <c r="B439" s="4"/>
      <c r="C439" s="4"/>
      <c r="D439" s="4"/>
      <c r="E439" s="4"/>
      <c r="F439" s="4"/>
    </row>
    <row r="440" spans="1:6" x14ac:dyDescent="0.25">
      <c r="A440" s="4">
        <v>439</v>
      </c>
      <c r="B440" s="4"/>
      <c r="C440" s="4"/>
      <c r="D440" s="4"/>
      <c r="E440" s="4"/>
      <c r="F440" s="4"/>
    </row>
    <row r="441" spans="1:6" x14ac:dyDescent="0.25">
      <c r="A441" s="4">
        <v>440</v>
      </c>
      <c r="B441" s="4"/>
      <c r="C441" s="4"/>
      <c r="D441" s="4"/>
      <c r="E441" s="4"/>
      <c r="F441" s="4"/>
    </row>
    <row r="442" spans="1:6" x14ac:dyDescent="0.25">
      <c r="A442" s="4">
        <v>441</v>
      </c>
      <c r="B442" s="4"/>
      <c r="C442" s="4"/>
      <c r="D442" s="4"/>
      <c r="E442" s="4"/>
      <c r="F442" s="4"/>
    </row>
    <row r="443" spans="1:6" x14ac:dyDescent="0.25">
      <c r="A443" s="4">
        <v>442</v>
      </c>
      <c r="B443" s="4"/>
      <c r="C443" s="4"/>
      <c r="D443" s="4"/>
      <c r="E443" s="4"/>
      <c r="F443" s="4"/>
    </row>
    <row r="444" spans="1:6" x14ac:dyDescent="0.25">
      <c r="A444" s="4">
        <v>443</v>
      </c>
      <c r="B444" s="4"/>
      <c r="C444" s="4"/>
      <c r="D444" s="4"/>
      <c r="E444" s="4"/>
      <c r="F444" s="4"/>
    </row>
    <row r="445" spans="1:6" x14ac:dyDescent="0.25">
      <c r="A445" s="4">
        <v>444</v>
      </c>
      <c r="B445" s="4"/>
      <c r="C445" s="4"/>
      <c r="D445" s="4"/>
      <c r="E445" s="4"/>
      <c r="F445" s="4"/>
    </row>
    <row r="446" spans="1:6" x14ac:dyDescent="0.25">
      <c r="A446" s="4">
        <v>445</v>
      </c>
      <c r="B446" s="4"/>
      <c r="C446" s="4"/>
      <c r="D446" s="4"/>
      <c r="E446" s="4"/>
      <c r="F446" s="4"/>
    </row>
    <row r="447" spans="1:6" x14ac:dyDescent="0.25">
      <c r="A447" s="4">
        <v>446</v>
      </c>
      <c r="B447" s="4"/>
      <c r="C447" s="4"/>
      <c r="D447" s="4"/>
      <c r="E447" s="4"/>
      <c r="F447" s="4"/>
    </row>
    <row r="448" spans="1:6" x14ac:dyDescent="0.25">
      <c r="A448" s="4">
        <v>447</v>
      </c>
      <c r="B448" s="4"/>
      <c r="C448" s="4"/>
      <c r="D448" s="4"/>
      <c r="E448" s="4"/>
      <c r="F448" s="4"/>
    </row>
    <row r="449" spans="1:6" x14ac:dyDescent="0.25">
      <c r="A449" s="4">
        <v>448</v>
      </c>
      <c r="B449" s="4"/>
      <c r="C449" s="4"/>
      <c r="D449" s="4"/>
      <c r="E449" s="4"/>
      <c r="F449" s="4"/>
    </row>
    <row r="450" spans="1:6" x14ac:dyDescent="0.25">
      <c r="A450" s="4">
        <v>449</v>
      </c>
      <c r="B450" s="4"/>
      <c r="C450" s="4"/>
      <c r="D450" s="4"/>
      <c r="E450" s="4"/>
      <c r="F450" s="4"/>
    </row>
    <row r="451" spans="1:6" x14ac:dyDescent="0.25">
      <c r="A451" s="4">
        <v>450</v>
      </c>
      <c r="B451" s="4"/>
      <c r="C451" s="4"/>
      <c r="D451" s="4"/>
      <c r="E451" s="4"/>
      <c r="F451" s="4"/>
    </row>
    <row r="452" spans="1:6" x14ac:dyDescent="0.25">
      <c r="A452" s="4">
        <v>451</v>
      </c>
      <c r="B452" s="4"/>
      <c r="C452" s="4"/>
      <c r="D452" s="4"/>
      <c r="E452" s="4"/>
      <c r="F452" s="4"/>
    </row>
    <row r="453" spans="1:6" x14ac:dyDescent="0.25">
      <c r="A453" s="4">
        <v>452</v>
      </c>
      <c r="B453" s="4"/>
      <c r="C453" s="4"/>
      <c r="D453" s="4"/>
      <c r="E453" s="4"/>
      <c r="F453" s="4"/>
    </row>
    <row r="454" spans="1:6" x14ac:dyDescent="0.25">
      <c r="A454" s="4">
        <v>453</v>
      </c>
      <c r="B454" s="4"/>
      <c r="C454" s="4"/>
      <c r="D454" s="4"/>
      <c r="E454" s="4"/>
      <c r="F454" s="4"/>
    </row>
    <row r="455" spans="1:6" x14ac:dyDescent="0.25">
      <c r="A455" s="4">
        <v>454</v>
      </c>
      <c r="B455" s="4"/>
      <c r="C455" s="4"/>
      <c r="D455" s="4"/>
      <c r="E455" s="4"/>
      <c r="F455" s="4"/>
    </row>
    <row r="456" spans="1:6" x14ac:dyDescent="0.25">
      <c r="A456" s="4">
        <v>455</v>
      </c>
      <c r="B456" s="4"/>
      <c r="C456" s="4"/>
      <c r="D456" s="4"/>
      <c r="E456" s="4"/>
      <c r="F456" s="4"/>
    </row>
    <row r="457" spans="1:6" x14ac:dyDescent="0.25">
      <c r="A457" s="4">
        <v>456</v>
      </c>
      <c r="B457" s="4"/>
      <c r="C457" s="4"/>
      <c r="D457" s="4"/>
      <c r="E457" s="4"/>
      <c r="F457" s="4"/>
    </row>
    <row r="458" spans="1:6" x14ac:dyDescent="0.25">
      <c r="A458" s="4">
        <v>457</v>
      </c>
      <c r="B458" s="4"/>
      <c r="C458" s="4"/>
      <c r="D458" s="4"/>
      <c r="E458" s="4"/>
      <c r="F458" s="4"/>
    </row>
    <row r="459" spans="1:6" x14ac:dyDescent="0.25">
      <c r="A459" s="4">
        <v>458</v>
      </c>
      <c r="B459" s="4"/>
      <c r="C459" s="4"/>
      <c r="D459" s="4"/>
      <c r="E459" s="4"/>
      <c r="F459" s="4"/>
    </row>
    <row r="460" spans="1:6" x14ac:dyDescent="0.25">
      <c r="A460" s="4">
        <v>459</v>
      </c>
      <c r="B460" s="4"/>
      <c r="C460" s="4"/>
      <c r="D460" s="4"/>
      <c r="E460" s="4"/>
      <c r="F460" s="4"/>
    </row>
    <row r="461" spans="1:6" x14ac:dyDescent="0.25">
      <c r="A461" s="4">
        <v>460</v>
      </c>
      <c r="B461" s="4"/>
      <c r="C461" s="4"/>
      <c r="D461" s="4"/>
      <c r="E461" s="4"/>
      <c r="F461" s="4"/>
    </row>
    <row r="462" spans="1:6" x14ac:dyDescent="0.25">
      <c r="A462" s="4">
        <v>461</v>
      </c>
      <c r="B462" s="4"/>
      <c r="C462" s="4"/>
      <c r="D462" s="4"/>
      <c r="E462" s="4"/>
      <c r="F462" s="4"/>
    </row>
    <row r="463" spans="1:6" x14ac:dyDescent="0.25">
      <c r="A463" s="4">
        <v>462</v>
      </c>
      <c r="B463" s="4"/>
      <c r="C463" s="4"/>
      <c r="D463" s="4"/>
      <c r="E463" s="4"/>
      <c r="F463" s="4"/>
    </row>
    <row r="464" spans="1:6" x14ac:dyDescent="0.25">
      <c r="A464" s="4">
        <v>463</v>
      </c>
      <c r="B464" s="4"/>
      <c r="C464" s="4"/>
      <c r="D464" s="4"/>
      <c r="E464" s="4"/>
      <c r="F464" s="4"/>
    </row>
    <row r="465" spans="1:6" x14ac:dyDescent="0.25">
      <c r="A465" s="4">
        <v>464</v>
      </c>
      <c r="B465" s="4"/>
      <c r="C465" s="4"/>
      <c r="D465" s="4"/>
      <c r="E465" s="4"/>
      <c r="F465" s="4"/>
    </row>
    <row r="466" spans="1:6" x14ac:dyDescent="0.25">
      <c r="A466" s="4">
        <v>465</v>
      </c>
      <c r="B466" s="4"/>
      <c r="C466" s="4"/>
      <c r="D466" s="4"/>
      <c r="E466" s="4"/>
      <c r="F466" s="4"/>
    </row>
    <row r="467" spans="1:6" x14ac:dyDescent="0.25">
      <c r="A467" s="4">
        <v>466</v>
      </c>
      <c r="B467" s="4"/>
      <c r="C467" s="4"/>
      <c r="D467" s="4"/>
      <c r="E467" s="4"/>
      <c r="F467" s="4"/>
    </row>
    <row r="468" spans="1:6" x14ac:dyDescent="0.25">
      <c r="A468" s="4">
        <v>467</v>
      </c>
      <c r="B468" s="4"/>
      <c r="C468" s="4"/>
      <c r="D468" s="4"/>
      <c r="E468" s="4"/>
      <c r="F468" s="4"/>
    </row>
    <row r="469" spans="1:6" x14ac:dyDescent="0.25">
      <c r="A469" s="4">
        <v>468</v>
      </c>
      <c r="B469" s="4"/>
      <c r="C469" s="4"/>
      <c r="D469" s="4"/>
      <c r="E469" s="4"/>
      <c r="F469" s="4"/>
    </row>
    <row r="470" spans="1:6" x14ac:dyDescent="0.25">
      <c r="A470" s="4">
        <v>469</v>
      </c>
      <c r="B470" s="4"/>
      <c r="C470" s="4"/>
      <c r="D470" s="4"/>
      <c r="E470" s="4"/>
      <c r="F470" s="4"/>
    </row>
    <row r="471" spans="1:6" x14ac:dyDescent="0.25">
      <c r="A471" s="4">
        <v>470</v>
      </c>
      <c r="B471" s="4"/>
      <c r="C471" s="4"/>
      <c r="D471" s="4"/>
      <c r="E471" s="4"/>
      <c r="F471" s="4"/>
    </row>
    <row r="472" spans="1:6" x14ac:dyDescent="0.25">
      <c r="A472" s="4">
        <v>471</v>
      </c>
      <c r="B472" s="4"/>
      <c r="C472" s="4"/>
      <c r="D472" s="4"/>
      <c r="E472" s="4"/>
      <c r="F472" s="4"/>
    </row>
    <row r="473" spans="1:6" x14ac:dyDescent="0.25">
      <c r="A473" s="4">
        <v>472</v>
      </c>
      <c r="B473" s="4"/>
      <c r="C473" s="4"/>
      <c r="D473" s="4"/>
      <c r="E473" s="4"/>
      <c r="F473" s="4"/>
    </row>
    <row r="474" spans="1:6" x14ac:dyDescent="0.25">
      <c r="A474" s="4">
        <v>473</v>
      </c>
      <c r="B474" s="4"/>
      <c r="C474" s="4"/>
      <c r="D474" s="4"/>
      <c r="E474" s="4"/>
      <c r="F474" s="4"/>
    </row>
    <row r="475" spans="1:6" x14ac:dyDescent="0.25">
      <c r="A475" s="4">
        <v>474</v>
      </c>
      <c r="B475" s="4"/>
      <c r="C475" s="4"/>
      <c r="D475" s="4"/>
      <c r="E475" s="4"/>
      <c r="F475" s="4"/>
    </row>
    <row r="476" spans="1:6" x14ac:dyDescent="0.25">
      <c r="A476" s="4">
        <v>475</v>
      </c>
      <c r="B476" s="4"/>
      <c r="C476" s="4"/>
      <c r="D476" s="4"/>
      <c r="E476" s="4"/>
      <c r="F476" s="4"/>
    </row>
    <row r="477" spans="1:6" x14ac:dyDescent="0.25">
      <c r="A477" s="4">
        <v>476</v>
      </c>
      <c r="B477" s="4"/>
      <c r="C477" s="4"/>
      <c r="D477" s="4"/>
      <c r="E477" s="4"/>
      <c r="F477" s="4"/>
    </row>
    <row r="478" spans="1:6" x14ac:dyDescent="0.25">
      <c r="A478" s="4">
        <v>477</v>
      </c>
      <c r="B478" s="4"/>
      <c r="C478" s="4"/>
      <c r="D478" s="4"/>
      <c r="E478" s="4"/>
      <c r="F478" s="4"/>
    </row>
    <row r="479" spans="1:6" x14ac:dyDescent="0.25">
      <c r="A479" s="4">
        <v>478</v>
      </c>
      <c r="B479" s="4"/>
      <c r="C479" s="4"/>
      <c r="D479" s="4"/>
      <c r="E479" s="4"/>
      <c r="F479" s="4"/>
    </row>
    <row r="480" spans="1:6" x14ac:dyDescent="0.25">
      <c r="A480" s="4">
        <v>479</v>
      </c>
      <c r="B480" s="4"/>
      <c r="C480" s="4"/>
      <c r="D480" s="4"/>
      <c r="E480" s="4"/>
      <c r="F480" s="4"/>
    </row>
    <row r="481" spans="1:6" x14ac:dyDescent="0.25">
      <c r="A481" s="4">
        <v>480</v>
      </c>
      <c r="B481" s="4"/>
      <c r="C481" s="4"/>
      <c r="D481" s="4"/>
      <c r="E481" s="4"/>
      <c r="F481" s="4"/>
    </row>
    <row r="482" spans="1:6" x14ac:dyDescent="0.25">
      <c r="A482" s="4">
        <v>481</v>
      </c>
      <c r="B482" s="4"/>
      <c r="C482" s="4"/>
      <c r="D482" s="4"/>
      <c r="E482" s="4"/>
      <c r="F482" s="4"/>
    </row>
    <row r="483" spans="1:6" x14ac:dyDescent="0.25">
      <c r="A483" s="4">
        <v>482</v>
      </c>
      <c r="B483" s="4"/>
      <c r="C483" s="4"/>
      <c r="D483" s="4"/>
      <c r="E483" s="4"/>
      <c r="F483" s="4"/>
    </row>
    <row r="484" spans="1:6" x14ac:dyDescent="0.25">
      <c r="A484" s="4">
        <v>483</v>
      </c>
      <c r="B484" s="4"/>
      <c r="C484" s="4"/>
      <c r="D484" s="4"/>
      <c r="E484" s="4"/>
      <c r="F484" s="4"/>
    </row>
    <row r="485" spans="1:6" x14ac:dyDescent="0.25">
      <c r="A485" s="4">
        <v>484</v>
      </c>
      <c r="B485" s="4"/>
      <c r="C485" s="4"/>
      <c r="D485" s="4"/>
      <c r="E485" s="4"/>
      <c r="F485" s="4"/>
    </row>
    <row r="486" spans="1:6" x14ac:dyDescent="0.25">
      <c r="A486" s="4">
        <v>485</v>
      </c>
      <c r="B486" s="4"/>
      <c r="C486" s="4"/>
      <c r="D486" s="4"/>
      <c r="E486" s="4"/>
      <c r="F486" s="4"/>
    </row>
    <row r="487" spans="1:6" x14ac:dyDescent="0.25">
      <c r="A487" s="4">
        <v>486</v>
      </c>
      <c r="B487" s="4"/>
      <c r="C487" s="4"/>
      <c r="D487" s="4"/>
      <c r="E487" s="4"/>
      <c r="F487" s="4"/>
    </row>
    <row r="488" spans="1:6" x14ac:dyDescent="0.25">
      <c r="A488" s="4">
        <v>487</v>
      </c>
      <c r="B488" s="4"/>
      <c r="C488" s="4"/>
      <c r="D488" s="4"/>
      <c r="E488" s="4"/>
      <c r="F488" s="4"/>
    </row>
    <row r="489" spans="1:6" x14ac:dyDescent="0.25">
      <c r="A489" s="4">
        <v>488</v>
      </c>
      <c r="B489" s="4"/>
      <c r="C489" s="4"/>
      <c r="D489" s="4"/>
      <c r="E489" s="4"/>
      <c r="F489" s="4"/>
    </row>
    <row r="490" spans="1:6" x14ac:dyDescent="0.25">
      <c r="A490" s="4">
        <v>489</v>
      </c>
      <c r="B490" s="4"/>
      <c r="C490" s="4"/>
      <c r="D490" s="4"/>
      <c r="E490" s="4"/>
      <c r="F490" s="4"/>
    </row>
    <row r="491" spans="1:6" x14ac:dyDescent="0.25">
      <c r="A491" s="4">
        <v>490</v>
      </c>
      <c r="B491" s="4"/>
      <c r="C491" s="4"/>
      <c r="D491" s="4"/>
      <c r="E491" s="4"/>
      <c r="F491" s="4"/>
    </row>
    <row r="492" spans="1:6" x14ac:dyDescent="0.25">
      <c r="A492" s="4">
        <v>491</v>
      </c>
      <c r="B492" s="4"/>
      <c r="C492" s="4"/>
      <c r="D492" s="4"/>
      <c r="E492" s="4"/>
      <c r="F492" s="4"/>
    </row>
    <row r="493" spans="1:6" x14ac:dyDescent="0.25">
      <c r="A493" s="4">
        <v>492</v>
      </c>
      <c r="B493" s="4"/>
      <c r="C493" s="4"/>
      <c r="D493" s="4"/>
      <c r="E493" s="4"/>
      <c r="F493" s="4"/>
    </row>
    <row r="494" spans="1:6" x14ac:dyDescent="0.25">
      <c r="A494" s="4">
        <v>493</v>
      </c>
      <c r="B494" s="4"/>
      <c r="C494" s="4"/>
      <c r="D494" s="4"/>
      <c r="E494" s="4"/>
      <c r="F494" s="4"/>
    </row>
    <row r="495" spans="1:6" x14ac:dyDescent="0.25">
      <c r="A495" s="4">
        <v>494</v>
      </c>
      <c r="B495" s="4"/>
      <c r="C495" s="4"/>
      <c r="D495" s="4"/>
      <c r="E495" s="4"/>
      <c r="F495" s="4"/>
    </row>
    <row r="496" spans="1:6" x14ac:dyDescent="0.25">
      <c r="A496" s="4">
        <v>495</v>
      </c>
      <c r="B496" s="4"/>
      <c r="C496" s="4"/>
      <c r="D496" s="4"/>
      <c r="E496" s="4"/>
      <c r="F496" s="4"/>
    </row>
    <row r="497" spans="1:6" x14ac:dyDescent="0.25">
      <c r="A497" s="4">
        <v>496</v>
      </c>
      <c r="B497" s="4"/>
      <c r="C497" s="4"/>
      <c r="D497" s="4"/>
      <c r="E497" s="4"/>
      <c r="F497" s="4"/>
    </row>
    <row r="498" spans="1:6" x14ac:dyDescent="0.25">
      <c r="A498" s="4">
        <v>497</v>
      </c>
      <c r="B498" s="4"/>
      <c r="C498" s="4"/>
      <c r="D498" s="4"/>
      <c r="E498" s="4"/>
      <c r="F498" s="4"/>
    </row>
    <row r="499" spans="1:6" x14ac:dyDescent="0.25">
      <c r="A499" s="4">
        <v>498</v>
      </c>
      <c r="B499" s="4"/>
      <c r="C499" s="4"/>
      <c r="D499" s="4"/>
      <c r="E499" s="4"/>
      <c r="F499" s="4"/>
    </row>
    <row r="500" spans="1:6" x14ac:dyDescent="0.25">
      <c r="A500" s="4">
        <v>499</v>
      </c>
      <c r="B500" s="4"/>
      <c r="C500" s="4"/>
      <c r="D500" s="4"/>
      <c r="E500" s="4"/>
      <c r="F500" s="4"/>
    </row>
    <row r="501" spans="1:6" x14ac:dyDescent="0.25">
      <c r="A501" s="4">
        <v>500</v>
      </c>
      <c r="B501" s="4"/>
      <c r="C501" s="4"/>
      <c r="D501" s="4"/>
      <c r="E501" s="4"/>
      <c r="F501" s="4"/>
    </row>
    <row r="502" spans="1:6" x14ac:dyDescent="0.25">
      <c r="A502" s="4">
        <v>501</v>
      </c>
      <c r="B502" s="4"/>
      <c r="C502" s="4"/>
      <c r="D502" s="4"/>
      <c r="E502" s="4"/>
      <c r="F502" s="4"/>
    </row>
    <row r="503" spans="1:6" x14ac:dyDescent="0.25">
      <c r="A503" s="4">
        <v>502</v>
      </c>
      <c r="B503" s="4"/>
      <c r="C503" s="4"/>
      <c r="D503" s="4"/>
      <c r="E503" s="4"/>
      <c r="F503" s="4"/>
    </row>
    <row r="504" spans="1:6" x14ac:dyDescent="0.25">
      <c r="A504" s="4">
        <v>503</v>
      </c>
      <c r="B504" s="4"/>
      <c r="C504" s="4"/>
      <c r="D504" s="4"/>
      <c r="E504" s="4"/>
      <c r="F504" s="4"/>
    </row>
    <row r="505" spans="1:6" x14ac:dyDescent="0.25">
      <c r="A505" s="4">
        <v>504</v>
      </c>
      <c r="B505" s="4"/>
      <c r="C505" s="4"/>
      <c r="D505" s="4"/>
      <c r="E505" s="4"/>
      <c r="F505" s="4"/>
    </row>
    <row r="506" spans="1:6" x14ac:dyDescent="0.25">
      <c r="A506" s="4">
        <v>505</v>
      </c>
      <c r="B506" s="4"/>
      <c r="C506" s="4"/>
      <c r="D506" s="4"/>
      <c r="E506" s="4"/>
      <c r="F506" s="4"/>
    </row>
    <row r="507" spans="1:6" x14ac:dyDescent="0.25">
      <c r="A507" s="4">
        <v>506</v>
      </c>
      <c r="B507" s="4"/>
      <c r="C507" s="4"/>
      <c r="D507" s="4"/>
      <c r="E507" s="4"/>
      <c r="F507" s="4"/>
    </row>
    <row r="508" spans="1:6" x14ac:dyDescent="0.25">
      <c r="A508" s="4">
        <v>507</v>
      </c>
      <c r="B508" s="4"/>
      <c r="C508" s="4"/>
      <c r="D508" s="4"/>
      <c r="E508" s="4"/>
      <c r="F508" s="4"/>
    </row>
    <row r="509" spans="1:6" x14ac:dyDescent="0.25">
      <c r="A509" s="4">
        <v>508</v>
      </c>
      <c r="B509" s="4"/>
      <c r="C509" s="4"/>
      <c r="D509" s="4"/>
      <c r="E509" s="4"/>
      <c r="F509" s="4"/>
    </row>
    <row r="510" spans="1:6" x14ac:dyDescent="0.25">
      <c r="A510" s="4">
        <v>509</v>
      </c>
      <c r="B510" s="4"/>
      <c r="C510" s="4"/>
      <c r="D510" s="4"/>
      <c r="E510" s="4"/>
      <c r="F510" s="4"/>
    </row>
    <row r="511" spans="1:6" x14ac:dyDescent="0.25">
      <c r="A511" s="4">
        <v>510</v>
      </c>
      <c r="B511" s="4"/>
      <c r="C511" s="4"/>
      <c r="D511" s="4"/>
      <c r="E511" s="4"/>
      <c r="F511" s="4"/>
    </row>
    <row r="512" spans="1:6" x14ac:dyDescent="0.25">
      <c r="A512" s="4">
        <v>511</v>
      </c>
      <c r="B512" s="4"/>
      <c r="C512" s="4"/>
      <c r="D512" s="4"/>
      <c r="E512" s="4"/>
      <c r="F512" s="4"/>
    </row>
    <row r="513" spans="1:6" x14ac:dyDescent="0.25">
      <c r="A513" s="4">
        <v>512</v>
      </c>
      <c r="B513" s="4"/>
      <c r="C513" s="4"/>
      <c r="D513" s="4"/>
      <c r="E513" s="4"/>
      <c r="F513" s="4"/>
    </row>
    <row r="514" spans="1:6" x14ac:dyDescent="0.25">
      <c r="A514" s="4">
        <v>513</v>
      </c>
      <c r="B514" s="4"/>
      <c r="C514" s="4"/>
      <c r="D514" s="4"/>
      <c r="E514" s="4"/>
      <c r="F514" s="4"/>
    </row>
    <row r="515" spans="1:6" x14ac:dyDescent="0.25">
      <c r="A515" s="4">
        <v>514</v>
      </c>
      <c r="B515" s="4"/>
      <c r="C515" s="4"/>
      <c r="D515" s="4"/>
      <c r="E515" s="4"/>
      <c r="F515" s="4"/>
    </row>
    <row r="516" spans="1:6" x14ac:dyDescent="0.25">
      <c r="A516" s="4">
        <v>515</v>
      </c>
      <c r="B516" s="4"/>
      <c r="C516" s="4"/>
      <c r="D516" s="4"/>
      <c r="E516" s="4"/>
      <c r="F516" s="4"/>
    </row>
    <row r="517" spans="1:6" x14ac:dyDescent="0.25">
      <c r="A517" s="4">
        <v>516</v>
      </c>
      <c r="B517" s="4"/>
      <c r="C517" s="4"/>
      <c r="D517" s="4"/>
      <c r="E517" s="4"/>
      <c r="F517" s="4"/>
    </row>
    <row r="518" spans="1:6" x14ac:dyDescent="0.25">
      <c r="A518" s="4">
        <v>517</v>
      </c>
      <c r="B518" s="4"/>
      <c r="C518" s="4"/>
      <c r="D518" s="4"/>
      <c r="E518" s="4"/>
      <c r="F518" s="4"/>
    </row>
    <row r="519" spans="1:6" x14ac:dyDescent="0.25">
      <c r="A519" s="4">
        <v>518</v>
      </c>
      <c r="B519" s="4"/>
      <c r="C519" s="4"/>
      <c r="D519" s="4"/>
      <c r="E519" s="4"/>
      <c r="F519" s="4"/>
    </row>
    <row r="520" spans="1:6" x14ac:dyDescent="0.25">
      <c r="A520" s="4">
        <v>519</v>
      </c>
      <c r="B520" s="4"/>
      <c r="C520" s="4"/>
      <c r="D520" s="4"/>
      <c r="E520" s="4"/>
      <c r="F520" s="4"/>
    </row>
    <row r="521" spans="1:6" x14ac:dyDescent="0.25">
      <c r="A521" s="4">
        <v>520</v>
      </c>
      <c r="B521" s="4"/>
      <c r="C521" s="4"/>
      <c r="D521" s="4"/>
      <c r="E521" s="4"/>
      <c r="F521" s="4"/>
    </row>
    <row r="522" spans="1:6" x14ac:dyDescent="0.25">
      <c r="A522" s="4">
        <v>521</v>
      </c>
      <c r="B522" s="4"/>
      <c r="C522" s="4"/>
      <c r="D522" s="4"/>
      <c r="E522" s="4"/>
      <c r="F522" s="4"/>
    </row>
    <row r="523" spans="1:6" x14ac:dyDescent="0.25">
      <c r="A523" s="4">
        <v>522</v>
      </c>
      <c r="B523" s="4"/>
      <c r="C523" s="4"/>
      <c r="D523" s="4"/>
      <c r="E523" s="4"/>
      <c r="F523" s="4"/>
    </row>
    <row r="524" spans="1:6" x14ac:dyDescent="0.25">
      <c r="A524" s="4">
        <v>523</v>
      </c>
      <c r="B524" s="4"/>
      <c r="C524" s="4"/>
      <c r="D524" s="4"/>
      <c r="E524" s="4"/>
      <c r="F524" s="4"/>
    </row>
    <row r="525" spans="1:6" x14ac:dyDescent="0.25">
      <c r="A525" s="4">
        <v>524</v>
      </c>
      <c r="B525" s="4"/>
      <c r="C525" s="4"/>
      <c r="D525" s="4"/>
      <c r="E525" s="4"/>
      <c r="F525" s="4"/>
    </row>
    <row r="526" spans="1:6" x14ac:dyDescent="0.25">
      <c r="A526" s="4">
        <v>525</v>
      </c>
      <c r="B526" s="4"/>
      <c r="C526" s="4"/>
      <c r="D526" s="4"/>
      <c r="E526" s="4"/>
      <c r="F526" s="4"/>
    </row>
    <row r="527" spans="1:6" x14ac:dyDescent="0.25">
      <c r="A527" s="4">
        <v>526</v>
      </c>
      <c r="B527" s="4"/>
      <c r="C527" s="4"/>
      <c r="D527" s="4"/>
      <c r="E527" s="4"/>
      <c r="F527" s="4"/>
    </row>
    <row r="528" spans="1:6" x14ac:dyDescent="0.25">
      <c r="A528" s="4">
        <v>527</v>
      </c>
      <c r="B528" s="4"/>
      <c r="C528" s="4"/>
      <c r="D528" s="4"/>
      <c r="E528" s="4"/>
      <c r="F528" s="4"/>
    </row>
    <row r="529" spans="1:6" x14ac:dyDescent="0.25">
      <c r="A529" s="4">
        <v>528</v>
      </c>
      <c r="B529" s="4"/>
      <c r="C529" s="4"/>
      <c r="D529" s="4"/>
      <c r="E529" s="4"/>
      <c r="F529" s="4"/>
    </row>
    <row r="530" spans="1:6" x14ac:dyDescent="0.25">
      <c r="A530" s="4">
        <v>529</v>
      </c>
      <c r="B530" s="4"/>
      <c r="C530" s="4"/>
      <c r="D530" s="4"/>
      <c r="E530" s="4"/>
      <c r="F530" s="4"/>
    </row>
    <row r="531" spans="1:6" x14ac:dyDescent="0.25">
      <c r="A531" s="4">
        <v>530</v>
      </c>
      <c r="B531" s="4"/>
      <c r="C531" s="4"/>
      <c r="D531" s="4"/>
      <c r="E531" s="4"/>
      <c r="F531" s="4"/>
    </row>
    <row r="532" spans="1:6" x14ac:dyDescent="0.25">
      <c r="A532" s="4">
        <v>531</v>
      </c>
      <c r="B532" s="4"/>
      <c r="C532" s="4"/>
      <c r="D532" s="4"/>
      <c r="E532" s="4"/>
      <c r="F532" s="4"/>
    </row>
    <row r="533" spans="1:6" x14ac:dyDescent="0.25">
      <c r="A533" s="4">
        <v>532</v>
      </c>
      <c r="B533" s="4"/>
      <c r="C533" s="4"/>
      <c r="D533" s="4"/>
      <c r="E533" s="4"/>
      <c r="F533" s="4"/>
    </row>
    <row r="534" spans="1:6" x14ac:dyDescent="0.25">
      <c r="A534" s="4">
        <v>533</v>
      </c>
      <c r="B534" s="4"/>
      <c r="C534" s="4"/>
      <c r="D534" s="4"/>
      <c r="E534" s="4"/>
      <c r="F534" s="4"/>
    </row>
    <row r="535" spans="1:6" x14ac:dyDescent="0.25">
      <c r="A535" s="4">
        <v>534</v>
      </c>
      <c r="B535" s="4"/>
      <c r="C535" s="4"/>
      <c r="D535" s="4"/>
      <c r="E535" s="4"/>
      <c r="F535" s="4"/>
    </row>
    <row r="536" spans="1:6" x14ac:dyDescent="0.25">
      <c r="A536" s="4">
        <v>535</v>
      </c>
      <c r="B536" s="4"/>
      <c r="C536" s="4"/>
      <c r="D536" s="4"/>
      <c r="E536" s="4"/>
      <c r="F536" s="4"/>
    </row>
    <row r="537" spans="1:6" x14ac:dyDescent="0.25">
      <c r="A537" s="4">
        <v>536</v>
      </c>
      <c r="B537" s="4"/>
      <c r="C537" s="4"/>
      <c r="D537" s="4"/>
      <c r="E537" s="4"/>
      <c r="F537" s="4"/>
    </row>
    <row r="538" spans="1:6" x14ac:dyDescent="0.25">
      <c r="A538" s="4">
        <v>537</v>
      </c>
      <c r="B538" s="4"/>
      <c r="C538" s="4"/>
      <c r="D538" s="4"/>
      <c r="E538" s="4"/>
      <c r="F538" s="4"/>
    </row>
    <row r="539" spans="1:6" x14ac:dyDescent="0.25">
      <c r="A539" s="4">
        <v>538</v>
      </c>
      <c r="B539" s="4"/>
      <c r="C539" s="4"/>
      <c r="D539" s="4"/>
      <c r="E539" s="4"/>
      <c r="F539" s="4"/>
    </row>
    <row r="540" spans="1:6" x14ac:dyDescent="0.25">
      <c r="A540" s="4">
        <v>539</v>
      </c>
      <c r="B540" s="4"/>
      <c r="C540" s="4"/>
      <c r="D540" s="4"/>
      <c r="E540" s="4"/>
      <c r="F540" s="4"/>
    </row>
    <row r="541" spans="1:6" x14ac:dyDescent="0.25">
      <c r="A541" s="4">
        <v>540</v>
      </c>
      <c r="B541" s="4"/>
      <c r="C541" s="4"/>
      <c r="D541" s="4"/>
      <c r="E541" s="4"/>
      <c r="F541" s="4"/>
    </row>
    <row r="542" spans="1:6" x14ac:dyDescent="0.25">
      <c r="A542" s="4">
        <v>541</v>
      </c>
      <c r="B542" s="4"/>
      <c r="C542" s="4"/>
      <c r="D542" s="4"/>
      <c r="E542" s="4"/>
      <c r="F542" s="4"/>
    </row>
    <row r="543" spans="1:6" x14ac:dyDescent="0.25">
      <c r="A543" s="4">
        <v>542</v>
      </c>
      <c r="B543" s="4"/>
      <c r="C543" s="4"/>
      <c r="D543" s="4"/>
      <c r="E543" s="4"/>
      <c r="F543" s="4"/>
    </row>
    <row r="544" spans="1:6" x14ac:dyDescent="0.25">
      <c r="A544" s="4">
        <v>543</v>
      </c>
      <c r="B544" s="4"/>
      <c r="C544" s="4"/>
      <c r="D544" s="4"/>
      <c r="E544" s="4"/>
      <c r="F544" s="4"/>
    </row>
    <row r="545" spans="1:6" x14ac:dyDescent="0.25">
      <c r="A545" s="4">
        <v>544</v>
      </c>
      <c r="B545" s="4"/>
      <c r="C545" s="4"/>
      <c r="D545" s="4"/>
      <c r="E545" s="4"/>
      <c r="F545" s="4"/>
    </row>
    <row r="546" spans="1:6" x14ac:dyDescent="0.25">
      <c r="A546" s="4">
        <v>545</v>
      </c>
      <c r="B546" s="4"/>
      <c r="C546" s="4"/>
      <c r="D546" s="4"/>
      <c r="E546" s="4"/>
      <c r="F546" s="4"/>
    </row>
    <row r="547" spans="1:6" x14ac:dyDescent="0.25">
      <c r="A547" s="4">
        <v>546</v>
      </c>
      <c r="B547" s="4"/>
      <c r="C547" s="4"/>
      <c r="D547" s="4"/>
      <c r="E547" s="4"/>
      <c r="F547" s="4"/>
    </row>
    <row r="548" spans="1:6" x14ac:dyDescent="0.25">
      <c r="A548" s="4">
        <v>547</v>
      </c>
      <c r="B548" s="4"/>
      <c r="C548" s="4"/>
      <c r="D548" s="4"/>
      <c r="E548" s="4"/>
      <c r="F548" s="4"/>
    </row>
    <row r="549" spans="1:6" x14ac:dyDescent="0.25">
      <c r="A549" s="4">
        <v>548</v>
      </c>
      <c r="B549" s="4"/>
      <c r="C549" s="4"/>
      <c r="D549" s="4"/>
      <c r="E549" s="4"/>
      <c r="F549" s="4"/>
    </row>
    <row r="550" spans="1:6" x14ac:dyDescent="0.25">
      <c r="A550" s="4">
        <v>549</v>
      </c>
      <c r="B550" s="4"/>
      <c r="C550" s="4"/>
      <c r="D550" s="4"/>
      <c r="E550" s="4"/>
      <c r="F550" s="4"/>
    </row>
    <row r="551" spans="1:6" x14ac:dyDescent="0.25">
      <c r="A551" s="4">
        <v>550</v>
      </c>
      <c r="B551" s="4"/>
      <c r="C551" s="4"/>
      <c r="D551" s="4"/>
      <c r="E551" s="4"/>
      <c r="F551" s="4"/>
    </row>
    <row r="552" spans="1:6" x14ac:dyDescent="0.25">
      <c r="A552" s="4">
        <v>551</v>
      </c>
      <c r="B552" s="4"/>
      <c r="C552" s="4"/>
      <c r="D552" s="4"/>
      <c r="E552" s="4"/>
      <c r="F552" s="4"/>
    </row>
    <row r="553" spans="1:6" x14ac:dyDescent="0.25">
      <c r="A553" s="4">
        <v>552</v>
      </c>
      <c r="B553" s="4"/>
      <c r="C553" s="4"/>
      <c r="D553" s="4"/>
      <c r="E553" s="4"/>
      <c r="F553" s="4"/>
    </row>
    <row r="554" spans="1:6" x14ac:dyDescent="0.25">
      <c r="A554" s="4">
        <v>553</v>
      </c>
      <c r="B554" s="4"/>
      <c r="C554" s="4"/>
      <c r="D554" s="4"/>
      <c r="E554" s="4"/>
      <c r="F554" s="4"/>
    </row>
    <row r="555" spans="1:6" x14ac:dyDescent="0.25">
      <c r="A555" s="4">
        <v>554</v>
      </c>
      <c r="B555" s="4"/>
      <c r="C555" s="4"/>
      <c r="D555" s="4"/>
      <c r="E555" s="4"/>
      <c r="F555" s="4"/>
    </row>
    <row r="556" spans="1:6" x14ac:dyDescent="0.25">
      <c r="A556" s="4">
        <v>555</v>
      </c>
      <c r="B556" s="4"/>
      <c r="C556" s="4"/>
      <c r="D556" s="4"/>
      <c r="E556" s="4"/>
      <c r="F556" s="4"/>
    </row>
    <row r="557" spans="1:6" x14ac:dyDescent="0.25">
      <c r="A557" s="4">
        <v>556</v>
      </c>
      <c r="B557" s="4"/>
      <c r="C557" s="4"/>
      <c r="D557" s="4"/>
      <c r="E557" s="4"/>
      <c r="F557" s="4"/>
    </row>
    <row r="558" spans="1:6" x14ac:dyDescent="0.25">
      <c r="A558" s="4">
        <v>557</v>
      </c>
      <c r="B558" s="4"/>
      <c r="C558" s="4"/>
      <c r="D558" s="4"/>
      <c r="E558" s="4"/>
      <c r="F558" s="4"/>
    </row>
    <row r="559" spans="1:6" x14ac:dyDescent="0.25">
      <c r="A559" s="4">
        <v>558</v>
      </c>
      <c r="B559" s="4"/>
      <c r="C559" s="4"/>
      <c r="D559" s="4"/>
      <c r="E559" s="4"/>
      <c r="F559" s="4"/>
    </row>
    <row r="560" spans="1:6" x14ac:dyDescent="0.25">
      <c r="A560" s="4">
        <v>559</v>
      </c>
      <c r="B560" s="4"/>
      <c r="C560" s="4"/>
      <c r="D560" s="4"/>
      <c r="E560" s="4"/>
      <c r="F560" s="4"/>
    </row>
    <row r="561" spans="1:6" x14ac:dyDescent="0.25">
      <c r="A561" s="4">
        <v>560</v>
      </c>
      <c r="B561" s="4"/>
      <c r="C561" s="4"/>
      <c r="D561" s="4"/>
      <c r="E561" s="4"/>
      <c r="F561" s="4"/>
    </row>
    <row r="562" spans="1:6" x14ac:dyDescent="0.25">
      <c r="A562" s="4">
        <v>561</v>
      </c>
      <c r="B562" s="4"/>
      <c r="C562" s="4"/>
      <c r="D562" s="4"/>
      <c r="E562" s="4"/>
      <c r="F562" s="4"/>
    </row>
    <row r="563" spans="1:6" x14ac:dyDescent="0.25">
      <c r="A563" s="4">
        <v>562</v>
      </c>
      <c r="B563" s="4"/>
      <c r="C563" s="4"/>
      <c r="D563" s="4"/>
      <c r="E563" s="4"/>
      <c r="F563" s="4"/>
    </row>
    <row r="564" spans="1:6" x14ac:dyDescent="0.25">
      <c r="A564" s="4">
        <v>563</v>
      </c>
      <c r="B564" s="4"/>
      <c r="C564" s="4"/>
      <c r="D564" s="4"/>
      <c r="E564" s="4"/>
      <c r="F564" s="4"/>
    </row>
    <row r="565" spans="1:6" x14ac:dyDescent="0.25">
      <c r="A565" s="4">
        <v>564</v>
      </c>
      <c r="B565" s="4"/>
      <c r="C565" s="4"/>
      <c r="D565" s="4"/>
      <c r="E565" s="4"/>
      <c r="F565" s="4"/>
    </row>
    <row r="566" spans="1:6" x14ac:dyDescent="0.25">
      <c r="A566" s="4">
        <v>565</v>
      </c>
      <c r="B566" s="4"/>
      <c r="C566" s="4"/>
      <c r="D566" s="4"/>
      <c r="E566" s="4"/>
      <c r="F566" s="4"/>
    </row>
    <row r="567" spans="1:6" x14ac:dyDescent="0.25">
      <c r="A567" s="4">
        <v>566</v>
      </c>
      <c r="B567" s="4"/>
      <c r="C567" s="4"/>
      <c r="D567" s="4"/>
      <c r="E567" s="4"/>
      <c r="F567" s="4"/>
    </row>
    <row r="568" spans="1:6" x14ac:dyDescent="0.25">
      <c r="A568" s="4">
        <v>567</v>
      </c>
      <c r="B568" s="4"/>
      <c r="C568" s="4"/>
      <c r="D568" s="4"/>
      <c r="E568" s="4"/>
      <c r="F568" s="4"/>
    </row>
    <row r="569" spans="1:6" x14ac:dyDescent="0.25">
      <c r="A569" s="4">
        <v>568</v>
      </c>
      <c r="B569" s="4"/>
      <c r="C569" s="4"/>
      <c r="D569" s="4"/>
      <c r="E569" s="4"/>
      <c r="F569" s="4"/>
    </row>
    <row r="570" spans="1:6" x14ac:dyDescent="0.25">
      <c r="A570" s="4">
        <v>569</v>
      </c>
      <c r="B570" s="4"/>
      <c r="C570" s="4"/>
      <c r="D570" s="4"/>
      <c r="E570" s="4"/>
      <c r="F570" s="4"/>
    </row>
    <row r="571" spans="1:6" x14ac:dyDescent="0.25">
      <c r="A571" s="4">
        <v>570</v>
      </c>
      <c r="B571" s="4"/>
      <c r="C571" s="4"/>
      <c r="D571" s="4"/>
      <c r="E571" s="4"/>
      <c r="F571" s="4"/>
    </row>
    <row r="572" spans="1:6" x14ac:dyDescent="0.25">
      <c r="A572" s="4">
        <v>571</v>
      </c>
      <c r="B572" s="4"/>
      <c r="C572" s="4"/>
      <c r="D572" s="4"/>
      <c r="E572" s="4"/>
      <c r="F572" s="4"/>
    </row>
    <row r="573" spans="1:6" x14ac:dyDescent="0.25">
      <c r="A573" s="4">
        <v>572</v>
      </c>
      <c r="B573" s="4"/>
      <c r="C573" s="4"/>
      <c r="D573" s="4"/>
      <c r="E573" s="4"/>
      <c r="F573" s="4"/>
    </row>
    <row r="574" spans="1:6" x14ac:dyDescent="0.25">
      <c r="A574" s="4">
        <v>573</v>
      </c>
      <c r="B574" s="4"/>
      <c r="C574" s="4"/>
      <c r="D574" s="4"/>
      <c r="E574" s="4"/>
      <c r="F574" s="4"/>
    </row>
    <row r="575" spans="1:6" x14ac:dyDescent="0.25">
      <c r="A575" s="4">
        <v>574</v>
      </c>
      <c r="B575" s="4"/>
      <c r="C575" s="4"/>
      <c r="D575" s="4"/>
      <c r="E575" s="4"/>
      <c r="F575" s="4"/>
    </row>
    <row r="576" spans="1:6" x14ac:dyDescent="0.25">
      <c r="A576" s="4">
        <v>575</v>
      </c>
      <c r="B576" s="4"/>
      <c r="C576" s="4"/>
      <c r="D576" s="4"/>
      <c r="E576" s="4"/>
      <c r="F576" s="4"/>
    </row>
    <row r="577" spans="1:6" x14ac:dyDescent="0.25">
      <c r="A577" s="4">
        <v>576</v>
      </c>
      <c r="B577" s="4"/>
      <c r="C577" s="4"/>
      <c r="D577" s="4"/>
      <c r="E577" s="4"/>
      <c r="F577" s="4"/>
    </row>
    <row r="578" spans="1:6" x14ac:dyDescent="0.25">
      <c r="A578" s="4">
        <v>577</v>
      </c>
      <c r="B578" s="4"/>
      <c r="C578" s="4"/>
      <c r="D578" s="4"/>
      <c r="E578" s="4"/>
      <c r="F578" s="4"/>
    </row>
    <row r="579" spans="1:6" x14ac:dyDescent="0.25">
      <c r="A579" s="4">
        <v>578</v>
      </c>
      <c r="B579" s="4"/>
      <c r="C579" s="4"/>
      <c r="D579" s="4"/>
      <c r="E579" s="4"/>
      <c r="F579" s="4"/>
    </row>
    <row r="580" spans="1:6" x14ac:dyDescent="0.25">
      <c r="A580" s="4">
        <v>579</v>
      </c>
      <c r="B580" s="4"/>
      <c r="C580" s="4"/>
      <c r="D580" s="4"/>
      <c r="E580" s="4"/>
      <c r="F580" s="4"/>
    </row>
    <row r="581" spans="1:6" x14ac:dyDescent="0.25">
      <c r="A581" s="4">
        <v>580</v>
      </c>
      <c r="B581" s="4"/>
      <c r="C581" s="4"/>
      <c r="D581" s="4"/>
      <c r="E581" s="4"/>
      <c r="F581" s="4"/>
    </row>
    <row r="582" spans="1:6" x14ac:dyDescent="0.25">
      <c r="A582" s="4">
        <v>581</v>
      </c>
      <c r="B582" s="4"/>
      <c r="C582" s="4"/>
      <c r="D582" s="4"/>
      <c r="E582" s="4"/>
      <c r="F582" s="4"/>
    </row>
    <row r="583" spans="1:6" x14ac:dyDescent="0.25">
      <c r="A583" s="4">
        <v>582</v>
      </c>
      <c r="B583" s="4"/>
      <c r="C583" s="4"/>
      <c r="D583" s="4"/>
      <c r="E583" s="4"/>
      <c r="F583" s="4"/>
    </row>
    <row r="584" spans="1:6" x14ac:dyDescent="0.25">
      <c r="A584" s="4">
        <v>583</v>
      </c>
      <c r="B584" s="4"/>
      <c r="C584" s="4"/>
      <c r="D584" s="4"/>
      <c r="E584" s="4"/>
      <c r="F584" s="4"/>
    </row>
    <row r="585" spans="1:6" x14ac:dyDescent="0.25">
      <c r="A585" s="4">
        <v>584</v>
      </c>
      <c r="B585" s="4"/>
      <c r="C585" s="4"/>
      <c r="D585" s="4"/>
      <c r="E585" s="4"/>
      <c r="F585" s="4"/>
    </row>
    <row r="586" spans="1:6" x14ac:dyDescent="0.25">
      <c r="A586" s="4">
        <v>585</v>
      </c>
      <c r="B586" s="4"/>
      <c r="C586" s="4"/>
      <c r="D586" s="4"/>
      <c r="E586" s="4"/>
      <c r="F586" s="4"/>
    </row>
    <row r="587" spans="1:6" x14ac:dyDescent="0.25">
      <c r="A587" s="4">
        <v>586</v>
      </c>
      <c r="B587" s="4"/>
      <c r="C587" s="4"/>
      <c r="D587" s="4"/>
      <c r="E587" s="4"/>
      <c r="F587" s="4"/>
    </row>
    <row r="588" spans="1:6" x14ac:dyDescent="0.25">
      <c r="A588" s="4">
        <v>587</v>
      </c>
      <c r="B588" s="4"/>
      <c r="C588" s="4"/>
      <c r="D588" s="4"/>
      <c r="E588" s="4"/>
      <c r="F588" s="4"/>
    </row>
    <row r="589" spans="1:6" x14ac:dyDescent="0.25">
      <c r="A589" s="4">
        <v>588</v>
      </c>
      <c r="B589" s="4"/>
      <c r="C589" s="4"/>
      <c r="D589" s="4"/>
      <c r="E589" s="4"/>
      <c r="F589" s="4"/>
    </row>
    <row r="590" spans="1:6" x14ac:dyDescent="0.25">
      <c r="A590" s="4">
        <v>589</v>
      </c>
      <c r="B590" s="4"/>
      <c r="C590" s="4"/>
      <c r="D590" s="4"/>
      <c r="E590" s="4"/>
      <c r="F590" s="4"/>
    </row>
    <row r="591" spans="1:6" x14ac:dyDescent="0.25">
      <c r="A591" s="4">
        <v>590</v>
      </c>
      <c r="B591" s="4"/>
      <c r="C591" s="4"/>
      <c r="D591" s="4"/>
      <c r="E591" s="4"/>
      <c r="F591" s="4"/>
    </row>
    <row r="592" spans="1:6" x14ac:dyDescent="0.25">
      <c r="A592" s="4">
        <v>591</v>
      </c>
      <c r="B592" s="4"/>
      <c r="C592" s="4"/>
      <c r="D592" s="4"/>
      <c r="E592" s="4"/>
      <c r="F592" s="4"/>
    </row>
    <row r="593" spans="1:6" x14ac:dyDescent="0.25">
      <c r="A593" s="4">
        <v>592</v>
      </c>
      <c r="B593" s="4"/>
      <c r="C593" s="4"/>
      <c r="D593" s="4"/>
      <c r="E593" s="4"/>
      <c r="F593" s="4"/>
    </row>
    <row r="594" spans="1:6" x14ac:dyDescent="0.25">
      <c r="A594" s="4">
        <v>593</v>
      </c>
      <c r="B594" s="4"/>
      <c r="C594" s="4"/>
      <c r="D594" s="4"/>
      <c r="E594" s="4"/>
      <c r="F594" s="4"/>
    </row>
    <row r="595" spans="1:6" x14ac:dyDescent="0.25">
      <c r="A595" s="4">
        <v>594</v>
      </c>
      <c r="B595" s="4"/>
      <c r="C595" s="4"/>
      <c r="D595" s="4"/>
      <c r="E595" s="4"/>
      <c r="F595" s="4"/>
    </row>
    <row r="596" spans="1:6" x14ac:dyDescent="0.25">
      <c r="A596" s="4">
        <v>595</v>
      </c>
      <c r="B596" s="4"/>
      <c r="C596" s="4"/>
      <c r="D596" s="4"/>
      <c r="E596" s="4"/>
      <c r="F596" s="4"/>
    </row>
    <row r="597" spans="1:6" x14ac:dyDescent="0.25">
      <c r="A597" s="4">
        <v>596</v>
      </c>
      <c r="B597" s="4"/>
      <c r="C597" s="4"/>
      <c r="D597" s="4"/>
      <c r="E597" s="4"/>
      <c r="F597" s="4"/>
    </row>
    <row r="598" spans="1:6" x14ac:dyDescent="0.25">
      <c r="A598" s="4">
        <v>597</v>
      </c>
      <c r="B598" s="4"/>
      <c r="C598" s="4"/>
      <c r="D598" s="4"/>
      <c r="E598" s="4"/>
      <c r="F598" s="4"/>
    </row>
    <row r="599" spans="1:6" x14ac:dyDescent="0.25">
      <c r="A599" s="4">
        <v>598</v>
      </c>
      <c r="B599" s="4"/>
      <c r="C599" s="4"/>
      <c r="D599" s="4"/>
      <c r="E599" s="4"/>
      <c r="F599" s="4"/>
    </row>
    <row r="600" spans="1:6" x14ac:dyDescent="0.25">
      <c r="A600" s="4">
        <v>599</v>
      </c>
      <c r="B600" s="4"/>
      <c r="C600" s="4"/>
      <c r="D600" s="4"/>
      <c r="E600" s="4"/>
      <c r="F600" s="4"/>
    </row>
    <row r="601" spans="1:6" x14ac:dyDescent="0.25">
      <c r="A601" s="4">
        <v>600</v>
      </c>
      <c r="B601" s="4"/>
      <c r="C601" s="4"/>
      <c r="D601" s="4"/>
      <c r="E601" s="4"/>
      <c r="F601" s="4"/>
    </row>
    <row r="602" spans="1:6" x14ac:dyDescent="0.25">
      <c r="A602" s="4">
        <v>601</v>
      </c>
      <c r="B602" s="4"/>
      <c r="C602" s="4"/>
      <c r="D602" s="4"/>
      <c r="E602" s="4"/>
      <c r="F602" s="4"/>
    </row>
    <row r="603" spans="1:6" x14ac:dyDescent="0.25">
      <c r="A603" s="4">
        <v>602</v>
      </c>
      <c r="B603" s="4"/>
      <c r="C603" s="4"/>
      <c r="D603" s="4"/>
      <c r="E603" s="4"/>
      <c r="F603" s="4"/>
    </row>
    <row r="604" spans="1:6" x14ac:dyDescent="0.25">
      <c r="A604" s="4">
        <v>603</v>
      </c>
      <c r="B604" s="4"/>
      <c r="C604" s="4"/>
      <c r="D604" s="4"/>
      <c r="E604" s="4"/>
      <c r="F604" s="4"/>
    </row>
    <row r="605" spans="1:6" x14ac:dyDescent="0.25">
      <c r="A605" s="4">
        <v>604</v>
      </c>
      <c r="B605" s="4"/>
      <c r="C605" s="4"/>
      <c r="D605" s="4"/>
      <c r="E605" s="4"/>
      <c r="F605" s="4"/>
    </row>
    <row r="606" spans="1:6" x14ac:dyDescent="0.25">
      <c r="A606" s="4">
        <v>605</v>
      </c>
      <c r="B606" s="4"/>
      <c r="C606" s="4"/>
      <c r="D606" s="4"/>
      <c r="E606" s="4"/>
      <c r="F606" s="4"/>
    </row>
    <row r="607" spans="1:6" x14ac:dyDescent="0.25">
      <c r="A607" s="4">
        <v>606</v>
      </c>
      <c r="B607" s="4"/>
      <c r="C607" s="4"/>
      <c r="D607" s="4"/>
      <c r="E607" s="4"/>
      <c r="F607" s="4"/>
    </row>
    <row r="608" spans="1:6" x14ac:dyDescent="0.25">
      <c r="A608" s="4">
        <v>607</v>
      </c>
      <c r="B608" s="4"/>
      <c r="C608" s="4"/>
      <c r="D608" s="4"/>
      <c r="E608" s="4"/>
      <c r="F608" s="4"/>
    </row>
    <row r="609" spans="1:6" x14ac:dyDescent="0.25">
      <c r="A609" s="4">
        <v>608</v>
      </c>
      <c r="B609" s="4"/>
      <c r="C609" s="4"/>
      <c r="D609" s="4"/>
      <c r="E609" s="4"/>
      <c r="F609" s="4"/>
    </row>
    <row r="610" spans="1:6" x14ac:dyDescent="0.25">
      <c r="A610" s="4">
        <v>609</v>
      </c>
      <c r="B610" s="4"/>
      <c r="C610" s="4"/>
      <c r="D610" s="4"/>
      <c r="E610" s="4"/>
      <c r="F610" s="4"/>
    </row>
    <row r="611" spans="1:6" x14ac:dyDescent="0.25">
      <c r="A611" s="4">
        <v>610</v>
      </c>
      <c r="B611" s="4"/>
      <c r="C611" s="4"/>
      <c r="D611" s="4"/>
      <c r="E611" s="4"/>
      <c r="F611" s="4"/>
    </row>
    <row r="612" spans="1:6" x14ac:dyDescent="0.25">
      <c r="A612" s="4">
        <v>611</v>
      </c>
      <c r="B612" s="4"/>
      <c r="C612" s="4"/>
      <c r="D612" s="4"/>
      <c r="E612" s="4"/>
      <c r="F612" s="4"/>
    </row>
    <row r="613" spans="1:6" x14ac:dyDescent="0.25">
      <c r="A613" s="4">
        <v>612</v>
      </c>
      <c r="B613" s="4"/>
      <c r="C613" s="4"/>
      <c r="D613" s="4"/>
      <c r="E613" s="4"/>
      <c r="F613" s="4"/>
    </row>
    <row r="614" spans="1:6" x14ac:dyDescent="0.25">
      <c r="A614" s="4">
        <v>613</v>
      </c>
      <c r="B614" s="4"/>
      <c r="C614" s="4"/>
      <c r="D614" s="4"/>
      <c r="E614" s="4"/>
      <c r="F614" s="4"/>
    </row>
    <row r="615" spans="1:6" x14ac:dyDescent="0.25">
      <c r="A615" s="4">
        <v>614</v>
      </c>
      <c r="B615" s="4"/>
      <c r="C615" s="4"/>
      <c r="D615" s="4"/>
      <c r="E615" s="4"/>
      <c r="F615" s="4"/>
    </row>
    <row r="616" spans="1:6" x14ac:dyDescent="0.25">
      <c r="A616" s="4">
        <v>615</v>
      </c>
      <c r="B616" s="4"/>
      <c r="C616" s="4"/>
      <c r="D616" s="4"/>
      <c r="E616" s="4"/>
      <c r="F616" s="4"/>
    </row>
    <row r="617" spans="1:6" x14ac:dyDescent="0.25">
      <c r="A617" s="4">
        <v>616</v>
      </c>
      <c r="B617" s="4"/>
      <c r="C617" s="4"/>
      <c r="D617" s="4"/>
      <c r="E617" s="4"/>
      <c r="F617" s="4"/>
    </row>
    <row r="618" spans="1:6" x14ac:dyDescent="0.25">
      <c r="A618" s="4">
        <v>617</v>
      </c>
      <c r="B618" s="4"/>
      <c r="C618" s="4"/>
      <c r="D618" s="4"/>
      <c r="E618" s="4"/>
      <c r="F618" s="4"/>
    </row>
    <row r="619" spans="1:6" x14ac:dyDescent="0.25">
      <c r="A619" s="4">
        <v>618</v>
      </c>
      <c r="B619" s="4"/>
      <c r="C619" s="4"/>
      <c r="D619" s="4"/>
      <c r="E619" s="4"/>
      <c r="F619" s="4"/>
    </row>
    <row r="620" spans="1:6" x14ac:dyDescent="0.25">
      <c r="A620" s="4">
        <v>619</v>
      </c>
      <c r="B620" s="4"/>
      <c r="C620" s="4"/>
      <c r="D620" s="4"/>
      <c r="E620" s="4"/>
      <c r="F620" s="4"/>
    </row>
    <row r="621" spans="1:6" x14ac:dyDescent="0.25">
      <c r="A621" s="4">
        <v>620</v>
      </c>
      <c r="B621" s="4"/>
      <c r="C621" s="4"/>
      <c r="D621" s="4"/>
      <c r="E621" s="4"/>
      <c r="F621" s="4"/>
    </row>
    <row r="622" spans="1:6" x14ac:dyDescent="0.25">
      <c r="A622" s="4">
        <v>621</v>
      </c>
      <c r="B622" s="4"/>
      <c r="C622" s="4"/>
      <c r="D622" s="4"/>
      <c r="E622" s="4"/>
      <c r="F622" s="4"/>
    </row>
    <row r="623" spans="1:6" x14ac:dyDescent="0.25">
      <c r="A623" s="4">
        <v>622</v>
      </c>
      <c r="B623" s="4"/>
      <c r="C623" s="4"/>
      <c r="D623" s="4"/>
      <c r="E623" s="4"/>
      <c r="F623" s="4"/>
    </row>
    <row r="624" spans="1:6" x14ac:dyDescent="0.25">
      <c r="A624" s="4">
        <v>623</v>
      </c>
      <c r="B624" s="4"/>
      <c r="C624" s="4"/>
      <c r="D624" s="4"/>
      <c r="E624" s="4"/>
      <c r="F624" s="4"/>
    </row>
    <row r="625" spans="1:6" x14ac:dyDescent="0.25">
      <c r="A625" s="4">
        <v>624</v>
      </c>
      <c r="B625" s="4"/>
      <c r="C625" s="4"/>
      <c r="D625" s="4"/>
      <c r="E625" s="4"/>
      <c r="F625" s="4"/>
    </row>
    <row r="626" spans="1:6" x14ac:dyDescent="0.25">
      <c r="A626" s="4">
        <v>625</v>
      </c>
      <c r="B626" s="4"/>
      <c r="C626" s="4"/>
      <c r="D626" s="4"/>
      <c r="E626" s="4"/>
      <c r="F626" s="4"/>
    </row>
    <row r="627" spans="1:6" x14ac:dyDescent="0.25">
      <c r="A627" s="4">
        <v>626</v>
      </c>
      <c r="B627" s="4"/>
      <c r="C627" s="4"/>
      <c r="D627" s="4"/>
      <c r="E627" s="4"/>
      <c r="F627" s="4"/>
    </row>
    <row r="628" spans="1:6" x14ac:dyDescent="0.25">
      <c r="A628" s="4">
        <v>627</v>
      </c>
      <c r="B628" s="4"/>
      <c r="C628" s="4"/>
      <c r="D628" s="4"/>
      <c r="E628" s="4"/>
      <c r="F628" s="4"/>
    </row>
    <row r="629" spans="1:6" x14ac:dyDescent="0.25">
      <c r="A629" s="4">
        <v>628</v>
      </c>
      <c r="B629" s="4"/>
      <c r="C629" s="4"/>
      <c r="D629" s="4"/>
      <c r="E629" s="4"/>
      <c r="F629" s="4"/>
    </row>
    <row r="630" spans="1:6" x14ac:dyDescent="0.25">
      <c r="A630" s="4">
        <v>629</v>
      </c>
      <c r="B630" s="4"/>
      <c r="C630" s="4"/>
      <c r="D630" s="4"/>
      <c r="E630" s="4"/>
      <c r="F630" s="4"/>
    </row>
    <row r="631" spans="1:6" x14ac:dyDescent="0.25">
      <c r="A631" s="4">
        <v>630</v>
      </c>
      <c r="B631" s="4"/>
      <c r="C631" s="4"/>
      <c r="D631" s="4"/>
      <c r="E631" s="4"/>
      <c r="F631" s="4"/>
    </row>
    <row r="632" spans="1:6" x14ac:dyDescent="0.25">
      <c r="A632" s="4">
        <v>631</v>
      </c>
      <c r="B632" s="4"/>
      <c r="C632" s="4"/>
      <c r="D632" s="4"/>
      <c r="E632" s="4"/>
      <c r="F632" s="4"/>
    </row>
    <row r="633" spans="1:6" x14ac:dyDescent="0.25">
      <c r="A633" s="4">
        <v>632</v>
      </c>
      <c r="B633" s="4"/>
      <c r="C633" s="4"/>
      <c r="D633" s="4"/>
      <c r="E633" s="4"/>
      <c r="F633" s="4"/>
    </row>
    <row r="634" spans="1:6" x14ac:dyDescent="0.25">
      <c r="A634" s="4">
        <v>633</v>
      </c>
      <c r="B634" s="4"/>
      <c r="C634" s="4"/>
      <c r="D634" s="4"/>
      <c r="E634" s="4"/>
      <c r="F634" s="4"/>
    </row>
    <row r="635" spans="1:6" x14ac:dyDescent="0.25">
      <c r="A635" s="4">
        <v>634</v>
      </c>
      <c r="B635" s="4"/>
      <c r="C635" s="4"/>
      <c r="D635" s="4"/>
      <c r="E635" s="4"/>
      <c r="F635" s="4"/>
    </row>
    <row r="636" spans="1:6" x14ac:dyDescent="0.25">
      <c r="A636" s="4">
        <v>635</v>
      </c>
      <c r="B636" s="4"/>
      <c r="C636" s="4"/>
      <c r="D636" s="4"/>
      <c r="E636" s="4"/>
      <c r="F636" s="4"/>
    </row>
    <row r="637" spans="1:6" x14ac:dyDescent="0.25">
      <c r="A637" s="4">
        <v>636</v>
      </c>
      <c r="B637" s="4"/>
      <c r="C637" s="4"/>
      <c r="D637" s="4"/>
      <c r="E637" s="4"/>
      <c r="F637" s="4"/>
    </row>
    <row r="638" spans="1:6" x14ac:dyDescent="0.25">
      <c r="A638" s="4">
        <v>637</v>
      </c>
      <c r="B638" s="4"/>
      <c r="C638" s="4"/>
      <c r="D638" s="4"/>
      <c r="E638" s="4"/>
      <c r="F638" s="4"/>
    </row>
    <row r="639" spans="1:6" x14ac:dyDescent="0.25">
      <c r="A639" s="4">
        <v>638</v>
      </c>
      <c r="B639" s="4"/>
      <c r="C639" s="4"/>
      <c r="D639" s="4"/>
      <c r="E639" s="4"/>
      <c r="F639" s="4"/>
    </row>
    <row r="640" spans="1:6" x14ac:dyDescent="0.25">
      <c r="A640" s="4">
        <v>639</v>
      </c>
      <c r="B640" s="4"/>
      <c r="C640" s="4"/>
      <c r="D640" s="4"/>
      <c r="E640" s="4"/>
      <c r="F640" s="4"/>
    </row>
    <row r="641" spans="1:6" x14ac:dyDescent="0.25">
      <c r="A641" s="4">
        <v>640</v>
      </c>
      <c r="B641" s="4"/>
      <c r="C641" s="4"/>
      <c r="D641" s="4"/>
      <c r="E641" s="4"/>
      <c r="F641" s="4"/>
    </row>
    <row r="642" spans="1:6" x14ac:dyDescent="0.25">
      <c r="A642" s="4">
        <v>641</v>
      </c>
      <c r="B642" s="4"/>
      <c r="C642" s="4"/>
      <c r="D642" s="4"/>
      <c r="E642" s="4"/>
      <c r="F642" s="4"/>
    </row>
    <row r="643" spans="1:6" x14ac:dyDescent="0.25">
      <c r="A643" s="4">
        <v>642</v>
      </c>
      <c r="B643" s="4"/>
      <c r="C643" s="4"/>
      <c r="D643" s="4"/>
      <c r="E643" s="4"/>
      <c r="F643" s="4"/>
    </row>
    <row r="644" spans="1:6" x14ac:dyDescent="0.25">
      <c r="A644" s="4">
        <v>643</v>
      </c>
      <c r="B644" s="4"/>
      <c r="C644" s="4"/>
      <c r="D644" s="4"/>
      <c r="E644" s="4"/>
      <c r="F644" s="4"/>
    </row>
    <row r="645" spans="1:6" x14ac:dyDescent="0.25">
      <c r="A645" s="4">
        <v>644</v>
      </c>
      <c r="B645" s="4"/>
      <c r="C645" s="4"/>
      <c r="D645" s="4"/>
      <c r="E645" s="4"/>
      <c r="F645" s="4"/>
    </row>
    <row r="646" spans="1:6" x14ac:dyDescent="0.25">
      <c r="A646" s="4">
        <v>645</v>
      </c>
      <c r="B646" s="4"/>
      <c r="C646" s="4"/>
      <c r="D646" s="4"/>
      <c r="E646" s="4"/>
      <c r="F646" s="4"/>
    </row>
    <row r="647" spans="1:6" x14ac:dyDescent="0.25">
      <c r="A647" s="4">
        <v>646</v>
      </c>
      <c r="B647" s="4"/>
      <c r="C647" s="4"/>
      <c r="D647" s="4"/>
      <c r="E647" s="4"/>
      <c r="F647" s="4"/>
    </row>
    <row r="648" spans="1:6" x14ac:dyDescent="0.25">
      <c r="A648" s="4">
        <v>647</v>
      </c>
      <c r="B648" s="4"/>
      <c r="C648" s="4"/>
      <c r="D648" s="4"/>
      <c r="E648" s="4"/>
      <c r="F648" s="4"/>
    </row>
    <row r="649" spans="1:6" x14ac:dyDescent="0.25">
      <c r="A649" s="4">
        <v>648</v>
      </c>
      <c r="B649" s="4"/>
      <c r="C649" s="4"/>
      <c r="D649" s="4"/>
      <c r="E649" s="4"/>
      <c r="F649" s="4"/>
    </row>
    <row r="650" spans="1:6" x14ac:dyDescent="0.25">
      <c r="A650" s="4">
        <v>649</v>
      </c>
      <c r="B650" s="4"/>
      <c r="C650" s="4"/>
      <c r="D650" s="4"/>
      <c r="E650" s="4"/>
      <c r="F650" s="4"/>
    </row>
    <row r="651" spans="1:6" x14ac:dyDescent="0.25">
      <c r="A651" s="4">
        <v>650</v>
      </c>
      <c r="B651" s="4"/>
      <c r="C651" s="4"/>
      <c r="D651" s="4"/>
      <c r="E651" s="4"/>
      <c r="F651" s="4"/>
    </row>
    <row r="652" spans="1:6" x14ac:dyDescent="0.25">
      <c r="A652" s="4">
        <v>651</v>
      </c>
      <c r="B652" s="4"/>
      <c r="C652" s="4"/>
      <c r="D652" s="4"/>
      <c r="E652" s="4"/>
      <c r="F652" s="4"/>
    </row>
    <row r="653" spans="1:6" x14ac:dyDescent="0.25">
      <c r="A653" s="4">
        <v>652</v>
      </c>
      <c r="B653" s="4"/>
      <c r="C653" s="4"/>
      <c r="D653" s="4"/>
      <c r="E653" s="4"/>
      <c r="F653" s="4"/>
    </row>
    <row r="654" spans="1:6" x14ac:dyDescent="0.25">
      <c r="A654" s="4">
        <v>653</v>
      </c>
      <c r="B654" s="4"/>
      <c r="C654" s="4"/>
      <c r="D654" s="4"/>
      <c r="E654" s="4"/>
      <c r="F654" s="4"/>
    </row>
    <row r="655" spans="1:6" x14ac:dyDescent="0.25">
      <c r="A655" s="4">
        <v>654</v>
      </c>
      <c r="B655" s="4"/>
      <c r="C655" s="4"/>
      <c r="D655" s="4"/>
      <c r="E655" s="4"/>
      <c r="F655" s="4"/>
    </row>
    <row r="656" spans="1:6" x14ac:dyDescent="0.25">
      <c r="A656" s="4">
        <v>655</v>
      </c>
      <c r="B656" s="4"/>
      <c r="C656" s="4"/>
      <c r="D656" s="4"/>
      <c r="E656" s="4"/>
      <c r="F656" s="4"/>
    </row>
    <row r="657" spans="1:6" x14ac:dyDescent="0.25">
      <c r="A657" s="4">
        <v>656</v>
      </c>
      <c r="B657" s="4"/>
      <c r="C657" s="4"/>
      <c r="D657" s="4"/>
      <c r="E657" s="4"/>
      <c r="F657" s="4"/>
    </row>
    <row r="658" spans="1:6" x14ac:dyDescent="0.25">
      <c r="A658" s="4">
        <v>657</v>
      </c>
      <c r="B658" s="4"/>
      <c r="C658" s="4"/>
      <c r="D658" s="4"/>
      <c r="E658" s="4"/>
      <c r="F658" s="4"/>
    </row>
    <row r="659" spans="1:6" x14ac:dyDescent="0.25">
      <c r="A659" s="4">
        <v>658</v>
      </c>
      <c r="B659" s="4"/>
      <c r="C659" s="4"/>
      <c r="D659" s="4"/>
      <c r="E659" s="4"/>
      <c r="F659" s="4"/>
    </row>
    <row r="660" spans="1:6" x14ac:dyDescent="0.25">
      <c r="A660" s="4">
        <v>659</v>
      </c>
      <c r="B660" s="4"/>
      <c r="C660" s="4"/>
      <c r="D660" s="4"/>
      <c r="E660" s="4"/>
      <c r="F660" s="4"/>
    </row>
    <row r="661" spans="1:6" x14ac:dyDescent="0.25">
      <c r="A661" s="4">
        <v>660</v>
      </c>
      <c r="B661" s="4"/>
      <c r="C661" s="4"/>
      <c r="D661" s="4"/>
      <c r="E661" s="4"/>
      <c r="F661" s="4"/>
    </row>
    <row r="662" spans="1:6" x14ac:dyDescent="0.25">
      <c r="A662" s="4">
        <v>661</v>
      </c>
      <c r="B662" s="4"/>
      <c r="C662" s="4"/>
      <c r="D662" s="4"/>
      <c r="E662" s="4"/>
      <c r="F662" s="4"/>
    </row>
    <row r="663" spans="1:6" x14ac:dyDescent="0.25">
      <c r="A663" s="4">
        <v>662</v>
      </c>
      <c r="B663" s="4"/>
      <c r="C663" s="4"/>
      <c r="D663" s="4"/>
      <c r="E663" s="4"/>
      <c r="F663" s="4"/>
    </row>
    <row r="664" spans="1:6" x14ac:dyDescent="0.25">
      <c r="A664" s="4">
        <v>663</v>
      </c>
      <c r="B664" s="4"/>
      <c r="C664" s="4"/>
      <c r="D664" s="4"/>
      <c r="E664" s="4"/>
      <c r="F664" s="4"/>
    </row>
    <row r="665" spans="1:6" x14ac:dyDescent="0.25">
      <c r="A665" s="4">
        <v>664</v>
      </c>
      <c r="B665" s="4"/>
      <c r="C665" s="4"/>
      <c r="D665" s="4"/>
      <c r="E665" s="4"/>
      <c r="F665" s="4"/>
    </row>
    <row r="666" spans="1:6" x14ac:dyDescent="0.25">
      <c r="A666" s="4">
        <v>665</v>
      </c>
      <c r="B666" s="4"/>
      <c r="C666" s="4"/>
      <c r="D666" s="4"/>
      <c r="E666" s="4"/>
      <c r="F666" s="4"/>
    </row>
    <row r="667" spans="1:6" x14ac:dyDescent="0.25">
      <c r="A667" s="4">
        <v>666</v>
      </c>
      <c r="B667" s="4"/>
      <c r="C667" s="4"/>
      <c r="D667" s="4"/>
      <c r="E667" s="4"/>
      <c r="F667" s="4"/>
    </row>
    <row r="668" spans="1:6" x14ac:dyDescent="0.25">
      <c r="A668" s="4">
        <v>667</v>
      </c>
      <c r="B668" s="4"/>
      <c r="C668" s="4"/>
      <c r="D668" s="4"/>
      <c r="E668" s="4"/>
      <c r="F668" s="4"/>
    </row>
    <row r="669" spans="1:6" x14ac:dyDescent="0.25">
      <c r="A669" s="4">
        <v>668</v>
      </c>
      <c r="B669" s="4"/>
      <c r="C669" s="4"/>
      <c r="D669" s="4"/>
      <c r="E669" s="4"/>
      <c r="F669" s="4"/>
    </row>
    <row r="670" spans="1:6" x14ac:dyDescent="0.25">
      <c r="A670" s="4">
        <v>669</v>
      </c>
      <c r="B670" s="4"/>
      <c r="C670" s="4"/>
      <c r="D670" s="4"/>
      <c r="E670" s="4"/>
      <c r="F670" s="4"/>
    </row>
    <row r="671" spans="1:6" x14ac:dyDescent="0.25">
      <c r="A671" s="4">
        <v>670</v>
      </c>
      <c r="B671" s="4"/>
      <c r="C671" s="4"/>
      <c r="D671" s="4"/>
      <c r="E671" s="4"/>
      <c r="F671" s="4"/>
    </row>
    <row r="672" spans="1:6" x14ac:dyDescent="0.25">
      <c r="A672" s="4">
        <v>671</v>
      </c>
      <c r="B672" s="4"/>
      <c r="C672" s="4"/>
      <c r="D672" s="4"/>
      <c r="E672" s="4"/>
      <c r="F672" s="4"/>
    </row>
    <row r="673" spans="1:6" x14ac:dyDescent="0.25">
      <c r="A673" s="4">
        <v>672</v>
      </c>
      <c r="B673" s="4"/>
      <c r="C673" s="4"/>
      <c r="D673" s="4"/>
      <c r="E673" s="4"/>
      <c r="F673" s="4"/>
    </row>
    <row r="674" spans="1:6" x14ac:dyDescent="0.25">
      <c r="A674" s="4">
        <v>673</v>
      </c>
      <c r="B674" s="4"/>
      <c r="C674" s="4"/>
      <c r="D674" s="4"/>
      <c r="E674" s="4"/>
      <c r="F674" s="4"/>
    </row>
    <row r="675" spans="1:6" x14ac:dyDescent="0.25">
      <c r="A675" s="4">
        <v>674</v>
      </c>
      <c r="B675" s="4"/>
      <c r="C675" s="4"/>
      <c r="D675" s="4"/>
      <c r="E675" s="4"/>
      <c r="F675" s="4"/>
    </row>
    <row r="676" spans="1:6" x14ac:dyDescent="0.25">
      <c r="A676" s="4">
        <v>675</v>
      </c>
      <c r="B676" s="4"/>
      <c r="C676" s="4"/>
      <c r="D676" s="4"/>
      <c r="E676" s="4"/>
      <c r="F676" s="4"/>
    </row>
    <row r="677" spans="1:6" x14ac:dyDescent="0.25">
      <c r="A677" s="4">
        <v>676</v>
      </c>
      <c r="B677" s="4"/>
      <c r="C677" s="4"/>
      <c r="D677" s="4"/>
      <c r="E677" s="4"/>
      <c r="F677" s="4"/>
    </row>
    <row r="678" spans="1:6" x14ac:dyDescent="0.25">
      <c r="A678" s="4">
        <v>677</v>
      </c>
      <c r="B678" s="4"/>
      <c r="C678" s="4"/>
      <c r="D678" s="4"/>
      <c r="E678" s="4"/>
      <c r="F678" s="4"/>
    </row>
    <row r="679" spans="1:6" x14ac:dyDescent="0.25">
      <c r="A679" s="4">
        <v>678</v>
      </c>
      <c r="B679" s="4"/>
      <c r="C679" s="4"/>
      <c r="D679" s="4"/>
      <c r="E679" s="4"/>
      <c r="F679" s="4"/>
    </row>
    <row r="680" spans="1:6" x14ac:dyDescent="0.25">
      <c r="A680" s="4">
        <v>679</v>
      </c>
      <c r="B680" s="4"/>
      <c r="C680" s="4"/>
      <c r="D680" s="4"/>
      <c r="E680" s="4"/>
      <c r="F680" s="4"/>
    </row>
    <row r="681" spans="1:6" x14ac:dyDescent="0.25">
      <c r="A681" s="4">
        <v>680</v>
      </c>
      <c r="B681" s="4"/>
      <c r="C681" s="4"/>
      <c r="D681" s="4"/>
      <c r="E681" s="4"/>
      <c r="F681" s="4"/>
    </row>
    <row r="682" spans="1:6" x14ac:dyDescent="0.25">
      <c r="A682" s="4">
        <v>681</v>
      </c>
      <c r="B682" s="4"/>
      <c r="C682" s="4"/>
      <c r="D682" s="4"/>
      <c r="E682" s="4"/>
      <c r="F682" s="4"/>
    </row>
    <row r="683" spans="1:6" x14ac:dyDescent="0.25">
      <c r="A683" s="4">
        <v>682</v>
      </c>
      <c r="B683" s="4"/>
      <c r="C683" s="4"/>
      <c r="D683" s="4"/>
      <c r="E683" s="4"/>
      <c r="F683" s="4"/>
    </row>
    <row r="684" spans="1:6" x14ac:dyDescent="0.25">
      <c r="A684" s="4">
        <v>683</v>
      </c>
      <c r="B684" s="4"/>
      <c r="C684" s="4"/>
      <c r="D684" s="4"/>
      <c r="E684" s="4"/>
      <c r="F684" s="4"/>
    </row>
    <row r="685" spans="1:6" x14ac:dyDescent="0.25">
      <c r="A685" s="4">
        <v>684</v>
      </c>
      <c r="B685" s="4"/>
      <c r="C685" s="4"/>
      <c r="D685" s="4"/>
      <c r="E685" s="4"/>
      <c r="F685" s="4"/>
    </row>
    <row r="686" spans="1:6" x14ac:dyDescent="0.25">
      <c r="A686" s="4">
        <v>685</v>
      </c>
      <c r="B686" s="4"/>
      <c r="C686" s="4"/>
      <c r="D686" s="4"/>
      <c r="E686" s="4"/>
      <c r="F686" s="4"/>
    </row>
    <row r="687" spans="1:6" x14ac:dyDescent="0.25">
      <c r="A687" s="4">
        <v>686</v>
      </c>
      <c r="B687" s="4"/>
      <c r="C687" s="4"/>
      <c r="D687" s="4"/>
      <c r="E687" s="4"/>
      <c r="F687" s="4"/>
    </row>
    <row r="688" spans="1:6" x14ac:dyDescent="0.25">
      <c r="A688" s="4">
        <v>687</v>
      </c>
      <c r="B688" s="4"/>
      <c r="C688" s="4"/>
      <c r="D688" s="4"/>
      <c r="E688" s="4"/>
      <c r="F688" s="4"/>
    </row>
    <row r="689" spans="1:6" x14ac:dyDescent="0.25">
      <c r="A689" s="4">
        <v>688</v>
      </c>
      <c r="B689" s="4"/>
      <c r="C689" s="4"/>
      <c r="D689" s="4"/>
      <c r="E689" s="4"/>
      <c r="F689" s="4"/>
    </row>
    <row r="690" spans="1:6" x14ac:dyDescent="0.25">
      <c r="A690" s="4">
        <v>689</v>
      </c>
      <c r="B690" s="4"/>
      <c r="C690" s="4"/>
      <c r="D690" s="4"/>
      <c r="E690" s="4"/>
      <c r="F690" s="4"/>
    </row>
    <row r="691" spans="1:6" x14ac:dyDescent="0.25">
      <c r="A691" s="4">
        <v>690</v>
      </c>
      <c r="B691" s="4"/>
      <c r="C691" s="4"/>
      <c r="D691" s="4"/>
      <c r="E691" s="4"/>
      <c r="F691" s="4"/>
    </row>
    <row r="692" spans="1:6" x14ac:dyDescent="0.25">
      <c r="A692" s="4">
        <v>691</v>
      </c>
      <c r="B692" s="4"/>
      <c r="C692" s="4"/>
      <c r="D692" s="4"/>
      <c r="E692" s="4"/>
      <c r="F692" s="4"/>
    </row>
    <row r="693" spans="1:6" x14ac:dyDescent="0.25">
      <c r="A693" s="4">
        <v>692</v>
      </c>
      <c r="B693" s="4"/>
      <c r="C693" s="4"/>
      <c r="D693" s="4"/>
      <c r="E693" s="4"/>
      <c r="F693" s="4"/>
    </row>
    <row r="694" spans="1:6" x14ac:dyDescent="0.25">
      <c r="A694" s="4">
        <v>693</v>
      </c>
      <c r="B694" s="4"/>
      <c r="C694" s="4"/>
      <c r="D694" s="4"/>
      <c r="E694" s="4"/>
      <c r="F694" s="4"/>
    </row>
    <row r="695" spans="1:6" x14ac:dyDescent="0.25">
      <c r="A695" s="4">
        <v>694</v>
      </c>
      <c r="B695" s="4"/>
      <c r="C695" s="4"/>
      <c r="D695" s="4"/>
      <c r="E695" s="4"/>
      <c r="F695" s="4"/>
    </row>
    <row r="696" spans="1:6" x14ac:dyDescent="0.25">
      <c r="A696" s="4">
        <v>695</v>
      </c>
      <c r="B696" s="4"/>
      <c r="C696" s="4"/>
      <c r="D696" s="4"/>
      <c r="E696" s="4"/>
      <c r="F696" s="4"/>
    </row>
    <row r="697" spans="1:6" x14ac:dyDescent="0.25">
      <c r="A697" s="4">
        <v>696</v>
      </c>
      <c r="B697" s="4"/>
      <c r="C697" s="4"/>
      <c r="D697" s="4"/>
      <c r="E697" s="4"/>
      <c r="F697" s="4"/>
    </row>
    <row r="698" spans="1:6" x14ac:dyDescent="0.25">
      <c r="A698" s="4">
        <v>697</v>
      </c>
      <c r="B698" s="4"/>
      <c r="C698" s="4"/>
      <c r="D698" s="4"/>
      <c r="E698" s="4"/>
      <c r="F698" s="4"/>
    </row>
    <row r="699" spans="1:6" x14ac:dyDescent="0.25">
      <c r="A699" s="4">
        <v>698</v>
      </c>
      <c r="B699" s="4"/>
      <c r="C699" s="4"/>
      <c r="D699" s="4"/>
      <c r="E699" s="4"/>
      <c r="F699" s="4"/>
    </row>
    <row r="700" spans="1:6" x14ac:dyDescent="0.25">
      <c r="A700" s="4">
        <v>699</v>
      </c>
      <c r="B700" s="4"/>
      <c r="C700" s="4"/>
      <c r="D700" s="4"/>
      <c r="E700" s="4"/>
      <c r="F700" s="4"/>
    </row>
    <row r="701" spans="1:6" x14ac:dyDescent="0.25">
      <c r="A701" s="4">
        <v>700</v>
      </c>
      <c r="B701" s="4"/>
      <c r="C701" s="4"/>
      <c r="D701" s="4"/>
      <c r="E701" s="4"/>
      <c r="F701" s="4"/>
    </row>
    <row r="702" spans="1:6" x14ac:dyDescent="0.25">
      <c r="A702" s="4">
        <v>701</v>
      </c>
      <c r="B702" s="4"/>
      <c r="C702" s="4"/>
      <c r="D702" s="4"/>
      <c r="E702" s="4"/>
      <c r="F702" s="4"/>
    </row>
    <row r="703" spans="1:6" x14ac:dyDescent="0.25">
      <c r="A703" s="4">
        <v>702</v>
      </c>
      <c r="B703" s="4"/>
      <c r="C703" s="4"/>
      <c r="D703" s="4"/>
      <c r="E703" s="4"/>
      <c r="F703" s="4"/>
    </row>
    <row r="704" spans="1:6" x14ac:dyDescent="0.25">
      <c r="A704" s="4">
        <v>703</v>
      </c>
      <c r="B704" s="4"/>
      <c r="C704" s="4"/>
      <c r="D704" s="4"/>
      <c r="E704" s="4"/>
      <c r="F704" s="4"/>
    </row>
    <row r="705" spans="1:6" x14ac:dyDescent="0.25">
      <c r="A705" s="4">
        <v>704</v>
      </c>
      <c r="B705" s="4"/>
      <c r="C705" s="4"/>
      <c r="D705" s="4"/>
      <c r="E705" s="4"/>
      <c r="F705" s="4"/>
    </row>
    <row r="706" spans="1:6" x14ac:dyDescent="0.25">
      <c r="A706" s="4">
        <v>705</v>
      </c>
      <c r="B706" s="4"/>
      <c r="C706" s="4"/>
      <c r="D706" s="4"/>
      <c r="E706" s="4"/>
      <c r="F706" s="4"/>
    </row>
    <row r="707" spans="1:6" x14ac:dyDescent="0.25">
      <c r="A707" s="4">
        <v>706</v>
      </c>
      <c r="B707" s="4"/>
      <c r="C707" s="4"/>
      <c r="D707" s="4"/>
      <c r="E707" s="4"/>
      <c r="F707" s="4"/>
    </row>
    <row r="708" spans="1:6" x14ac:dyDescent="0.25">
      <c r="A708" s="4">
        <v>707</v>
      </c>
      <c r="B708" s="4"/>
      <c r="C708" s="4"/>
      <c r="D708" s="4"/>
      <c r="E708" s="4"/>
      <c r="F708" s="4"/>
    </row>
    <row r="709" spans="1:6" x14ac:dyDescent="0.25">
      <c r="A709" s="4">
        <v>708</v>
      </c>
      <c r="B709" s="4"/>
      <c r="C709" s="4"/>
      <c r="D709" s="4"/>
      <c r="E709" s="4"/>
      <c r="F709" s="4"/>
    </row>
    <row r="710" spans="1:6" x14ac:dyDescent="0.25">
      <c r="A710" s="4">
        <v>709</v>
      </c>
      <c r="B710" s="4"/>
      <c r="C710" s="4"/>
      <c r="D710" s="4"/>
      <c r="E710" s="4"/>
      <c r="F710" s="4"/>
    </row>
    <row r="711" spans="1:6" x14ac:dyDescent="0.25">
      <c r="A711" s="4">
        <v>710</v>
      </c>
      <c r="B711" s="4"/>
      <c r="C711" s="4"/>
      <c r="D711" s="4"/>
      <c r="E711" s="4"/>
      <c r="F711" s="4"/>
    </row>
    <row r="712" spans="1:6" x14ac:dyDescent="0.25">
      <c r="A712" s="4">
        <v>711</v>
      </c>
      <c r="B712" s="4"/>
      <c r="C712" s="4"/>
      <c r="D712" s="4"/>
      <c r="E712" s="4"/>
      <c r="F712" s="4"/>
    </row>
    <row r="713" spans="1:6" x14ac:dyDescent="0.25">
      <c r="A713" s="4">
        <v>712</v>
      </c>
      <c r="B713" s="4"/>
      <c r="C713" s="4"/>
      <c r="D713" s="4"/>
      <c r="E713" s="4"/>
      <c r="F713" s="4"/>
    </row>
    <row r="714" spans="1:6" x14ac:dyDescent="0.25">
      <c r="A714" s="4">
        <v>713</v>
      </c>
      <c r="B714" s="4"/>
      <c r="C714" s="4"/>
      <c r="D714" s="4"/>
      <c r="E714" s="4"/>
      <c r="F714" s="4"/>
    </row>
    <row r="715" spans="1:6" x14ac:dyDescent="0.25">
      <c r="A715" s="4">
        <v>714</v>
      </c>
      <c r="B715" s="4"/>
      <c r="C715" s="4"/>
      <c r="D715" s="4"/>
      <c r="E715" s="4"/>
      <c r="F715" s="4"/>
    </row>
    <row r="716" spans="1:6" x14ac:dyDescent="0.25">
      <c r="A716" s="4">
        <v>715</v>
      </c>
      <c r="B716" s="4"/>
      <c r="C716" s="4"/>
      <c r="D716" s="4"/>
      <c r="E716" s="4"/>
      <c r="F716" s="4"/>
    </row>
    <row r="717" spans="1:6" x14ac:dyDescent="0.25">
      <c r="A717" s="4">
        <v>716</v>
      </c>
      <c r="B717" s="4"/>
      <c r="C717" s="4"/>
      <c r="D717" s="4"/>
      <c r="E717" s="4"/>
      <c r="F717" s="4"/>
    </row>
    <row r="718" spans="1:6" x14ac:dyDescent="0.25">
      <c r="A718" s="4">
        <v>717</v>
      </c>
      <c r="B718" s="4"/>
      <c r="C718" s="4"/>
      <c r="D718" s="4"/>
      <c r="E718" s="4"/>
      <c r="F718" s="4"/>
    </row>
    <row r="719" spans="1:6" x14ac:dyDescent="0.25">
      <c r="A719" s="4">
        <v>718</v>
      </c>
      <c r="B719" s="4"/>
      <c r="C719" s="4"/>
      <c r="D719" s="4"/>
      <c r="E719" s="4"/>
      <c r="F719" s="4"/>
    </row>
    <row r="720" spans="1:6" x14ac:dyDescent="0.25">
      <c r="A720" s="4">
        <v>719</v>
      </c>
      <c r="B720" s="4"/>
      <c r="C720" s="4"/>
      <c r="D720" s="4"/>
      <c r="E720" s="4"/>
      <c r="F720" s="4"/>
    </row>
    <row r="721" spans="1:6" x14ac:dyDescent="0.25">
      <c r="A721" s="4">
        <v>720</v>
      </c>
      <c r="B721" s="4"/>
      <c r="C721" s="4"/>
      <c r="D721" s="4"/>
      <c r="E721" s="4"/>
      <c r="F721" s="4"/>
    </row>
    <row r="722" spans="1:6" x14ac:dyDescent="0.25">
      <c r="A722" s="4">
        <v>721</v>
      </c>
      <c r="B722" s="4"/>
      <c r="C722" s="4"/>
      <c r="D722" s="4"/>
      <c r="E722" s="4"/>
      <c r="F722" s="4"/>
    </row>
    <row r="723" spans="1:6" x14ac:dyDescent="0.25">
      <c r="A723" s="4">
        <v>722</v>
      </c>
      <c r="B723" s="4"/>
      <c r="C723" s="4"/>
      <c r="D723" s="4"/>
      <c r="E723" s="4"/>
      <c r="F723" s="4"/>
    </row>
    <row r="724" spans="1:6" x14ac:dyDescent="0.25">
      <c r="A724" s="4">
        <v>723</v>
      </c>
      <c r="B724" s="4"/>
      <c r="C724" s="4"/>
      <c r="D724" s="4"/>
      <c r="E724" s="4"/>
      <c r="F724" s="4"/>
    </row>
    <row r="725" spans="1:6" x14ac:dyDescent="0.25">
      <c r="A725" s="4">
        <v>724</v>
      </c>
      <c r="B725" s="4"/>
      <c r="C725" s="4"/>
      <c r="D725" s="4"/>
      <c r="E725" s="4"/>
      <c r="F725" s="4"/>
    </row>
    <row r="726" spans="1:6" x14ac:dyDescent="0.25">
      <c r="A726" s="4">
        <v>725</v>
      </c>
      <c r="B726" s="4"/>
      <c r="C726" s="4"/>
      <c r="D726" s="4"/>
      <c r="E726" s="4"/>
      <c r="F726" s="4"/>
    </row>
    <row r="727" spans="1:6" x14ac:dyDescent="0.25">
      <c r="A727" s="4">
        <v>726</v>
      </c>
      <c r="B727" s="4"/>
      <c r="C727" s="4"/>
      <c r="D727" s="4"/>
      <c r="E727" s="4"/>
      <c r="F727" s="4"/>
    </row>
    <row r="728" spans="1:6" x14ac:dyDescent="0.25">
      <c r="A728" s="4">
        <v>727</v>
      </c>
      <c r="B728" s="4"/>
      <c r="C728" s="4"/>
      <c r="D728" s="4"/>
      <c r="E728" s="4"/>
      <c r="F728" s="4"/>
    </row>
    <row r="729" spans="1:6" x14ac:dyDescent="0.25">
      <c r="A729" s="4">
        <v>728</v>
      </c>
      <c r="B729" s="4"/>
      <c r="C729" s="4"/>
      <c r="D729" s="4"/>
      <c r="E729" s="4"/>
      <c r="F729" s="4"/>
    </row>
    <row r="730" spans="1:6" x14ac:dyDescent="0.25">
      <c r="A730" s="4">
        <v>729</v>
      </c>
      <c r="B730" s="4"/>
      <c r="C730" s="4"/>
      <c r="D730" s="4"/>
      <c r="E730" s="4"/>
      <c r="F730" s="4"/>
    </row>
    <row r="731" spans="1:6" x14ac:dyDescent="0.25">
      <c r="A731" s="4">
        <v>730</v>
      </c>
      <c r="B731" s="4"/>
      <c r="C731" s="4"/>
      <c r="D731" s="4"/>
      <c r="E731" s="4"/>
      <c r="F731" s="4"/>
    </row>
    <row r="732" spans="1:6" x14ac:dyDescent="0.25">
      <c r="A732" s="4">
        <v>731</v>
      </c>
      <c r="B732" s="4"/>
      <c r="C732" s="4"/>
      <c r="D732" s="4"/>
      <c r="E732" s="4"/>
      <c r="F732" s="4"/>
    </row>
    <row r="733" spans="1:6" x14ac:dyDescent="0.25">
      <c r="A733" s="4">
        <v>732</v>
      </c>
      <c r="B733" s="4"/>
      <c r="C733" s="4"/>
      <c r="D733" s="4"/>
      <c r="E733" s="4"/>
      <c r="F733" s="4"/>
    </row>
    <row r="734" spans="1:6" x14ac:dyDescent="0.25">
      <c r="A734" s="4">
        <v>733</v>
      </c>
      <c r="B734" s="4"/>
      <c r="C734" s="4"/>
      <c r="D734" s="4"/>
      <c r="E734" s="4"/>
      <c r="F734" s="4"/>
    </row>
    <row r="735" spans="1:6" x14ac:dyDescent="0.25">
      <c r="A735" s="4">
        <v>734</v>
      </c>
      <c r="B735" s="4"/>
      <c r="C735" s="4"/>
      <c r="D735" s="4"/>
      <c r="E735" s="4"/>
      <c r="F735" s="4"/>
    </row>
    <row r="736" spans="1:6" x14ac:dyDescent="0.25">
      <c r="A736" s="4">
        <v>735</v>
      </c>
      <c r="B736" s="4"/>
      <c r="C736" s="4"/>
      <c r="D736" s="4"/>
      <c r="E736" s="4"/>
      <c r="F736" s="4"/>
    </row>
    <row r="737" spans="1:6" x14ac:dyDescent="0.25">
      <c r="A737" s="4">
        <v>736</v>
      </c>
      <c r="B737" s="4"/>
      <c r="C737" s="4"/>
      <c r="D737" s="4"/>
      <c r="E737" s="4"/>
      <c r="F737" s="4"/>
    </row>
    <row r="738" spans="1:6" x14ac:dyDescent="0.25">
      <c r="A738" s="4">
        <v>737</v>
      </c>
      <c r="B738" s="4"/>
      <c r="C738" s="4"/>
      <c r="D738" s="4"/>
      <c r="E738" s="4"/>
      <c r="F738" s="4"/>
    </row>
    <row r="739" spans="1:6" x14ac:dyDescent="0.25">
      <c r="A739" s="4">
        <v>738</v>
      </c>
      <c r="B739" s="4"/>
      <c r="C739" s="4"/>
      <c r="D739" s="4"/>
      <c r="E739" s="4"/>
      <c r="F739" s="4"/>
    </row>
    <row r="740" spans="1:6" x14ac:dyDescent="0.25">
      <c r="A740" s="4">
        <v>739</v>
      </c>
      <c r="B740" s="4"/>
      <c r="C740" s="4"/>
      <c r="D740" s="4"/>
      <c r="E740" s="4"/>
      <c r="F740" s="4"/>
    </row>
    <row r="741" spans="1:6" x14ac:dyDescent="0.25">
      <c r="A741" s="4">
        <v>740</v>
      </c>
      <c r="B741" s="4"/>
      <c r="C741" s="4"/>
      <c r="D741" s="4"/>
      <c r="E741" s="4"/>
      <c r="F741" s="4"/>
    </row>
    <row r="742" spans="1:6" x14ac:dyDescent="0.25">
      <c r="A742" s="4">
        <v>741</v>
      </c>
      <c r="B742" s="4"/>
      <c r="C742" s="4"/>
      <c r="D742" s="4"/>
      <c r="E742" s="4"/>
      <c r="F742" s="4"/>
    </row>
    <row r="743" spans="1:6" x14ac:dyDescent="0.25">
      <c r="A743" s="4">
        <v>742</v>
      </c>
      <c r="B743" s="4"/>
      <c r="C743" s="4"/>
      <c r="D743" s="4"/>
      <c r="E743" s="4"/>
      <c r="F743" s="4"/>
    </row>
    <row r="744" spans="1:6" x14ac:dyDescent="0.25">
      <c r="A744" s="4">
        <v>743</v>
      </c>
      <c r="B744" s="4"/>
      <c r="C744" s="4"/>
      <c r="D744" s="4"/>
      <c r="E744" s="4"/>
      <c r="F744" s="4"/>
    </row>
    <row r="745" spans="1:6" x14ac:dyDescent="0.25">
      <c r="A745" s="4">
        <v>744</v>
      </c>
      <c r="B745" s="4"/>
      <c r="C745" s="4"/>
      <c r="D745" s="4"/>
      <c r="E745" s="4"/>
      <c r="F745" s="4"/>
    </row>
    <row r="746" spans="1:6" x14ac:dyDescent="0.25">
      <c r="A746" s="4">
        <v>745</v>
      </c>
      <c r="B746" s="4"/>
      <c r="C746" s="4"/>
      <c r="D746" s="4"/>
      <c r="E746" s="4"/>
      <c r="F746" s="4"/>
    </row>
    <row r="747" spans="1:6" x14ac:dyDescent="0.25">
      <c r="A747" s="4">
        <v>746</v>
      </c>
      <c r="B747" s="4"/>
      <c r="C747" s="4"/>
      <c r="D747" s="4"/>
      <c r="E747" s="4"/>
      <c r="F747" s="4"/>
    </row>
    <row r="748" spans="1:6" x14ac:dyDescent="0.25">
      <c r="A748" s="4">
        <v>747</v>
      </c>
      <c r="B748" s="4"/>
      <c r="C748" s="4"/>
      <c r="D748" s="4"/>
      <c r="E748" s="4"/>
      <c r="F748" s="4"/>
    </row>
    <row r="749" spans="1:6" x14ac:dyDescent="0.25">
      <c r="A749" s="4">
        <v>748</v>
      </c>
      <c r="B749" s="4"/>
      <c r="C749" s="4"/>
      <c r="D749" s="4"/>
      <c r="E749" s="4"/>
      <c r="F749" s="4"/>
    </row>
    <row r="750" spans="1:6" x14ac:dyDescent="0.25">
      <c r="A750" s="4">
        <v>749</v>
      </c>
      <c r="B750" s="4"/>
      <c r="C750" s="4"/>
      <c r="D750" s="4"/>
      <c r="E750" s="4"/>
      <c r="F750" s="4"/>
    </row>
    <row r="751" spans="1:6" x14ac:dyDescent="0.25">
      <c r="A751" s="4">
        <v>750</v>
      </c>
      <c r="B751" s="4"/>
      <c r="C751" s="4"/>
      <c r="D751" s="4"/>
      <c r="E751" s="4"/>
      <c r="F751" s="4"/>
    </row>
    <row r="752" spans="1:6" x14ac:dyDescent="0.25">
      <c r="A752" s="4">
        <v>751</v>
      </c>
      <c r="B752" s="4"/>
      <c r="C752" s="4"/>
      <c r="D752" s="4"/>
      <c r="E752" s="4"/>
      <c r="F752" s="4"/>
    </row>
    <row r="753" spans="1:6" x14ac:dyDescent="0.25">
      <c r="A753" s="4">
        <v>752</v>
      </c>
      <c r="B753" s="4"/>
      <c r="C753" s="4"/>
      <c r="D753" s="4"/>
      <c r="E753" s="4"/>
      <c r="F753" s="4"/>
    </row>
    <row r="754" spans="1:6" x14ac:dyDescent="0.25">
      <c r="A754" s="4">
        <v>753</v>
      </c>
      <c r="B754" s="4"/>
      <c r="C754" s="4"/>
      <c r="D754" s="4"/>
      <c r="E754" s="4"/>
      <c r="F754" s="4"/>
    </row>
    <row r="755" spans="1:6" x14ac:dyDescent="0.25">
      <c r="A755" s="4">
        <v>754</v>
      </c>
      <c r="B755" s="4"/>
      <c r="C755" s="4"/>
      <c r="D755" s="4"/>
      <c r="E755" s="4"/>
      <c r="F755" s="4"/>
    </row>
    <row r="756" spans="1:6" x14ac:dyDescent="0.25">
      <c r="A756" s="4">
        <v>755</v>
      </c>
      <c r="B756" s="4"/>
      <c r="C756" s="4"/>
      <c r="D756" s="4"/>
      <c r="E756" s="4"/>
      <c r="F756" s="4"/>
    </row>
    <row r="757" spans="1:6" x14ac:dyDescent="0.25">
      <c r="A757" s="4">
        <v>756</v>
      </c>
      <c r="B757" s="4"/>
      <c r="C757" s="4"/>
      <c r="D757" s="4"/>
      <c r="E757" s="4"/>
      <c r="F757" s="4"/>
    </row>
    <row r="758" spans="1:6" x14ac:dyDescent="0.25">
      <c r="A758" s="4">
        <v>757</v>
      </c>
      <c r="B758" s="4"/>
      <c r="C758" s="4"/>
      <c r="D758" s="4"/>
      <c r="E758" s="4"/>
      <c r="F758" s="4"/>
    </row>
    <row r="759" spans="1:6" x14ac:dyDescent="0.25">
      <c r="A759" s="4">
        <v>758</v>
      </c>
      <c r="B759" s="4"/>
      <c r="C759" s="4"/>
      <c r="D759" s="4"/>
      <c r="E759" s="4"/>
      <c r="F759" s="4"/>
    </row>
    <row r="760" spans="1:6" x14ac:dyDescent="0.25">
      <c r="A760" s="4">
        <v>759</v>
      </c>
      <c r="B760" s="4"/>
      <c r="C760" s="4"/>
      <c r="D760" s="4"/>
      <c r="E760" s="4"/>
      <c r="F760" s="4"/>
    </row>
    <row r="761" spans="1:6" x14ac:dyDescent="0.25">
      <c r="A761" s="4">
        <v>760</v>
      </c>
      <c r="B761" s="4"/>
      <c r="C761" s="4"/>
      <c r="D761" s="4"/>
      <c r="E761" s="4"/>
      <c r="F761" s="4"/>
    </row>
    <row r="762" spans="1:6" x14ac:dyDescent="0.25">
      <c r="A762" s="4">
        <v>761</v>
      </c>
      <c r="B762" s="4"/>
      <c r="C762" s="4"/>
      <c r="D762" s="4"/>
      <c r="E762" s="4"/>
      <c r="F762" s="4"/>
    </row>
    <row r="763" spans="1:6" x14ac:dyDescent="0.25">
      <c r="A763" s="4">
        <v>762</v>
      </c>
      <c r="B763" s="4"/>
      <c r="C763" s="4"/>
      <c r="D763" s="4"/>
      <c r="E763" s="4"/>
      <c r="F763" s="4"/>
    </row>
    <row r="764" spans="1:6" x14ac:dyDescent="0.25">
      <c r="A764" s="4">
        <v>763</v>
      </c>
      <c r="B764" s="4"/>
      <c r="C764" s="4"/>
      <c r="D764" s="4"/>
      <c r="E764" s="4"/>
      <c r="F764" s="4"/>
    </row>
    <row r="765" spans="1:6" x14ac:dyDescent="0.25">
      <c r="A765" s="4">
        <v>764</v>
      </c>
      <c r="B765" s="4"/>
      <c r="C765" s="4"/>
      <c r="D765" s="4"/>
      <c r="E765" s="4"/>
      <c r="F765" s="4"/>
    </row>
    <row r="766" spans="1:6" x14ac:dyDescent="0.25">
      <c r="A766" s="4">
        <v>765</v>
      </c>
      <c r="B766" s="4"/>
      <c r="C766" s="4"/>
      <c r="D766" s="4"/>
      <c r="E766" s="4"/>
      <c r="F766" s="4"/>
    </row>
    <row r="767" spans="1:6" x14ac:dyDescent="0.25">
      <c r="A767" s="4">
        <v>766</v>
      </c>
      <c r="B767" s="4"/>
      <c r="C767" s="4"/>
      <c r="D767" s="4"/>
      <c r="E767" s="4"/>
      <c r="F767" s="4"/>
    </row>
    <row r="768" spans="1:6" x14ac:dyDescent="0.25">
      <c r="A768" s="4">
        <v>767</v>
      </c>
      <c r="B768" s="4"/>
      <c r="C768" s="4"/>
      <c r="D768" s="4"/>
      <c r="E768" s="4"/>
      <c r="F768" s="4"/>
    </row>
    <row r="769" spans="1:6" x14ac:dyDescent="0.25">
      <c r="A769" s="4">
        <v>768</v>
      </c>
      <c r="B769" s="4"/>
      <c r="C769" s="4"/>
      <c r="D769" s="4"/>
      <c r="E769" s="4"/>
      <c r="F769" s="4"/>
    </row>
    <row r="770" spans="1:6" x14ac:dyDescent="0.25">
      <c r="A770" s="4">
        <v>769</v>
      </c>
      <c r="B770" s="4"/>
      <c r="C770" s="4"/>
      <c r="D770" s="4"/>
      <c r="E770" s="4"/>
      <c r="F770" s="4"/>
    </row>
    <row r="771" spans="1:6" x14ac:dyDescent="0.25">
      <c r="A771" s="4">
        <v>770</v>
      </c>
      <c r="B771" s="4"/>
      <c r="C771" s="4"/>
      <c r="D771" s="4"/>
      <c r="E771" s="4"/>
      <c r="F771" s="4"/>
    </row>
    <row r="772" spans="1:6" x14ac:dyDescent="0.25">
      <c r="A772" s="4">
        <v>771</v>
      </c>
      <c r="B772" s="4"/>
      <c r="C772" s="4"/>
      <c r="D772" s="4"/>
      <c r="E772" s="4"/>
      <c r="F772" s="4"/>
    </row>
    <row r="773" spans="1:6" x14ac:dyDescent="0.25">
      <c r="A773" s="4">
        <v>772</v>
      </c>
      <c r="B773" s="4"/>
      <c r="C773" s="4"/>
      <c r="D773" s="4"/>
      <c r="E773" s="4"/>
      <c r="F773" s="4"/>
    </row>
    <row r="774" spans="1:6" x14ac:dyDescent="0.25">
      <c r="A774" s="4">
        <v>773</v>
      </c>
      <c r="B774" s="4"/>
      <c r="C774" s="4"/>
      <c r="D774" s="4"/>
      <c r="E774" s="4"/>
      <c r="F774" s="4"/>
    </row>
    <row r="775" spans="1:6" x14ac:dyDescent="0.25">
      <c r="A775" s="4">
        <v>774</v>
      </c>
      <c r="B775" s="4"/>
      <c r="C775" s="4"/>
      <c r="D775" s="4"/>
      <c r="E775" s="4"/>
      <c r="F775" s="4"/>
    </row>
    <row r="776" spans="1:6" x14ac:dyDescent="0.25">
      <c r="A776" s="4">
        <v>775</v>
      </c>
      <c r="B776" s="4"/>
      <c r="C776" s="4"/>
      <c r="D776" s="4"/>
      <c r="E776" s="4"/>
      <c r="F776" s="4"/>
    </row>
    <row r="777" spans="1:6" x14ac:dyDescent="0.25">
      <c r="A777" s="4">
        <v>776</v>
      </c>
      <c r="B777" s="4"/>
      <c r="C777" s="4"/>
      <c r="D777" s="4"/>
      <c r="E777" s="4"/>
      <c r="F777" s="4"/>
    </row>
    <row r="778" spans="1:6" x14ac:dyDescent="0.25">
      <c r="A778" s="4">
        <v>777</v>
      </c>
      <c r="B778" s="4"/>
      <c r="C778" s="4"/>
      <c r="D778" s="4"/>
      <c r="E778" s="4"/>
      <c r="F778" s="4"/>
    </row>
    <row r="779" spans="1:6" x14ac:dyDescent="0.25">
      <c r="A779" s="4">
        <v>778</v>
      </c>
      <c r="B779" s="4"/>
      <c r="C779" s="4"/>
      <c r="D779" s="4"/>
      <c r="E779" s="4"/>
      <c r="F779" s="4"/>
    </row>
    <row r="780" spans="1:6" x14ac:dyDescent="0.25">
      <c r="A780" s="4">
        <v>779</v>
      </c>
      <c r="B780" s="4"/>
      <c r="C780" s="4"/>
      <c r="D780" s="4"/>
      <c r="E780" s="4"/>
      <c r="F780" s="4"/>
    </row>
    <row r="781" spans="1:6" x14ac:dyDescent="0.25">
      <c r="A781" s="4">
        <v>780</v>
      </c>
      <c r="B781" s="4"/>
      <c r="C781" s="4"/>
      <c r="D781" s="4"/>
      <c r="E781" s="4"/>
      <c r="F781" s="4"/>
    </row>
    <row r="782" spans="1:6" x14ac:dyDescent="0.25">
      <c r="A782" s="4">
        <v>781</v>
      </c>
      <c r="B782" s="4"/>
      <c r="C782" s="4"/>
      <c r="D782" s="4"/>
      <c r="E782" s="4"/>
      <c r="F782" s="4"/>
    </row>
    <row r="783" spans="1:6" x14ac:dyDescent="0.25">
      <c r="A783" s="4">
        <v>782</v>
      </c>
      <c r="B783" s="4"/>
      <c r="C783" s="4"/>
      <c r="D783" s="4"/>
      <c r="E783" s="4"/>
      <c r="F783" s="4"/>
    </row>
    <row r="784" spans="1:6" x14ac:dyDescent="0.25">
      <c r="A784" s="4">
        <v>783</v>
      </c>
      <c r="B784" s="4"/>
      <c r="C784" s="4"/>
      <c r="D784" s="4"/>
      <c r="E784" s="4"/>
      <c r="F784" s="4"/>
    </row>
    <row r="785" spans="1:6" x14ac:dyDescent="0.25">
      <c r="A785" s="4">
        <v>784</v>
      </c>
      <c r="B785" s="4"/>
      <c r="C785" s="4"/>
      <c r="D785" s="4"/>
      <c r="E785" s="4"/>
      <c r="F785" s="4"/>
    </row>
    <row r="786" spans="1:6" x14ac:dyDescent="0.25">
      <c r="A786" s="4">
        <v>785</v>
      </c>
      <c r="B786" s="4"/>
      <c r="C786" s="4"/>
      <c r="D786" s="4"/>
      <c r="E786" s="4"/>
      <c r="F786" s="4"/>
    </row>
    <row r="787" spans="1:6" x14ac:dyDescent="0.25">
      <c r="A787" s="4">
        <v>786</v>
      </c>
      <c r="B787" s="4"/>
      <c r="C787" s="4"/>
      <c r="D787" s="4"/>
      <c r="E787" s="4"/>
      <c r="F787" s="4"/>
    </row>
    <row r="788" spans="1:6" x14ac:dyDescent="0.25">
      <c r="A788" s="4">
        <v>787</v>
      </c>
      <c r="B788" s="4"/>
      <c r="C788" s="4"/>
      <c r="D788" s="4"/>
      <c r="E788" s="4"/>
      <c r="F788" s="4"/>
    </row>
    <row r="789" spans="1:6" x14ac:dyDescent="0.25">
      <c r="A789" s="4">
        <v>788</v>
      </c>
      <c r="B789" s="4"/>
      <c r="C789" s="4"/>
      <c r="D789" s="4"/>
      <c r="E789" s="4"/>
      <c r="F789" s="4"/>
    </row>
    <row r="790" spans="1:6" x14ac:dyDescent="0.25">
      <c r="A790" s="4">
        <v>789</v>
      </c>
      <c r="B790" s="4"/>
      <c r="C790" s="4"/>
      <c r="D790" s="4"/>
      <c r="E790" s="4"/>
      <c r="F790" s="4"/>
    </row>
    <row r="791" spans="1:6" x14ac:dyDescent="0.25">
      <c r="A791" s="4">
        <v>790</v>
      </c>
      <c r="B791" s="4"/>
      <c r="C791" s="4"/>
      <c r="D791" s="4"/>
      <c r="E791" s="4"/>
      <c r="F791" s="4"/>
    </row>
    <row r="792" spans="1:6" x14ac:dyDescent="0.25">
      <c r="A792" s="4">
        <v>791</v>
      </c>
      <c r="B792" s="4"/>
      <c r="C792" s="4"/>
      <c r="D792" s="4"/>
      <c r="E792" s="4"/>
      <c r="F792" s="4"/>
    </row>
    <row r="793" spans="1:6" x14ac:dyDescent="0.25">
      <c r="A793" s="4">
        <v>792</v>
      </c>
      <c r="B793" s="4"/>
      <c r="C793" s="4"/>
      <c r="D793" s="4"/>
      <c r="E793" s="4"/>
      <c r="F793" s="4"/>
    </row>
    <row r="794" spans="1:6" x14ac:dyDescent="0.25">
      <c r="A794" s="4">
        <v>793</v>
      </c>
      <c r="B794" s="4"/>
      <c r="C794" s="4"/>
      <c r="D794" s="4"/>
      <c r="E794" s="4"/>
      <c r="F794" s="4"/>
    </row>
    <row r="795" spans="1:6" x14ac:dyDescent="0.25">
      <c r="A795" s="4">
        <v>794</v>
      </c>
      <c r="B795" s="4"/>
      <c r="C795" s="4"/>
      <c r="D795" s="4"/>
      <c r="E795" s="4"/>
      <c r="F795" s="4"/>
    </row>
    <row r="796" spans="1:6" x14ac:dyDescent="0.25">
      <c r="A796" s="4">
        <v>795</v>
      </c>
      <c r="B796" s="4"/>
      <c r="C796" s="4"/>
      <c r="D796" s="4"/>
      <c r="E796" s="4"/>
      <c r="F796" s="4"/>
    </row>
    <row r="797" spans="1:6" x14ac:dyDescent="0.25">
      <c r="A797" s="4">
        <v>796</v>
      </c>
      <c r="B797" s="4"/>
      <c r="C797" s="4"/>
      <c r="D797" s="4"/>
      <c r="E797" s="4"/>
      <c r="F797" s="4"/>
    </row>
    <row r="798" spans="1:6" x14ac:dyDescent="0.25">
      <c r="A798" s="4">
        <v>797</v>
      </c>
      <c r="B798" s="4"/>
      <c r="C798" s="4"/>
      <c r="D798" s="4"/>
      <c r="E798" s="4"/>
      <c r="F798" s="4"/>
    </row>
    <row r="799" spans="1:6" x14ac:dyDescent="0.25">
      <c r="A799" s="4">
        <v>798</v>
      </c>
      <c r="B799" s="4"/>
      <c r="C799" s="4"/>
      <c r="D799" s="4"/>
      <c r="E799" s="4"/>
      <c r="F799" s="4"/>
    </row>
    <row r="800" spans="1:6" x14ac:dyDescent="0.25">
      <c r="A800" s="4">
        <v>799</v>
      </c>
      <c r="B800" s="4"/>
      <c r="C800" s="4"/>
      <c r="D800" s="4"/>
      <c r="E800" s="4"/>
      <c r="F800" s="4"/>
    </row>
    <row r="801" spans="1:6" x14ac:dyDescent="0.25">
      <c r="A801" s="4">
        <v>800</v>
      </c>
      <c r="B801" s="4"/>
      <c r="C801" s="4"/>
      <c r="D801" s="4"/>
      <c r="E801" s="4"/>
      <c r="F801" s="4"/>
    </row>
    <row r="802" spans="1:6" x14ac:dyDescent="0.25">
      <c r="A802" s="4">
        <v>801</v>
      </c>
      <c r="B802" s="4"/>
      <c r="C802" s="4"/>
      <c r="D802" s="4"/>
      <c r="E802" s="4"/>
      <c r="F802" s="4"/>
    </row>
    <row r="803" spans="1:6" x14ac:dyDescent="0.25">
      <c r="A803" s="4">
        <v>802</v>
      </c>
      <c r="B803" s="4"/>
      <c r="C803" s="4"/>
      <c r="D803" s="4"/>
      <c r="E803" s="4"/>
      <c r="F803" s="4"/>
    </row>
    <row r="804" spans="1:6" x14ac:dyDescent="0.25">
      <c r="A804" s="4">
        <v>803</v>
      </c>
      <c r="B804" s="4"/>
      <c r="C804" s="4"/>
      <c r="D804" s="4"/>
      <c r="E804" s="4"/>
      <c r="F804" s="4"/>
    </row>
    <row r="805" spans="1:6" x14ac:dyDescent="0.25">
      <c r="A805" s="4">
        <v>804</v>
      </c>
      <c r="B805" s="4"/>
      <c r="C805" s="4"/>
      <c r="D805" s="4"/>
      <c r="E805" s="4"/>
      <c r="F805" s="4"/>
    </row>
    <row r="806" spans="1:6" x14ac:dyDescent="0.25">
      <c r="A806" s="4">
        <v>805</v>
      </c>
      <c r="B806" s="4"/>
      <c r="C806" s="4"/>
      <c r="D806" s="4"/>
      <c r="E806" s="4"/>
      <c r="F806" s="4"/>
    </row>
    <row r="807" spans="1:6" x14ac:dyDescent="0.25">
      <c r="A807" s="4">
        <v>806</v>
      </c>
      <c r="B807" s="4"/>
      <c r="C807" s="4"/>
      <c r="D807" s="4"/>
      <c r="E807" s="4"/>
      <c r="F807" s="4"/>
    </row>
    <row r="808" spans="1:6" x14ac:dyDescent="0.25">
      <c r="A808" s="4">
        <v>807</v>
      </c>
      <c r="B808" s="4"/>
      <c r="C808" s="4"/>
      <c r="D808" s="4"/>
      <c r="E808" s="4"/>
      <c r="F808" s="4"/>
    </row>
    <row r="809" spans="1:6" x14ac:dyDescent="0.25">
      <c r="A809" s="4">
        <v>808</v>
      </c>
      <c r="B809" s="4"/>
      <c r="C809" s="4"/>
      <c r="D809" s="4"/>
      <c r="E809" s="4"/>
      <c r="F809" s="4"/>
    </row>
    <row r="810" spans="1:6" x14ac:dyDescent="0.25">
      <c r="A810" s="4">
        <v>809</v>
      </c>
      <c r="B810" s="4"/>
      <c r="C810" s="4"/>
      <c r="D810" s="4"/>
      <c r="E810" s="4"/>
      <c r="F810" s="4"/>
    </row>
    <row r="811" spans="1:6" x14ac:dyDescent="0.25">
      <c r="A811" s="4">
        <v>810</v>
      </c>
      <c r="B811" s="4"/>
      <c r="C811" s="4"/>
      <c r="D811" s="4"/>
      <c r="E811" s="4"/>
      <c r="F811" s="4"/>
    </row>
    <row r="812" spans="1:6" x14ac:dyDescent="0.25">
      <c r="A812" s="4">
        <v>811</v>
      </c>
      <c r="B812" s="4"/>
      <c r="C812" s="4"/>
      <c r="D812" s="4"/>
      <c r="E812" s="4"/>
      <c r="F812" s="4"/>
    </row>
    <row r="813" spans="1:6" x14ac:dyDescent="0.25">
      <c r="A813" s="4">
        <v>812</v>
      </c>
      <c r="B813" s="4"/>
      <c r="C813" s="4"/>
      <c r="D813" s="4"/>
      <c r="E813" s="4"/>
      <c r="F813" s="4"/>
    </row>
    <row r="814" spans="1:6" x14ac:dyDescent="0.25">
      <c r="A814" s="4">
        <v>813</v>
      </c>
      <c r="B814" s="4"/>
      <c r="C814" s="4"/>
      <c r="D814" s="4"/>
      <c r="E814" s="4"/>
      <c r="F814" s="4"/>
    </row>
    <row r="815" spans="1:6" x14ac:dyDescent="0.25">
      <c r="A815" s="4">
        <v>814</v>
      </c>
      <c r="B815" s="4"/>
      <c r="C815" s="4"/>
      <c r="D815" s="4"/>
      <c r="E815" s="4"/>
      <c r="F815" s="4"/>
    </row>
    <row r="816" spans="1:6" x14ac:dyDescent="0.25">
      <c r="A816" s="4">
        <v>815</v>
      </c>
      <c r="B816" s="4"/>
      <c r="C816" s="4"/>
      <c r="D816" s="4"/>
      <c r="E816" s="4"/>
      <c r="F816" s="4"/>
    </row>
    <row r="817" spans="1:6" x14ac:dyDescent="0.25">
      <c r="A817" s="4">
        <v>816</v>
      </c>
      <c r="B817" s="4"/>
      <c r="C817" s="4"/>
      <c r="D817" s="4"/>
      <c r="E817" s="4"/>
      <c r="F817" s="4"/>
    </row>
    <row r="818" spans="1:6" x14ac:dyDescent="0.25">
      <c r="A818" s="4">
        <v>817</v>
      </c>
      <c r="B818" s="4"/>
      <c r="C818" s="4"/>
      <c r="D818" s="4"/>
      <c r="E818" s="4"/>
      <c r="F818" s="4"/>
    </row>
    <row r="819" spans="1:6" x14ac:dyDescent="0.25">
      <c r="A819" s="4">
        <v>818</v>
      </c>
      <c r="B819" s="4"/>
      <c r="C819" s="4"/>
      <c r="D819" s="4"/>
      <c r="E819" s="4"/>
      <c r="F819" s="4"/>
    </row>
    <row r="820" spans="1:6" x14ac:dyDescent="0.25">
      <c r="A820" s="4">
        <v>819</v>
      </c>
      <c r="B820" s="4"/>
      <c r="C820" s="4"/>
      <c r="D820" s="4"/>
      <c r="E820" s="4"/>
      <c r="F820" s="4"/>
    </row>
    <row r="821" spans="1:6" x14ac:dyDescent="0.25">
      <c r="A821" s="4">
        <v>820</v>
      </c>
      <c r="B821" s="4"/>
      <c r="C821" s="4"/>
      <c r="D821" s="4"/>
      <c r="E821" s="4"/>
      <c r="F821" s="4"/>
    </row>
    <row r="822" spans="1:6" x14ac:dyDescent="0.25">
      <c r="A822" s="4">
        <v>821</v>
      </c>
      <c r="B822" s="4"/>
      <c r="C822" s="4"/>
      <c r="D822" s="4"/>
      <c r="E822" s="4"/>
      <c r="F822" s="4"/>
    </row>
    <row r="823" spans="1:6" x14ac:dyDescent="0.25">
      <c r="A823" s="4">
        <v>822</v>
      </c>
      <c r="B823" s="4"/>
      <c r="C823" s="4"/>
      <c r="D823" s="4"/>
      <c r="E823" s="4"/>
      <c r="F823" s="4"/>
    </row>
    <row r="824" spans="1:6" x14ac:dyDescent="0.25">
      <c r="A824" s="4">
        <v>823</v>
      </c>
      <c r="B824" s="4"/>
      <c r="C824" s="4"/>
      <c r="D824" s="4"/>
      <c r="E824" s="4"/>
      <c r="F824" s="4"/>
    </row>
    <row r="825" spans="1:6" x14ac:dyDescent="0.25">
      <c r="A825" s="4">
        <v>824</v>
      </c>
      <c r="B825" s="4"/>
      <c r="C825" s="4"/>
      <c r="D825" s="4"/>
      <c r="E825" s="4"/>
      <c r="F825" s="4"/>
    </row>
    <row r="826" spans="1:6" x14ac:dyDescent="0.25">
      <c r="A826" s="4">
        <v>825</v>
      </c>
      <c r="B826" s="4"/>
      <c r="C826" s="4"/>
      <c r="D826" s="4"/>
      <c r="E826" s="4"/>
      <c r="F826" s="4"/>
    </row>
    <row r="827" spans="1:6" x14ac:dyDescent="0.25">
      <c r="A827" s="4">
        <v>826</v>
      </c>
      <c r="B827" s="4"/>
      <c r="C827" s="4"/>
      <c r="D827" s="4"/>
      <c r="E827" s="4"/>
      <c r="F827" s="4"/>
    </row>
    <row r="828" spans="1:6" x14ac:dyDescent="0.25">
      <c r="A828" s="4">
        <v>827</v>
      </c>
      <c r="B828" s="4"/>
      <c r="C828" s="4"/>
      <c r="D828" s="4"/>
      <c r="E828" s="4"/>
      <c r="F828" s="4"/>
    </row>
    <row r="829" spans="1:6" x14ac:dyDescent="0.25">
      <c r="A829" s="4">
        <v>828</v>
      </c>
      <c r="B829" s="4"/>
      <c r="C829" s="4"/>
      <c r="D829" s="4"/>
      <c r="E829" s="4"/>
      <c r="F829" s="4"/>
    </row>
    <row r="830" spans="1:6" x14ac:dyDescent="0.25">
      <c r="A830" s="4">
        <v>829</v>
      </c>
      <c r="B830" s="4"/>
      <c r="C830" s="4"/>
      <c r="D830" s="4"/>
      <c r="E830" s="4"/>
      <c r="F830" s="4"/>
    </row>
    <row r="831" spans="1:6" x14ac:dyDescent="0.25">
      <c r="A831" s="4">
        <v>830</v>
      </c>
      <c r="B831" s="4"/>
      <c r="C831" s="4"/>
      <c r="D831" s="4"/>
      <c r="E831" s="4"/>
      <c r="F831" s="4"/>
    </row>
    <row r="832" spans="1:6" x14ac:dyDescent="0.25">
      <c r="A832" s="4">
        <v>831</v>
      </c>
      <c r="B832" s="4"/>
      <c r="C832" s="4"/>
      <c r="D832" s="4"/>
      <c r="E832" s="4"/>
      <c r="F832" s="4"/>
    </row>
    <row r="833" spans="1:6" x14ac:dyDescent="0.25">
      <c r="A833" s="4">
        <v>832</v>
      </c>
      <c r="B833" s="4"/>
      <c r="C833" s="4"/>
      <c r="D833" s="4"/>
      <c r="E833" s="4"/>
      <c r="F833" s="4"/>
    </row>
    <row r="834" spans="1:6" x14ac:dyDescent="0.25">
      <c r="A834" s="4">
        <v>833</v>
      </c>
      <c r="B834" s="4"/>
      <c r="C834" s="4"/>
      <c r="D834" s="4"/>
      <c r="E834" s="4"/>
      <c r="F834" s="4"/>
    </row>
    <row r="835" spans="1:6" x14ac:dyDescent="0.25">
      <c r="A835" s="4">
        <v>834</v>
      </c>
      <c r="B835" s="4"/>
      <c r="C835" s="4"/>
      <c r="D835" s="4"/>
      <c r="E835" s="4"/>
      <c r="F835" s="4"/>
    </row>
    <row r="836" spans="1:6" x14ac:dyDescent="0.25">
      <c r="A836" s="4">
        <v>835</v>
      </c>
      <c r="B836" s="4"/>
      <c r="C836" s="4"/>
      <c r="D836" s="4"/>
      <c r="E836" s="4"/>
      <c r="F836" s="4"/>
    </row>
    <row r="837" spans="1:6" x14ac:dyDescent="0.25">
      <c r="A837" s="4">
        <v>836</v>
      </c>
      <c r="B837" s="4"/>
      <c r="C837" s="4"/>
      <c r="D837" s="4"/>
      <c r="E837" s="4"/>
      <c r="F837" s="4"/>
    </row>
    <row r="838" spans="1:6" x14ac:dyDescent="0.25">
      <c r="A838" s="4">
        <v>837</v>
      </c>
      <c r="B838" s="4"/>
      <c r="C838" s="4"/>
      <c r="D838" s="4"/>
      <c r="E838" s="4"/>
      <c r="F838" s="4"/>
    </row>
    <row r="839" spans="1:6" x14ac:dyDescent="0.25">
      <c r="A839" s="4">
        <v>838</v>
      </c>
      <c r="B839" s="4"/>
      <c r="C839" s="4"/>
      <c r="D839" s="4"/>
      <c r="E839" s="4"/>
      <c r="F839" s="4"/>
    </row>
    <row r="840" spans="1:6" x14ac:dyDescent="0.25">
      <c r="A840" s="4">
        <v>839</v>
      </c>
      <c r="B840" s="4"/>
      <c r="C840" s="4"/>
      <c r="D840" s="4"/>
      <c r="E840" s="4"/>
      <c r="F840" s="4"/>
    </row>
    <row r="841" spans="1:6" x14ac:dyDescent="0.25">
      <c r="A841" s="4">
        <v>840</v>
      </c>
      <c r="B841" s="4"/>
      <c r="C841" s="4"/>
      <c r="D841" s="4"/>
      <c r="E841" s="4"/>
      <c r="F841" s="4"/>
    </row>
    <row r="842" spans="1:6" x14ac:dyDescent="0.25">
      <c r="A842" s="4">
        <v>841</v>
      </c>
      <c r="B842" s="4"/>
      <c r="C842" s="4"/>
      <c r="D842" s="4"/>
      <c r="E842" s="4"/>
      <c r="F842" s="4"/>
    </row>
    <row r="843" spans="1:6" x14ac:dyDescent="0.25">
      <c r="A843" s="4">
        <v>842</v>
      </c>
      <c r="B843" s="4"/>
      <c r="C843" s="4"/>
      <c r="D843" s="4"/>
      <c r="E843" s="4"/>
      <c r="F843" s="4"/>
    </row>
    <row r="844" spans="1:6" x14ac:dyDescent="0.25">
      <c r="A844" s="4">
        <v>843</v>
      </c>
      <c r="B844" s="4"/>
      <c r="C844" s="4"/>
      <c r="D844" s="4"/>
      <c r="E844" s="4"/>
      <c r="F844" s="4"/>
    </row>
    <row r="845" spans="1:6" x14ac:dyDescent="0.25">
      <c r="A845" s="4">
        <v>844</v>
      </c>
      <c r="B845" s="4"/>
      <c r="C845" s="4"/>
      <c r="D845" s="4"/>
      <c r="E845" s="4"/>
      <c r="F845" s="4"/>
    </row>
    <row r="846" spans="1:6" x14ac:dyDescent="0.25">
      <c r="A846" s="4">
        <v>845</v>
      </c>
      <c r="B846" s="4"/>
      <c r="C846" s="4"/>
      <c r="D846" s="4"/>
      <c r="E846" s="4"/>
      <c r="F846" s="4"/>
    </row>
    <row r="847" spans="1:6" x14ac:dyDescent="0.25">
      <c r="A847" s="4">
        <v>846</v>
      </c>
      <c r="B847" s="4"/>
      <c r="C847" s="4"/>
      <c r="D847" s="4"/>
      <c r="E847" s="4"/>
      <c r="F847" s="4"/>
    </row>
    <row r="848" spans="1:6" x14ac:dyDescent="0.25">
      <c r="A848" s="4">
        <v>847</v>
      </c>
      <c r="B848" s="4"/>
      <c r="C848" s="4"/>
      <c r="D848" s="4"/>
      <c r="E848" s="4"/>
      <c r="F848" s="4"/>
    </row>
    <row r="849" spans="1:6" x14ac:dyDescent="0.25">
      <c r="A849" s="4">
        <v>848</v>
      </c>
      <c r="B849" s="4"/>
      <c r="C849" s="4"/>
      <c r="D849" s="4"/>
      <c r="E849" s="4"/>
      <c r="F849" s="4"/>
    </row>
    <row r="850" spans="1:6" x14ac:dyDescent="0.25">
      <c r="A850" s="4">
        <v>849</v>
      </c>
      <c r="B850" s="4"/>
      <c r="C850" s="4"/>
      <c r="D850" s="4"/>
      <c r="E850" s="4"/>
      <c r="F850" s="4"/>
    </row>
    <row r="851" spans="1:6" x14ac:dyDescent="0.25">
      <c r="A851" s="4">
        <v>850</v>
      </c>
      <c r="B851" s="4"/>
      <c r="C851" s="4"/>
      <c r="D851" s="4"/>
      <c r="E851" s="4"/>
      <c r="F851" s="4"/>
    </row>
    <row r="852" spans="1:6" x14ac:dyDescent="0.25">
      <c r="A852" s="4">
        <v>851</v>
      </c>
      <c r="B852" s="4"/>
      <c r="C852" s="4"/>
      <c r="D852" s="4"/>
      <c r="E852" s="4"/>
      <c r="F852" s="4"/>
    </row>
    <row r="853" spans="1:6" x14ac:dyDescent="0.25">
      <c r="A853" s="4">
        <v>852</v>
      </c>
      <c r="B853" s="4"/>
      <c r="C853" s="4"/>
      <c r="D853" s="4"/>
      <c r="E853" s="4"/>
      <c r="F853" s="4"/>
    </row>
    <row r="854" spans="1:6" x14ac:dyDescent="0.25">
      <c r="A854" s="4">
        <v>853</v>
      </c>
      <c r="B854" s="4"/>
      <c r="C854" s="4"/>
      <c r="D854" s="4"/>
      <c r="E854" s="4"/>
      <c r="F854" s="4"/>
    </row>
    <row r="855" spans="1:6" x14ac:dyDescent="0.25">
      <c r="A855" s="4">
        <v>854</v>
      </c>
      <c r="B855" s="4"/>
      <c r="C855" s="4"/>
      <c r="D855" s="4"/>
      <c r="E855" s="4"/>
      <c r="F855" s="4"/>
    </row>
    <row r="856" spans="1:6" x14ac:dyDescent="0.25">
      <c r="A856" s="4">
        <v>855</v>
      </c>
      <c r="B856" s="4"/>
      <c r="C856" s="4"/>
      <c r="D856" s="4"/>
      <c r="E856" s="4"/>
      <c r="F856" s="4"/>
    </row>
    <row r="857" spans="1:6" x14ac:dyDescent="0.25">
      <c r="A857" s="4">
        <v>856</v>
      </c>
      <c r="B857" s="4"/>
      <c r="C857" s="4"/>
      <c r="D857" s="4"/>
      <c r="E857" s="4"/>
      <c r="F857" s="4"/>
    </row>
    <row r="858" spans="1:6" x14ac:dyDescent="0.25">
      <c r="A858" s="4">
        <v>857</v>
      </c>
      <c r="B858" s="4"/>
      <c r="C858" s="4"/>
      <c r="D858" s="4"/>
      <c r="E858" s="4"/>
      <c r="F858" s="4"/>
    </row>
    <row r="859" spans="1:6" x14ac:dyDescent="0.25">
      <c r="A859" s="4">
        <v>858</v>
      </c>
      <c r="B859" s="4"/>
      <c r="C859" s="4"/>
      <c r="D859" s="4"/>
      <c r="E859" s="4"/>
      <c r="F859" s="4"/>
    </row>
    <row r="860" spans="1:6" x14ac:dyDescent="0.25">
      <c r="A860" s="4">
        <v>859</v>
      </c>
      <c r="B860" s="4"/>
      <c r="C860" s="4"/>
      <c r="D860" s="4"/>
      <c r="E860" s="4"/>
      <c r="F860" s="4"/>
    </row>
    <row r="861" spans="1:6" x14ac:dyDescent="0.25">
      <c r="A861" s="4">
        <v>860</v>
      </c>
      <c r="B861" s="4"/>
      <c r="C861" s="4"/>
      <c r="D861" s="4"/>
      <c r="E861" s="4"/>
      <c r="F861" s="4"/>
    </row>
    <row r="862" spans="1:6" x14ac:dyDescent="0.25">
      <c r="A862" s="4">
        <v>861</v>
      </c>
      <c r="B862" s="4"/>
      <c r="C862" s="4"/>
      <c r="D862" s="4"/>
      <c r="E862" s="4"/>
      <c r="F862" s="4"/>
    </row>
    <row r="863" spans="1:6" x14ac:dyDescent="0.25">
      <c r="A863" s="4">
        <v>862</v>
      </c>
      <c r="B863" s="4"/>
      <c r="C863" s="4"/>
      <c r="D863" s="4"/>
      <c r="E863" s="4"/>
      <c r="F863" s="4"/>
    </row>
    <row r="864" spans="1:6" x14ac:dyDescent="0.25">
      <c r="A864" s="4">
        <v>863</v>
      </c>
      <c r="B864" s="4"/>
      <c r="C864" s="4"/>
      <c r="D864" s="4"/>
      <c r="E864" s="4"/>
      <c r="F864" s="4"/>
    </row>
    <row r="865" spans="1:6" x14ac:dyDescent="0.25">
      <c r="A865" s="4">
        <v>864</v>
      </c>
      <c r="B865" s="4"/>
      <c r="C865" s="4"/>
      <c r="D865" s="4"/>
      <c r="E865" s="4"/>
      <c r="F865" s="4"/>
    </row>
    <row r="866" spans="1:6" x14ac:dyDescent="0.25">
      <c r="A866" s="4">
        <v>865</v>
      </c>
      <c r="B866" s="4"/>
      <c r="C866" s="4"/>
      <c r="D866" s="4"/>
      <c r="E866" s="4"/>
      <c r="F866" s="4"/>
    </row>
    <row r="867" spans="1:6" x14ac:dyDescent="0.25">
      <c r="A867" s="4">
        <v>866</v>
      </c>
      <c r="B867" s="4"/>
      <c r="C867" s="4"/>
      <c r="D867" s="4"/>
      <c r="E867" s="4"/>
      <c r="F867" s="4"/>
    </row>
    <row r="868" spans="1:6" x14ac:dyDescent="0.25">
      <c r="A868" s="4">
        <v>867</v>
      </c>
      <c r="B868" s="4"/>
      <c r="C868" s="4"/>
      <c r="D868" s="4"/>
      <c r="E868" s="4"/>
      <c r="F868" s="4"/>
    </row>
    <row r="869" spans="1:6" x14ac:dyDescent="0.25">
      <c r="A869" s="4">
        <v>868</v>
      </c>
      <c r="B869" s="4"/>
      <c r="C869" s="4"/>
      <c r="D869" s="4"/>
      <c r="E869" s="4"/>
      <c r="F869" s="4"/>
    </row>
    <row r="870" spans="1:6" x14ac:dyDescent="0.25">
      <c r="A870" s="4">
        <v>869</v>
      </c>
      <c r="B870" s="4"/>
      <c r="C870" s="4"/>
      <c r="D870" s="4"/>
      <c r="E870" s="4"/>
      <c r="F870" s="4"/>
    </row>
    <row r="871" spans="1:6" x14ac:dyDescent="0.25">
      <c r="A871" s="4">
        <v>870</v>
      </c>
      <c r="B871" s="4"/>
      <c r="C871" s="4"/>
      <c r="D871" s="4"/>
      <c r="E871" s="4"/>
      <c r="F871" s="4"/>
    </row>
    <row r="872" spans="1:6" x14ac:dyDescent="0.25">
      <c r="A872" s="4">
        <v>871</v>
      </c>
      <c r="B872" s="4"/>
      <c r="C872" s="4"/>
      <c r="D872" s="4"/>
      <c r="E872" s="4"/>
      <c r="F872" s="4"/>
    </row>
    <row r="873" spans="1:6" x14ac:dyDescent="0.25">
      <c r="A873" s="4">
        <v>872</v>
      </c>
      <c r="B873" s="4"/>
      <c r="C873" s="4"/>
      <c r="D873" s="4"/>
      <c r="E873" s="4"/>
      <c r="F873" s="4"/>
    </row>
    <row r="874" spans="1:6" x14ac:dyDescent="0.25">
      <c r="A874" s="4">
        <v>873</v>
      </c>
      <c r="B874" s="4"/>
      <c r="C874" s="4"/>
      <c r="D874" s="4"/>
      <c r="E874" s="4"/>
      <c r="F874" s="4"/>
    </row>
    <row r="875" spans="1:6" x14ac:dyDescent="0.25">
      <c r="A875" s="4">
        <v>874</v>
      </c>
      <c r="B875" s="4"/>
      <c r="C875" s="4"/>
      <c r="D875" s="4"/>
      <c r="E875" s="4"/>
      <c r="F875" s="4"/>
    </row>
    <row r="876" spans="1:6" x14ac:dyDescent="0.25">
      <c r="A876" s="4">
        <v>875</v>
      </c>
      <c r="B876" s="4"/>
      <c r="C876" s="4"/>
      <c r="D876" s="4"/>
      <c r="E876" s="4"/>
      <c r="F876" s="4"/>
    </row>
    <row r="877" spans="1:6" x14ac:dyDescent="0.25">
      <c r="A877" s="4">
        <v>876</v>
      </c>
      <c r="B877" s="4"/>
      <c r="C877" s="4"/>
      <c r="D877" s="4"/>
      <c r="E877" s="4"/>
      <c r="F877" s="4"/>
    </row>
    <row r="878" spans="1:6" x14ac:dyDescent="0.25">
      <c r="A878" s="4">
        <v>877</v>
      </c>
      <c r="B878" s="4"/>
      <c r="C878" s="4"/>
      <c r="D878" s="4"/>
      <c r="E878" s="4"/>
      <c r="F878" s="4"/>
    </row>
    <row r="879" spans="1:6" x14ac:dyDescent="0.25">
      <c r="A879" s="4">
        <v>878</v>
      </c>
      <c r="B879" s="4"/>
      <c r="C879" s="4"/>
      <c r="D879" s="4"/>
      <c r="E879" s="4"/>
      <c r="F879" s="4"/>
    </row>
    <row r="880" spans="1:6" x14ac:dyDescent="0.25">
      <c r="A880" s="4">
        <v>879</v>
      </c>
      <c r="B880" s="4"/>
      <c r="C880" s="4"/>
      <c r="D880" s="4"/>
      <c r="E880" s="4"/>
      <c r="F880" s="4"/>
    </row>
    <row r="881" spans="1:6" x14ac:dyDescent="0.25">
      <c r="A881" s="4">
        <v>880</v>
      </c>
      <c r="B881" s="4"/>
      <c r="C881" s="4"/>
      <c r="D881" s="4"/>
      <c r="E881" s="4"/>
      <c r="F881" s="4"/>
    </row>
    <row r="882" spans="1:6" x14ac:dyDescent="0.25">
      <c r="A882" s="4">
        <v>881</v>
      </c>
      <c r="B882" s="4"/>
      <c r="C882" s="4"/>
      <c r="D882" s="4"/>
      <c r="E882" s="4"/>
      <c r="F882" s="4"/>
    </row>
    <row r="883" spans="1:6" x14ac:dyDescent="0.25">
      <c r="A883" s="4">
        <v>882</v>
      </c>
      <c r="B883" s="4"/>
      <c r="C883" s="4"/>
      <c r="D883" s="4"/>
      <c r="E883" s="4"/>
      <c r="F883" s="4"/>
    </row>
    <row r="884" spans="1:6" x14ac:dyDescent="0.25">
      <c r="A884" s="4">
        <v>883</v>
      </c>
      <c r="B884" s="4"/>
      <c r="C884" s="4"/>
      <c r="D884" s="4"/>
      <c r="E884" s="4"/>
      <c r="F884" s="4"/>
    </row>
    <row r="885" spans="1:6" x14ac:dyDescent="0.25">
      <c r="A885" s="4">
        <v>884</v>
      </c>
      <c r="B885" s="4"/>
      <c r="C885" s="4"/>
      <c r="D885" s="4"/>
      <c r="E885" s="4"/>
      <c r="F885" s="4"/>
    </row>
    <row r="886" spans="1:6" x14ac:dyDescent="0.25">
      <c r="A886" s="4">
        <v>885</v>
      </c>
      <c r="B886" s="4"/>
      <c r="C886" s="4"/>
      <c r="D886" s="4"/>
      <c r="E886" s="4"/>
      <c r="F886" s="4"/>
    </row>
    <row r="887" spans="1:6" x14ac:dyDescent="0.25">
      <c r="A887" s="4">
        <v>886</v>
      </c>
      <c r="B887" s="4"/>
      <c r="C887" s="4"/>
      <c r="D887" s="4"/>
      <c r="E887" s="4"/>
      <c r="F887" s="4"/>
    </row>
    <row r="888" spans="1:6" x14ac:dyDescent="0.25">
      <c r="A888" s="4">
        <v>887</v>
      </c>
      <c r="B888" s="4"/>
      <c r="C888" s="4"/>
      <c r="D888" s="4"/>
      <c r="E888" s="4"/>
      <c r="F888" s="4"/>
    </row>
    <row r="889" spans="1:6" x14ac:dyDescent="0.25">
      <c r="A889" s="4">
        <v>888</v>
      </c>
      <c r="B889" s="4"/>
      <c r="C889" s="4"/>
      <c r="D889" s="4"/>
      <c r="E889" s="4"/>
      <c r="F889" s="4"/>
    </row>
    <row r="890" spans="1:6" x14ac:dyDescent="0.25">
      <c r="A890" s="4">
        <v>889</v>
      </c>
      <c r="B890" s="4"/>
      <c r="C890" s="4"/>
      <c r="D890" s="4"/>
      <c r="E890" s="4"/>
      <c r="F890" s="4"/>
    </row>
    <row r="891" spans="1:6" x14ac:dyDescent="0.25">
      <c r="A891" s="4">
        <v>890</v>
      </c>
      <c r="B891" s="4"/>
      <c r="C891" s="4"/>
      <c r="D891" s="4"/>
      <c r="E891" s="4"/>
      <c r="F891" s="4"/>
    </row>
    <row r="892" spans="1:6" x14ac:dyDescent="0.25">
      <c r="A892" s="4">
        <v>891</v>
      </c>
      <c r="B892" s="4"/>
      <c r="C892" s="4"/>
      <c r="D892" s="4"/>
      <c r="E892" s="4"/>
      <c r="F892" s="4"/>
    </row>
    <row r="893" spans="1:6" x14ac:dyDescent="0.25">
      <c r="A893" s="4">
        <v>892</v>
      </c>
      <c r="B893" s="4"/>
      <c r="C893" s="4"/>
      <c r="D893" s="4"/>
      <c r="E893" s="4"/>
      <c r="F893" s="4"/>
    </row>
    <row r="894" spans="1:6" x14ac:dyDescent="0.25">
      <c r="A894" s="4">
        <v>893</v>
      </c>
      <c r="B894" s="4"/>
      <c r="C894" s="4"/>
      <c r="D894" s="4"/>
      <c r="E894" s="4"/>
      <c r="F894" s="4"/>
    </row>
    <row r="895" spans="1:6" x14ac:dyDescent="0.25">
      <c r="A895" s="4">
        <v>894</v>
      </c>
      <c r="B895" s="4"/>
      <c r="C895" s="4"/>
      <c r="D895" s="4"/>
      <c r="E895" s="4"/>
      <c r="F895" s="4"/>
    </row>
    <row r="896" spans="1:6" x14ac:dyDescent="0.25">
      <c r="A896" s="4">
        <v>895</v>
      </c>
      <c r="B896" s="4"/>
      <c r="C896" s="4"/>
      <c r="D896" s="4"/>
      <c r="E896" s="4"/>
      <c r="F896" s="4"/>
    </row>
    <row r="897" spans="1:6" x14ac:dyDescent="0.25">
      <c r="A897" s="4">
        <v>896</v>
      </c>
      <c r="B897" s="4"/>
      <c r="C897" s="4"/>
      <c r="D897" s="4"/>
      <c r="E897" s="4"/>
      <c r="F897" s="4"/>
    </row>
    <row r="898" spans="1:6" x14ac:dyDescent="0.25">
      <c r="A898" s="4">
        <v>897</v>
      </c>
      <c r="B898" s="4"/>
      <c r="C898" s="4"/>
      <c r="D898" s="4"/>
      <c r="E898" s="4"/>
      <c r="F898" s="4"/>
    </row>
    <row r="899" spans="1:6" x14ac:dyDescent="0.25">
      <c r="A899" s="4">
        <v>898</v>
      </c>
      <c r="B899" s="4"/>
      <c r="C899" s="4"/>
      <c r="D899" s="4"/>
      <c r="E899" s="4"/>
      <c r="F899" s="4"/>
    </row>
    <row r="900" spans="1:6" x14ac:dyDescent="0.25">
      <c r="A900" s="4">
        <v>899</v>
      </c>
      <c r="B900" s="4"/>
      <c r="C900" s="4"/>
      <c r="D900" s="4"/>
      <c r="E900" s="4"/>
      <c r="F900" s="4"/>
    </row>
    <row r="901" spans="1:6" x14ac:dyDescent="0.25">
      <c r="A901" s="4">
        <v>900</v>
      </c>
      <c r="B901" s="4"/>
      <c r="C901" s="4"/>
      <c r="D901" s="4"/>
      <c r="E901" s="4"/>
      <c r="F901" s="4"/>
    </row>
    <row r="902" spans="1:6" x14ac:dyDescent="0.25">
      <c r="A902" s="4">
        <v>901</v>
      </c>
      <c r="B902" s="4"/>
      <c r="C902" s="4"/>
      <c r="D902" s="4"/>
      <c r="E902" s="4"/>
      <c r="F902" s="4"/>
    </row>
    <row r="903" spans="1:6" x14ac:dyDescent="0.25">
      <c r="A903" s="4">
        <v>902</v>
      </c>
      <c r="B903" s="4"/>
      <c r="C903" s="4"/>
      <c r="D903" s="4"/>
      <c r="E903" s="4"/>
      <c r="F903" s="4"/>
    </row>
    <row r="904" spans="1:6" x14ac:dyDescent="0.25">
      <c r="A904" s="4">
        <v>903</v>
      </c>
      <c r="B904" s="4"/>
      <c r="C904" s="4"/>
      <c r="D904" s="4"/>
      <c r="E904" s="4"/>
      <c r="F904" s="4"/>
    </row>
    <row r="905" spans="1:6" x14ac:dyDescent="0.25">
      <c r="A905" s="4">
        <v>904</v>
      </c>
      <c r="B905" s="4"/>
      <c r="C905" s="4"/>
      <c r="D905" s="4"/>
      <c r="E905" s="4"/>
      <c r="F905" s="4"/>
    </row>
    <row r="906" spans="1:6" x14ac:dyDescent="0.25">
      <c r="A906" s="4">
        <v>905</v>
      </c>
      <c r="B906" s="4"/>
      <c r="C906" s="4"/>
      <c r="D906" s="4"/>
      <c r="E906" s="4"/>
      <c r="F906" s="4"/>
    </row>
    <row r="907" spans="1:6" x14ac:dyDescent="0.25">
      <c r="A907" s="4">
        <v>906</v>
      </c>
      <c r="B907" s="4"/>
      <c r="C907" s="4"/>
      <c r="D907" s="4"/>
      <c r="E907" s="4"/>
      <c r="F907" s="4"/>
    </row>
    <row r="908" spans="1:6" x14ac:dyDescent="0.25">
      <c r="A908" s="4">
        <v>907</v>
      </c>
      <c r="B908" s="4"/>
      <c r="C908" s="4"/>
      <c r="D908" s="4"/>
      <c r="E908" s="4"/>
      <c r="F908" s="4"/>
    </row>
    <row r="909" spans="1:6" x14ac:dyDescent="0.25">
      <c r="A909" s="4">
        <v>908</v>
      </c>
      <c r="B909" s="4"/>
      <c r="C909" s="4"/>
      <c r="D909" s="4"/>
      <c r="E909" s="4"/>
      <c r="F909" s="4"/>
    </row>
    <row r="910" spans="1:6" x14ac:dyDescent="0.25">
      <c r="A910" s="4">
        <v>909</v>
      </c>
      <c r="B910" s="4"/>
      <c r="C910" s="4"/>
      <c r="D910" s="4"/>
      <c r="E910" s="4"/>
      <c r="F910" s="4"/>
    </row>
    <row r="911" spans="1:6" x14ac:dyDescent="0.25">
      <c r="A911" s="4">
        <v>910</v>
      </c>
      <c r="B911" s="4"/>
      <c r="C911" s="4"/>
      <c r="D911" s="4"/>
      <c r="E911" s="4"/>
      <c r="F911" s="4"/>
    </row>
    <row r="912" spans="1:6" x14ac:dyDescent="0.25">
      <c r="A912" s="4">
        <v>911</v>
      </c>
      <c r="B912" s="4"/>
      <c r="C912" s="4"/>
      <c r="D912" s="4"/>
      <c r="E912" s="4"/>
      <c r="F912" s="4"/>
    </row>
    <row r="913" spans="1:6" x14ac:dyDescent="0.25">
      <c r="A913" s="4">
        <v>912</v>
      </c>
      <c r="B913" s="4"/>
      <c r="C913" s="4"/>
      <c r="D913" s="4"/>
      <c r="E913" s="4"/>
      <c r="F913" s="4"/>
    </row>
    <row r="914" spans="1:6" x14ac:dyDescent="0.25">
      <c r="A914" s="4">
        <v>913</v>
      </c>
      <c r="B914" s="4"/>
      <c r="C914" s="4"/>
      <c r="D914" s="4"/>
      <c r="E914" s="4"/>
      <c r="F914" s="4"/>
    </row>
    <row r="915" spans="1:6" x14ac:dyDescent="0.25">
      <c r="A915" s="4">
        <v>914</v>
      </c>
      <c r="B915" s="4"/>
      <c r="C915" s="4"/>
      <c r="D915" s="4"/>
      <c r="E915" s="4"/>
      <c r="F915" s="4"/>
    </row>
    <row r="916" spans="1:6" x14ac:dyDescent="0.25">
      <c r="A916" s="4">
        <v>915</v>
      </c>
      <c r="B916" s="4"/>
      <c r="C916" s="4"/>
      <c r="D916" s="4"/>
      <c r="E916" s="4"/>
      <c r="F916" s="4"/>
    </row>
    <row r="917" spans="1:6" x14ac:dyDescent="0.25">
      <c r="A917" s="4">
        <v>916</v>
      </c>
      <c r="B917" s="4"/>
      <c r="C917" s="4"/>
      <c r="D917" s="4"/>
      <c r="E917" s="4"/>
      <c r="F917" s="4"/>
    </row>
    <row r="918" spans="1:6" x14ac:dyDescent="0.25">
      <c r="A918" s="4">
        <v>917</v>
      </c>
      <c r="B918" s="4"/>
      <c r="C918" s="4"/>
      <c r="D918" s="4"/>
      <c r="E918" s="4"/>
      <c r="F918" s="4"/>
    </row>
    <row r="919" spans="1:6" x14ac:dyDescent="0.25">
      <c r="A919" s="4">
        <v>918</v>
      </c>
      <c r="B919" s="4"/>
      <c r="C919" s="4"/>
      <c r="D919" s="4"/>
      <c r="E919" s="4"/>
      <c r="F919" s="4"/>
    </row>
    <row r="920" spans="1:6" x14ac:dyDescent="0.25">
      <c r="A920" s="4">
        <v>919</v>
      </c>
      <c r="B920" s="4"/>
      <c r="C920" s="4"/>
      <c r="D920" s="4"/>
      <c r="E920" s="4"/>
      <c r="F920" s="4"/>
    </row>
    <row r="921" spans="1:6" x14ac:dyDescent="0.25">
      <c r="A921" s="4">
        <v>920</v>
      </c>
      <c r="B921" s="4"/>
      <c r="C921" s="4"/>
      <c r="D921" s="4"/>
      <c r="E921" s="4"/>
      <c r="F921" s="4"/>
    </row>
    <row r="922" spans="1:6" x14ac:dyDescent="0.25">
      <c r="A922" s="4">
        <v>921</v>
      </c>
      <c r="B922" s="4"/>
      <c r="C922" s="4"/>
      <c r="D922" s="4"/>
      <c r="E922" s="4"/>
      <c r="F922" s="4"/>
    </row>
    <row r="923" spans="1:6" x14ac:dyDescent="0.25">
      <c r="A923" s="4">
        <v>922</v>
      </c>
      <c r="B923" s="4"/>
      <c r="C923" s="4"/>
      <c r="D923" s="4"/>
      <c r="E923" s="4"/>
      <c r="F923" s="4"/>
    </row>
    <row r="924" spans="1:6" x14ac:dyDescent="0.25">
      <c r="A924" s="4">
        <v>923</v>
      </c>
      <c r="B924" s="4"/>
      <c r="C924" s="4"/>
      <c r="D924" s="4"/>
      <c r="E924" s="4"/>
      <c r="F924" s="4"/>
    </row>
    <row r="925" spans="1:6" x14ac:dyDescent="0.25">
      <c r="A925" s="4">
        <v>924</v>
      </c>
      <c r="B925" s="4"/>
      <c r="C925" s="4"/>
      <c r="D925" s="4"/>
      <c r="E925" s="4"/>
      <c r="F925" s="4"/>
    </row>
    <row r="926" spans="1:6" x14ac:dyDescent="0.25">
      <c r="A926" s="4">
        <v>925</v>
      </c>
      <c r="B926" s="4"/>
      <c r="C926" s="4"/>
      <c r="D926" s="4"/>
      <c r="E926" s="4"/>
      <c r="F926" s="4"/>
    </row>
    <row r="927" spans="1:6" x14ac:dyDescent="0.25">
      <c r="A927" s="4">
        <v>926</v>
      </c>
      <c r="B927" s="4"/>
      <c r="C927" s="4"/>
      <c r="D927" s="4"/>
      <c r="E927" s="4"/>
      <c r="F927" s="4"/>
    </row>
    <row r="928" spans="1:6" x14ac:dyDescent="0.25">
      <c r="A928" s="4">
        <v>927</v>
      </c>
      <c r="B928" s="4"/>
      <c r="C928" s="4"/>
      <c r="D928" s="4"/>
      <c r="E928" s="4"/>
      <c r="F928" s="4"/>
    </row>
    <row r="929" spans="1:6" x14ac:dyDescent="0.25">
      <c r="A929" s="4">
        <v>928</v>
      </c>
      <c r="B929" s="4"/>
      <c r="C929" s="4"/>
      <c r="D929" s="4"/>
      <c r="E929" s="4"/>
      <c r="F929" s="4"/>
    </row>
    <row r="930" spans="1:6" x14ac:dyDescent="0.25">
      <c r="A930" s="4">
        <v>929</v>
      </c>
      <c r="B930" s="4"/>
      <c r="C930" s="4"/>
      <c r="D930" s="4"/>
      <c r="E930" s="4"/>
      <c r="F930" s="4"/>
    </row>
    <row r="931" spans="1:6" x14ac:dyDescent="0.25">
      <c r="A931" s="4">
        <v>930</v>
      </c>
      <c r="B931" s="4"/>
      <c r="C931" s="4"/>
      <c r="D931" s="4"/>
      <c r="E931" s="4"/>
      <c r="F931" s="4"/>
    </row>
    <row r="932" spans="1:6" x14ac:dyDescent="0.25">
      <c r="A932" s="4">
        <v>931</v>
      </c>
      <c r="B932" s="4"/>
      <c r="C932" s="4"/>
      <c r="D932" s="4"/>
      <c r="E932" s="4"/>
      <c r="F932" s="4"/>
    </row>
    <row r="933" spans="1:6" x14ac:dyDescent="0.25">
      <c r="A933" s="4">
        <v>932</v>
      </c>
      <c r="B933" s="4"/>
      <c r="C933" s="4"/>
      <c r="D933" s="4"/>
      <c r="E933" s="4"/>
      <c r="F933" s="4"/>
    </row>
    <row r="934" spans="1:6" x14ac:dyDescent="0.25">
      <c r="A934" s="4">
        <v>933</v>
      </c>
      <c r="B934" s="4"/>
      <c r="C934" s="4"/>
      <c r="D934" s="4"/>
      <c r="E934" s="4"/>
      <c r="F934" s="4"/>
    </row>
    <row r="935" spans="1:6" x14ac:dyDescent="0.25">
      <c r="A935" s="4">
        <v>934</v>
      </c>
      <c r="B935" s="4"/>
      <c r="C935" s="4"/>
      <c r="D935" s="4"/>
      <c r="E935" s="4"/>
      <c r="F935" s="4"/>
    </row>
    <row r="936" spans="1:6" x14ac:dyDescent="0.25">
      <c r="A936" s="4">
        <v>935</v>
      </c>
      <c r="B936" s="4"/>
      <c r="C936" s="4"/>
      <c r="D936" s="4"/>
      <c r="E936" s="4"/>
      <c r="F936" s="4"/>
    </row>
    <row r="937" spans="1:6" x14ac:dyDescent="0.25">
      <c r="A937" s="4">
        <v>936</v>
      </c>
      <c r="B937" s="4"/>
      <c r="C937" s="4"/>
      <c r="D937" s="4"/>
      <c r="E937" s="4"/>
      <c r="F937" s="4"/>
    </row>
    <row r="938" spans="1:6" x14ac:dyDescent="0.25">
      <c r="A938" s="4">
        <v>937</v>
      </c>
      <c r="B938" s="4"/>
      <c r="C938" s="4"/>
      <c r="D938" s="4"/>
      <c r="E938" s="4"/>
      <c r="F938" s="4"/>
    </row>
    <row r="939" spans="1:6" x14ac:dyDescent="0.25">
      <c r="A939" s="4">
        <v>938</v>
      </c>
      <c r="B939" s="4"/>
      <c r="C939" s="4"/>
      <c r="D939" s="4"/>
      <c r="E939" s="4"/>
      <c r="F939" s="4"/>
    </row>
    <row r="940" spans="1:6" x14ac:dyDescent="0.25">
      <c r="A940" s="4">
        <v>939</v>
      </c>
      <c r="B940" s="4"/>
      <c r="C940" s="4"/>
      <c r="D940" s="4"/>
      <c r="E940" s="4"/>
      <c r="F940" s="4"/>
    </row>
    <row r="941" spans="1:6" x14ac:dyDescent="0.25">
      <c r="A941" s="4">
        <v>940</v>
      </c>
      <c r="B941" s="4"/>
      <c r="C941" s="4"/>
      <c r="D941" s="4"/>
      <c r="E941" s="4"/>
      <c r="F941" s="4"/>
    </row>
    <row r="942" spans="1:6" x14ac:dyDescent="0.25">
      <c r="A942" s="4">
        <v>941</v>
      </c>
      <c r="B942" s="4"/>
      <c r="C942" s="4"/>
      <c r="D942" s="4"/>
      <c r="E942" s="4"/>
      <c r="F942" s="4"/>
    </row>
    <row r="943" spans="1:6" x14ac:dyDescent="0.25">
      <c r="A943" s="4">
        <v>942</v>
      </c>
      <c r="B943" s="4"/>
      <c r="C943" s="4"/>
      <c r="D943" s="4"/>
      <c r="E943" s="4"/>
      <c r="F943" s="4"/>
    </row>
    <row r="944" spans="1:6" x14ac:dyDescent="0.25">
      <c r="A944" s="4">
        <v>943</v>
      </c>
      <c r="B944" s="4"/>
      <c r="C944" s="4"/>
      <c r="D944" s="4"/>
      <c r="E944" s="4"/>
      <c r="F944" s="4"/>
    </row>
    <row r="945" spans="1:6" x14ac:dyDescent="0.25">
      <c r="A945" s="4">
        <v>944</v>
      </c>
      <c r="B945" s="4"/>
      <c r="C945" s="4"/>
      <c r="D945" s="4"/>
      <c r="E945" s="4"/>
      <c r="F945" s="4"/>
    </row>
    <row r="946" spans="1:6" x14ac:dyDescent="0.25">
      <c r="A946" s="4">
        <v>945</v>
      </c>
      <c r="B946" s="4"/>
      <c r="C946" s="4"/>
      <c r="D946" s="4"/>
      <c r="E946" s="4"/>
      <c r="F946" s="4"/>
    </row>
    <row r="947" spans="1:6" x14ac:dyDescent="0.25">
      <c r="A947" s="4">
        <v>946</v>
      </c>
      <c r="B947" s="4"/>
      <c r="C947" s="4"/>
      <c r="D947" s="4"/>
      <c r="E947" s="4"/>
      <c r="F947" s="4"/>
    </row>
    <row r="948" spans="1:6" x14ac:dyDescent="0.25">
      <c r="A948" s="4">
        <v>947</v>
      </c>
      <c r="B948" s="4"/>
      <c r="C948" s="4"/>
      <c r="D948" s="4"/>
      <c r="E948" s="4"/>
      <c r="F948" s="4"/>
    </row>
    <row r="949" spans="1:6" x14ac:dyDescent="0.25">
      <c r="A949" s="4">
        <v>948</v>
      </c>
      <c r="B949" s="4"/>
      <c r="C949" s="4"/>
      <c r="D949" s="4"/>
      <c r="E949" s="4"/>
      <c r="F949" s="4"/>
    </row>
    <row r="950" spans="1:6" x14ac:dyDescent="0.25">
      <c r="A950" s="4">
        <v>949</v>
      </c>
      <c r="B950" s="4"/>
      <c r="C950" s="4"/>
      <c r="D950" s="4"/>
      <c r="E950" s="4"/>
      <c r="F950" s="4"/>
    </row>
    <row r="951" spans="1:6" x14ac:dyDescent="0.25">
      <c r="A951" s="4">
        <v>950</v>
      </c>
      <c r="B951" s="4"/>
      <c r="C951" s="4"/>
      <c r="D951" s="4"/>
      <c r="E951" s="4"/>
      <c r="F951" s="4"/>
    </row>
    <row r="952" spans="1:6" x14ac:dyDescent="0.25">
      <c r="A952" s="4">
        <v>951</v>
      </c>
      <c r="B952" s="4"/>
      <c r="C952" s="4"/>
      <c r="D952" s="4"/>
      <c r="E952" s="4"/>
      <c r="F952" s="4"/>
    </row>
    <row r="953" spans="1:6" x14ac:dyDescent="0.25">
      <c r="A953" s="4">
        <v>952</v>
      </c>
      <c r="B953" s="4"/>
      <c r="C953" s="4"/>
      <c r="D953" s="4"/>
      <c r="E953" s="4"/>
      <c r="F953" s="4"/>
    </row>
    <row r="954" spans="1:6" x14ac:dyDescent="0.25">
      <c r="A954" s="4">
        <v>953</v>
      </c>
      <c r="B954" s="4"/>
      <c r="C954" s="4"/>
      <c r="D954" s="4"/>
      <c r="E954" s="4"/>
      <c r="F954" s="4"/>
    </row>
    <row r="955" spans="1:6" x14ac:dyDescent="0.25">
      <c r="A955" s="4">
        <v>954</v>
      </c>
      <c r="B955" s="4"/>
      <c r="C955" s="4"/>
      <c r="D955" s="4"/>
      <c r="E955" s="4"/>
      <c r="F955" s="4"/>
    </row>
    <row r="956" spans="1:6" x14ac:dyDescent="0.25">
      <c r="A956" s="4">
        <v>955</v>
      </c>
      <c r="B956" s="4"/>
      <c r="C956" s="4"/>
      <c r="D956" s="4"/>
      <c r="E956" s="4"/>
      <c r="F956" s="4"/>
    </row>
    <row r="957" spans="1:6" x14ac:dyDescent="0.25">
      <c r="A957" s="4">
        <v>956</v>
      </c>
      <c r="B957" s="4"/>
      <c r="C957" s="4"/>
      <c r="D957" s="4"/>
      <c r="E957" s="4"/>
      <c r="F957" s="4"/>
    </row>
    <row r="958" spans="1:6" x14ac:dyDescent="0.25">
      <c r="A958" s="4">
        <v>957</v>
      </c>
      <c r="B958" s="4"/>
      <c r="C958" s="4"/>
      <c r="D958" s="4"/>
      <c r="E958" s="4"/>
      <c r="F958" s="4"/>
    </row>
    <row r="959" spans="1:6" x14ac:dyDescent="0.25">
      <c r="A959" s="4">
        <v>958</v>
      </c>
      <c r="B959" s="4"/>
      <c r="C959" s="4"/>
      <c r="D959" s="4"/>
      <c r="E959" s="4"/>
      <c r="F959" s="4"/>
    </row>
    <row r="960" spans="1:6" x14ac:dyDescent="0.25">
      <c r="A960" s="4">
        <v>959</v>
      </c>
      <c r="B960" s="4"/>
      <c r="C960" s="4"/>
      <c r="D960" s="4"/>
      <c r="E960" s="4"/>
      <c r="F960" s="4"/>
    </row>
    <row r="961" spans="1:6" x14ac:dyDescent="0.25">
      <c r="A961" s="4">
        <v>960</v>
      </c>
      <c r="B961" s="4"/>
      <c r="C961" s="4"/>
      <c r="D961" s="4"/>
      <c r="E961" s="4"/>
      <c r="F961" s="4"/>
    </row>
    <row r="962" spans="1:6" x14ac:dyDescent="0.25">
      <c r="A962" s="4">
        <v>961</v>
      </c>
      <c r="B962" s="4"/>
      <c r="C962" s="4"/>
      <c r="D962" s="4"/>
      <c r="E962" s="4"/>
      <c r="F962" s="4"/>
    </row>
    <row r="963" spans="1:6" x14ac:dyDescent="0.25">
      <c r="A963" s="4">
        <v>962</v>
      </c>
      <c r="B963" s="4"/>
      <c r="C963" s="4"/>
      <c r="D963" s="4"/>
      <c r="E963" s="4"/>
      <c r="F963" s="4"/>
    </row>
    <row r="964" spans="1:6" x14ac:dyDescent="0.25">
      <c r="A964" s="4">
        <v>963</v>
      </c>
      <c r="B964" s="4"/>
      <c r="C964" s="4"/>
      <c r="D964" s="4"/>
      <c r="E964" s="4"/>
      <c r="F964" s="4"/>
    </row>
    <row r="965" spans="1:6" x14ac:dyDescent="0.25">
      <c r="A965" s="4">
        <v>964</v>
      </c>
      <c r="B965" s="4"/>
      <c r="C965" s="4"/>
      <c r="D965" s="4"/>
      <c r="E965" s="4"/>
      <c r="F965" s="4"/>
    </row>
    <row r="966" spans="1:6" x14ac:dyDescent="0.25">
      <c r="A966" s="4">
        <v>965</v>
      </c>
      <c r="B966" s="4"/>
      <c r="C966" s="4"/>
      <c r="D966" s="4"/>
      <c r="E966" s="4"/>
      <c r="F966" s="4"/>
    </row>
    <row r="967" spans="1:6" x14ac:dyDescent="0.25">
      <c r="A967" s="4">
        <v>966</v>
      </c>
      <c r="B967" s="4"/>
      <c r="C967" s="4"/>
      <c r="D967" s="4"/>
      <c r="E967" s="4"/>
      <c r="F967" s="4"/>
    </row>
    <row r="968" spans="1:6" x14ac:dyDescent="0.25">
      <c r="A968" s="4">
        <v>967</v>
      </c>
      <c r="B968" s="4"/>
      <c r="C968" s="4"/>
      <c r="D968" s="4"/>
      <c r="E968" s="4"/>
      <c r="F968" s="4"/>
    </row>
    <row r="969" spans="1:6" x14ac:dyDescent="0.25">
      <c r="A969" s="4">
        <v>968</v>
      </c>
      <c r="B969" s="4"/>
      <c r="C969" s="4"/>
      <c r="D969" s="4"/>
      <c r="E969" s="4"/>
      <c r="F969" s="4"/>
    </row>
    <row r="970" spans="1:6" x14ac:dyDescent="0.25">
      <c r="A970" s="4">
        <v>969</v>
      </c>
      <c r="B970" s="4"/>
      <c r="C970" s="4"/>
      <c r="D970" s="4"/>
      <c r="E970" s="4"/>
      <c r="F970" s="4"/>
    </row>
    <row r="971" spans="1:6" x14ac:dyDescent="0.25">
      <c r="A971" s="4">
        <v>970</v>
      </c>
      <c r="B971" s="4"/>
      <c r="C971" s="4"/>
      <c r="D971" s="4"/>
      <c r="E971" s="4"/>
      <c r="F971" s="4"/>
    </row>
    <row r="972" spans="1:6" x14ac:dyDescent="0.25">
      <c r="A972" s="4">
        <v>971</v>
      </c>
      <c r="B972" s="4"/>
      <c r="C972" s="4"/>
      <c r="D972" s="4"/>
      <c r="E972" s="4"/>
      <c r="F972" s="4"/>
    </row>
    <row r="973" spans="1:6" x14ac:dyDescent="0.25">
      <c r="A973" s="4">
        <v>972</v>
      </c>
      <c r="B973" s="4"/>
      <c r="C973" s="4"/>
      <c r="D973" s="4"/>
      <c r="E973" s="4"/>
      <c r="F973" s="4"/>
    </row>
    <row r="974" spans="1:6" x14ac:dyDescent="0.25">
      <c r="A974" s="4">
        <v>973</v>
      </c>
      <c r="B974" s="4"/>
      <c r="C974" s="4"/>
      <c r="D974" s="4"/>
      <c r="E974" s="4"/>
      <c r="F974" s="4"/>
    </row>
    <row r="975" spans="1:6" x14ac:dyDescent="0.25">
      <c r="A975" s="4">
        <v>974</v>
      </c>
      <c r="B975" s="4"/>
      <c r="C975" s="4"/>
      <c r="D975" s="4"/>
      <c r="E975" s="4"/>
      <c r="F975" s="4"/>
    </row>
    <row r="976" spans="1:6" x14ac:dyDescent="0.25">
      <c r="A976" s="4">
        <v>975</v>
      </c>
      <c r="B976" s="4"/>
      <c r="C976" s="4"/>
      <c r="D976" s="4"/>
      <c r="E976" s="4"/>
      <c r="F976" s="4"/>
    </row>
    <row r="977" spans="1:6" x14ac:dyDescent="0.25">
      <c r="A977" s="4">
        <v>976</v>
      </c>
      <c r="B977" s="4"/>
      <c r="C977" s="4"/>
      <c r="D977" s="4"/>
      <c r="E977" s="4"/>
      <c r="F977" s="4"/>
    </row>
    <row r="978" spans="1:6" x14ac:dyDescent="0.25">
      <c r="A978" s="4">
        <v>977</v>
      </c>
      <c r="B978" s="4"/>
      <c r="C978" s="4"/>
      <c r="D978" s="4"/>
      <c r="E978" s="4"/>
      <c r="F978" s="4"/>
    </row>
    <row r="979" spans="1:6" x14ac:dyDescent="0.25">
      <c r="A979" s="4">
        <v>978</v>
      </c>
      <c r="B979" s="4"/>
      <c r="C979" s="4"/>
      <c r="D979" s="4"/>
      <c r="E979" s="4"/>
      <c r="F979" s="4"/>
    </row>
    <row r="980" spans="1:6" x14ac:dyDescent="0.25">
      <c r="A980" s="4">
        <v>979</v>
      </c>
      <c r="B980" s="4"/>
      <c r="C980" s="4"/>
      <c r="D980" s="4"/>
      <c r="E980" s="4"/>
      <c r="F980" s="4"/>
    </row>
    <row r="981" spans="1:6" x14ac:dyDescent="0.25">
      <c r="A981" s="4">
        <v>980</v>
      </c>
      <c r="B981" s="4"/>
      <c r="C981" s="4"/>
      <c r="D981" s="4"/>
      <c r="E981" s="4"/>
      <c r="F981" s="4"/>
    </row>
    <row r="982" spans="1:6" x14ac:dyDescent="0.25">
      <c r="A982" s="4">
        <v>981</v>
      </c>
      <c r="B982" s="4"/>
      <c r="C982" s="4"/>
      <c r="D982" s="4"/>
      <c r="E982" s="4"/>
      <c r="F982" s="4"/>
    </row>
    <row r="983" spans="1:6" x14ac:dyDescent="0.25">
      <c r="A983" s="4">
        <v>982</v>
      </c>
      <c r="B983" s="4"/>
      <c r="C983" s="4"/>
      <c r="D983" s="4"/>
      <c r="E983" s="4"/>
      <c r="F983" s="4"/>
    </row>
    <row r="984" spans="1:6" x14ac:dyDescent="0.25">
      <c r="A984" s="4">
        <v>983</v>
      </c>
      <c r="B984" s="4"/>
      <c r="C984" s="4"/>
      <c r="D984" s="4"/>
      <c r="E984" s="4"/>
      <c r="F984" s="4"/>
    </row>
    <row r="985" spans="1:6" x14ac:dyDescent="0.25">
      <c r="A985" s="4">
        <v>984</v>
      </c>
      <c r="B985" s="4"/>
      <c r="C985" s="4"/>
      <c r="D985" s="4"/>
      <c r="E985" s="4"/>
      <c r="F985" s="4"/>
    </row>
    <row r="986" spans="1:6" x14ac:dyDescent="0.25">
      <c r="A986" s="4">
        <v>985</v>
      </c>
      <c r="B986" s="4"/>
      <c r="C986" s="4"/>
      <c r="D986" s="4"/>
      <c r="E986" s="4"/>
      <c r="F986" s="4"/>
    </row>
    <row r="987" spans="1:6" x14ac:dyDescent="0.25">
      <c r="A987" s="4">
        <v>986</v>
      </c>
      <c r="B987" s="4"/>
      <c r="C987" s="4"/>
      <c r="D987" s="4"/>
      <c r="E987" s="4"/>
      <c r="F987" s="4"/>
    </row>
    <row r="988" spans="1:6" x14ac:dyDescent="0.25">
      <c r="A988" s="4">
        <v>987</v>
      </c>
      <c r="B988" s="4"/>
      <c r="C988" s="4"/>
      <c r="D988" s="4"/>
      <c r="E988" s="4"/>
      <c r="F988" s="4"/>
    </row>
    <row r="989" spans="1:6" x14ac:dyDescent="0.25">
      <c r="A989" s="4">
        <v>988</v>
      </c>
      <c r="B989" s="4"/>
      <c r="C989" s="4"/>
      <c r="D989" s="4"/>
      <c r="E989" s="4"/>
      <c r="F989" s="4"/>
    </row>
    <row r="990" spans="1:6" x14ac:dyDescent="0.25">
      <c r="A990" s="4">
        <v>989</v>
      </c>
      <c r="B990" s="4"/>
      <c r="C990" s="4"/>
      <c r="D990" s="4"/>
      <c r="E990" s="4"/>
      <c r="F990" s="4"/>
    </row>
    <row r="991" spans="1:6" x14ac:dyDescent="0.25">
      <c r="A991" s="4">
        <v>990</v>
      </c>
      <c r="B991" s="4"/>
      <c r="C991" s="4"/>
      <c r="D991" s="4"/>
      <c r="E991" s="4"/>
      <c r="F991" s="4"/>
    </row>
    <row r="992" spans="1:6" x14ac:dyDescent="0.25">
      <c r="A992" s="4">
        <v>991</v>
      </c>
      <c r="B992" s="4"/>
      <c r="C992" s="4"/>
      <c r="D992" s="4"/>
      <c r="E992" s="4"/>
      <c r="F992" s="4"/>
    </row>
    <row r="993" spans="1:6" x14ac:dyDescent="0.25">
      <c r="A993" s="4">
        <v>992</v>
      </c>
      <c r="B993" s="4"/>
      <c r="C993" s="4"/>
      <c r="D993" s="4"/>
      <c r="E993" s="4"/>
      <c r="F993" s="4"/>
    </row>
    <row r="994" spans="1:6" x14ac:dyDescent="0.25">
      <c r="A994" s="4">
        <v>993</v>
      </c>
      <c r="B994" s="4"/>
      <c r="C994" s="4"/>
      <c r="D994" s="4"/>
      <c r="E994" s="4"/>
      <c r="F994" s="4"/>
    </row>
    <row r="995" spans="1:6" x14ac:dyDescent="0.25">
      <c r="A995" s="4">
        <v>994</v>
      </c>
      <c r="B995" s="4"/>
      <c r="C995" s="4"/>
      <c r="D995" s="4"/>
      <c r="E995" s="4"/>
      <c r="F995" s="4"/>
    </row>
    <row r="996" spans="1:6" x14ac:dyDescent="0.25">
      <c r="A996" s="4">
        <v>995</v>
      </c>
      <c r="B996" s="4"/>
      <c r="C996" s="4"/>
      <c r="D996" s="4"/>
      <c r="E996" s="4"/>
      <c r="F996" s="4"/>
    </row>
    <row r="997" spans="1:6" x14ac:dyDescent="0.25">
      <c r="A997" s="4">
        <v>996</v>
      </c>
      <c r="B997" s="4"/>
      <c r="C997" s="4"/>
      <c r="D997" s="4"/>
      <c r="E997" s="4"/>
      <c r="F997" s="4"/>
    </row>
    <row r="998" spans="1:6" x14ac:dyDescent="0.25">
      <c r="A998" s="4">
        <v>997</v>
      </c>
      <c r="B998" s="4"/>
      <c r="C998" s="4"/>
      <c r="D998" s="4"/>
      <c r="E998" s="4"/>
      <c r="F998" s="4"/>
    </row>
    <row r="999" spans="1:6" x14ac:dyDescent="0.25">
      <c r="A999" s="4">
        <v>998</v>
      </c>
      <c r="B999" s="4"/>
      <c r="C999" s="4"/>
      <c r="D999" s="4"/>
      <c r="E999" s="4"/>
      <c r="F999" s="4"/>
    </row>
    <row r="1000" spans="1:6" x14ac:dyDescent="0.25">
      <c r="A1000" s="4">
        <v>999</v>
      </c>
      <c r="B1000" s="4"/>
      <c r="C1000" s="4"/>
      <c r="D1000" s="4"/>
      <c r="E1000" s="4"/>
      <c r="F1000" s="4"/>
    </row>
    <row r="1001" spans="1:6" x14ac:dyDescent="0.25">
      <c r="A1001" s="4">
        <v>1000</v>
      </c>
      <c r="B1001" s="4"/>
      <c r="C1001" s="4"/>
      <c r="D1001" s="4"/>
      <c r="E1001" s="4"/>
      <c r="F100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810-1FD5-42E2-9ABA-F2825E11BB53}">
  <dimension ref="A1:T28"/>
  <sheetViews>
    <sheetView topLeftCell="A18" workbookViewId="0">
      <selection activeCell="A20" sqref="A20:J29"/>
    </sheetView>
  </sheetViews>
  <sheetFormatPr defaultRowHeight="15" x14ac:dyDescent="0.25"/>
  <cols>
    <col min="2" max="3" width="6.42578125" bestFit="1" customWidth="1"/>
    <col min="4" max="4" width="15.28515625" bestFit="1" customWidth="1"/>
    <col min="5" max="5" width="10.140625" bestFit="1" customWidth="1"/>
    <col min="9" max="9" width="6.42578125" bestFit="1" customWidth="1"/>
    <col min="10" max="10" width="4.7109375" bestFit="1" customWidth="1"/>
    <col min="11" max="11" width="10.140625" bestFit="1" customWidth="1"/>
    <col min="14" max="15" width="6.42578125" bestFit="1" customWidth="1"/>
    <col min="16" max="16" width="4.7109375" bestFit="1" customWidth="1"/>
    <col min="17" max="17" width="10.140625" bestFit="1" customWidth="1"/>
    <col min="18" max="18" width="0" hidden="1" customWidth="1"/>
    <col min="19" max="19" width="20.140625" bestFit="1" customWidth="1"/>
    <col min="20" max="20" width="22.7109375" customWidth="1"/>
  </cols>
  <sheetData>
    <row r="1" spans="1:20" x14ac:dyDescent="0.25">
      <c r="A1" s="9">
        <v>23100</v>
      </c>
      <c r="B1" s="4" t="s">
        <v>975</v>
      </c>
      <c r="C1" s="4" t="s">
        <v>976</v>
      </c>
      <c r="D1" s="4" t="s">
        <v>977</v>
      </c>
      <c r="E1" s="4" t="s">
        <v>978</v>
      </c>
      <c r="G1" s="9">
        <f>A1+50</f>
        <v>23150</v>
      </c>
      <c r="H1" s="4" t="s">
        <v>975</v>
      </c>
      <c r="I1" s="4" t="s">
        <v>976</v>
      </c>
      <c r="J1" s="4" t="s">
        <v>977</v>
      </c>
      <c r="K1" s="4" t="s">
        <v>978</v>
      </c>
      <c r="M1" s="9">
        <f>G1+50</f>
        <v>23200</v>
      </c>
      <c r="N1" s="4" t="s">
        <v>975</v>
      </c>
      <c r="O1" s="4" t="s">
        <v>976</v>
      </c>
      <c r="P1" s="4" t="s">
        <v>977</v>
      </c>
      <c r="Q1" s="4" t="s">
        <v>978</v>
      </c>
      <c r="S1" t="s">
        <v>996</v>
      </c>
    </row>
    <row r="2" spans="1:20" x14ac:dyDescent="0.25">
      <c r="A2" s="8">
        <v>9.1999999999999993</v>
      </c>
      <c r="B2" s="4">
        <v>7</v>
      </c>
      <c r="C2" s="4">
        <v>24</v>
      </c>
      <c r="D2" s="4">
        <f>C2-B2</f>
        <v>17</v>
      </c>
      <c r="E2" s="4" t="str">
        <f t="shared" ref="E2:E15" si="0">IF(D2&gt;=15,"Strong Call",IF(D2&gt;5,"Call",IF(D2&gt;=-5,"Wait",IF(D2&gt;=-15,"Put","Strong Put"))))</f>
        <v>Strong Call</v>
      </c>
      <c r="G2" s="8">
        <v>9.1999999999999993</v>
      </c>
      <c r="H2" s="4">
        <v>5</v>
      </c>
      <c r="I2" s="4">
        <v>12</v>
      </c>
      <c r="J2" s="4">
        <f>I2-H2</f>
        <v>7</v>
      </c>
      <c r="K2" s="4" t="str">
        <f>IF(J2&gt;=15,"Strong Call",IF(J2&gt;5,"Call",IF(J2&gt;=-5,"Wait",IF(J2&gt;=-15,"Put","Strong Put"))))</f>
        <v>Call</v>
      </c>
      <c r="M2" s="8">
        <v>9.1999999999999993</v>
      </c>
      <c r="N2" s="4">
        <v>25</v>
      </c>
      <c r="O2" s="4">
        <v>40</v>
      </c>
      <c r="P2" s="4">
        <f>O2-N2</f>
        <v>15</v>
      </c>
      <c r="Q2" s="4" t="str">
        <f>IF(P2&gt;=15,"Strong Call",IF(P2&gt;5,"Call",IF(P2&gt;=-5,"Wait",IF(P2&gt;=-15,"Put","Strong Put"))))</f>
        <v>Strong Call</v>
      </c>
      <c r="R2" t="str">
        <f t="shared" ref="R2:R15" si="1">E2&amp;K2&amp;Q2</f>
        <v>Strong CallCallStrong Call</v>
      </c>
      <c r="S2" t="str">
        <f>VLOOKUP(R2,Strategy!A:E,5,0)</f>
        <v>Strong Call</v>
      </c>
    </row>
    <row r="3" spans="1:20" x14ac:dyDescent="0.25">
      <c r="A3" s="8">
        <v>9.3000000000000007</v>
      </c>
      <c r="B3" s="4">
        <v>33</v>
      </c>
      <c r="C3" s="4">
        <v>39</v>
      </c>
      <c r="D3" s="4">
        <f t="shared" ref="D3:D15" si="2">C3-B3</f>
        <v>6</v>
      </c>
      <c r="E3" s="4" t="str">
        <f t="shared" si="0"/>
        <v>Call</v>
      </c>
      <c r="G3" s="8">
        <v>9.3000000000000007</v>
      </c>
      <c r="H3" s="4">
        <v>20</v>
      </c>
      <c r="I3" s="4">
        <v>15</v>
      </c>
      <c r="J3" s="4">
        <f t="shared" ref="J3:J15" si="3">I3-H3</f>
        <v>-5</v>
      </c>
      <c r="K3" s="4" t="str">
        <f t="shared" ref="K3:K15" si="4">IF(J3&gt;=15,"Strong Call",IF(J3&gt;5,"Call",IF(J3&gt;=-5,"Wait",IF(J3&gt;=-15,"Put","Strong Put"))))</f>
        <v>Wait</v>
      </c>
      <c r="M3" s="8">
        <v>9.3000000000000007</v>
      </c>
      <c r="N3" s="4">
        <v>47</v>
      </c>
      <c r="O3" s="4">
        <v>39</v>
      </c>
      <c r="P3" s="4">
        <f t="shared" ref="P3:P15" si="5">O3-N3</f>
        <v>-8</v>
      </c>
      <c r="Q3" s="4" t="str">
        <f t="shared" ref="Q3:Q15" si="6">IF(P3&gt;=15,"Strong Call",IF(P3&gt;5,"Call",IF(P3&gt;=-5,"Wait",IF(P3&gt;=-15,"Put","Strong Put"))))</f>
        <v>Put</v>
      </c>
      <c r="R3" t="str">
        <f t="shared" si="1"/>
        <v>CallWaitPut</v>
      </c>
      <c r="S3" t="str">
        <f>VLOOKUP(R3,Strategy!A:E,5,0)</f>
        <v>Rangebound</v>
      </c>
    </row>
    <row r="4" spans="1:20" x14ac:dyDescent="0.25">
      <c r="A4" s="8">
        <v>9.4499999999999993</v>
      </c>
      <c r="B4" s="4">
        <v>48</v>
      </c>
      <c r="C4" s="4">
        <v>42</v>
      </c>
      <c r="D4" s="4">
        <f t="shared" si="2"/>
        <v>-6</v>
      </c>
      <c r="E4" s="4" t="str">
        <f t="shared" si="0"/>
        <v>Put</v>
      </c>
      <c r="G4" s="8">
        <v>9.4499999999999993</v>
      </c>
      <c r="H4" s="4">
        <v>25</v>
      </c>
      <c r="I4" s="4">
        <v>14</v>
      </c>
      <c r="J4" s="4">
        <f t="shared" si="3"/>
        <v>-11</v>
      </c>
      <c r="K4" s="4" t="str">
        <f t="shared" si="4"/>
        <v>Put</v>
      </c>
      <c r="M4" s="8">
        <v>9.4499999999999993</v>
      </c>
      <c r="N4" s="4">
        <v>57</v>
      </c>
      <c r="O4" s="4">
        <v>36</v>
      </c>
      <c r="P4" s="4">
        <f t="shared" si="5"/>
        <v>-21</v>
      </c>
      <c r="Q4" s="4" t="str">
        <f t="shared" si="6"/>
        <v>Strong Put</v>
      </c>
      <c r="R4" t="str">
        <f t="shared" si="1"/>
        <v>PutPutStrong Put</v>
      </c>
      <c r="S4" t="str">
        <f>VLOOKUP(R4,Strategy!A:E,5,0)</f>
        <v>Strong Put</v>
      </c>
      <c r="T4" t="s">
        <v>1283</v>
      </c>
    </row>
    <row r="5" spans="1:20" x14ac:dyDescent="0.25">
      <c r="A5" s="8">
        <v>9.5500000000000007</v>
      </c>
      <c r="B5" s="4">
        <v>50</v>
      </c>
      <c r="C5" s="4">
        <v>54</v>
      </c>
      <c r="D5" s="4">
        <f t="shared" si="2"/>
        <v>4</v>
      </c>
      <c r="E5" s="4" t="str">
        <f t="shared" si="0"/>
        <v>Wait</v>
      </c>
      <c r="G5" s="8">
        <v>9.5500000000000007</v>
      </c>
      <c r="H5" s="4">
        <v>26</v>
      </c>
      <c r="I5" s="4">
        <v>17</v>
      </c>
      <c r="J5" s="4">
        <f t="shared" si="3"/>
        <v>-9</v>
      </c>
      <c r="K5" s="4" t="str">
        <f t="shared" si="4"/>
        <v>Put</v>
      </c>
      <c r="M5" s="8">
        <v>9.5500000000000007</v>
      </c>
      <c r="N5" s="4">
        <v>54</v>
      </c>
      <c r="O5" s="4">
        <v>36</v>
      </c>
      <c r="P5" s="4">
        <f t="shared" si="5"/>
        <v>-18</v>
      </c>
      <c r="Q5" s="4" t="str">
        <f t="shared" si="6"/>
        <v>Strong Put</v>
      </c>
      <c r="R5" t="str">
        <f t="shared" si="1"/>
        <v>WaitPutStrong Put</v>
      </c>
      <c r="S5" t="str">
        <f>VLOOKUP(R5,Strategy!A:E,5,0)</f>
        <v>Put</v>
      </c>
    </row>
    <row r="6" spans="1:20" x14ac:dyDescent="0.25">
      <c r="A6" s="11">
        <v>10.050000000000001</v>
      </c>
      <c r="B6" s="12">
        <v>60</v>
      </c>
      <c r="C6" s="12">
        <v>42</v>
      </c>
      <c r="D6" s="12">
        <f t="shared" si="2"/>
        <v>-18</v>
      </c>
      <c r="E6" s="12" t="str">
        <f t="shared" si="0"/>
        <v>Strong Put</v>
      </c>
      <c r="G6" s="11">
        <v>10.050000000000001</v>
      </c>
      <c r="H6" s="12">
        <v>27</v>
      </c>
      <c r="I6" s="12">
        <v>14</v>
      </c>
      <c r="J6" s="12">
        <f t="shared" si="3"/>
        <v>-13</v>
      </c>
      <c r="K6" s="12" t="str">
        <f t="shared" si="4"/>
        <v>Put</v>
      </c>
      <c r="M6" s="11">
        <v>10.050000000000001</v>
      </c>
      <c r="N6" s="12">
        <v>63</v>
      </c>
      <c r="O6" s="12">
        <v>32</v>
      </c>
      <c r="P6" s="12">
        <f t="shared" si="5"/>
        <v>-31</v>
      </c>
      <c r="Q6" s="12" t="str">
        <f t="shared" si="6"/>
        <v>Strong Put</v>
      </c>
      <c r="R6" t="str">
        <f t="shared" si="1"/>
        <v>Strong PutPutStrong Put</v>
      </c>
      <c r="S6" t="str">
        <f>VLOOKUP(R6,Strategy!A:E,5,0)</f>
        <v>Strong Put</v>
      </c>
    </row>
    <row r="7" spans="1:20" x14ac:dyDescent="0.25">
      <c r="A7" s="11">
        <v>10.25</v>
      </c>
      <c r="B7" s="12">
        <v>79</v>
      </c>
      <c r="C7" s="12">
        <v>31</v>
      </c>
      <c r="D7" s="12">
        <f t="shared" si="2"/>
        <v>-48</v>
      </c>
      <c r="E7" s="12" t="str">
        <f t="shared" si="0"/>
        <v>Strong Put</v>
      </c>
      <c r="G7" s="11">
        <v>10.25</v>
      </c>
      <c r="H7" s="12">
        <v>35</v>
      </c>
      <c r="I7" s="12">
        <v>9</v>
      </c>
      <c r="J7" s="12">
        <f t="shared" si="3"/>
        <v>-26</v>
      </c>
      <c r="K7" s="12" t="str">
        <f t="shared" si="4"/>
        <v>Strong Put</v>
      </c>
      <c r="M7" s="11">
        <v>10.25</v>
      </c>
      <c r="N7" s="12">
        <v>83</v>
      </c>
      <c r="O7" s="12">
        <v>25</v>
      </c>
      <c r="P7" s="12">
        <f t="shared" si="5"/>
        <v>-58</v>
      </c>
      <c r="Q7" s="12" t="str">
        <f t="shared" si="6"/>
        <v>Strong Put</v>
      </c>
      <c r="R7" t="str">
        <f t="shared" si="1"/>
        <v>Strong PutStrong PutStrong Put</v>
      </c>
      <c r="S7" t="str">
        <f>VLOOKUP(R7,Strategy!A:E,5,0)</f>
        <v>Strong Put</v>
      </c>
    </row>
    <row r="8" spans="1:20" x14ac:dyDescent="0.25">
      <c r="A8" s="11">
        <v>10.4</v>
      </c>
      <c r="B8" s="12"/>
      <c r="C8" s="12"/>
      <c r="D8" s="12">
        <f t="shared" si="2"/>
        <v>0</v>
      </c>
      <c r="E8" s="12" t="str">
        <f t="shared" si="0"/>
        <v>Wait</v>
      </c>
      <c r="G8" s="11">
        <v>10.4</v>
      </c>
      <c r="H8" s="12"/>
      <c r="I8" s="12"/>
      <c r="J8" s="12">
        <f t="shared" si="3"/>
        <v>0</v>
      </c>
      <c r="K8" s="12" t="str">
        <f t="shared" si="4"/>
        <v>Wait</v>
      </c>
      <c r="M8" s="11">
        <v>10.4</v>
      </c>
      <c r="N8" s="12"/>
      <c r="O8" s="12"/>
      <c r="P8" s="12">
        <f t="shared" si="5"/>
        <v>0</v>
      </c>
      <c r="Q8" s="12" t="str">
        <f t="shared" si="6"/>
        <v>Wait</v>
      </c>
      <c r="R8" t="str">
        <f t="shared" si="1"/>
        <v>WaitWaitWait</v>
      </c>
      <c r="S8" t="str">
        <f>VLOOKUP(R8,Strategy!A:E,5,0)</f>
        <v>Rangebound</v>
      </c>
    </row>
    <row r="9" spans="1:20" x14ac:dyDescent="0.25">
      <c r="A9" s="11">
        <v>10.55</v>
      </c>
      <c r="B9" s="12"/>
      <c r="C9" s="12"/>
      <c r="D9" s="12">
        <f t="shared" si="2"/>
        <v>0</v>
      </c>
      <c r="E9" s="12" t="str">
        <f t="shared" si="0"/>
        <v>Wait</v>
      </c>
      <c r="G9" s="11">
        <v>10.55</v>
      </c>
      <c r="H9" s="12"/>
      <c r="I9" s="12"/>
      <c r="J9" s="12">
        <f t="shared" si="3"/>
        <v>0</v>
      </c>
      <c r="K9" s="12" t="str">
        <f t="shared" si="4"/>
        <v>Wait</v>
      </c>
      <c r="M9" s="11">
        <v>10.55</v>
      </c>
      <c r="N9" s="12"/>
      <c r="O9" s="12"/>
      <c r="P9" s="12">
        <f t="shared" si="5"/>
        <v>0</v>
      </c>
      <c r="Q9" s="12" t="str">
        <f t="shared" si="6"/>
        <v>Wait</v>
      </c>
      <c r="R9" t="str">
        <f t="shared" si="1"/>
        <v>WaitWaitWait</v>
      </c>
      <c r="S9" t="str">
        <f>VLOOKUP(R9,Strategy!A:E,5,0)</f>
        <v>Rangebound</v>
      </c>
    </row>
    <row r="10" spans="1:20" x14ac:dyDescent="0.25">
      <c r="A10" s="11">
        <v>11.05</v>
      </c>
      <c r="B10" s="12"/>
      <c r="C10" s="12"/>
      <c r="D10" s="12">
        <f t="shared" si="2"/>
        <v>0</v>
      </c>
      <c r="E10" s="12" t="str">
        <f t="shared" si="0"/>
        <v>Wait</v>
      </c>
      <c r="G10" s="11">
        <v>11.05</v>
      </c>
      <c r="H10" s="12"/>
      <c r="I10" s="12"/>
      <c r="J10" s="12">
        <f t="shared" si="3"/>
        <v>0</v>
      </c>
      <c r="K10" s="12" t="str">
        <f t="shared" si="4"/>
        <v>Wait</v>
      </c>
      <c r="M10" s="11">
        <v>11.05</v>
      </c>
      <c r="N10" s="12"/>
      <c r="O10" s="12"/>
      <c r="P10" s="12">
        <f t="shared" si="5"/>
        <v>0</v>
      </c>
      <c r="Q10" s="12" t="str">
        <f t="shared" si="6"/>
        <v>Wait</v>
      </c>
      <c r="R10" t="str">
        <f t="shared" si="1"/>
        <v>WaitWaitWait</v>
      </c>
      <c r="S10" t="str">
        <f>VLOOKUP(R10,Strategy!A:E,5,0)</f>
        <v>Rangebound</v>
      </c>
    </row>
    <row r="11" spans="1:20" x14ac:dyDescent="0.25">
      <c r="A11" s="11">
        <v>11.25</v>
      </c>
      <c r="B11" s="12"/>
      <c r="C11" s="12"/>
      <c r="D11" s="12">
        <f t="shared" si="2"/>
        <v>0</v>
      </c>
      <c r="E11" s="12" t="str">
        <f t="shared" si="0"/>
        <v>Wait</v>
      </c>
      <c r="G11" s="11">
        <v>11.25</v>
      </c>
      <c r="H11" s="12"/>
      <c r="I11" s="12"/>
      <c r="J11" s="12">
        <f t="shared" si="3"/>
        <v>0</v>
      </c>
      <c r="K11" s="12" t="str">
        <f t="shared" si="4"/>
        <v>Wait</v>
      </c>
      <c r="M11" s="11">
        <v>11.25</v>
      </c>
      <c r="N11" s="12"/>
      <c r="O11" s="12"/>
      <c r="P11" s="12">
        <f t="shared" si="5"/>
        <v>0</v>
      </c>
      <c r="Q11" s="12" t="str">
        <f t="shared" si="6"/>
        <v>Wait</v>
      </c>
      <c r="R11" t="str">
        <f t="shared" si="1"/>
        <v>WaitWaitWait</v>
      </c>
      <c r="S11" t="str">
        <f>VLOOKUP(R11,Strategy!A:E,5,0)</f>
        <v>Rangebound</v>
      </c>
    </row>
    <row r="12" spans="1:20" x14ac:dyDescent="0.25">
      <c r="A12" s="11">
        <v>11.35</v>
      </c>
      <c r="B12" s="12"/>
      <c r="C12" s="12"/>
      <c r="D12" s="12">
        <f t="shared" si="2"/>
        <v>0</v>
      </c>
      <c r="E12" s="12" t="str">
        <f t="shared" si="0"/>
        <v>Wait</v>
      </c>
      <c r="G12" s="11">
        <v>11.35</v>
      </c>
      <c r="H12" s="12"/>
      <c r="I12" s="12"/>
      <c r="J12" s="12">
        <f t="shared" si="3"/>
        <v>0</v>
      </c>
      <c r="K12" s="12" t="str">
        <f t="shared" si="4"/>
        <v>Wait</v>
      </c>
      <c r="M12" s="11">
        <v>11.35</v>
      </c>
      <c r="N12" s="12"/>
      <c r="O12" s="12"/>
      <c r="P12" s="12">
        <f t="shared" si="5"/>
        <v>0</v>
      </c>
      <c r="Q12" s="12" t="str">
        <f t="shared" si="6"/>
        <v>Wait</v>
      </c>
      <c r="R12" t="str">
        <f t="shared" si="1"/>
        <v>WaitWaitWait</v>
      </c>
      <c r="S12" t="str">
        <f>VLOOKUP(R12,Strategy!A:E,5,0)</f>
        <v>Rangebound</v>
      </c>
      <c r="T12" s="7"/>
    </row>
    <row r="13" spans="1:20" x14ac:dyDescent="0.25">
      <c r="A13" s="8">
        <v>12.25</v>
      </c>
      <c r="B13" s="4"/>
      <c r="C13" s="4"/>
      <c r="D13" s="4">
        <f t="shared" si="2"/>
        <v>0</v>
      </c>
      <c r="E13" s="4" t="str">
        <f t="shared" si="0"/>
        <v>Wait</v>
      </c>
      <c r="G13" s="8">
        <v>12.25</v>
      </c>
      <c r="H13" s="4"/>
      <c r="I13" s="4"/>
      <c r="J13" s="4">
        <f t="shared" si="3"/>
        <v>0</v>
      </c>
      <c r="K13" s="4" t="str">
        <f t="shared" si="4"/>
        <v>Wait</v>
      </c>
      <c r="M13" s="8">
        <v>12.25</v>
      </c>
      <c r="N13" s="4"/>
      <c r="O13" s="4"/>
      <c r="P13" s="4">
        <f t="shared" si="5"/>
        <v>0</v>
      </c>
      <c r="Q13" s="4" t="str">
        <f t="shared" si="6"/>
        <v>Wait</v>
      </c>
      <c r="R13" t="str">
        <f t="shared" si="1"/>
        <v>WaitWaitWait</v>
      </c>
      <c r="S13" t="str">
        <f>VLOOKUP(R13,Strategy!A:E,5,0)</f>
        <v>Rangebound</v>
      </c>
    </row>
    <row r="14" spans="1:20" x14ac:dyDescent="0.25">
      <c r="A14" s="8">
        <v>1.25</v>
      </c>
      <c r="B14" s="4"/>
      <c r="C14" s="4"/>
      <c r="D14" s="4">
        <f t="shared" si="2"/>
        <v>0</v>
      </c>
      <c r="E14" s="4" t="str">
        <f t="shared" si="0"/>
        <v>Wait</v>
      </c>
      <c r="G14" s="8">
        <v>1.25</v>
      </c>
      <c r="H14" s="4"/>
      <c r="I14" s="4"/>
      <c r="J14" s="4">
        <f t="shared" si="3"/>
        <v>0</v>
      </c>
      <c r="K14" s="4" t="str">
        <f t="shared" si="4"/>
        <v>Wait</v>
      </c>
      <c r="M14" s="8">
        <v>1.25</v>
      </c>
      <c r="N14" s="4"/>
      <c r="O14" s="4"/>
      <c r="P14" s="4">
        <f t="shared" si="5"/>
        <v>0</v>
      </c>
      <c r="Q14" s="4" t="str">
        <f t="shared" si="6"/>
        <v>Wait</v>
      </c>
      <c r="R14" t="str">
        <f t="shared" si="1"/>
        <v>WaitWaitWait</v>
      </c>
      <c r="S14" t="str">
        <f>VLOOKUP(R14,Strategy!A:E,5,0)</f>
        <v>Rangebound</v>
      </c>
    </row>
    <row r="15" spans="1:20" x14ac:dyDescent="0.25">
      <c r="A15" s="8">
        <v>2.15</v>
      </c>
      <c r="B15" s="4"/>
      <c r="C15" s="4"/>
      <c r="D15" s="4">
        <f t="shared" si="2"/>
        <v>0</v>
      </c>
      <c r="E15" s="4" t="str">
        <f t="shared" si="0"/>
        <v>Wait</v>
      </c>
      <c r="G15" s="8">
        <v>2.15</v>
      </c>
      <c r="H15" s="4"/>
      <c r="I15" s="4"/>
      <c r="J15" s="4">
        <f t="shared" si="3"/>
        <v>0</v>
      </c>
      <c r="K15" s="4" t="str">
        <f t="shared" si="4"/>
        <v>Wait</v>
      </c>
      <c r="M15" s="8">
        <v>2.15</v>
      </c>
      <c r="N15" s="4"/>
      <c r="O15" s="4"/>
      <c r="P15" s="4">
        <f t="shared" si="5"/>
        <v>0</v>
      </c>
      <c r="Q15" s="4" t="str">
        <f t="shared" si="6"/>
        <v>Wait</v>
      </c>
      <c r="R15" t="str">
        <f t="shared" si="1"/>
        <v>WaitWaitWait</v>
      </c>
      <c r="S15" t="str">
        <f>VLOOKUP(R15,Strategy!A:E,5,0)</f>
        <v>Rangebound</v>
      </c>
    </row>
    <row r="20" spans="1:16" x14ac:dyDescent="0.25">
      <c r="A20" t="s">
        <v>1424</v>
      </c>
      <c r="G20" t="s">
        <v>1425</v>
      </c>
      <c r="M20" t="s">
        <v>1421</v>
      </c>
    </row>
    <row r="21" spans="1:16" x14ac:dyDescent="0.25">
      <c r="A21" s="3" t="s">
        <v>1422</v>
      </c>
      <c r="B21" t="s">
        <v>1423</v>
      </c>
      <c r="C21" t="s">
        <v>6</v>
      </c>
      <c r="D21" t="s">
        <v>967</v>
      </c>
      <c r="G21" s="3" t="s">
        <v>1422</v>
      </c>
      <c r="H21" t="s">
        <v>1423</v>
      </c>
      <c r="I21" t="s">
        <v>6</v>
      </c>
      <c r="J21" t="s">
        <v>967</v>
      </c>
      <c r="M21" s="3" t="s">
        <v>1422</v>
      </c>
      <c r="N21" t="s">
        <v>1423</v>
      </c>
      <c r="O21" t="s">
        <v>6</v>
      </c>
      <c r="P21" t="s">
        <v>967</v>
      </c>
    </row>
    <row r="22" spans="1:16" x14ac:dyDescent="0.25">
      <c r="A22" s="3">
        <v>5</v>
      </c>
      <c r="B22">
        <v>13512</v>
      </c>
      <c r="C22">
        <v>6.7</v>
      </c>
      <c r="G22" s="3">
        <v>5</v>
      </c>
      <c r="H22">
        <v>6629</v>
      </c>
      <c r="I22">
        <v>104</v>
      </c>
      <c r="M22" s="3">
        <v>5</v>
      </c>
    </row>
    <row r="23" spans="1:16" x14ac:dyDescent="0.25">
      <c r="A23" s="3">
        <v>5.15</v>
      </c>
      <c r="B23">
        <v>13531</v>
      </c>
      <c r="C23">
        <v>6.4</v>
      </c>
      <c r="D23" t="str">
        <f>IF(ISBLANK(B23),"",IF(AND(B23&gt;B22,C23&gt;C22),"Long Buildup",IF(AND(B23&gt;B22,C23&lt;C22),"Short Buildup",IF(AND(B23&lt;B22,C23&gt;C22),"Short Covering",IF(AND(B23&lt;B22,C23&lt;C22),"Long Unwinding")))))</f>
        <v>Short Buildup</v>
      </c>
      <c r="G23" s="3">
        <v>5.15</v>
      </c>
      <c r="H23">
        <v>6559</v>
      </c>
      <c r="I23">
        <v>107</v>
      </c>
      <c r="J23" t="str">
        <f>IF(ISBLANK(H23),"",IF(AND(H23&gt;H22,I23&gt;I22),"Long Buildup",IF(AND(H23&gt;H22,I23&lt;I22),"Short Buildup",IF(AND(H23&lt;H22,I23&gt;I22),"Short Covering",IF(AND(H23&lt;H22,I23&lt;I22),"Long Unwinding")))))</f>
        <v>Short Covering</v>
      </c>
      <c r="M23" s="3">
        <v>5.15</v>
      </c>
    </row>
    <row r="24" spans="1:16" x14ac:dyDescent="0.25">
      <c r="A24" s="3">
        <v>5.3</v>
      </c>
      <c r="D24" t="str">
        <f t="shared" ref="D24:D28" si="7">IF(ISBLANK(B24),"",IF(AND(B24&gt;B23,C24&gt;C23),"Long Buildup",IF(AND(B24&gt;B23,C24&lt;C23),"Short Buildup",IF(AND(B24&lt;B23,C24&gt;C23),"Short Covering",IF(AND(B24&lt;B23,C24&lt;C23),"Long Unwinding")))))</f>
        <v/>
      </c>
      <c r="G24" s="3">
        <v>5.3</v>
      </c>
      <c r="M24" s="3">
        <v>5.3</v>
      </c>
    </row>
    <row r="25" spans="1:16" x14ac:dyDescent="0.25">
      <c r="A25" s="3">
        <v>5.45</v>
      </c>
      <c r="D25" t="str">
        <f t="shared" si="7"/>
        <v/>
      </c>
      <c r="G25" s="3">
        <v>5.45</v>
      </c>
      <c r="M25" s="3">
        <v>5.45</v>
      </c>
    </row>
    <row r="26" spans="1:16" x14ac:dyDescent="0.25">
      <c r="A26" s="3">
        <v>6</v>
      </c>
      <c r="D26" t="str">
        <f t="shared" si="7"/>
        <v/>
      </c>
      <c r="G26" s="3">
        <v>6</v>
      </c>
      <c r="M26" s="3">
        <v>6</v>
      </c>
    </row>
    <row r="27" spans="1:16" x14ac:dyDescent="0.25">
      <c r="A27" s="3">
        <v>6.15</v>
      </c>
      <c r="D27" t="str">
        <f t="shared" si="7"/>
        <v/>
      </c>
      <c r="G27" s="3">
        <v>6.15</v>
      </c>
      <c r="M27" s="3">
        <v>6.15</v>
      </c>
    </row>
    <row r="28" spans="1:16" x14ac:dyDescent="0.25">
      <c r="A28" s="3">
        <v>6.3</v>
      </c>
      <c r="D28" t="str">
        <f t="shared" si="7"/>
        <v/>
      </c>
      <c r="G28" s="3">
        <v>6.3</v>
      </c>
      <c r="M28" s="3">
        <v>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977E-5ABF-4EE6-A9AA-B526B65C70BC}">
  <dimension ref="A1:U20"/>
  <sheetViews>
    <sheetView workbookViewId="0">
      <selection activeCell="A7" sqref="A7"/>
    </sheetView>
  </sheetViews>
  <sheetFormatPr defaultRowHeight="15" x14ac:dyDescent="0.25"/>
  <cols>
    <col min="4" max="4" width="14.140625" bestFit="1" customWidth="1"/>
    <col min="8" max="8" width="15.28515625" bestFit="1" customWidth="1"/>
    <col min="10" max="10" width="6" bestFit="1" customWidth="1"/>
    <col min="11" max="11" width="5.42578125" bestFit="1" customWidth="1"/>
    <col min="12" max="12" width="13.140625" bestFit="1" customWidth="1"/>
    <col min="14" max="14" width="5" bestFit="1" customWidth="1"/>
    <col min="15" max="15" width="5.42578125" bestFit="1" customWidth="1"/>
    <col min="16" max="16" width="14.140625" bestFit="1" customWidth="1"/>
    <col min="19" max="19" width="9.85546875" bestFit="1" customWidth="1"/>
  </cols>
  <sheetData>
    <row r="1" spans="1:21" x14ac:dyDescent="0.25">
      <c r="A1" s="25">
        <v>5200</v>
      </c>
      <c r="B1" s="25"/>
      <c r="C1" s="25"/>
      <c r="D1" s="25"/>
      <c r="E1" s="25"/>
      <c r="F1" s="25"/>
      <c r="G1" s="25"/>
      <c r="H1" s="25"/>
      <c r="I1" s="29">
        <v>5400</v>
      </c>
      <c r="J1" s="30"/>
      <c r="K1" s="30"/>
      <c r="L1" s="30"/>
      <c r="M1" s="30"/>
      <c r="N1" s="30"/>
      <c r="O1" s="30"/>
      <c r="P1" s="30"/>
      <c r="Q1" s="4" t="s">
        <v>4</v>
      </c>
      <c r="R1" s="4" t="s">
        <v>6</v>
      </c>
      <c r="S1" s="4" t="s">
        <v>1428</v>
      </c>
      <c r="T1" s="4" t="s">
        <v>1426</v>
      </c>
      <c r="U1" s="4" t="s">
        <v>1427</v>
      </c>
    </row>
    <row r="2" spans="1:21" x14ac:dyDescent="0.25">
      <c r="A2" s="26" t="s">
        <v>990</v>
      </c>
      <c r="B2" s="27"/>
      <c r="C2" s="27"/>
      <c r="D2" s="28"/>
      <c r="E2" s="26" t="s">
        <v>987</v>
      </c>
      <c r="F2" s="27"/>
      <c r="G2" s="27"/>
      <c r="H2" s="28"/>
      <c r="I2" s="26" t="s">
        <v>990</v>
      </c>
      <c r="J2" s="27"/>
      <c r="K2" s="27"/>
      <c r="L2" s="28"/>
      <c r="M2" s="26" t="s">
        <v>987</v>
      </c>
      <c r="N2" s="27"/>
      <c r="O2" s="27"/>
      <c r="P2" s="27"/>
      <c r="Q2" s="4">
        <v>100</v>
      </c>
      <c r="R2" s="4">
        <v>9</v>
      </c>
      <c r="S2" s="4">
        <f>100*R2</f>
        <v>900</v>
      </c>
      <c r="T2" s="22">
        <v>7.9</v>
      </c>
      <c r="U2" s="4"/>
    </row>
    <row r="3" spans="1:21" x14ac:dyDescent="0.25">
      <c r="A3" s="8" t="s">
        <v>1422</v>
      </c>
      <c r="B3" s="4" t="s">
        <v>1423</v>
      </c>
      <c r="C3" s="4" t="s">
        <v>6</v>
      </c>
      <c r="D3" s="4" t="s">
        <v>967</v>
      </c>
      <c r="E3" s="8" t="s">
        <v>1422</v>
      </c>
      <c r="F3" s="4" t="s">
        <v>1423</v>
      </c>
      <c r="G3" s="4" t="s">
        <v>6</v>
      </c>
      <c r="H3" s="4" t="s">
        <v>967</v>
      </c>
      <c r="I3" s="8" t="s">
        <v>1422</v>
      </c>
      <c r="J3" s="4" t="s">
        <v>1423</v>
      </c>
      <c r="K3" s="4" t="s">
        <v>6</v>
      </c>
      <c r="L3" s="4" t="s">
        <v>967</v>
      </c>
      <c r="M3" s="8" t="s">
        <v>1422</v>
      </c>
      <c r="N3" s="4" t="s">
        <v>1423</v>
      </c>
      <c r="O3" s="4" t="s">
        <v>6</v>
      </c>
      <c r="P3" s="16" t="s">
        <v>967</v>
      </c>
      <c r="Q3" s="4"/>
      <c r="R3" s="4"/>
      <c r="S3" s="4"/>
      <c r="T3" s="23"/>
      <c r="U3" s="4"/>
    </row>
    <row r="4" spans="1:21" x14ac:dyDescent="0.25">
      <c r="A4" s="8">
        <v>5</v>
      </c>
      <c r="B4" s="4">
        <v>4691</v>
      </c>
      <c r="C4" s="4">
        <v>105</v>
      </c>
      <c r="D4" s="4"/>
      <c r="E4" s="8">
        <v>5</v>
      </c>
      <c r="F4" s="4">
        <v>11265</v>
      </c>
      <c r="G4" s="4">
        <v>9</v>
      </c>
      <c r="H4" s="4"/>
      <c r="I4" s="8">
        <v>5</v>
      </c>
      <c r="J4" s="4">
        <v>13512</v>
      </c>
      <c r="K4" s="4">
        <v>6.7</v>
      </c>
      <c r="L4" s="4"/>
      <c r="M4" s="8">
        <v>5</v>
      </c>
      <c r="N4" s="4">
        <v>6629</v>
      </c>
      <c r="O4" s="4">
        <v>104</v>
      </c>
      <c r="P4" s="16"/>
      <c r="Q4" s="4"/>
      <c r="R4" s="4"/>
      <c r="S4" s="4"/>
      <c r="T4" s="23"/>
      <c r="U4" s="4"/>
    </row>
    <row r="5" spans="1:21" x14ac:dyDescent="0.25">
      <c r="A5" s="8">
        <v>5.15</v>
      </c>
      <c r="B5" s="4">
        <v>4598</v>
      </c>
      <c r="C5" s="4">
        <v>106</v>
      </c>
      <c r="D5" s="4" t="str">
        <f>IF(ISBLANK(B5),"",IF(AND(B5&gt;B4,C5&gt;C4),"Long Buildup",IF(AND(B5&gt;B4,C5&lt;C4),"Short Buildup",IF(AND(B5&lt;B4,C5&gt;C4),"Short Covering",IF(AND(B5&lt;B4,C5&lt;C4),"Long Unwinding")))))</f>
        <v>Short Covering</v>
      </c>
      <c r="E5" s="8">
        <v>5.15</v>
      </c>
      <c r="F5" s="4">
        <v>11228</v>
      </c>
      <c r="G5" s="4">
        <v>8.6999999999999993</v>
      </c>
      <c r="H5" s="4" t="str">
        <f>IF(ISBLANK(F5),"",IF(AND(F5&gt;F4,G5&gt;G4),"Long Buildup",IF(AND(F5&gt;F4,G5&lt;G4),"Short Buildup",IF(AND(F5&lt;F4,G5&gt;G4),"Short Covering",IF(AND(F5&lt;F4,G5&lt;G4),"Long Unwinding")))))</f>
        <v>Long Unwinding</v>
      </c>
      <c r="I5" s="8">
        <v>5.15</v>
      </c>
      <c r="J5" s="4">
        <v>13531</v>
      </c>
      <c r="K5" s="4">
        <v>6.4</v>
      </c>
      <c r="L5" s="4" t="str">
        <f>IF(ISBLANK(J5),"",IF(AND(J5&gt;J4,K5&gt;K4),"Long Buildup",IF(AND(J5&gt;J4,K5&lt;K4),"Short Buildup",IF(AND(J5&lt;J4,K5&gt;K4),"Short Covering",IF(AND(J5&lt;J4,K5&lt;K4),"Long Unwinding")))))</f>
        <v>Short Buildup</v>
      </c>
      <c r="M5" s="8">
        <v>5.15</v>
      </c>
      <c r="N5" s="4">
        <v>6559</v>
      </c>
      <c r="O5" s="4">
        <v>107</v>
      </c>
      <c r="P5" s="16" t="str">
        <f>IF(ISBLANK(N5),"",IF(AND(N5&gt;N4,O5&gt;O4),"Long Buildup",IF(AND(N5&gt;N4,O5&lt;O4),"Short Buildup",IF(AND(N5&lt;N4,O5&gt;O4),"Short Covering",IF(AND(N5&lt;N4,O5&lt;O4),"Long Unwinding")))))</f>
        <v>Short Covering</v>
      </c>
      <c r="Q5" s="4"/>
      <c r="R5" s="4"/>
      <c r="S5" s="4"/>
      <c r="T5" s="24"/>
      <c r="U5" s="4"/>
    </row>
    <row r="6" spans="1:21" x14ac:dyDescent="0.25">
      <c r="A6" s="8">
        <v>5.3</v>
      </c>
      <c r="B6" s="4">
        <v>4599</v>
      </c>
      <c r="C6" s="4">
        <v>112</v>
      </c>
      <c r="D6" s="4" t="str">
        <f t="shared" ref="D6:D20" si="0">IF(ISBLANK(B6),"",IF(AND(B6&gt;B5,C6&gt;C5),"Long Buildup",IF(AND(B6&gt;B5,C6&lt;C5),"Short Buildup",IF(AND(B6&lt;B5,C6&gt;C5),"Short Covering",IF(AND(B6&lt;B5,C6&lt;C5),"Long Unwinding")))))</f>
        <v>Long Buildup</v>
      </c>
      <c r="E6" s="8">
        <v>5.3</v>
      </c>
      <c r="F6" s="4">
        <v>11300</v>
      </c>
      <c r="G6" s="4">
        <v>7.9</v>
      </c>
      <c r="H6" s="4" t="str">
        <f t="shared" ref="H6:H20" si="1">IF(ISBLANK(F6),"",IF(AND(F6&gt;F5,G6&gt;G5),"Long Buildup",IF(AND(F6&gt;F5,G6&lt;G5),"Short Buildup",IF(AND(F6&lt;F5,G6&gt;G5),"Short Covering",IF(AND(F6&lt;F5,G6&lt;G5),"Long Unwinding")))))</f>
        <v>Short Buildup</v>
      </c>
      <c r="I6" s="8">
        <v>5.3</v>
      </c>
      <c r="J6" s="4">
        <v>13791</v>
      </c>
      <c r="K6" s="4">
        <v>6</v>
      </c>
      <c r="L6" s="4" t="str">
        <f t="shared" ref="L6:L20" si="2">IF(ISBLANK(J6),"",IF(AND(J6&gt;J5,K6&gt;K5),"Long Buildup",IF(AND(J6&gt;J5,K6&lt;K5),"Short Buildup",IF(AND(J6&lt;J5,K6&gt;K5),"Short Covering",IF(AND(J6&lt;J5,K6&lt;K5),"Long Unwinding")))))</f>
        <v>Short Buildup</v>
      </c>
      <c r="M6" s="8">
        <v>5.3</v>
      </c>
      <c r="N6" s="4">
        <v>6554</v>
      </c>
      <c r="O6" s="4">
        <v>108</v>
      </c>
      <c r="P6" s="16" t="str">
        <f t="shared" ref="P6:P20" si="3">IF(ISBLANK(N6),"",IF(AND(N6&gt;N5,O6&gt;O5),"Long Buildup",IF(AND(N6&gt;N5,O6&lt;O5),"Short Buildup",IF(AND(N6&lt;N5,O6&gt;O5),"Short Covering",IF(AND(N6&lt;N5,O6&lt;O5),"Long Unwinding")))))</f>
        <v>Short Covering</v>
      </c>
      <c r="Q6" s="4">
        <f>SUM(Q2:Q5)</f>
        <v>100</v>
      </c>
      <c r="R6" s="4">
        <f>S6/Q6</f>
        <v>9</v>
      </c>
      <c r="S6" s="4">
        <f>SUM(S2:S5)</f>
        <v>900</v>
      </c>
      <c r="T6" s="4"/>
      <c r="U6" s="4"/>
    </row>
    <row r="7" spans="1:21" x14ac:dyDescent="0.25">
      <c r="A7" s="8">
        <v>5.45</v>
      </c>
      <c r="B7" s="4">
        <v>4678</v>
      </c>
      <c r="C7" s="4">
        <v>106</v>
      </c>
      <c r="D7" s="4" t="str">
        <f t="shared" si="0"/>
        <v>Short Buildup</v>
      </c>
      <c r="E7" s="8">
        <v>5.45</v>
      </c>
      <c r="F7" s="4">
        <v>11282</v>
      </c>
      <c r="G7" s="4">
        <v>8.6999999999999993</v>
      </c>
      <c r="H7" s="4" t="str">
        <f t="shared" si="1"/>
        <v>Short Covering</v>
      </c>
      <c r="I7" s="8">
        <v>5.45</v>
      </c>
      <c r="J7" s="4">
        <v>13802</v>
      </c>
      <c r="K7" s="4">
        <v>5.9</v>
      </c>
      <c r="L7" s="4" t="str">
        <f t="shared" si="2"/>
        <v>Short Buildup</v>
      </c>
      <c r="M7" s="8">
        <v>5.45</v>
      </c>
      <c r="N7" s="4">
        <v>6659</v>
      </c>
      <c r="O7" s="4">
        <v>105</v>
      </c>
      <c r="P7" s="4" t="str">
        <f t="shared" si="3"/>
        <v>Short Buildup</v>
      </c>
    </row>
    <row r="8" spans="1:21" x14ac:dyDescent="0.25">
      <c r="A8" s="8">
        <v>6</v>
      </c>
      <c r="B8" s="4"/>
      <c r="C8" s="4"/>
      <c r="D8" s="4" t="str">
        <f t="shared" si="0"/>
        <v/>
      </c>
      <c r="E8" s="8">
        <v>6</v>
      </c>
      <c r="F8" s="4"/>
      <c r="G8" s="4"/>
      <c r="H8" s="4" t="str">
        <f t="shared" si="1"/>
        <v/>
      </c>
      <c r="I8" s="8">
        <v>6</v>
      </c>
      <c r="J8" s="4"/>
      <c r="K8" s="4"/>
      <c r="L8" s="4" t="str">
        <f t="shared" si="2"/>
        <v/>
      </c>
      <c r="M8" s="8">
        <v>6</v>
      </c>
      <c r="N8" s="4"/>
      <c r="O8" s="4"/>
      <c r="P8" s="4" t="str">
        <f t="shared" si="3"/>
        <v/>
      </c>
    </row>
    <row r="9" spans="1:21" x14ac:dyDescent="0.25">
      <c r="A9" s="8">
        <v>6.15</v>
      </c>
      <c r="B9" s="4"/>
      <c r="C9" s="4"/>
      <c r="D9" s="4" t="str">
        <f t="shared" si="0"/>
        <v/>
      </c>
      <c r="E9" s="8">
        <v>6.15</v>
      </c>
      <c r="F9" s="4"/>
      <c r="G9" s="4"/>
      <c r="H9" s="4" t="str">
        <f t="shared" si="1"/>
        <v/>
      </c>
      <c r="I9" s="8">
        <v>6.15</v>
      </c>
      <c r="J9" s="4"/>
      <c r="K9" s="4"/>
      <c r="L9" s="4" t="str">
        <f t="shared" si="2"/>
        <v/>
      </c>
      <c r="M9" s="8">
        <v>6.15</v>
      </c>
      <c r="N9" s="4"/>
      <c r="O9" s="4"/>
      <c r="P9" s="4" t="str">
        <f t="shared" si="3"/>
        <v/>
      </c>
    </row>
    <row r="10" spans="1:21" x14ac:dyDescent="0.25">
      <c r="A10" s="8">
        <v>6.3</v>
      </c>
      <c r="B10" s="4"/>
      <c r="C10" s="4"/>
      <c r="D10" s="4" t="str">
        <f t="shared" si="0"/>
        <v/>
      </c>
      <c r="E10" s="8">
        <v>6.3</v>
      </c>
      <c r="F10" s="4"/>
      <c r="G10" s="4"/>
      <c r="H10" s="4" t="str">
        <f t="shared" si="1"/>
        <v/>
      </c>
      <c r="I10" s="8">
        <v>6.3</v>
      </c>
      <c r="J10" s="4"/>
      <c r="K10" s="4"/>
      <c r="L10" s="4" t="str">
        <f t="shared" si="2"/>
        <v/>
      </c>
      <c r="M10" s="8">
        <v>6.3</v>
      </c>
      <c r="N10" s="4"/>
      <c r="O10" s="4"/>
      <c r="P10" s="4" t="str">
        <f t="shared" si="3"/>
        <v/>
      </c>
    </row>
    <row r="11" spans="1:21" x14ac:dyDescent="0.25">
      <c r="A11" s="4"/>
      <c r="B11" s="4"/>
      <c r="C11" s="4"/>
      <c r="D11" s="4" t="str">
        <f t="shared" si="0"/>
        <v/>
      </c>
      <c r="E11" s="4"/>
      <c r="F11" s="4"/>
      <c r="G11" s="4"/>
      <c r="H11" s="4" t="str">
        <f t="shared" si="1"/>
        <v/>
      </c>
      <c r="I11" s="4"/>
      <c r="J11" s="4"/>
      <c r="K11" s="4"/>
      <c r="L11" s="4" t="str">
        <f t="shared" si="2"/>
        <v/>
      </c>
      <c r="M11" s="4"/>
      <c r="N11" s="4"/>
      <c r="O11" s="4"/>
      <c r="P11" s="4" t="str">
        <f t="shared" si="3"/>
        <v/>
      </c>
    </row>
    <row r="12" spans="1:21" x14ac:dyDescent="0.25">
      <c r="A12" s="4"/>
      <c r="B12" s="4"/>
      <c r="C12" s="4"/>
      <c r="D12" s="4" t="str">
        <f t="shared" si="0"/>
        <v/>
      </c>
      <c r="E12" s="4"/>
      <c r="F12" s="4"/>
      <c r="G12" s="4"/>
      <c r="H12" s="4" t="str">
        <f t="shared" si="1"/>
        <v/>
      </c>
      <c r="I12" s="4"/>
      <c r="J12" s="4"/>
      <c r="K12" s="4"/>
      <c r="L12" s="4" t="str">
        <f t="shared" si="2"/>
        <v/>
      </c>
      <c r="M12" s="4"/>
      <c r="N12" s="4"/>
      <c r="O12" s="4"/>
      <c r="P12" s="4" t="str">
        <f t="shared" si="3"/>
        <v/>
      </c>
    </row>
    <row r="13" spans="1:21" x14ac:dyDescent="0.25">
      <c r="A13" s="4"/>
      <c r="B13" s="4"/>
      <c r="C13" s="4"/>
      <c r="D13" s="4" t="str">
        <f t="shared" si="0"/>
        <v/>
      </c>
      <c r="E13" s="4"/>
      <c r="F13" s="4"/>
      <c r="G13" s="4"/>
      <c r="H13" s="4" t="str">
        <f t="shared" si="1"/>
        <v/>
      </c>
      <c r="I13" s="4"/>
      <c r="J13" s="4"/>
      <c r="K13" s="4"/>
      <c r="L13" s="4" t="str">
        <f t="shared" si="2"/>
        <v/>
      </c>
      <c r="M13" s="4"/>
      <c r="N13" s="4"/>
      <c r="O13" s="4"/>
      <c r="P13" s="4" t="str">
        <f t="shared" si="3"/>
        <v/>
      </c>
    </row>
    <row r="14" spans="1:21" x14ac:dyDescent="0.25">
      <c r="A14" s="4"/>
      <c r="B14" s="4"/>
      <c r="C14" s="4"/>
      <c r="D14" s="4" t="str">
        <f t="shared" si="0"/>
        <v/>
      </c>
      <c r="E14" s="4"/>
      <c r="F14" s="4"/>
      <c r="G14" s="4"/>
      <c r="H14" s="4" t="str">
        <f t="shared" si="1"/>
        <v/>
      </c>
      <c r="I14" s="4"/>
      <c r="J14" s="4"/>
      <c r="K14" s="4"/>
      <c r="L14" s="4" t="str">
        <f t="shared" si="2"/>
        <v/>
      </c>
      <c r="M14" s="4"/>
      <c r="N14" s="4"/>
      <c r="O14" s="4"/>
      <c r="P14" s="4" t="str">
        <f t="shared" si="3"/>
        <v/>
      </c>
    </row>
    <row r="15" spans="1:21" x14ac:dyDescent="0.25">
      <c r="A15" s="4"/>
      <c r="B15" s="4"/>
      <c r="C15" s="4"/>
      <c r="D15" s="4" t="str">
        <f t="shared" si="0"/>
        <v/>
      </c>
      <c r="E15" s="4"/>
      <c r="F15" s="4"/>
      <c r="G15" s="4"/>
      <c r="H15" s="4" t="str">
        <f t="shared" si="1"/>
        <v/>
      </c>
      <c r="I15" s="4"/>
      <c r="J15" s="4"/>
      <c r="K15" s="4"/>
      <c r="L15" s="4" t="str">
        <f t="shared" si="2"/>
        <v/>
      </c>
      <c r="M15" s="4"/>
      <c r="N15" s="4"/>
      <c r="O15" s="4"/>
      <c r="P15" s="4" t="str">
        <f t="shared" si="3"/>
        <v/>
      </c>
    </row>
    <row r="16" spans="1:21" x14ac:dyDescent="0.25">
      <c r="A16" s="4"/>
      <c r="B16" s="4"/>
      <c r="C16" s="4"/>
      <c r="D16" s="4" t="str">
        <f t="shared" si="0"/>
        <v/>
      </c>
      <c r="E16" s="4"/>
      <c r="F16" s="4"/>
      <c r="G16" s="4"/>
      <c r="H16" s="4" t="str">
        <f t="shared" si="1"/>
        <v/>
      </c>
      <c r="I16" s="4"/>
      <c r="J16" s="4"/>
      <c r="K16" s="4"/>
      <c r="L16" s="4" t="str">
        <f t="shared" si="2"/>
        <v/>
      </c>
      <c r="M16" s="4"/>
      <c r="N16" s="4"/>
      <c r="O16" s="4"/>
      <c r="P16" s="4" t="str">
        <f t="shared" si="3"/>
        <v/>
      </c>
    </row>
    <row r="17" spans="1:16" x14ac:dyDescent="0.25">
      <c r="A17" s="4"/>
      <c r="B17" s="4"/>
      <c r="C17" s="4"/>
      <c r="D17" s="4" t="str">
        <f t="shared" si="0"/>
        <v/>
      </c>
      <c r="E17" s="4"/>
      <c r="F17" s="4"/>
      <c r="G17" s="4"/>
      <c r="H17" s="4" t="str">
        <f t="shared" si="1"/>
        <v/>
      </c>
      <c r="I17" s="4"/>
      <c r="J17" s="4"/>
      <c r="K17" s="4"/>
      <c r="L17" s="4" t="str">
        <f t="shared" si="2"/>
        <v/>
      </c>
      <c r="M17" s="4"/>
      <c r="N17" s="4"/>
      <c r="O17" s="4"/>
      <c r="P17" s="4" t="str">
        <f t="shared" si="3"/>
        <v/>
      </c>
    </row>
    <row r="18" spans="1:16" x14ac:dyDescent="0.25">
      <c r="A18" s="4"/>
      <c r="B18" s="4"/>
      <c r="C18" s="4"/>
      <c r="D18" s="4" t="str">
        <f t="shared" si="0"/>
        <v/>
      </c>
      <c r="E18" s="4"/>
      <c r="F18" s="4"/>
      <c r="G18" s="4"/>
      <c r="H18" s="4" t="str">
        <f t="shared" si="1"/>
        <v/>
      </c>
      <c r="I18" s="4"/>
      <c r="J18" s="4"/>
      <c r="K18" s="4"/>
      <c r="L18" s="4" t="str">
        <f t="shared" si="2"/>
        <v/>
      </c>
      <c r="M18" s="4"/>
      <c r="N18" s="4"/>
      <c r="O18" s="4"/>
      <c r="P18" s="4" t="str">
        <f t="shared" si="3"/>
        <v/>
      </c>
    </row>
    <row r="19" spans="1:16" x14ac:dyDescent="0.25">
      <c r="A19" s="4"/>
      <c r="B19" s="4"/>
      <c r="C19" s="4"/>
      <c r="D19" s="4" t="str">
        <f t="shared" si="0"/>
        <v/>
      </c>
      <c r="E19" s="4"/>
      <c r="F19" s="4"/>
      <c r="G19" s="4"/>
      <c r="H19" s="4" t="str">
        <f t="shared" si="1"/>
        <v/>
      </c>
      <c r="I19" s="4"/>
      <c r="J19" s="4"/>
      <c r="K19" s="4"/>
      <c r="L19" s="4" t="str">
        <f t="shared" si="2"/>
        <v/>
      </c>
      <c r="M19" s="4"/>
      <c r="N19" s="4"/>
      <c r="O19" s="4"/>
      <c r="P19" s="4" t="str">
        <f t="shared" si="3"/>
        <v/>
      </c>
    </row>
    <row r="20" spans="1:16" x14ac:dyDescent="0.25">
      <c r="A20" s="4"/>
      <c r="B20" s="4"/>
      <c r="C20" s="4"/>
      <c r="D20" s="4" t="str">
        <f t="shared" si="0"/>
        <v/>
      </c>
      <c r="E20" s="4"/>
      <c r="F20" s="4"/>
      <c r="G20" s="4"/>
      <c r="H20" s="4" t="str">
        <f t="shared" si="1"/>
        <v/>
      </c>
      <c r="I20" s="4"/>
      <c r="J20" s="4"/>
      <c r="K20" s="4"/>
      <c r="L20" s="4" t="str">
        <f t="shared" si="2"/>
        <v/>
      </c>
      <c r="M20" s="4"/>
      <c r="N20" s="4"/>
      <c r="O20" s="4"/>
      <c r="P20" s="4" t="str">
        <f t="shared" si="3"/>
        <v/>
      </c>
    </row>
  </sheetData>
  <mergeCells count="7">
    <mergeCell ref="T2:T5"/>
    <mergeCell ref="A1:H1"/>
    <mergeCell ref="E2:H2"/>
    <mergeCell ref="A2:D2"/>
    <mergeCell ref="I1:P1"/>
    <mergeCell ref="I2:L2"/>
    <mergeCell ref="M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0BCE-79D3-42DD-823D-4AF8E756B6DE}">
  <dimension ref="A1:O123"/>
  <sheetViews>
    <sheetView topLeftCell="B4" workbookViewId="0">
      <selection activeCell="E9" sqref="E9"/>
    </sheetView>
  </sheetViews>
  <sheetFormatPr defaultRowHeight="15" x14ac:dyDescent="0.25"/>
  <cols>
    <col min="1" max="1" width="29.28515625" bestFit="1" customWidth="1"/>
    <col min="2" max="3" width="10.42578125" bestFit="1" customWidth="1"/>
    <col min="4" max="4" width="10.140625" bestFit="1" customWidth="1"/>
    <col min="5" max="5" width="22.85546875" bestFit="1" customWidth="1"/>
    <col min="8" max="8" width="18.140625" bestFit="1" customWidth="1"/>
    <col min="11" max="11" width="13.140625" bestFit="1" customWidth="1"/>
  </cols>
  <sheetData>
    <row r="1" spans="1:15" x14ac:dyDescent="0.25">
      <c r="A1" s="4" t="s">
        <v>993</v>
      </c>
      <c r="B1" s="4" t="s">
        <v>979</v>
      </c>
      <c r="C1" s="4" t="s">
        <v>980</v>
      </c>
      <c r="D1" s="4" t="s">
        <v>981</v>
      </c>
      <c r="E1" s="4" t="s">
        <v>994</v>
      </c>
      <c r="H1" t="s">
        <v>1000</v>
      </c>
      <c r="K1" t="s">
        <v>1282</v>
      </c>
      <c r="L1">
        <v>24000</v>
      </c>
    </row>
    <row r="2" spans="1:15" x14ac:dyDescent="0.25">
      <c r="A2" s="4" t="str">
        <f>B2&amp;C2&amp;D2</f>
        <v>CallCallCall</v>
      </c>
      <c r="B2" s="4" t="s">
        <v>990</v>
      </c>
      <c r="C2" s="4" t="s">
        <v>990</v>
      </c>
      <c r="D2" s="4" t="s">
        <v>990</v>
      </c>
      <c r="E2" s="4" t="s">
        <v>982</v>
      </c>
      <c r="H2" t="s">
        <v>1001</v>
      </c>
      <c r="K2" t="s">
        <v>1277</v>
      </c>
      <c r="L2">
        <v>5000</v>
      </c>
    </row>
    <row r="3" spans="1:15" x14ac:dyDescent="0.25">
      <c r="A3" s="4" t="str">
        <f t="shared" ref="A3:A26" si="0">B3&amp;C3&amp;D3</f>
        <v>CallCallWait</v>
      </c>
      <c r="B3" s="4" t="s">
        <v>990</v>
      </c>
      <c r="C3" s="4" t="s">
        <v>990</v>
      </c>
      <c r="D3" s="4" t="s">
        <v>991</v>
      </c>
      <c r="E3" s="4" t="s">
        <v>986</v>
      </c>
      <c r="H3" t="s">
        <v>1002</v>
      </c>
      <c r="K3" t="s">
        <v>1278</v>
      </c>
      <c r="L3">
        <f>L1-L2</f>
        <v>19000</v>
      </c>
    </row>
    <row r="4" spans="1:15" x14ac:dyDescent="0.25">
      <c r="A4" s="4" t="str">
        <f t="shared" si="0"/>
        <v>CallCallPut</v>
      </c>
      <c r="B4" s="4" t="s">
        <v>990</v>
      </c>
      <c r="C4" s="4" t="s">
        <v>990</v>
      </c>
      <c r="D4" s="4" t="s">
        <v>987</v>
      </c>
      <c r="E4" s="4" t="s">
        <v>991</v>
      </c>
      <c r="K4" t="s">
        <v>1279</v>
      </c>
      <c r="L4">
        <f>205*75</f>
        <v>15375</v>
      </c>
      <c r="M4" s="14">
        <f>(L4/L3)</f>
        <v>0.80921052631578949</v>
      </c>
      <c r="N4" t="s">
        <v>997</v>
      </c>
      <c r="O4">
        <f>L3-L4</f>
        <v>3625</v>
      </c>
    </row>
    <row r="5" spans="1:15" x14ac:dyDescent="0.25">
      <c r="A5" s="4" t="str">
        <f t="shared" si="0"/>
        <v>CallCallStrong Call</v>
      </c>
      <c r="B5" s="4" t="s">
        <v>990</v>
      </c>
      <c r="C5" s="4" t="s">
        <v>990</v>
      </c>
      <c r="D5" s="4" t="s">
        <v>982</v>
      </c>
      <c r="E5" s="4" t="s">
        <v>982</v>
      </c>
      <c r="K5" t="s">
        <v>1280</v>
      </c>
    </row>
    <row r="6" spans="1:15" x14ac:dyDescent="0.25">
      <c r="A6" s="4" t="str">
        <f t="shared" si="0"/>
        <v>CallCallStrong Put</v>
      </c>
      <c r="B6" s="4" t="s">
        <v>990</v>
      </c>
      <c r="C6" s="4" t="s">
        <v>990</v>
      </c>
      <c r="D6" s="4" t="s">
        <v>988</v>
      </c>
      <c r="E6" s="4" t="s">
        <v>984</v>
      </c>
      <c r="K6" t="s">
        <v>1281</v>
      </c>
    </row>
    <row r="7" spans="1:15" x14ac:dyDescent="0.25">
      <c r="A7" s="4" t="str">
        <f t="shared" si="0"/>
        <v>CallWaitCall</v>
      </c>
      <c r="B7" s="4" t="s">
        <v>990</v>
      </c>
      <c r="C7" s="4" t="s">
        <v>991</v>
      </c>
      <c r="D7" s="4" t="s">
        <v>990</v>
      </c>
      <c r="E7" s="4" t="s">
        <v>990</v>
      </c>
    </row>
    <row r="8" spans="1:15" x14ac:dyDescent="0.25">
      <c r="A8" s="4" t="str">
        <f t="shared" si="0"/>
        <v>CallWaitWait</v>
      </c>
      <c r="B8" s="4" t="s">
        <v>990</v>
      </c>
      <c r="C8" s="4" t="s">
        <v>991</v>
      </c>
      <c r="D8" s="4" t="s">
        <v>991</v>
      </c>
      <c r="E8" s="4" t="s">
        <v>989</v>
      </c>
    </row>
    <row r="9" spans="1:15" x14ac:dyDescent="0.25">
      <c r="A9" s="4" t="str">
        <f t="shared" si="0"/>
        <v>CallWaitPut</v>
      </c>
      <c r="B9" s="4" t="s">
        <v>990</v>
      </c>
      <c r="C9" s="4" t="s">
        <v>991</v>
      </c>
      <c r="D9" s="4" t="s">
        <v>987</v>
      </c>
      <c r="E9" s="4" t="s">
        <v>989</v>
      </c>
    </row>
    <row r="10" spans="1:15" x14ac:dyDescent="0.25">
      <c r="A10" s="4" t="str">
        <f t="shared" si="0"/>
        <v>CallWaitStrong Put</v>
      </c>
      <c r="B10" s="4" t="s">
        <v>990</v>
      </c>
      <c r="C10" s="4" t="s">
        <v>991</v>
      </c>
      <c r="D10" s="4" t="s">
        <v>988</v>
      </c>
      <c r="E10" s="4" t="s">
        <v>991</v>
      </c>
      <c r="K10" s="4"/>
      <c r="L10" s="4"/>
      <c r="M10" s="4">
        <f>K10*L10</f>
        <v>0</v>
      </c>
    </row>
    <row r="11" spans="1:15" x14ac:dyDescent="0.25">
      <c r="A11" s="4" t="str">
        <f t="shared" si="0"/>
        <v>CallWaitStrong Call</v>
      </c>
      <c r="B11" s="4" t="s">
        <v>990</v>
      </c>
      <c r="C11" s="4" t="s">
        <v>991</v>
      </c>
      <c r="D11" s="4" t="s">
        <v>982</v>
      </c>
      <c r="E11" s="4" t="s">
        <v>990</v>
      </c>
      <c r="K11" s="4"/>
      <c r="L11" s="4"/>
      <c r="M11" s="4">
        <f t="shared" ref="M11:M15" si="1">K11*L11</f>
        <v>0</v>
      </c>
    </row>
    <row r="12" spans="1:15" x14ac:dyDescent="0.25">
      <c r="A12" s="4" t="str">
        <f t="shared" si="0"/>
        <v>CallPutCall</v>
      </c>
      <c r="B12" s="4" t="s">
        <v>990</v>
      </c>
      <c r="C12" s="4" t="s">
        <v>987</v>
      </c>
      <c r="D12" s="4" t="s">
        <v>990</v>
      </c>
      <c r="E12" s="4" t="s">
        <v>989</v>
      </c>
      <c r="K12" s="4"/>
      <c r="L12" s="4"/>
      <c r="M12" s="4">
        <f t="shared" si="1"/>
        <v>0</v>
      </c>
    </row>
    <row r="13" spans="1:15" x14ac:dyDescent="0.25">
      <c r="A13" s="4" t="str">
        <f t="shared" si="0"/>
        <v>CallPutWait</v>
      </c>
      <c r="B13" s="4" t="s">
        <v>990</v>
      </c>
      <c r="C13" s="4" t="s">
        <v>987</v>
      </c>
      <c r="D13" s="4" t="s">
        <v>991</v>
      </c>
      <c r="E13" s="4" t="s">
        <v>989</v>
      </c>
      <c r="K13" s="4"/>
      <c r="L13" s="4"/>
      <c r="M13" s="4">
        <f t="shared" si="1"/>
        <v>0</v>
      </c>
    </row>
    <row r="14" spans="1:15" x14ac:dyDescent="0.25">
      <c r="A14" s="4" t="str">
        <f t="shared" si="0"/>
        <v>CallPutPut</v>
      </c>
      <c r="B14" s="4" t="s">
        <v>990</v>
      </c>
      <c r="C14" s="4" t="s">
        <v>987</v>
      </c>
      <c r="D14" s="4" t="s">
        <v>987</v>
      </c>
      <c r="E14" s="4" t="s">
        <v>983</v>
      </c>
      <c r="K14" s="4"/>
      <c r="L14" s="4"/>
      <c r="M14" s="4">
        <f t="shared" si="1"/>
        <v>0</v>
      </c>
    </row>
    <row r="15" spans="1:15" x14ac:dyDescent="0.25">
      <c r="A15" s="4" t="str">
        <f t="shared" si="0"/>
        <v>CallPutStrong Put</v>
      </c>
      <c r="B15" s="4" t="s">
        <v>990</v>
      </c>
      <c r="C15" s="4" t="s">
        <v>987</v>
      </c>
      <c r="D15" s="4" t="s">
        <v>988</v>
      </c>
      <c r="E15" s="4" t="s">
        <v>988</v>
      </c>
      <c r="K15" s="4"/>
      <c r="L15" s="4"/>
      <c r="M15" s="4">
        <f t="shared" si="1"/>
        <v>0</v>
      </c>
    </row>
    <row r="16" spans="1:15" x14ac:dyDescent="0.25">
      <c r="A16" s="4" t="str">
        <f t="shared" si="0"/>
        <v>CallPutStrong Call</v>
      </c>
      <c r="B16" s="4" t="s">
        <v>990</v>
      </c>
      <c r="C16" s="4" t="s">
        <v>987</v>
      </c>
      <c r="D16" s="4" t="s">
        <v>982</v>
      </c>
      <c r="E16" s="4" t="s">
        <v>990</v>
      </c>
      <c r="K16" s="4">
        <f>SUM(K10:K15)</f>
        <v>0</v>
      </c>
      <c r="L16" s="4" t="e">
        <f>M16/K16</f>
        <v>#DIV/0!</v>
      </c>
      <c r="M16" s="4">
        <f>SUM(M10:M15)</f>
        <v>0</v>
      </c>
    </row>
    <row r="17" spans="1:15" x14ac:dyDescent="0.25">
      <c r="A17" s="4" t="str">
        <f t="shared" si="0"/>
        <v>CallStrong CallCall</v>
      </c>
      <c r="B17" s="4" t="s">
        <v>990</v>
      </c>
      <c r="C17" s="4" t="s">
        <v>982</v>
      </c>
      <c r="D17" s="4" t="s">
        <v>990</v>
      </c>
      <c r="E17" s="4" t="s">
        <v>982</v>
      </c>
    </row>
    <row r="18" spans="1:15" x14ac:dyDescent="0.25">
      <c r="A18" s="4" t="str">
        <f t="shared" si="0"/>
        <v>CallStrong CallWait</v>
      </c>
      <c r="B18" s="4" t="s">
        <v>990</v>
      </c>
      <c r="C18" s="4" t="s">
        <v>982</v>
      </c>
      <c r="D18" s="4" t="s">
        <v>991</v>
      </c>
      <c r="E18" s="4" t="s">
        <v>990</v>
      </c>
    </row>
    <row r="19" spans="1:15" x14ac:dyDescent="0.25">
      <c r="A19" s="4" t="str">
        <f t="shared" si="0"/>
        <v>CallStrong CallPut</v>
      </c>
      <c r="B19" s="4" t="s">
        <v>990</v>
      </c>
      <c r="C19" s="4" t="s">
        <v>982</v>
      </c>
      <c r="D19" s="4" t="s">
        <v>987</v>
      </c>
      <c r="E19" s="4" t="s">
        <v>990</v>
      </c>
    </row>
    <row r="20" spans="1:15" x14ac:dyDescent="0.25">
      <c r="A20" s="4" t="str">
        <f t="shared" si="0"/>
        <v>CallStrong CallStrong Call</v>
      </c>
      <c r="B20" s="4" t="s">
        <v>990</v>
      </c>
      <c r="C20" s="4" t="s">
        <v>982</v>
      </c>
      <c r="D20" s="4" t="s">
        <v>982</v>
      </c>
      <c r="E20" s="4" t="s">
        <v>982</v>
      </c>
      <c r="K20">
        <v>16.95</v>
      </c>
      <c r="L20">
        <v>9.36</v>
      </c>
      <c r="M20" s="3">
        <f>K20+K20*(L20/100)</f>
        <v>18.536519999999999</v>
      </c>
      <c r="N20">
        <v>5</v>
      </c>
      <c r="O20">
        <f>M20+M20*(N20/100)</f>
        <v>19.463345999999998</v>
      </c>
    </row>
    <row r="21" spans="1:15" x14ac:dyDescent="0.25">
      <c r="A21" s="4" t="str">
        <f t="shared" si="0"/>
        <v>CallStrong CallStrong Put</v>
      </c>
      <c r="B21" s="4" t="s">
        <v>990</v>
      </c>
      <c r="C21" s="4" t="s">
        <v>982</v>
      </c>
      <c r="D21" s="4" t="s">
        <v>988</v>
      </c>
      <c r="E21" s="4" t="s">
        <v>995</v>
      </c>
      <c r="K21">
        <v>16.7</v>
      </c>
      <c r="L21">
        <v>10.7</v>
      </c>
      <c r="M21" s="3">
        <f>K21+K21*(L21/100)</f>
        <v>18.486899999999999</v>
      </c>
      <c r="N21">
        <v>5</v>
      </c>
      <c r="O21">
        <f>M21+M21*(N21/100)</f>
        <v>19.411244999999997</v>
      </c>
    </row>
    <row r="22" spans="1:15" x14ac:dyDescent="0.25">
      <c r="A22" s="4" t="str">
        <f t="shared" si="0"/>
        <v>CallStrong PutCall</v>
      </c>
      <c r="B22" s="4" t="s">
        <v>990</v>
      </c>
      <c r="C22" s="4" t="s">
        <v>988</v>
      </c>
      <c r="D22" s="4" t="s">
        <v>990</v>
      </c>
      <c r="E22" s="4" t="s">
        <v>985</v>
      </c>
    </row>
    <row r="23" spans="1:15" x14ac:dyDescent="0.25">
      <c r="A23" s="4" t="str">
        <f t="shared" si="0"/>
        <v>CallStrong PutWait</v>
      </c>
      <c r="B23" s="4" t="s">
        <v>990</v>
      </c>
      <c r="C23" s="4" t="s">
        <v>988</v>
      </c>
      <c r="D23" s="4" t="s">
        <v>991</v>
      </c>
      <c r="E23" s="4" t="s">
        <v>985</v>
      </c>
    </row>
    <row r="24" spans="1:15" x14ac:dyDescent="0.25">
      <c r="A24" s="4" t="str">
        <f t="shared" si="0"/>
        <v>CallStrong PutPut</v>
      </c>
      <c r="B24" s="4" t="s">
        <v>990</v>
      </c>
      <c r="C24" s="4" t="s">
        <v>988</v>
      </c>
      <c r="D24" s="4" t="s">
        <v>987</v>
      </c>
      <c r="E24" s="4" t="s">
        <v>985</v>
      </c>
    </row>
    <row r="25" spans="1:15" x14ac:dyDescent="0.25">
      <c r="A25" s="4" t="str">
        <f t="shared" si="0"/>
        <v>CallStrong PutStrong Call</v>
      </c>
      <c r="B25" s="4" t="s">
        <v>990</v>
      </c>
      <c r="C25" s="4" t="s">
        <v>988</v>
      </c>
      <c r="D25" s="4" t="s">
        <v>982</v>
      </c>
      <c r="E25" s="4" t="s">
        <v>995</v>
      </c>
    </row>
    <row r="26" spans="1:15" x14ac:dyDescent="0.25">
      <c r="A26" s="4" t="str">
        <f t="shared" si="0"/>
        <v>CallStrong PutStrong Put</v>
      </c>
      <c r="B26" s="4" t="s">
        <v>990</v>
      </c>
      <c r="C26" s="4" t="s">
        <v>988</v>
      </c>
      <c r="D26" s="4" t="s">
        <v>988</v>
      </c>
      <c r="E26" s="4" t="s">
        <v>988</v>
      </c>
    </row>
    <row r="27" spans="1:15" x14ac:dyDescent="0.25">
      <c r="A27" s="10" t="str">
        <f t="shared" ref="A27:A102" si="2">B27&amp;C27&amp;D27</f>
        <v>WaitCallCall</v>
      </c>
      <c r="B27" s="10" t="s">
        <v>991</v>
      </c>
      <c r="C27" s="10" t="s">
        <v>990</v>
      </c>
      <c r="D27" s="10" t="s">
        <v>990</v>
      </c>
      <c r="E27" s="10" t="s">
        <v>986</v>
      </c>
    </row>
    <row r="28" spans="1:15" x14ac:dyDescent="0.25">
      <c r="A28" s="10" t="str">
        <f t="shared" si="2"/>
        <v>WaitCallWait</v>
      </c>
      <c r="B28" s="10" t="s">
        <v>991</v>
      </c>
      <c r="C28" s="10" t="s">
        <v>990</v>
      </c>
      <c r="D28" s="10" t="s">
        <v>991</v>
      </c>
      <c r="E28" s="10" t="s">
        <v>991</v>
      </c>
    </row>
    <row r="29" spans="1:15" x14ac:dyDescent="0.25">
      <c r="A29" s="10" t="str">
        <f t="shared" si="2"/>
        <v>WaitCallPut</v>
      </c>
      <c r="B29" s="10" t="s">
        <v>991</v>
      </c>
      <c r="C29" s="10" t="s">
        <v>990</v>
      </c>
      <c r="D29" s="10" t="s">
        <v>987</v>
      </c>
      <c r="E29" s="10" t="s">
        <v>989</v>
      </c>
    </row>
    <row r="30" spans="1:15" x14ac:dyDescent="0.25">
      <c r="A30" s="10" t="str">
        <f t="shared" si="2"/>
        <v>WaitCallStrong Call</v>
      </c>
      <c r="B30" s="10" t="s">
        <v>991</v>
      </c>
      <c r="C30" s="10" t="s">
        <v>990</v>
      </c>
      <c r="D30" s="10" t="s">
        <v>982</v>
      </c>
      <c r="E30" s="10" t="s">
        <v>982</v>
      </c>
    </row>
    <row r="31" spans="1:15" x14ac:dyDescent="0.25">
      <c r="A31" s="10" t="str">
        <f t="shared" si="2"/>
        <v>WaitCallStrong Put</v>
      </c>
      <c r="B31" s="10" t="s">
        <v>991</v>
      </c>
      <c r="C31" s="10" t="s">
        <v>990</v>
      </c>
      <c r="D31" s="10" t="s">
        <v>988</v>
      </c>
      <c r="E31" s="10" t="s">
        <v>989</v>
      </c>
    </row>
    <row r="32" spans="1:15" x14ac:dyDescent="0.25">
      <c r="A32" s="10" t="str">
        <f t="shared" si="2"/>
        <v>WaitWaitCall</v>
      </c>
      <c r="B32" s="10" t="s">
        <v>991</v>
      </c>
      <c r="C32" s="10" t="s">
        <v>991</v>
      </c>
      <c r="D32" s="10" t="s">
        <v>990</v>
      </c>
      <c r="E32" s="10" t="s">
        <v>989</v>
      </c>
    </row>
    <row r="33" spans="1:5" x14ac:dyDescent="0.25">
      <c r="A33" s="10" t="str">
        <f t="shared" si="2"/>
        <v>WaitWaitWait</v>
      </c>
      <c r="B33" s="10" t="s">
        <v>991</v>
      </c>
      <c r="C33" s="10" t="s">
        <v>991</v>
      </c>
      <c r="D33" s="10" t="s">
        <v>991</v>
      </c>
      <c r="E33" s="10" t="s">
        <v>989</v>
      </c>
    </row>
    <row r="34" spans="1:5" x14ac:dyDescent="0.25">
      <c r="A34" s="10" t="str">
        <f t="shared" si="2"/>
        <v>WaitWaitPut</v>
      </c>
      <c r="B34" s="10" t="s">
        <v>991</v>
      </c>
      <c r="C34" s="10" t="s">
        <v>991</v>
      </c>
      <c r="D34" s="10" t="s">
        <v>987</v>
      </c>
      <c r="E34" s="10" t="s">
        <v>989</v>
      </c>
    </row>
    <row r="35" spans="1:5" x14ac:dyDescent="0.25">
      <c r="A35" s="10" t="str">
        <f t="shared" si="2"/>
        <v>WaitWaitStrong Call</v>
      </c>
      <c r="B35" s="10" t="s">
        <v>991</v>
      </c>
      <c r="C35" s="10" t="s">
        <v>991</v>
      </c>
      <c r="D35" s="10" t="s">
        <v>982</v>
      </c>
      <c r="E35" s="10" t="s">
        <v>989</v>
      </c>
    </row>
    <row r="36" spans="1:5" x14ac:dyDescent="0.25">
      <c r="A36" s="10" t="str">
        <f t="shared" si="2"/>
        <v>WaitWaitStrong Put</v>
      </c>
      <c r="B36" s="10" t="s">
        <v>991</v>
      </c>
      <c r="C36" s="10" t="s">
        <v>991</v>
      </c>
      <c r="D36" s="10" t="s">
        <v>988</v>
      </c>
      <c r="E36" s="10" t="s">
        <v>989</v>
      </c>
    </row>
    <row r="37" spans="1:5" x14ac:dyDescent="0.25">
      <c r="A37" s="10" t="str">
        <f t="shared" si="2"/>
        <v>WaitPutCall</v>
      </c>
      <c r="B37" s="10" t="s">
        <v>991</v>
      </c>
      <c r="C37" s="10" t="s">
        <v>987</v>
      </c>
      <c r="D37" s="10" t="s">
        <v>990</v>
      </c>
      <c r="E37" s="10" t="s">
        <v>989</v>
      </c>
    </row>
    <row r="38" spans="1:5" x14ac:dyDescent="0.25">
      <c r="A38" s="10" t="str">
        <f t="shared" si="2"/>
        <v>WaitPutWait</v>
      </c>
      <c r="B38" s="10" t="s">
        <v>991</v>
      </c>
      <c r="C38" s="10" t="s">
        <v>987</v>
      </c>
      <c r="D38" s="10" t="s">
        <v>991</v>
      </c>
      <c r="E38" s="10" t="s">
        <v>991</v>
      </c>
    </row>
    <row r="39" spans="1:5" x14ac:dyDescent="0.25">
      <c r="A39" s="10" t="str">
        <f t="shared" si="2"/>
        <v>WaitPutPut</v>
      </c>
      <c r="B39" s="10" t="s">
        <v>991</v>
      </c>
      <c r="C39" s="10" t="s">
        <v>987</v>
      </c>
      <c r="D39" s="10" t="s">
        <v>987</v>
      </c>
      <c r="E39" s="10" t="s">
        <v>983</v>
      </c>
    </row>
    <row r="40" spans="1:5" x14ac:dyDescent="0.25">
      <c r="A40" s="10" t="str">
        <f t="shared" si="2"/>
        <v>WaitPutStrong Call</v>
      </c>
      <c r="B40" s="10" t="s">
        <v>991</v>
      </c>
      <c r="C40" s="10" t="s">
        <v>987</v>
      </c>
      <c r="D40" s="10" t="s">
        <v>982</v>
      </c>
      <c r="E40" s="10" t="s">
        <v>985</v>
      </c>
    </row>
    <row r="41" spans="1:5" x14ac:dyDescent="0.25">
      <c r="A41" s="10" t="str">
        <f t="shared" si="2"/>
        <v>WaitPutStrong Put</v>
      </c>
      <c r="B41" s="10" t="s">
        <v>991</v>
      </c>
      <c r="C41" s="10" t="s">
        <v>987</v>
      </c>
      <c r="D41" s="10" t="s">
        <v>988</v>
      </c>
      <c r="E41" s="10" t="s">
        <v>987</v>
      </c>
    </row>
    <row r="42" spans="1:5" x14ac:dyDescent="0.25">
      <c r="A42" s="10" t="str">
        <f t="shared" si="2"/>
        <v>WaitStrong CallCall</v>
      </c>
      <c r="B42" s="10" t="s">
        <v>991</v>
      </c>
      <c r="C42" s="10" t="s">
        <v>982</v>
      </c>
      <c r="D42" s="10" t="s">
        <v>990</v>
      </c>
      <c r="E42" s="10" t="s">
        <v>990</v>
      </c>
    </row>
    <row r="43" spans="1:5" x14ac:dyDescent="0.25">
      <c r="A43" s="10" t="str">
        <f t="shared" si="2"/>
        <v>WaitStrong CallWait</v>
      </c>
      <c r="B43" s="10" t="s">
        <v>991</v>
      </c>
      <c r="C43" s="10" t="s">
        <v>982</v>
      </c>
      <c r="D43" s="10" t="s">
        <v>991</v>
      </c>
      <c r="E43" s="10" t="s">
        <v>990</v>
      </c>
    </row>
    <row r="44" spans="1:5" x14ac:dyDescent="0.25">
      <c r="A44" s="10" t="str">
        <f t="shared" si="2"/>
        <v>WaitStrong CallPut</v>
      </c>
      <c r="B44" s="10" t="s">
        <v>991</v>
      </c>
      <c r="C44" s="10" t="s">
        <v>982</v>
      </c>
      <c r="D44" s="10" t="s">
        <v>987</v>
      </c>
      <c r="E44" s="10" t="s">
        <v>990</v>
      </c>
    </row>
    <row r="45" spans="1:5" x14ac:dyDescent="0.25">
      <c r="A45" s="10" t="str">
        <f t="shared" si="2"/>
        <v>WaitStrong CallStrong Call</v>
      </c>
      <c r="B45" s="10" t="s">
        <v>991</v>
      </c>
      <c r="C45" s="10" t="s">
        <v>982</v>
      </c>
      <c r="D45" s="10" t="s">
        <v>982</v>
      </c>
      <c r="E45" s="10" t="s">
        <v>982</v>
      </c>
    </row>
    <row r="46" spans="1:5" x14ac:dyDescent="0.25">
      <c r="A46" s="10" t="str">
        <f t="shared" si="2"/>
        <v>WaitStrong CallStrong Put</v>
      </c>
      <c r="B46" s="10" t="s">
        <v>991</v>
      </c>
      <c r="C46" s="10" t="s">
        <v>982</v>
      </c>
      <c r="D46" s="10" t="s">
        <v>988</v>
      </c>
      <c r="E46" s="10" t="s">
        <v>995</v>
      </c>
    </row>
    <row r="47" spans="1:5" x14ac:dyDescent="0.25">
      <c r="A47" s="10" t="str">
        <f t="shared" si="2"/>
        <v>WaitStrong PutCall</v>
      </c>
      <c r="B47" s="10" t="s">
        <v>991</v>
      </c>
      <c r="C47" s="10" t="s">
        <v>988</v>
      </c>
      <c r="D47" s="10" t="s">
        <v>990</v>
      </c>
      <c r="E47" s="10" t="s">
        <v>987</v>
      </c>
    </row>
    <row r="48" spans="1:5" x14ac:dyDescent="0.25">
      <c r="A48" s="10" t="str">
        <f t="shared" si="2"/>
        <v>WaitStrong PutWait</v>
      </c>
      <c r="B48" s="10" t="s">
        <v>991</v>
      </c>
      <c r="C48" s="10" t="s">
        <v>988</v>
      </c>
      <c r="D48" s="10" t="s">
        <v>991</v>
      </c>
      <c r="E48" s="10" t="s">
        <v>987</v>
      </c>
    </row>
    <row r="49" spans="1:5" x14ac:dyDescent="0.25">
      <c r="A49" s="10" t="str">
        <f t="shared" si="2"/>
        <v>WaitStrong PutPut</v>
      </c>
      <c r="B49" s="10" t="s">
        <v>991</v>
      </c>
      <c r="C49" s="10" t="s">
        <v>988</v>
      </c>
      <c r="D49" s="10" t="s">
        <v>987</v>
      </c>
      <c r="E49" s="10" t="s">
        <v>987</v>
      </c>
    </row>
    <row r="50" spans="1:5" x14ac:dyDescent="0.25">
      <c r="A50" s="10" t="str">
        <f t="shared" si="2"/>
        <v>WaitStrong PutStrong Call</v>
      </c>
      <c r="B50" s="10" t="s">
        <v>991</v>
      </c>
      <c r="C50" s="10" t="s">
        <v>988</v>
      </c>
      <c r="D50" s="10" t="s">
        <v>982</v>
      </c>
      <c r="E50" s="10" t="s">
        <v>995</v>
      </c>
    </row>
    <row r="51" spans="1:5" x14ac:dyDescent="0.25">
      <c r="A51" s="10" t="str">
        <f t="shared" si="2"/>
        <v>WaitStrong PutStrong Put</v>
      </c>
      <c r="B51" s="10" t="s">
        <v>991</v>
      </c>
      <c r="C51" s="10" t="s">
        <v>988</v>
      </c>
      <c r="D51" s="10" t="s">
        <v>988</v>
      </c>
      <c r="E51" s="10" t="s">
        <v>988</v>
      </c>
    </row>
    <row r="52" spans="1:5" x14ac:dyDescent="0.25">
      <c r="A52" s="4" t="str">
        <f t="shared" si="2"/>
        <v>PutCallCall</v>
      </c>
      <c r="B52" s="4" t="s">
        <v>987</v>
      </c>
      <c r="C52" s="4" t="s">
        <v>990</v>
      </c>
      <c r="D52" s="4" t="s">
        <v>990</v>
      </c>
      <c r="E52" s="4" t="s">
        <v>991</v>
      </c>
    </row>
    <row r="53" spans="1:5" x14ac:dyDescent="0.25">
      <c r="A53" s="4" t="str">
        <f t="shared" si="2"/>
        <v>PutCallWait</v>
      </c>
      <c r="B53" s="4" t="s">
        <v>987</v>
      </c>
      <c r="C53" s="4" t="s">
        <v>990</v>
      </c>
      <c r="D53" s="4" t="s">
        <v>991</v>
      </c>
      <c r="E53" s="4" t="s">
        <v>991</v>
      </c>
    </row>
    <row r="54" spans="1:5" x14ac:dyDescent="0.25">
      <c r="A54" s="4" t="str">
        <f t="shared" si="2"/>
        <v>PutCallPut</v>
      </c>
      <c r="B54" s="4" t="s">
        <v>987</v>
      </c>
      <c r="C54" s="4" t="s">
        <v>990</v>
      </c>
      <c r="D54" s="4" t="s">
        <v>987</v>
      </c>
      <c r="E54" s="4" t="s">
        <v>989</v>
      </c>
    </row>
    <row r="55" spans="1:5" x14ac:dyDescent="0.25">
      <c r="A55" s="4" t="str">
        <f t="shared" si="2"/>
        <v>PutCallStrong Call</v>
      </c>
      <c r="B55" s="4" t="s">
        <v>987</v>
      </c>
      <c r="C55" s="4" t="s">
        <v>990</v>
      </c>
      <c r="D55" s="4" t="s">
        <v>982</v>
      </c>
      <c r="E55" s="4" t="s">
        <v>990</v>
      </c>
    </row>
    <row r="56" spans="1:5" x14ac:dyDescent="0.25">
      <c r="A56" s="4" t="str">
        <f t="shared" si="2"/>
        <v>PutCallStrong Put</v>
      </c>
      <c r="B56" s="4" t="s">
        <v>987</v>
      </c>
      <c r="C56" s="4" t="s">
        <v>990</v>
      </c>
      <c r="D56" s="4" t="s">
        <v>988</v>
      </c>
      <c r="E56" s="4" t="s">
        <v>987</v>
      </c>
    </row>
    <row r="57" spans="1:5" x14ac:dyDescent="0.25">
      <c r="A57" s="4" t="str">
        <f t="shared" si="2"/>
        <v>PutWaitCall</v>
      </c>
      <c r="B57" s="4" t="s">
        <v>987</v>
      </c>
      <c r="C57" s="4" t="s">
        <v>991</v>
      </c>
      <c r="D57" s="4" t="s">
        <v>990</v>
      </c>
      <c r="E57" s="4" t="s">
        <v>989</v>
      </c>
    </row>
    <row r="58" spans="1:5" x14ac:dyDescent="0.25">
      <c r="A58" s="4" t="str">
        <f t="shared" si="2"/>
        <v>PutWaitWait</v>
      </c>
      <c r="B58" s="4" t="s">
        <v>987</v>
      </c>
      <c r="C58" s="4" t="s">
        <v>991</v>
      </c>
      <c r="D58" s="4" t="s">
        <v>991</v>
      </c>
      <c r="E58" s="4" t="s">
        <v>991</v>
      </c>
    </row>
    <row r="59" spans="1:5" x14ac:dyDescent="0.25">
      <c r="A59" s="4" t="str">
        <f t="shared" si="2"/>
        <v>PutWaitPut</v>
      </c>
      <c r="B59" s="4" t="s">
        <v>987</v>
      </c>
      <c r="C59" s="4" t="s">
        <v>991</v>
      </c>
      <c r="D59" s="4" t="s">
        <v>987</v>
      </c>
      <c r="E59" s="4" t="s">
        <v>987</v>
      </c>
    </row>
    <row r="60" spans="1:5" x14ac:dyDescent="0.25">
      <c r="A60" s="4" t="str">
        <f t="shared" si="2"/>
        <v>PutWaitStrong Call</v>
      </c>
      <c r="B60" s="4" t="s">
        <v>987</v>
      </c>
      <c r="C60" s="4" t="s">
        <v>991</v>
      </c>
      <c r="D60" s="4" t="s">
        <v>982</v>
      </c>
      <c r="E60" s="4" t="s">
        <v>995</v>
      </c>
    </row>
    <row r="61" spans="1:5" x14ac:dyDescent="0.25">
      <c r="A61" s="4" t="str">
        <f t="shared" si="2"/>
        <v>PutWaitStrong Put</v>
      </c>
      <c r="B61" s="4" t="s">
        <v>987</v>
      </c>
      <c r="C61" s="4" t="s">
        <v>991</v>
      </c>
      <c r="D61" s="4" t="s">
        <v>988</v>
      </c>
      <c r="E61" s="4" t="s">
        <v>988</v>
      </c>
    </row>
    <row r="62" spans="1:5" x14ac:dyDescent="0.25">
      <c r="A62" s="4" t="str">
        <f t="shared" si="2"/>
        <v>PutPutCall</v>
      </c>
      <c r="B62" s="4" t="s">
        <v>987</v>
      </c>
      <c r="C62" s="4" t="s">
        <v>987</v>
      </c>
      <c r="D62" s="4" t="s">
        <v>990</v>
      </c>
      <c r="E62" s="4" t="s">
        <v>989</v>
      </c>
    </row>
    <row r="63" spans="1:5" x14ac:dyDescent="0.25">
      <c r="A63" s="4" t="str">
        <f t="shared" si="2"/>
        <v>PutPutWait</v>
      </c>
      <c r="B63" s="4" t="s">
        <v>987</v>
      </c>
      <c r="C63" s="4" t="s">
        <v>987</v>
      </c>
      <c r="D63" s="4" t="s">
        <v>991</v>
      </c>
      <c r="E63" s="4" t="s">
        <v>987</v>
      </c>
    </row>
    <row r="64" spans="1:5" x14ac:dyDescent="0.25">
      <c r="A64" s="4" t="str">
        <f t="shared" si="2"/>
        <v>PutPutPut</v>
      </c>
      <c r="B64" s="4" t="s">
        <v>987</v>
      </c>
      <c r="C64" s="4" t="s">
        <v>987</v>
      </c>
      <c r="D64" s="4" t="s">
        <v>987</v>
      </c>
      <c r="E64" s="4" t="s">
        <v>988</v>
      </c>
    </row>
    <row r="65" spans="1:5" x14ac:dyDescent="0.25">
      <c r="A65" s="4" t="str">
        <f t="shared" si="2"/>
        <v>PutPutStrong Call</v>
      </c>
      <c r="B65" s="4" t="s">
        <v>987</v>
      </c>
      <c r="C65" s="4" t="s">
        <v>987</v>
      </c>
      <c r="D65" s="4" t="s">
        <v>982</v>
      </c>
      <c r="E65" s="4" t="s">
        <v>989</v>
      </c>
    </row>
    <row r="66" spans="1:5" x14ac:dyDescent="0.25">
      <c r="A66" s="4" t="str">
        <f t="shared" si="2"/>
        <v>PutPutStrong Put</v>
      </c>
      <c r="B66" s="4" t="s">
        <v>987</v>
      </c>
      <c r="C66" s="4" t="s">
        <v>987</v>
      </c>
      <c r="D66" s="4" t="s">
        <v>988</v>
      </c>
      <c r="E66" s="4" t="s">
        <v>988</v>
      </c>
    </row>
    <row r="67" spans="1:5" x14ac:dyDescent="0.25">
      <c r="A67" s="4" t="str">
        <f t="shared" si="2"/>
        <v>PutStrong CallCall</v>
      </c>
      <c r="B67" s="4" t="s">
        <v>987</v>
      </c>
      <c r="C67" s="4" t="s">
        <v>982</v>
      </c>
      <c r="D67" s="4" t="s">
        <v>990</v>
      </c>
      <c r="E67" s="4" t="s">
        <v>982</v>
      </c>
    </row>
    <row r="68" spans="1:5" x14ac:dyDescent="0.25">
      <c r="A68" s="4" t="str">
        <f t="shared" si="2"/>
        <v>PutStrong CallWait</v>
      </c>
      <c r="B68" s="4" t="s">
        <v>987</v>
      </c>
      <c r="C68" s="4" t="s">
        <v>982</v>
      </c>
      <c r="D68" s="4" t="s">
        <v>991</v>
      </c>
      <c r="E68" s="4" t="s">
        <v>982</v>
      </c>
    </row>
    <row r="69" spans="1:5" x14ac:dyDescent="0.25">
      <c r="A69" s="4" t="str">
        <f t="shared" si="2"/>
        <v>PutStrong CallPut</v>
      </c>
      <c r="B69" s="4" t="s">
        <v>987</v>
      </c>
      <c r="C69" s="4" t="s">
        <v>982</v>
      </c>
      <c r="D69" s="4" t="s">
        <v>987</v>
      </c>
      <c r="E69" s="4" t="s">
        <v>982</v>
      </c>
    </row>
    <row r="70" spans="1:5" x14ac:dyDescent="0.25">
      <c r="A70" s="4" t="str">
        <f t="shared" si="2"/>
        <v>PutStrong CallStrong Call</v>
      </c>
      <c r="B70" s="4" t="s">
        <v>987</v>
      </c>
      <c r="C70" s="4" t="s">
        <v>982</v>
      </c>
      <c r="D70" s="4" t="s">
        <v>982</v>
      </c>
      <c r="E70" s="4" t="s">
        <v>982</v>
      </c>
    </row>
    <row r="71" spans="1:5" x14ac:dyDescent="0.25">
      <c r="A71" s="4" t="str">
        <f t="shared" si="2"/>
        <v>PutStrong CallStrong Put</v>
      </c>
      <c r="B71" s="4" t="s">
        <v>987</v>
      </c>
      <c r="C71" s="4" t="s">
        <v>982</v>
      </c>
      <c r="D71" s="4" t="s">
        <v>988</v>
      </c>
      <c r="E71" s="4" t="s">
        <v>995</v>
      </c>
    </row>
    <row r="72" spans="1:5" x14ac:dyDescent="0.25">
      <c r="A72" s="4" t="str">
        <f t="shared" si="2"/>
        <v>PutStrong PutCall</v>
      </c>
      <c r="B72" s="4" t="s">
        <v>987</v>
      </c>
      <c r="C72" s="4" t="s">
        <v>988</v>
      </c>
      <c r="D72" s="4" t="s">
        <v>990</v>
      </c>
      <c r="E72" s="4" t="s">
        <v>988</v>
      </c>
    </row>
    <row r="73" spans="1:5" x14ac:dyDescent="0.25">
      <c r="A73" s="4" t="str">
        <f t="shared" si="2"/>
        <v>PutStrong PutWait</v>
      </c>
      <c r="B73" s="4" t="s">
        <v>987</v>
      </c>
      <c r="C73" s="4" t="s">
        <v>988</v>
      </c>
      <c r="D73" s="4" t="s">
        <v>991</v>
      </c>
      <c r="E73" s="4" t="s">
        <v>988</v>
      </c>
    </row>
    <row r="74" spans="1:5" x14ac:dyDescent="0.25">
      <c r="A74" s="4" t="str">
        <f t="shared" si="2"/>
        <v>PutStrong PutPut</v>
      </c>
      <c r="B74" s="4" t="s">
        <v>987</v>
      </c>
      <c r="C74" s="4" t="s">
        <v>988</v>
      </c>
      <c r="D74" s="4" t="s">
        <v>987</v>
      </c>
      <c r="E74" s="4" t="s">
        <v>988</v>
      </c>
    </row>
    <row r="75" spans="1:5" x14ac:dyDescent="0.25">
      <c r="A75" s="4" t="str">
        <f t="shared" si="2"/>
        <v>PutStrong PutStrong Call</v>
      </c>
      <c r="B75" s="4" t="s">
        <v>987</v>
      </c>
      <c r="C75" s="4" t="s">
        <v>988</v>
      </c>
      <c r="D75" s="4" t="s">
        <v>982</v>
      </c>
      <c r="E75" s="4" t="s">
        <v>995</v>
      </c>
    </row>
    <row r="76" spans="1:5" x14ac:dyDescent="0.25">
      <c r="A76" s="4" t="str">
        <f t="shared" si="2"/>
        <v>PutStrong PutStrong Put</v>
      </c>
      <c r="B76" s="4" t="s">
        <v>987</v>
      </c>
      <c r="C76" s="4" t="s">
        <v>988</v>
      </c>
      <c r="D76" s="4" t="s">
        <v>988</v>
      </c>
      <c r="E76" s="4" t="s">
        <v>988</v>
      </c>
    </row>
    <row r="77" spans="1:5" x14ac:dyDescent="0.25">
      <c r="A77" s="10" t="str">
        <f t="shared" si="2"/>
        <v>Strong CallCallCall</v>
      </c>
      <c r="B77" s="10" t="s">
        <v>982</v>
      </c>
      <c r="C77" s="10" t="s">
        <v>990</v>
      </c>
      <c r="D77" s="10" t="s">
        <v>990</v>
      </c>
      <c r="E77" s="10" t="s">
        <v>982</v>
      </c>
    </row>
    <row r="78" spans="1:5" x14ac:dyDescent="0.25">
      <c r="A78" s="10" t="str">
        <f t="shared" si="2"/>
        <v>Strong CallCallWait</v>
      </c>
      <c r="B78" s="10" t="s">
        <v>982</v>
      </c>
      <c r="C78" s="10" t="s">
        <v>990</v>
      </c>
      <c r="D78" s="10" t="s">
        <v>991</v>
      </c>
      <c r="E78" s="10" t="s">
        <v>982</v>
      </c>
    </row>
    <row r="79" spans="1:5" x14ac:dyDescent="0.25">
      <c r="A79" s="10" t="str">
        <f t="shared" si="2"/>
        <v>Strong CallCallPut</v>
      </c>
      <c r="B79" s="10" t="s">
        <v>982</v>
      </c>
      <c r="C79" s="10" t="s">
        <v>990</v>
      </c>
      <c r="D79" s="10" t="s">
        <v>987</v>
      </c>
      <c r="E79" s="10" t="s">
        <v>991</v>
      </c>
    </row>
    <row r="80" spans="1:5" x14ac:dyDescent="0.25">
      <c r="A80" s="10" t="str">
        <f t="shared" si="2"/>
        <v>Strong CallCallStrong Call</v>
      </c>
      <c r="B80" s="10" t="s">
        <v>982</v>
      </c>
      <c r="C80" s="10" t="s">
        <v>990</v>
      </c>
      <c r="D80" s="10" t="s">
        <v>982</v>
      </c>
      <c r="E80" s="10" t="s">
        <v>982</v>
      </c>
    </row>
    <row r="81" spans="1:5" x14ac:dyDescent="0.25">
      <c r="A81" s="10" t="str">
        <f t="shared" si="2"/>
        <v>Strong CallCallStrong Put</v>
      </c>
      <c r="B81" s="10" t="s">
        <v>982</v>
      </c>
      <c r="C81" s="10" t="s">
        <v>990</v>
      </c>
      <c r="D81" s="10" t="s">
        <v>988</v>
      </c>
      <c r="E81" s="10" t="s">
        <v>989</v>
      </c>
    </row>
    <row r="82" spans="1:5" x14ac:dyDescent="0.25">
      <c r="A82" s="10" t="str">
        <f t="shared" si="2"/>
        <v>Strong CallWaitCall</v>
      </c>
      <c r="B82" s="10" t="s">
        <v>982</v>
      </c>
      <c r="C82" s="10" t="s">
        <v>991</v>
      </c>
      <c r="D82" s="10" t="s">
        <v>990</v>
      </c>
      <c r="E82" s="10" t="s">
        <v>982</v>
      </c>
    </row>
    <row r="83" spans="1:5" x14ac:dyDescent="0.25">
      <c r="A83" s="10" t="str">
        <f t="shared" si="2"/>
        <v>Strong CallWaitWait</v>
      </c>
      <c r="B83" s="10" t="s">
        <v>982</v>
      </c>
      <c r="C83" s="10" t="s">
        <v>991</v>
      </c>
      <c r="D83" s="10" t="s">
        <v>991</v>
      </c>
      <c r="E83" s="10" t="s">
        <v>990</v>
      </c>
    </row>
    <row r="84" spans="1:5" x14ac:dyDescent="0.25">
      <c r="A84" s="10" t="str">
        <f t="shared" si="2"/>
        <v>Strong CallWaitPut</v>
      </c>
      <c r="B84" s="10" t="s">
        <v>982</v>
      </c>
      <c r="C84" s="10" t="s">
        <v>991</v>
      </c>
      <c r="D84" s="10" t="s">
        <v>987</v>
      </c>
      <c r="E84" s="10" t="s">
        <v>992</v>
      </c>
    </row>
    <row r="85" spans="1:5" x14ac:dyDescent="0.25">
      <c r="A85" s="10" t="str">
        <f t="shared" si="2"/>
        <v>Strong CallWaitStrong Call</v>
      </c>
      <c r="B85" s="10" t="s">
        <v>982</v>
      </c>
      <c r="C85" s="10" t="s">
        <v>991</v>
      </c>
      <c r="D85" s="10" t="s">
        <v>982</v>
      </c>
      <c r="E85" s="10" t="s">
        <v>982</v>
      </c>
    </row>
    <row r="86" spans="1:5" x14ac:dyDescent="0.25">
      <c r="A86" s="10" t="str">
        <f t="shared" si="2"/>
        <v>Strong CallWaitStrong Put</v>
      </c>
      <c r="B86" s="10" t="s">
        <v>982</v>
      </c>
      <c r="C86" s="10" t="s">
        <v>991</v>
      </c>
      <c r="D86" s="10" t="s">
        <v>988</v>
      </c>
      <c r="E86" s="10" t="s">
        <v>989</v>
      </c>
    </row>
    <row r="87" spans="1:5" x14ac:dyDescent="0.25">
      <c r="A87" s="10" t="str">
        <f t="shared" si="2"/>
        <v>Strong CallPutCall</v>
      </c>
      <c r="B87" s="10" t="s">
        <v>982</v>
      </c>
      <c r="C87" s="10" t="s">
        <v>987</v>
      </c>
      <c r="D87" s="10" t="s">
        <v>990</v>
      </c>
      <c r="E87" s="10" t="s">
        <v>990</v>
      </c>
    </row>
    <row r="88" spans="1:5" x14ac:dyDescent="0.25">
      <c r="A88" s="10" t="str">
        <f t="shared" si="2"/>
        <v>Strong CallPutWait</v>
      </c>
      <c r="B88" s="10" t="s">
        <v>982</v>
      </c>
      <c r="C88" s="10" t="s">
        <v>987</v>
      </c>
      <c r="D88" s="10" t="s">
        <v>991</v>
      </c>
      <c r="E88" s="10" t="s">
        <v>990</v>
      </c>
    </row>
    <row r="89" spans="1:5" x14ac:dyDescent="0.25">
      <c r="A89" s="10" t="str">
        <f t="shared" si="2"/>
        <v>Strong CallPutPut</v>
      </c>
      <c r="B89" s="10" t="s">
        <v>982</v>
      </c>
      <c r="C89" s="10" t="s">
        <v>987</v>
      </c>
      <c r="D89" s="10" t="s">
        <v>987</v>
      </c>
      <c r="E89" s="10" t="s">
        <v>991</v>
      </c>
    </row>
    <row r="90" spans="1:5" x14ac:dyDescent="0.25">
      <c r="A90" s="10" t="str">
        <f t="shared" si="2"/>
        <v>Strong CallPutStrong Call</v>
      </c>
      <c r="B90" s="10" t="s">
        <v>982</v>
      </c>
      <c r="C90" s="10" t="s">
        <v>987</v>
      </c>
      <c r="D90" s="10" t="s">
        <v>982</v>
      </c>
      <c r="E90" s="10" t="s">
        <v>990</v>
      </c>
    </row>
    <row r="91" spans="1:5" x14ac:dyDescent="0.25">
      <c r="A91" s="10" t="str">
        <f t="shared" si="2"/>
        <v>Strong CallPutStrong Put</v>
      </c>
      <c r="B91" s="10" t="s">
        <v>982</v>
      </c>
      <c r="C91" s="10" t="s">
        <v>987</v>
      </c>
      <c r="D91" s="10" t="s">
        <v>988</v>
      </c>
      <c r="E91" s="10" t="s">
        <v>989</v>
      </c>
    </row>
    <row r="92" spans="1:5" x14ac:dyDescent="0.25">
      <c r="A92" s="10" t="str">
        <f t="shared" si="2"/>
        <v>Strong CallStrong CallCall</v>
      </c>
      <c r="B92" s="10" t="s">
        <v>982</v>
      </c>
      <c r="C92" s="10" t="s">
        <v>982</v>
      </c>
      <c r="D92" s="10" t="s">
        <v>990</v>
      </c>
      <c r="E92" s="10" t="s">
        <v>982</v>
      </c>
    </row>
    <row r="93" spans="1:5" x14ac:dyDescent="0.25">
      <c r="A93" s="10" t="str">
        <f t="shared" si="2"/>
        <v>Strong CallStrong CallWait</v>
      </c>
      <c r="B93" s="10" t="s">
        <v>982</v>
      </c>
      <c r="C93" s="10" t="s">
        <v>982</v>
      </c>
      <c r="D93" s="10" t="s">
        <v>991</v>
      </c>
      <c r="E93" s="10" t="s">
        <v>982</v>
      </c>
    </row>
    <row r="94" spans="1:5" x14ac:dyDescent="0.25">
      <c r="A94" s="10" t="str">
        <f t="shared" si="2"/>
        <v>Strong CallStrong CallPut</v>
      </c>
      <c r="B94" s="10" t="s">
        <v>982</v>
      </c>
      <c r="C94" s="10" t="s">
        <v>982</v>
      </c>
      <c r="D94" s="10" t="s">
        <v>987</v>
      </c>
      <c r="E94" s="10" t="s">
        <v>982</v>
      </c>
    </row>
    <row r="95" spans="1:5" x14ac:dyDescent="0.25">
      <c r="A95" s="10" t="str">
        <f t="shared" si="2"/>
        <v>Strong CallStrong CallStrong Call</v>
      </c>
      <c r="B95" s="10" t="s">
        <v>982</v>
      </c>
      <c r="C95" s="10" t="s">
        <v>982</v>
      </c>
      <c r="D95" s="10" t="s">
        <v>982</v>
      </c>
      <c r="E95" s="10" t="s">
        <v>982</v>
      </c>
    </row>
    <row r="96" spans="1:5" x14ac:dyDescent="0.25">
      <c r="A96" s="10" t="str">
        <f t="shared" si="2"/>
        <v>Strong CallStrong CallStrong Put</v>
      </c>
      <c r="B96" s="10" t="s">
        <v>982</v>
      </c>
      <c r="C96" s="10" t="s">
        <v>982</v>
      </c>
      <c r="D96" s="10" t="s">
        <v>988</v>
      </c>
      <c r="E96" s="10" t="s">
        <v>992</v>
      </c>
    </row>
    <row r="97" spans="1:5" x14ac:dyDescent="0.25">
      <c r="A97" s="10" t="str">
        <f t="shared" si="2"/>
        <v>Strong CallStrong PutCall</v>
      </c>
      <c r="B97" s="10" t="s">
        <v>982</v>
      </c>
      <c r="C97" s="10" t="s">
        <v>988</v>
      </c>
      <c r="D97" s="10" t="s">
        <v>990</v>
      </c>
      <c r="E97" s="10" t="s">
        <v>992</v>
      </c>
    </row>
    <row r="98" spans="1:5" x14ac:dyDescent="0.25">
      <c r="A98" s="10" t="str">
        <f t="shared" si="2"/>
        <v>Strong CallStrong PutWait</v>
      </c>
      <c r="B98" s="10" t="s">
        <v>982</v>
      </c>
      <c r="C98" s="10" t="s">
        <v>988</v>
      </c>
      <c r="D98" s="10" t="s">
        <v>991</v>
      </c>
      <c r="E98" s="10" t="s">
        <v>992</v>
      </c>
    </row>
    <row r="99" spans="1:5" x14ac:dyDescent="0.25">
      <c r="A99" s="10" t="str">
        <f t="shared" si="2"/>
        <v>Strong CallStrong PutPut</v>
      </c>
      <c r="B99" s="10" t="s">
        <v>982</v>
      </c>
      <c r="C99" s="10" t="s">
        <v>988</v>
      </c>
      <c r="D99" s="10" t="s">
        <v>987</v>
      </c>
      <c r="E99" s="10" t="s">
        <v>992</v>
      </c>
    </row>
    <row r="100" spans="1:5" x14ac:dyDescent="0.25">
      <c r="A100" s="10" t="str">
        <f t="shared" si="2"/>
        <v>Strong CallStrong PutStrong Call</v>
      </c>
      <c r="B100" s="10" t="s">
        <v>982</v>
      </c>
      <c r="C100" s="10" t="s">
        <v>988</v>
      </c>
      <c r="D100" s="10" t="s">
        <v>982</v>
      </c>
      <c r="E100" s="10" t="s">
        <v>992</v>
      </c>
    </row>
    <row r="101" spans="1:5" x14ac:dyDescent="0.25">
      <c r="A101" s="10" t="str">
        <f t="shared" si="2"/>
        <v>Strong CallStrong PutStrong Put</v>
      </c>
      <c r="B101" s="10" t="s">
        <v>982</v>
      </c>
      <c r="C101" s="10" t="s">
        <v>988</v>
      </c>
      <c r="D101" s="10" t="s">
        <v>988</v>
      </c>
      <c r="E101" s="10" t="s">
        <v>992</v>
      </c>
    </row>
    <row r="102" spans="1:5" x14ac:dyDescent="0.25">
      <c r="A102" s="4" t="str">
        <f t="shared" si="2"/>
        <v>Strong PutCallCall</v>
      </c>
      <c r="B102" s="4" t="s">
        <v>988</v>
      </c>
      <c r="C102" s="4" t="s">
        <v>990</v>
      </c>
      <c r="D102" s="4" t="s">
        <v>990</v>
      </c>
      <c r="E102" s="4" t="s">
        <v>985</v>
      </c>
    </row>
    <row r="103" spans="1:5" x14ac:dyDescent="0.25">
      <c r="A103" s="4" t="str">
        <f t="shared" ref="A103:A123" si="3">B103&amp;C103&amp;D103</f>
        <v>Strong PutCallWait</v>
      </c>
      <c r="B103" s="4" t="s">
        <v>988</v>
      </c>
      <c r="C103" s="4" t="s">
        <v>990</v>
      </c>
      <c r="D103" s="4" t="s">
        <v>991</v>
      </c>
      <c r="E103" s="4" t="s">
        <v>985</v>
      </c>
    </row>
    <row r="104" spans="1:5" x14ac:dyDescent="0.25">
      <c r="A104" s="4" t="str">
        <f t="shared" si="3"/>
        <v>Strong PutCallPut</v>
      </c>
      <c r="B104" s="4" t="s">
        <v>988</v>
      </c>
      <c r="C104" s="4" t="s">
        <v>990</v>
      </c>
      <c r="D104" s="4" t="s">
        <v>987</v>
      </c>
      <c r="E104" s="4" t="s">
        <v>985</v>
      </c>
    </row>
    <row r="105" spans="1:5" x14ac:dyDescent="0.25">
      <c r="A105" s="4" t="str">
        <f t="shared" si="3"/>
        <v/>
      </c>
      <c r="B105" s="4"/>
      <c r="C105" s="4"/>
      <c r="D105" s="4"/>
      <c r="E105" s="4"/>
    </row>
    <row r="106" spans="1:5" x14ac:dyDescent="0.25">
      <c r="A106" s="4" t="str">
        <f t="shared" si="3"/>
        <v>Strong PutCallStrong Put</v>
      </c>
      <c r="B106" s="4" t="s">
        <v>988</v>
      </c>
      <c r="C106" s="4" t="s">
        <v>990</v>
      </c>
      <c r="D106" s="4" t="s">
        <v>988</v>
      </c>
      <c r="E106" s="4" t="s">
        <v>988</v>
      </c>
    </row>
    <row r="107" spans="1:5" x14ac:dyDescent="0.25">
      <c r="A107" s="4" t="str">
        <f t="shared" si="3"/>
        <v>Strong PutWaitCall</v>
      </c>
      <c r="B107" s="4" t="s">
        <v>988</v>
      </c>
      <c r="C107" s="4" t="s">
        <v>991</v>
      </c>
      <c r="D107" s="4" t="s">
        <v>990</v>
      </c>
      <c r="E107" s="4" t="s">
        <v>985</v>
      </c>
    </row>
    <row r="108" spans="1:5" x14ac:dyDescent="0.25">
      <c r="A108" s="4" t="str">
        <f t="shared" si="3"/>
        <v>Strong PutWaitWait</v>
      </c>
      <c r="B108" s="4" t="s">
        <v>988</v>
      </c>
      <c r="C108" s="4" t="s">
        <v>991</v>
      </c>
      <c r="D108" s="4" t="s">
        <v>991</v>
      </c>
      <c r="E108" s="4" t="s">
        <v>985</v>
      </c>
    </row>
    <row r="109" spans="1:5" x14ac:dyDescent="0.25">
      <c r="A109" s="4" t="str">
        <f t="shared" si="3"/>
        <v>Strong PutWaitPut</v>
      </c>
      <c r="B109" s="4" t="s">
        <v>988</v>
      </c>
      <c r="C109" s="4" t="s">
        <v>991</v>
      </c>
      <c r="D109" s="4" t="s">
        <v>987</v>
      </c>
      <c r="E109" s="4" t="s">
        <v>987</v>
      </c>
    </row>
    <row r="110" spans="1:5" x14ac:dyDescent="0.25">
      <c r="A110" s="4" t="str">
        <f t="shared" si="3"/>
        <v/>
      </c>
      <c r="B110" s="4"/>
      <c r="C110" s="4"/>
      <c r="D110" s="4"/>
      <c r="E110" s="4"/>
    </row>
    <row r="111" spans="1:5" x14ac:dyDescent="0.25">
      <c r="A111" s="4" t="str">
        <f t="shared" si="3"/>
        <v>Strong PutWaitStrong Put</v>
      </c>
      <c r="B111" s="4" t="s">
        <v>988</v>
      </c>
      <c r="C111" s="4" t="s">
        <v>991</v>
      </c>
      <c r="D111" s="4" t="s">
        <v>988</v>
      </c>
      <c r="E111" s="4" t="s">
        <v>988</v>
      </c>
    </row>
    <row r="112" spans="1:5" x14ac:dyDescent="0.25">
      <c r="A112" s="4" t="str">
        <f t="shared" si="3"/>
        <v>Strong PutPutCall</v>
      </c>
      <c r="B112" s="4" t="s">
        <v>988</v>
      </c>
      <c r="C112" s="4" t="s">
        <v>987</v>
      </c>
      <c r="D112" s="4" t="s">
        <v>990</v>
      </c>
      <c r="E112" s="4" t="s">
        <v>988</v>
      </c>
    </row>
    <row r="113" spans="1:5" x14ac:dyDescent="0.25">
      <c r="A113" s="4" t="str">
        <f t="shared" si="3"/>
        <v>Strong PutPutWait</v>
      </c>
      <c r="B113" s="4" t="s">
        <v>988</v>
      </c>
      <c r="C113" s="4" t="s">
        <v>987</v>
      </c>
      <c r="D113" s="4" t="s">
        <v>991</v>
      </c>
      <c r="E113" s="4" t="s">
        <v>988</v>
      </c>
    </row>
    <row r="114" spans="1:5" x14ac:dyDescent="0.25">
      <c r="A114" s="4" t="str">
        <f t="shared" si="3"/>
        <v>Strong PutPutPut</v>
      </c>
      <c r="B114" s="4" t="s">
        <v>988</v>
      </c>
      <c r="C114" s="4" t="s">
        <v>987</v>
      </c>
      <c r="D114" s="4" t="s">
        <v>987</v>
      </c>
      <c r="E114" s="4" t="s">
        <v>988</v>
      </c>
    </row>
    <row r="115" spans="1:5" x14ac:dyDescent="0.25">
      <c r="A115" s="4" t="str">
        <f t="shared" si="3"/>
        <v/>
      </c>
      <c r="B115" s="4"/>
      <c r="C115" s="4"/>
      <c r="D115" s="4"/>
      <c r="E115" s="4"/>
    </row>
    <row r="116" spans="1:5" x14ac:dyDescent="0.25">
      <c r="A116" s="4" t="str">
        <f t="shared" si="3"/>
        <v>Strong PutPutStrong Put</v>
      </c>
      <c r="B116" s="4" t="s">
        <v>988</v>
      </c>
      <c r="C116" s="4" t="s">
        <v>987</v>
      </c>
      <c r="D116" s="4" t="s">
        <v>988</v>
      </c>
      <c r="E116" s="4" t="s">
        <v>988</v>
      </c>
    </row>
    <row r="117" spans="1:5" x14ac:dyDescent="0.25">
      <c r="A117" s="4" t="str">
        <f t="shared" si="3"/>
        <v>Strong PutStrong PutCall</v>
      </c>
      <c r="B117" s="4" t="s">
        <v>988</v>
      </c>
      <c r="C117" s="4" t="s">
        <v>988</v>
      </c>
      <c r="D117" s="4" t="s">
        <v>990</v>
      </c>
      <c r="E117" s="4" t="s">
        <v>988</v>
      </c>
    </row>
    <row r="118" spans="1:5" x14ac:dyDescent="0.25">
      <c r="A118" s="4" t="str">
        <f t="shared" si="3"/>
        <v>Strong PutStrong PutWait</v>
      </c>
      <c r="B118" s="4" t="s">
        <v>988</v>
      </c>
      <c r="C118" s="4" t="s">
        <v>988</v>
      </c>
      <c r="D118" s="4" t="s">
        <v>991</v>
      </c>
      <c r="E118" s="4" t="s">
        <v>988</v>
      </c>
    </row>
    <row r="119" spans="1:5" x14ac:dyDescent="0.25">
      <c r="A119" s="4" t="str">
        <f t="shared" si="3"/>
        <v>Strong PutStrong PutPut</v>
      </c>
      <c r="B119" s="4" t="s">
        <v>988</v>
      </c>
      <c r="C119" s="4" t="s">
        <v>988</v>
      </c>
      <c r="D119" s="4" t="s">
        <v>987</v>
      </c>
      <c r="E119" s="4" t="s">
        <v>988</v>
      </c>
    </row>
    <row r="120" spans="1:5" x14ac:dyDescent="0.25">
      <c r="A120" s="4" t="str">
        <f t="shared" si="3"/>
        <v/>
      </c>
      <c r="B120" s="4"/>
      <c r="C120" s="4"/>
      <c r="D120" s="4"/>
      <c r="E120" s="4"/>
    </row>
    <row r="121" spans="1:5" x14ac:dyDescent="0.25">
      <c r="A121" s="4" t="str">
        <f t="shared" si="3"/>
        <v>Strong PutStrong PutStrong Put</v>
      </c>
      <c r="B121" s="4" t="s">
        <v>988</v>
      </c>
      <c r="C121" s="4" t="s">
        <v>988</v>
      </c>
      <c r="D121" s="4" t="s">
        <v>988</v>
      </c>
      <c r="E121" s="4" t="s">
        <v>988</v>
      </c>
    </row>
    <row r="122" spans="1:5" x14ac:dyDescent="0.25">
      <c r="A122" s="4" t="str">
        <f t="shared" si="3"/>
        <v/>
      </c>
    </row>
    <row r="123" spans="1:5" x14ac:dyDescent="0.25">
      <c r="A123" s="4" t="str">
        <f t="shared" si="3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0A6C-06A5-495F-9AC6-7DD9747D39EC}">
  <dimension ref="A1:H10"/>
  <sheetViews>
    <sheetView workbookViewId="0">
      <selection activeCell="B9" sqref="B9"/>
    </sheetView>
  </sheetViews>
  <sheetFormatPr defaultRowHeight="15" x14ac:dyDescent="0.25"/>
  <sheetData>
    <row r="1" spans="1:8" x14ac:dyDescent="0.25">
      <c r="A1" s="17">
        <v>0.43333333333333335</v>
      </c>
      <c r="B1">
        <v>123</v>
      </c>
      <c r="C1">
        <v>144</v>
      </c>
      <c r="D1">
        <f>B1-C1</f>
        <v>-21</v>
      </c>
      <c r="F1">
        <v>302</v>
      </c>
      <c r="G1">
        <v>186</v>
      </c>
      <c r="H1">
        <f>F1-G1</f>
        <v>116</v>
      </c>
    </row>
    <row r="2" spans="1:8" x14ac:dyDescent="0.25">
      <c r="A2" s="17">
        <v>0.4375</v>
      </c>
      <c r="B2">
        <v>125</v>
      </c>
      <c r="C2">
        <v>146</v>
      </c>
      <c r="D2">
        <f t="shared" ref="D2:D10" si="0">B2-C2</f>
        <v>-21</v>
      </c>
      <c r="F2">
        <v>304</v>
      </c>
      <c r="G2">
        <v>186</v>
      </c>
      <c r="H2">
        <f t="shared" ref="H2:H10" si="1">F2-G2</f>
        <v>118</v>
      </c>
    </row>
    <row r="3" spans="1:8" x14ac:dyDescent="0.25">
      <c r="A3" s="17">
        <v>0.44444444444444442</v>
      </c>
      <c r="B3">
        <v>122</v>
      </c>
      <c r="C3">
        <v>147</v>
      </c>
      <c r="D3">
        <f t="shared" si="0"/>
        <v>-25</v>
      </c>
      <c r="F3">
        <v>313</v>
      </c>
      <c r="G3">
        <v>187</v>
      </c>
      <c r="H3">
        <f t="shared" si="1"/>
        <v>126</v>
      </c>
    </row>
    <row r="4" spans="1:8" x14ac:dyDescent="0.25">
      <c r="A4" s="17">
        <v>0.4513888888888889</v>
      </c>
      <c r="B4">
        <v>134</v>
      </c>
      <c r="C4">
        <v>148</v>
      </c>
      <c r="D4">
        <f t="shared" si="0"/>
        <v>-14</v>
      </c>
      <c r="F4">
        <v>322</v>
      </c>
      <c r="G4">
        <v>177</v>
      </c>
      <c r="H4">
        <f t="shared" si="1"/>
        <v>145</v>
      </c>
    </row>
    <row r="5" spans="1:8" x14ac:dyDescent="0.25">
      <c r="A5" s="17">
        <v>11</v>
      </c>
      <c r="B5">
        <v>163</v>
      </c>
      <c r="C5">
        <v>134</v>
      </c>
      <c r="D5">
        <f t="shared" si="0"/>
        <v>29</v>
      </c>
      <c r="F5">
        <v>347</v>
      </c>
      <c r="G5">
        <v>136</v>
      </c>
      <c r="H5">
        <f t="shared" si="1"/>
        <v>211</v>
      </c>
    </row>
    <row r="6" spans="1:8" x14ac:dyDescent="0.25">
      <c r="A6" s="17">
        <v>0.46527777777777779</v>
      </c>
      <c r="B6">
        <v>170</v>
      </c>
      <c r="C6">
        <v>133</v>
      </c>
      <c r="D6">
        <f t="shared" si="0"/>
        <v>37</v>
      </c>
      <c r="F6">
        <v>335</v>
      </c>
      <c r="G6">
        <v>133</v>
      </c>
      <c r="H6">
        <f t="shared" si="1"/>
        <v>202</v>
      </c>
    </row>
    <row r="7" spans="1:8" x14ac:dyDescent="0.25">
      <c r="A7" s="17">
        <v>0.46875</v>
      </c>
      <c r="B7">
        <v>171</v>
      </c>
      <c r="C7">
        <v>127</v>
      </c>
      <c r="D7">
        <f t="shared" si="0"/>
        <v>44</v>
      </c>
      <c r="F7">
        <v>357</v>
      </c>
      <c r="G7">
        <v>132</v>
      </c>
      <c r="H7">
        <f t="shared" si="1"/>
        <v>225</v>
      </c>
    </row>
    <row r="8" spans="1:8" x14ac:dyDescent="0.25">
      <c r="A8" s="17">
        <v>0.47916666666666669</v>
      </c>
      <c r="B8">
        <v>180</v>
      </c>
      <c r="C8">
        <v>129</v>
      </c>
      <c r="D8">
        <f t="shared" si="0"/>
        <v>51</v>
      </c>
      <c r="F8">
        <v>360</v>
      </c>
      <c r="G8">
        <v>133</v>
      </c>
      <c r="H8">
        <f t="shared" si="1"/>
        <v>227</v>
      </c>
    </row>
    <row r="9" spans="1:8" x14ac:dyDescent="0.25">
      <c r="A9" s="17">
        <v>0.4861111111111111</v>
      </c>
      <c r="D9">
        <f t="shared" si="0"/>
        <v>0</v>
      </c>
      <c r="H9">
        <f t="shared" si="1"/>
        <v>0</v>
      </c>
    </row>
    <row r="10" spans="1:8" x14ac:dyDescent="0.25">
      <c r="A10" s="17">
        <v>0.49305555555555558</v>
      </c>
      <c r="D10">
        <f t="shared" si="0"/>
        <v>0</v>
      </c>
      <c r="H10">
        <f t="shared" si="1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</vt:lpstr>
      <vt:lpstr>Details</vt:lpstr>
      <vt:lpstr>ICICI</vt:lpstr>
      <vt:lpstr>Others</vt:lpstr>
      <vt:lpstr>OI Trend</vt:lpstr>
      <vt:lpstr>PV Analysis</vt:lpstr>
      <vt:lpstr>Strategy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2026-04-22T08:34:50Z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2025-01-20T06:25:47Z</vt:lpwstr>
  </property>
  <property fmtid="{D5CDD505-2E9C-101B-9397-08002B2CF9AE}" pid="4" name="MSIP_Label_1b5d643d-5daa-4182-b4ec-05c4e602cf56_Method">
    <vt:lpwstr>Privileged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42e3523c-823d-428e-af66-f5daba127c70</vt:lpwstr>
  </property>
  <property fmtid="{D5CDD505-2E9C-101B-9397-08002B2CF9AE}" pid="8" name="MSIP_Label_1b5d643d-5daa-4182-b4ec-05c4e602cf56_ContentBits">
    <vt:lpwstr>0</vt:lpwstr>
  </property>
</Properties>
</file>