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Stk2/Options/"/>
    </mc:Choice>
  </mc:AlternateContent>
  <xr:revisionPtr revIDLastSave="578" documentId="13_ncr:1_{4268F74A-8725-4327-B021-4600D3E3D73B}" xr6:coauthVersionLast="47" xr6:coauthVersionMax="47" xr10:uidLastSave="{64EFF820-B298-485A-A784-DB0510B5519C}"/>
  <bookViews>
    <workbookView xWindow="-120" yWindow="-120" windowWidth="20730" windowHeight="11040" firstSheet="1" activeTab="1" xr2:uid="{00000000-000D-0000-FFFF-FFFF00000000}"/>
  </bookViews>
  <sheets>
    <sheet name="Upcoming News" sheetId="1" r:id="rId1"/>
    <sheet name="Insights" sheetId="2" r:id="rId2"/>
    <sheet name="Strategy" sheetId="3" r:id="rId3"/>
    <sheet name="Sheet4" sheetId="4" r:id="rId4"/>
    <sheet name="Sheet1" sheetId="5" r:id="rId5"/>
    <sheet name="Sheet1 (2)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5" l="1"/>
  <c r="K15" i="5"/>
  <c r="L15" i="5"/>
  <c r="J14" i="5" l="1"/>
  <c r="K14" i="5"/>
  <c r="L14" i="5"/>
  <c r="J13" i="5"/>
  <c r="K13" i="5"/>
  <c r="L13" i="5"/>
  <c r="F17" i="9"/>
  <c r="E17" i="9"/>
  <c r="F16" i="9"/>
  <c r="E16" i="9"/>
  <c r="F15" i="9"/>
  <c r="E15" i="9"/>
  <c r="F14" i="9"/>
  <c r="E14" i="9"/>
  <c r="L13" i="9"/>
  <c r="K13" i="9"/>
  <c r="J13" i="9"/>
  <c r="F13" i="9"/>
  <c r="H13" i="9" s="1"/>
  <c r="E13" i="9"/>
  <c r="G13" i="9" s="1"/>
  <c r="L12" i="9"/>
  <c r="K12" i="9"/>
  <c r="J12" i="9"/>
  <c r="F12" i="9"/>
  <c r="H12" i="9" s="1"/>
  <c r="E12" i="9"/>
  <c r="G12" i="9" s="1"/>
  <c r="L11" i="9"/>
  <c r="K11" i="9"/>
  <c r="J11" i="9"/>
  <c r="F11" i="9"/>
  <c r="H11" i="9" s="1"/>
  <c r="E11" i="9"/>
  <c r="G11" i="9" s="1"/>
  <c r="L10" i="9"/>
  <c r="K10" i="9"/>
  <c r="J10" i="9"/>
  <c r="F10" i="9"/>
  <c r="H10" i="9" s="1"/>
  <c r="E10" i="9"/>
  <c r="G10" i="9" s="1"/>
  <c r="I10" i="9" s="1"/>
  <c r="L9" i="9"/>
  <c r="K9" i="9"/>
  <c r="J9" i="9"/>
  <c r="F9" i="9"/>
  <c r="H9" i="9" s="1"/>
  <c r="E9" i="9"/>
  <c r="G9" i="9" s="1"/>
  <c r="L8" i="9"/>
  <c r="K8" i="9"/>
  <c r="J8" i="9"/>
  <c r="F8" i="9"/>
  <c r="H8" i="9" s="1"/>
  <c r="E8" i="9"/>
  <c r="G8" i="9" s="1"/>
  <c r="L7" i="9"/>
  <c r="K7" i="9"/>
  <c r="J7" i="9"/>
  <c r="F7" i="9"/>
  <c r="H7" i="9" s="1"/>
  <c r="E7" i="9"/>
  <c r="G7" i="9" s="1"/>
  <c r="L6" i="9"/>
  <c r="K6" i="9"/>
  <c r="J6" i="9"/>
  <c r="F6" i="9"/>
  <c r="H6" i="9" s="1"/>
  <c r="E6" i="9"/>
  <c r="G6" i="9" s="1"/>
  <c r="L5" i="9"/>
  <c r="K5" i="9"/>
  <c r="J5" i="9"/>
  <c r="F5" i="9"/>
  <c r="H5" i="9" s="1"/>
  <c r="E5" i="9"/>
  <c r="G5" i="9" s="1"/>
  <c r="L12" i="5"/>
  <c r="K12" i="5"/>
  <c r="J12" i="5"/>
  <c r="L11" i="5"/>
  <c r="L10" i="5"/>
  <c r="L9" i="5"/>
  <c r="L8" i="5"/>
  <c r="L7" i="5"/>
  <c r="K11" i="5"/>
  <c r="K10" i="5"/>
  <c r="K9" i="5"/>
  <c r="K8" i="5"/>
  <c r="K7" i="5"/>
  <c r="J11" i="5"/>
  <c r="J10" i="5"/>
  <c r="J9" i="5"/>
  <c r="J8" i="5"/>
  <c r="J7" i="5"/>
  <c r="I6" i="9" l="1"/>
  <c r="I9" i="9"/>
  <c r="I8" i="9"/>
  <c r="I13" i="9"/>
  <c r="I7" i="9"/>
  <c r="I12" i="9"/>
  <c r="I11" i="9"/>
  <c r="I5" i="9"/>
  <c r="F15" i="5" l="1"/>
  <c r="H15" i="5" s="1"/>
  <c r="F14" i="5"/>
  <c r="H14" i="5" s="1"/>
  <c r="F13" i="5"/>
  <c r="H13" i="5" s="1"/>
  <c r="F12" i="5"/>
  <c r="H12" i="5" s="1"/>
  <c r="F11" i="5"/>
  <c r="H11" i="5" s="1"/>
  <c r="F10" i="5"/>
  <c r="H10" i="5" s="1"/>
  <c r="F9" i="5"/>
  <c r="H9" i="5" s="1"/>
  <c r="F8" i="5"/>
  <c r="H8" i="5" s="1"/>
  <c r="F7" i="5"/>
  <c r="H7" i="5" s="1"/>
  <c r="E15" i="5"/>
  <c r="G15" i="5" s="1"/>
  <c r="I15" i="5" s="1"/>
  <c r="E14" i="5"/>
  <c r="G14" i="5" s="1"/>
  <c r="E13" i="5"/>
  <c r="G13" i="5" s="1"/>
  <c r="E12" i="5"/>
  <c r="G12" i="5" s="1"/>
  <c r="E11" i="5"/>
  <c r="G11" i="5" s="1"/>
  <c r="E10" i="5"/>
  <c r="G10" i="5" s="1"/>
  <c r="I10" i="5" s="1"/>
  <c r="E9" i="5"/>
  <c r="G9" i="5" s="1"/>
  <c r="E8" i="5"/>
  <c r="G8" i="5" s="1"/>
  <c r="E7" i="5"/>
  <c r="G7" i="5" s="1"/>
  <c r="F6" i="5"/>
  <c r="H6" i="5" s="1"/>
  <c r="E6" i="5"/>
  <c r="G6" i="5" s="1"/>
  <c r="L6" i="5"/>
  <c r="K6" i="5"/>
  <c r="J6" i="5"/>
  <c r="L4" i="5"/>
  <c r="L5" i="5"/>
  <c r="K5" i="5"/>
  <c r="J5" i="5"/>
  <c r="F5" i="5"/>
  <c r="H5" i="5" s="1"/>
  <c r="E5" i="5"/>
  <c r="G5" i="5" s="1"/>
  <c r="J4" i="5"/>
  <c r="K4" i="5"/>
  <c r="E4" i="5"/>
  <c r="F4" i="5"/>
  <c r="H4" i="5" s="1"/>
  <c r="G4" i="5"/>
  <c r="M33" i="3"/>
  <c r="M34" i="3" s="1"/>
  <c r="M35" i="3" s="1"/>
  <c r="M36" i="3" s="1"/>
  <c r="M37" i="3" s="1"/>
  <c r="M38" i="3" s="1"/>
  <c r="M39" i="3" s="1"/>
  <c r="M40" i="3" s="1"/>
  <c r="G19" i="3"/>
  <c r="O23" i="3"/>
  <c r="O27" i="3" s="1"/>
  <c r="O24" i="3"/>
  <c r="O26" i="3"/>
  <c r="N26" i="3"/>
  <c r="N24" i="3"/>
  <c r="N23" i="3"/>
  <c r="N25" i="3" s="1"/>
  <c r="M26" i="3"/>
  <c r="M24" i="3"/>
  <c r="M23" i="3"/>
  <c r="M27" i="3" s="1"/>
  <c r="L26" i="3"/>
  <c r="L24" i="3"/>
  <c r="L23" i="3"/>
  <c r="L27" i="3" s="1"/>
  <c r="L15" i="3"/>
  <c r="L14" i="3"/>
  <c r="K26" i="3"/>
  <c r="K24" i="3"/>
  <c r="K23" i="3"/>
  <c r="K27" i="3" s="1"/>
  <c r="I19" i="3"/>
  <c r="J19" i="3"/>
  <c r="K19" i="3"/>
  <c r="C36" i="3"/>
  <c r="C41" i="3" s="1"/>
  <c r="G41" i="3" s="1"/>
  <c r="E33" i="3"/>
  <c r="E34" i="3"/>
  <c r="E35" i="3"/>
  <c r="E32" i="3"/>
  <c r="J23" i="3"/>
  <c r="J27" i="3" s="1"/>
  <c r="J24" i="3"/>
  <c r="J26" i="3"/>
  <c r="J14" i="3"/>
  <c r="J15" i="3" s="1"/>
  <c r="I23" i="3"/>
  <c r="I24" i="3"/>
  <c r="I14" i="3"/>
  <c r="I15" i="3" s="1"/>
  <c r="C14" i="3"/>
  <c r="C15" i="3" s="1"/>
  <c r="D14" i="3"/>
  <c r="D15" i="3" s="1"/>
  <c r="E14" i="3"/>
  <c r="E15" i="3" s="1"/>
  <c r="F14" i="3"/>
  <c r="F15" i="3" s="1"/>
  <c r="G14" i="3"/>
  <c r="G15" i="3" s="1"/>
  <c r="H14" i="3"/>
  <c r="H15" i="3" s="1"/>
  <c r="H19" i="3"/>
  <c r="H26" i="3"/>
  <c r="H24" i="3"/>
  <c r="H23" i="3"/>
  <c r="H25" i="3" s="1"/>
  <c r="D26" i="3"/>
  <c r="E26" i="3"/>
  <c r="F26" i="3"/>
  <c r="G26" i="3"/>
  <c r="C26" i="3"/>
  <c r="D23" i="3"/>
  <c r="D27" i="3" s="1"/>
  <c r="G23" i="3"/>
  <c r="G24" i="3"/>
  <c r="F24" i="3"/>
  <c r="E23" i="3"/>
  <c r="E27" i="3" s="1"/>
  <c r="F23" i="3"/>
  <c r="F27" i="3" s="1"/>
  <c r="F19" i="3"/>
  <c r="E24" i="3"/>
  <c r="E19" i="3"/>
  <c r="C24" i="3"/>
  <c r="D24" i="3"/>
  <c r="D19" i="3"/>
  <c r="I14" i="5" l="1"/>
  <c r="I13" i="5"/>
  <c r="I12" i="5"/>
  <c r="I11" i="5"/>
  <c r="I9" i="5"/>
  <c r="I8" i="5"/>
  <c r="I7" i="5"/>
  <c r="I6" i="5"/>
  <c r="I5" i="5"/>
  <c r="I4" i="5"/>
  <c r="O25" i="3"/>
  <c r="F25" i="3"/>
  <c r="G25" i="3"/>
  <c r="I25" i="3"/>
  <c r="J25" i="3"/>
  <c r="N27" i="3"/>
  <c r="M25" i="3"/>
  <c r="L25" i="3"/>
  <c r="K25" i="3"/>
  <c r="E36" i="3"/>
  <c r="D36" i="3" s="1"/>
  <c r="E41" i="3" s="1"/>
  <c r="I26" i="3"/>
  <c r="I27" i="3"/>
  <c r="H27" i="3"/>
  <c r="G27" i="3"/>
  <c r="A24" i="3"/>
  <c r="E25" i="3"/>
  <c r="A22" i="3"/>
  <c r="A21" i="3"/>
  <c r="C19" i="3"/>
  <c r="C23" i="3"/>
  <c r="C27" i="3" s="1"/>
  <c r="C25" i="3" l="1"/>
  <c r="H41" i="3"/>
  <c r="F41" i="3"/>
  <c r="D25" i="3"/>
  <c r="O14" i="3"/>
  <c r="P14" i="3"/>
  <c r="K14" i="3"/>
  <c r="K15" i="3" s="1"/>
  <c r="M14" i="3"/>
  <c r="M15" i="3" s="1"/>
  <c r="N14" i="3"/>
  <c r="N15" i="3" s="1"/>
  <c r="A25" i="3" l="1"/>
  <c r="I41" i="3"/>
  <c r="A23" i="3"/>
</calcChain>
</file>

<file path=xl/sharedStrings.xml><?xml version="1.0" encoding="utf-8"?>
<sst xmlns="http://schemas.openxmlformats.org/spreadsheetml/2006/main" count="201" uniqueCount="104">
  <si>
    <t>Date</t>
  </si>
  <si>
    <t>MACD</t>
  </si>
  <si>
    <t>Technical Indicator</t>
  </si>
  <si>
    <t>Bollinger Bands</t>
  </si>
  <si>
    <t>Fibonacci Retracement</t>
  </si>
  <si>
    <t>RSI</t>
  </si>
  <si>
    <t>VIX</t>
  </si>
  <si>
    <t>Domestic Indicator</t>
  </si>
  <si>
    <t>RBI</t>
  </si>
  <si>
    <t>Statistics</t>
  </si>
  <si>
    <t>Politics</t>
  </si>
  <si>
    <t>Global Indicator</t>
  </si>
  <si>
    <t>Oil</t>
  </si>
  <si>
    <t>Fed</t>
  </si>
  <si>
    <t>Remarks</t>
  </si>
  <si>
    <t>outlook</t>
  </si>
  <si>
    <t>TradeType</t>
  </si>
  <si>
    <t>Estimation</t>
  </si>
  <si>
    <t>Holiday</t>
  </si>
  <si>
    <t>Rangebound</t>
  </si>
  <si>
    <t>25 bps possible in upcoming meet on 17 and 18 Dec 2024 as CPI rises</t>
  </si>
  <si>
    <t>Gradual Fall</t>
  </si>
  <si>
    <t>Sharp Rise to 200 pts favouring Fed Rate Cut of 25 bps</t>
  </si>
  <si>
    <t>RateCut Decision</t>
  </si>
  <si>
    <t>Forecast and Policy Update</t>
  </si>
  <si>
    <t>Sharp fall to -350 pts as Fed announced only 2 further rate cuts against earlier announcement of 4 possible rate cuts which affected  adversely market sentiment</t>
  </si>
  <si>
    <t>Slno</t>
  </si>
  <si>
    <t>Observation</t>
  </si>
  <si>
    <t>Don’t Trade on Feb and March. Market will be highly volatile and MAD. OI Trend , Price Volume ananlysis wont work out</t>
  </si>
  <si>
    <t>If market is in rangebound, definite breakout on any side is guaranteed, specifically on market watch days like budget day, election result day</t>
  </si>
  <si>
    <t>Stop Loss is Mandatory for every Trade. Previous candle downside should be the stop loss</t>
  </si>
  <si>
    <t>A Trade should not exceed 15 to 20 Mins. If so it is considered as Bad trade</t>
  </si>
  <si>
    <t>OI Should be considered before initiating Trade.</t>
  </si>
  <si>
    <t>All Indicators should be followed before initiating Trade.</t>
  </si>
  <si>
    <t>If MACD is Negative, Buy after 4th or 5th Light Red Candle only . Else wait</t>
  </si>
  <si>
    <t>If MACD is Positive, Buy only at first or Second Dark Green Candle only . Else Leave the trade.
if candle becomes Light Green, exit the trade</t>
  </si>
  <si>
    <t>Daytype</t>
  </si>
  <si>
    <t>Normal/Expiry/Critical</t>
  </si>
  <si>
    <t>YES/NO</t>
  </si>
  <si>
    <t>Triangle Pattern</t>
  </si>
  <si>
    <t>Normal</t>
  </si>
  <si>
    <t>Expiry</t>
  </si>
  <si>
    <t>Critical</t>
  </si>
  <si>
    <t>Column1</t>
  </si>
  <si>
    <t>OI Favourable</t>
  </si>
  <si>
    <t>SL: Prev Candle bottom</t>
  </si>
  <si>
    <t>Indicators Favourable</t>
  </si>
  <si>
    <t>YES</t>
  </si>
  <si>
    <t>NO</t>
  </si>
  <si>
    <t>Checklist</t>
  </si>
  <si>
    <t>Values</t>
  </si>
  <si>
    <t>Hurry Buy</t>
  </si>
  <si>
    <t>Pulse</t>
  </si>
  <si>
    <t>Fear</t>
  </si>
  <si>
    <t>Careless</t>
  </si>
  <si>
    <t>Greed</t>
  </si>
  <si>
    <t>15 Mins Period</t>
  </si>
  <si>
    <t>Horizontal</t>
  </si>
  <si>
    <t>Vertical</t>
  </si>
  <si>
    <t>Fooling</t>
  </si>
  <si>
    <t>Spinning</t>
  </si>
  <si>
    <t>Volatile</t>
  </si>
  <si>
    <t>Normal/Rangebound/Volatile</t>
  </si>
  <si>
    <t>Normal/Fear/Careless/Greed</t>
  </si>
  <si>
    <t>Horizontal/Vertical/Fooling/Spinning</t>
  </si>
  <si>
    <t>Reversal Bulk Buy</t>
  </si>
  <si>
    <t>Estimated P/L</t>
  </si>
  <si>
    <t>Actual P/L</t>
  </si>
  <si>
    <t>CD Pattern</t>
  </si>
  <si>
    <t>Brokerage</t>
  </si>
  <si>
    <t>Trade Quality</t>
  </si>
  <si>
    <t>Trade Level</t>
  </si>
  <si>
    <t>Total Lots</t>
  </si>
  <si>
    <t>Tax</t>
  </si>
  <si>
    <t>Commission</t>
  </si>
  <si>
    <t>Bought below 100</t>
  </si>
  <si>
    <t>Situation Based Trade</t>
  </si>
  <si>
    <t>If Sensitive News is known earlier, then there will be No impact or Opposite Impact on the News Execution Day. For Eg: Trump Announced Reciprocal Tariff to be executed on all countries on Apr 2 2025, but Market increased by 150 Points on Apr 2 instead of drastic Fall. but on the previous day i.e. Apr 1, Market falls around -250 Points. with this expectation if put is bought on Apr 2, then there will be a huge Loss</t>
  </si>
  <si>
    <t>StopLoss Calculation</t>
  </si>
  <si>
    <t>Lots</t>
  </si>
  <si>
    <t>Price</t>
  </si>
  <si>
    <t>Percent</t>
  </si>
  <si>
    <t>SL Value</t>
  </si>
  <si>
    <t>BuyValue</t>
  </si>
  <si>
    <t>Lot Qty</t>
  </si>
  <si>
    <t>Avg Price</t>
  </si>
  <si>
    <t>Avg Price Calculation</t>
  </si>
  <si>
    <t>Value</t>
  </si>
  <si>
    <t>Loss Value</t>
  </si>
  <si>
    <t>Qty</t>
  </si>
  <si>
    <r>
      <rPr>
        <b/>
        <sz val="11"/>
        <color theme="1"/>
        <rFont val="Calibri"/>
        <family val="2"/>
        <scheme val="minor"/>
      </rPr>
      <t>On Expiry Day</t>
    </r>
    <r>
      <rPr>
        <sz val="11"/>
        <color theme="1"/>
        <rFont val="Calibri"/>
        <family val="2"/>
        <scheme val="minor"/>
      </rPr>
      <t xml:space="preserve">
1. Better Don’t Trade , price movement will drag downwards only. Lack of strength for upmove. Nifty will mostly in Rangebound causing the Options to Decay
2.Else enter between /after 12.50-1.30 window based on suspecting price movement within the window or after this window</t>
    </r>
  </si>
  <si>
    <t>Current</t>
  </si>
  <si>
    <t>P/L</t>
  </si>
  <si>
    <t>Call</t>
  </si>
  <si>
    <t>Put</t>
  </si>
  <si>
    <t>Exp: 30-Sep-2025</t>
  </si>
  <si>
    <t>Closing</t>
  </si>
  <si>
    <t>P/L %</t>
  </si>
  <si>
    <t>Index</t>
  </si>
  <si>
    <t>P/ L</t>
  </si>
  <si>
    <t>Total</t>
  </si>
  <si>
    <t>Amnt</t>
  </si>
  <si>
    <t>Exp: 14-Oct-2025</t>
  </si>
  <si>
    <r>
      <rPr>
        <b/>
        <sz val="11"/>
        <color theme="1"/>
        <rFont val="Calibri"/>
        <family val="2"/>
        <scheme val="minor"/>
      </rPr>
      <t xml:space="preserve">NatGas Commodity </t>
    </r>
    <r>
      <rPr>
        <sz val="11"/>
        <color theme="1"/>
        <rFont val="Calibri"/>
        <family val="2"/>
        <scheme val="minor"/>
      </rPr>
      <t>: It is traded based on Climate Condition. On Cold Climate, Natgas Price Increases i.e  from Nov to Jan half then Warmer climate Starts and Sudden fall in Price is expected.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</si>
</sst>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5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2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2" fontId="0" fillId="6" borderId="0" xfId="0" applyNumberFormat="1" applyFill="1"/>
    <xf numFmtId="2" fontId="1" fillId="6" borderId="0" xfId="0" applyNumberFormat="1" applyFont="1" applyFill="1"/>
    <xf numFmtId="2" fontId="1" fillId="4" borderId="0" xfId="0" applyNumberFormat="1" applyFont="1" applyFill="1"/>
    <xf numFmtId="0" fontId="0" fillId="7" borderId="1" xfId="0" applyFill="1" applyBorder="1"/>
    <xf numFmtId="0" fontId="2" fillId="0" borderId="1" xfId="0" applyFont="1" applyBorder="1"/>
    <xf numFmtId="9" fontId="0" fillId="0" borderId="0" xfId="1" applyFont="1"/>
    <xf numFmtId="0" fontId="1" fillId="3" borderId="1" xfId="0" applyFont="1" applyFill="1" applyBorder="1"/>
    <xf numFmtId="0" fontId="1" fillId="4" borderId="1" xfId="0" applyFont="1" applyFill="1" applyBorder="1"/>
    <xf numFmtId="0" fontId="4" fillId="0" borderId="1" xfId="0" applyFont="1" applyBorder="1"/>
    <xf numFmtId="2" fontId="0" fillId="0" borderId="1" xfId="1" applyNumberFormat="1" applyFont="1" applyBorder="1"/>
    <xf numFmtId="2" fontId="0" fillId="0" borderId="1" xfId="0" applyNumberFormat="1" applyBorder="1"/>
    <xf numFmtId="0" fontId="1" fillId="0" borderId="0" xfId="0" applyFont="1"/>
    <xf numFmtId="1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2" borderId="1" xfId="0" applyNumberFormat="1" applyFill="1" applyBorder="1"/>
    <xf numFmtId="2" fontId="1" fillId="0" borderId="1" xfId="0" applyNumberFormat="1" applyFont="1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0" fontId="0" fillId="0" borderId="0" xfId="0" applyAlignment="1">
      <alignment horizontal="center"/>
    </xf>
    <xf numFmtId="14" fontId="0" fillId="3" borderId="1" xfId="0" applyNumberFormat="1" applyFill="1" applyBorder="1"/>
    <xf numFmtId="164" fontId="0" fillId="0" borderId="0" xfId="1" applyNumberFormat="1" applyFont="1"/>
    <xf numFmtId="0" fontId="0" fillId="0" borderId="1" xfId="0" applyBorder="1" applyAlignment="1">
      <alignment horizontal="center" vertical="center"/>
    </xf>
    <xf numFmtId="14" fontId="0" fillId="8" borderId="1" xfId="0" applyNumberFormat="1" applyFill="1" applyBorder="1"/>
    <xf numFmtId="9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" fontId="0" fillId="0" borderId="1" xfId="2" applyNumberFormat="1" applyFont="1" applyBorder="1"/>
    <xf numFmtId="1" fontId="0" fillId="0" borderId="1" xfId="0" applyNumberFormat="1" applyBorder="1"/>
    <xf numFmtId="164" fontId="0" fillId="0" borderId="1" xfId="1" applyNumberFormat="1" applyFont="1" applyBorder="1"/>
    <xf numFmtId="9" fontId="0" fillId="0" borderId="0" xfId="0" applyNumberFormat="1"/>
    <xf numFmtId="9" fontId="0" fillId="0" borderId="1" xfId="0" applyNumberFormat="1" applyBorder="1" applyAlignment="1">
      <alignment horizontal="center" vertical="center"/>
    </xf>
    <xf numFmtId="9" fontId="0" fillId="0" borderId="1" xfId="1" applyFont="1" applyBorder="1"/>
    <xf numFmtId="9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4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Call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Sheet1!$A$4:$A$15</c:f>
              <c:numCache>
                <c:formatCode>m/d/yyyy</c:formatCode>
                <c:ptCount val="12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</c:numCache>
            </c:numRef>
          </c:cat>
          <c:val>
            <c:numRef>
              <c:f>Sheet1!$G$4:$G$15</c:f>
              <c:numCache>
                <c:formatCode>0</c:formatCode>
                <c:ptCount val="12"/>
                <c:pt idx="0">
                  <c:v>3375</c:v>
                </c:pt>
                <c:pt idx="1">
                  <c:v>-9150</c:v>
                </c:pt>
                <c:pt idx="2">
                  <c:v>-14400</c:v>
                </c:pt>
                <c:pt idx="3">
                  <c:v>-20325</c:v>
                </c:pt>
                <c:pt idx="4">
                  <c:v>-12975</c:v>
                </c:pt>
                <c:pt idx="5">
                  <c:v>-3375</c:v>
                </c:pt>
                <c:pt idx="6">
                  <c:v>-1125</c:v>
                </c:pt>
                <c:pt idx="7">
                  <c:v>9375</c:v>
                </c:pt>
                <c:pt idx="8">
                  <c:v>20700</c:v>
                </c:pt>
                <c:pt idx="9">
                  <c:v>39000</c:v>
                </c:pt>
                <c:pt idx="10">
                  <c:v>40575</c:v>
                </c:pt>
                <c:pt idx="11">
                  <c:v>47625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9-4EA1-8AFA-CC536F6084F3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Sheet1!$A$4:$A$15</c:f>
              <c:numCache>
                <c:formatCode>m/d/yyyy</c:formatCode>
                <c:ptCount val="12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</c:numCache>
            </c:numRef>
          </c:cat>
          <c:val>
            <c:numRef>
              <c:f>Sheet1!$H$4:$H$15</c:f>
              <c:numCache>
                <c:formatCode>General</c:formatCode>
                <c:ptCount val="12"/>
                <c:pt idx="0">
                  <c:v>-1575</c:v>
                </c:pt>
                <c:pt idx="1">
                  <c:v>8250</c:v>
                </c:pt>
                <c:pt idx="2">
                  <c:v>12225</c:v>
                </c:pt>
                <c:pt idx="3">
                  <c:v>17025</c:v>
                </c:pt>
                <c:pt idx="4">
                  <c:v>13350</c:v>
                </c:pt>
                <c:pt idx="5">
                  <c:v>7425</c:v>
                </c:pt>
                <c:pt idx="6">
                  <c:v>6600</c:v>
                </c:pt>
                <c:pt idx="7">
                  <c:v>-1875</c:v>
                </c:pt>
                <c:pt idx="8">
                  <c:v>-13125</c:v>
                </c:pt>
                <c:pt idx="9">
                  <c:v>-32775</c:v>
                </c:pt>
                <c:pt idx="10">
                  <c:v>-33000</c:v>
                </c:pt>
                <c:pt idx="11">
                  <c:v>-38700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9-4EA1-8AFA-CC536F6084F3}"/>
            </c:ext>
          </c:extLst>
        </c:ser>
        <c:ser>
          <c:idx val="2"/>
          <c:order val="2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Sheet1!$A$4:$A$15</c:f>
              <c:numCache>
                <c:formatCode>m/d/yyyy</c:formatCode>
                <c:ptCount val="12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</c:numCache>
            </c:numRef>
          </c:cat>
          <c:val>
            <c:numRef>
              <c:f>Sheet1!$I$4:$I$15</c:f>
              <c:numCache>
                <c:formatCode>0</c:formatCode>
                <c:ptCount val="12"/>
                <c:pt idx="0">
                  <c:v>1800</c:v>
                </c:pt>
                <c:pt idx="1">
                  <c:v>-900</c:v>
                </c:pt>
                <c:pt idx="2">
                  <c:v>-2175</c:v>
                </c:pt>
                <c:pt idx="3">
                  <c:v>-3300</c:v>
                </c:pt>
                <c:pt idx="4">
                  <c:v>375</c:v>
                </c:pt>
                <c:pt idx="5">
                  <c:v>4050</c:v>
                </c:pt>
                <c:pt idx="6">
                  <c:v>5475</c:v>
                </c:pt>
                <c:pt idx="7">
                  <c:v>7500</c:v>
                </c:pt>
                <c:pt idx="8">
                  <c:v>7575</c:v>
                </c:pt>
                <c:pt idx="9">
                  <c:v>6225</c:v>
                </c:pt>
                <c:pt idx="10">
                  <c:v>7575</c:v>
                </c:pt>
                <c:pt idx="11">
                  <c:v>8925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9-4EA1-8AFA-CC536F608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092432"/>
        <c:axId val="685495728"/>
      </c:lineChart>
      <c:dateAx>
        <c:axId val="224092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95728"/>
        <c:crosses val="autoZero"/>
        <c:auto val="1"/>
        <c:lblOffset val="100"/>
        <c:baseTimeUnit val="days"/>
      </c:dateAx>
      <c:valAx>
        <c:axId val="6854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(2)'!$G$4</c:f>
              <c:strCache>
                <c:ptCount val="1"/>
                <c:pt idx="0">
                  <c:v>Call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'Sheet1 (2)'!$A$5:$A$16</c:f>
              <c:numCache>
                <c:formatCode>m/d/yyyy</c:formatCode>
                <c:ptCount val="12"/>
                <c:pt idx="0">
                  <c:v>45926</c:v>
                </c:pt>
                <c:pt idx="1">
                  <c:v>45929</c:v>
                </c:pt>
                <c:pt idx="2">
                  <c:v>45930</c:v>
                </c:pt>
                <c:pt idx="3">
                  <c:v>45931</c:v>
                </c:pt>
                <c:pt idx="4">
                  <c:v>45932</c:v>
                </c:pt>
                <c:pt idx="5">
                  <c:v>45933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45943</c:v>
                </c:pt>
              </c:numCache>
            </c:numRef>
          </c:cat>
          <c:val>
            <c:numRef>
              <c:f>'Sheet1 (2)'!$G$5:$G$16</c:f>
              <c:numCache>
                <c:formatCode>0</c:formatCode>
                <c:ptCount val="12"/>
                <c:pt idx="0">
                  <c:v>30825</c:v>
                </c:pt>
                <c:pt idx="1">
                  <c:v>32400</c:v>
                </c:pt>
                <c:pt idx="2">
                  <c:v>47700</c:v>
                </c:pt>
                <c:pt idx="3">
                  <c:v>47700</c:v>
                </c:pt>
                <c:pt idx="4">
                  <c:v>47700</c:v>
                </c:pt>
                <c:pt idx="5">
                  <c:v>47700</c:v>
                </c:pt>
                <c:pt idx="6">
                  <c:v>47700</c:v>
                </c:pt>
                <c:pt idx="7">
                  <c:v>47700</c:v>
                </c:pt>
                <c:pt idx="8">
                  <c:v>47700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A-4CF8-A35A-0A9C5FFEEB79}"/>
            </c:ext>
          </c:extLst>
        </c:ser>
        <c:ser>
          <c:idx val="1"/>
          <c:order val="1"/>
          <c:tx>
            <c:strRef>
              <c:f>'Sheet1 (2)'!$H$4</c:f>
              <c:strCache>
                <c:ptCount val="1"/>
                <c:pt idx="0">
                  <c:v>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'Sheet1 (2)'!$A$5:$A$16</c:f>
              <c:numCache>
                <c:formatCode>m/d/yyyy</c:formatCode>
                <c:ptCount val="12"/>
                <c:pt idx="0">
                  <c:v>45926</c:v>
                </c:pt>
                <c:pt idx="1">
                  <c:v>45929</c:v>
                </c:pt>
                <c:pt idx="2">
                  <c:v>45930</c:v>
                </c:pt>
                <c:pt idx="3">
                  <c:v>45931</c:v>
                </c:pt>
                <c:pt idx="4">
                  <c:v>45932</c:v>
                </c:pt>
                <c:pt idx="5">
                  <c:v>45933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45943</c:v>
                </c:pt>
              </c:numCache>
            </c:numRef>
          </c:cat>
          <c:val>
            <c:numRef>
              <c:f>'Sheet1 (2)'!$H$5:$H$16</c:f>
              <c:numCache>
                <c:formatCode>General</c:formatCode>
                <c:ptCount val="12"/>
                <c:pt idx="0">
                  <c:v>-24750</c:v>
                </c:pt>
                <c:pt idx="1">
                  <c:v>-24975</c:v>
                </c:pt>
                <c:pt idx="2">
                  <c:v>35775</c:v>
                </c:pt>
                <c:pt idx="3">
                  <c:v>35775</c:v>
                </c:pt>
                <c:pt idx="4">
                  <c:v>35775</c:v>
                </c:pt>
                <c:pt idx="5">
                  <c:v>35775</c:v>
                </c:pt>
                <c:pt idx="6">
                  <c:v>35775</c:v>
                </c:pt>
                <c:pt idx="7">
                  <c:v>35775</c:v>
                </c:pt>
                <c:pt idx="8">
                  <c:v>35775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A-4CF8-A35A-0A9C5FFEEB79}"/>
            </c:ext>
          </c:extLst>
        </c:ser>
        <c:ser>
          <c:idx val="2"/>
          <c:order val="2"/>
          <c:tx>
            <c:strRef>
              <c:f>'Sheet1 (2)'!$I$4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'Sheet1 (2)'!$A$5:$A$16</c:f>
              <c:numCache>
                <c:formatCode>m/d/yyyy</c:formatCode>
                <c:ptCount val="12"/>
                <c:pt idx="0">
                  <c:v>45926</c:v>
                </c:pt>
                <c:pt idx="1">
                  <c:v>45929</c:v>
                </c:pt>
                <c:pt idx="2">
                  <c:v>45930</c:v>
                </c:pt>
                <c:pt idx="3">
                  <c:v>45931</c:v>
                </c:pt>
                <c:pt idx="4">
                  <c:v>45932</c:v>
                </c:pt>
                <c:pt idx="5">
                  <c:v>45933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45943</c:v>
                </c:pt>
              </c:numCache>
            </c:numRef>
          </c:cat>
          <c:val>
            <c:numRef>
              <c:f>'Sheet1 (2)'!$I$5:$I$16</c:f>
              <c:numCache>
                <c:formatCode>0</c:formatCode>
                <c:ptCount val="12"/>
                <c:pt idx="0">
                  <c:v>6075</c:v>
                </c:pt>
                <c:pt idx="1">
                  <c:v>7425</c:v>
                </c:pt>
                <c:pt idx="2">
                  <c:v>83475</c:v>
                </c:pt>
                <c:pt idx="3">
                  <c:v>83475</c:v>
                </c:pt>
                <c:pt idx="4">
                  <c:v>83475</c:v>
                </c:pt>
                <c:pt idx="5">
                  <c:v>83475</c:v>
                </c:pt>
                <c:pt idx="6">
                  <c:v>83475</c:v>
                </c:pt>
                <c:pt idx="7">
                  <c:v>83475</c:v>
                </c:pt>
                <c:pt idx="8">
                  <c:v>83475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A-4CF8-A35A-0A9C5FFEE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092432"/>
        <c:axId val="685495728"/>
      </c:lineChart>
      <c:dateAx>
        <c:axId val="224092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95728"/>
        <c:crosses val="autoZero"/>
        <c:auto val="1"/>
        <c:lblOffset val="100"/>
        <c:baseTimeUnit val="days"/>
      </c:dateAx>
      <c:valAx>
        <c:axId val="6854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16</xdr:row>
      <xdr:rowOff>4762</xdr:rowOff>
    </xdr:from>
    <xdr:to>
      <xdr:col>18</xdr:col>
      <xdr:colOff>19050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AF0FF-88D7-B549-DA32-3FE1F3BF5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17</xdr:row>
      <xdr:rowOff>4762</xdr:rowOff>
    </xdr:from>
    <xdr:to>
      <xdr:col>18</xdr:col>
      <xdr:colOff>19050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E0D07-5747-498F-B023-BE89EAF67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0170E-01EE-4D35-B8FD-58733F38E4A9}" name="Table1" displayName="Table1" ref="A1:A4" totalsRowShown="0">
  <autoFilter ref="A1:A4" xr:uid="{ADB0170E-01EE-4D35-B8FD-58733F38E4A9}"/>
  <tableColumns count="1">
    <tableColumn id="1" xr3:uid="{584F2D93-7E95-4AC7-AA98-05A4B6A6EDD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0FDB6-163C-4CE5-94D8-A564CBAC9355}" name="Table2" displayName="Table2" ref="C1:C3" totalsRowShown="0">
  <autoFilter ref="C1:C3" xr:uid="{B7E0FDB6-163C-4CE5-94D8-A564CBAC9355}"/>
  <tableColumns count="1">
    <tableColumn id="1" xr3:uid="{C32E0BB6-601D-462F-9636-4F86F173096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FFBF4-DFD8-41FB-A3E5-97C314BB49EB}" name="Table3" displayName="Table3" ref="E1:E5" totalsRowShown="0">
  <autoFilter ref="E1:E5" xr:uid="{D06FFBF4-DFD8-41FB-A3E5-97C314BB49EB}"/>
  <tableColumns count="1">
    <tableColumn id="1" xr3:uid="{8505FF16-932D-4548-B1C6-F592FAFB12B8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281ADF-E846-4DA2-8F3D-3C7DD133A415}" name="Table4" displayName="Table4" ref="G1:G5" totalsRowShown="0">
  <autoFilter ref="G1:G5" xr:uid="{36281ADF-E846-4DA2-8F3D-3C7DD133A415}"/>
  <tableColumns count="1">
    <tableColumn id="1" xr3:uid="{A5763889-07AE-4753-9D85-1AB4B3E98690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4B98F9-F3EB-4CF0-8EAA-1DDC6E6367D1}" name="Table5" displayName="Table5" ref="I1:I4" totalsRowShown="0">
  <autoFilter ref="I1:I4" xr:uid="{194B98F9-F3EB-4CF0-8EAA-1DDC6E6367D1}"/>
  <tableColumns count="1">
    <tableColumn id="1" xr3:uid="{844F74BF-BFC0-44C8-B5C0-D63F596D4B9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opLeftCell="A6" workbookViewId="0">
      <selection activeCell="A4" sqref="A4"/>
    </sheetView>
  </sheetViews>
  <sheetFormatPr defaultRowHeight="15" x14ac:dyDescent="0.25"/>
  <cols>
    <col min="1" max="1" width="9.7109375" bestFit="1" customWidth="1"/>
    <col min="2" max="2" width="12.140625" bestFit="1" customWidth="1"/>
    <col min="12" max="12" width="22.85546875" customWidth="1"/>
    <col min="13" max="13" width="25.140625" bestFit="1" customWidth="1"/>
    <col min="16" max="16" width="12.140625" bestFit="1" customWidth="1"/>
    <col min="17" max="17" width="25.28515625" customWidth="1"/>
    <col min="18" max="18" width="27.42578125" customWidth="1"/>
  </cols>
  <sheetData>
    <row r="1" spans="1:18" x14ac:dyDescent="0.25">
      <c r="A1" s="1"/>
      <c r="B1" s="1" t="s">
        <v>15</v>
      </c>
      <c r="C1" s="55" t="s">
        <v>2</v>
      </c>
      <c r="D1" s="55"/>
      <c r="E1" s="55"/>
      <c r="F1" s="55"/>
      <c r="G1" s="55"/>
      <c r="H1" s="55" t="s">
        <v>7</v>
      </c>
      <c r="I1" s="55"/>
      <c r="J1" s="55"/>
      <c r="K1" s="55"/>
      <c r="L1" s="55" t="s">
        <v>11</v>
      </c>
      <c r="M1" s="55"/>
      <c r="N1" s="55"/>
      <c r="O1" s="55"/>
      <c r="P1" s="2" t="s">
        <v>16</v>
      </c>
      <c r="Q1" s="2" t="s">
        <v>17</v>
      </c>
      <c r="R1" s="1" t="s">
        <v>14</v>
      </c>
    </row>
    <row r="2" spans="1:18" x14ac:dyDescent="0.25">
      <c r="A2" s="1" t="s">
        <v>0</v>
      </c>
      <c r="B2" s="1"/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9</v>
      </c>
      <c r="J2" s="1" t="s">
        <v>10</v>
      </c>
      <c r="K2" s="1" t="s">
        <v>18</v>
      </c>
      <c r="L2" s="56" t="s">
        <v>13</v>
      </c>
      <c r="M2" s="57"/>
      <c r="N2" s="1" t="s">
        <v>12</v>
      </c>
      <c r="O2" s="1" t="s">
        <v>10</v>
      </c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23</v>
      </c>
      <c r="M3" s="1" t="s">
        <v>24</v>
      </c>
      <c r="N3" s="1"/>
      <c r="O3" s="1"/>
      <c r="P3" s="1"/>
      <c r="Q3" s="1"/>
      <c r="R3" s="1"/>
    </row>
    <row r="4" spans="1:18" s="3" customFormat="1" ht="60" x14ac:dyDescent="0.25">
      <c r="A4" s="4">
        <v>45638</v>
      </c>
      <c r="B4" s="5" t="s">
        <v>19</v>
      </c>
      <c r="C4" s="5"/>
      <c r="D4" s="5"/>
      <c r="E4" s="5"/>
      <c r="F4" s="5"/>
      <c r="G4" s="5"/>
      <c r="H4" s="5"/>
      <c r="I4" s="5"/>
      <c r="J4" s="5"/>
      <c r="K4" s="5"/>
      <c r="L4" s="6" t="s">
        <v>20</v>
      </c>
      <c r="M4" s="6"/>
      <c r="N4" s="5"/>
      <c r="O4" s="5"/>
      <c r="P4" s="5" t="s">
        <v>19</v>
      </c>
      <c r="Q4" s="5"/>
      <c r="R4" s="5"/>
    </row>
    <row r="5" spans="1:18" x14ac:dyDescent="0.25">
      <c r="A5" s="7">
        <v>45644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21</v>
      </c>
      <c r="Q5" s="1"/>
      <c r="R5" s="1"/>
    </row>
    <row r="6" spans="1:18" s="3" customFormat="1" ht="90" x14ac:dyDescent="0.25">
      <c r="A6" s="4">
        <v>45645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 t="s">
        <v>22</v>
      </c>
      <c r="R6" s="8" t="s">
        <v>25</v>
      </c>
    </row>
  </sheetData>
  <mergeCells count="4">
    <mergeCell ref="C1:G1"/>
    <mergeCell ref="L1:O1"/>
    <mergeCell ref="H1:K1"/>
    <mergeCell ref="L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95-22F6-48FD-AE6E-1BC339CEDF0C}">
  <dimension ref="A1:B12"/>
  <sheetViews>
    <sheetView tabSelected="1" topLeftCell="A10" workbookViewId="0">
      <selection activeCell="B12" sqref="B12"/>
    </sheetView>
  </sheetViews>
  <sheetFormatPr defaultRowHeight="15" x14ac:dyDescent="0.25"/>
  <cols>
    <col min="2" max="2" width="147.5703125" bestFit="1" customWidth="1"/>
  </cols>
  <sheetData>
    <row r="1" spans="1:2" x14ac:dyDescent="0.25">
      <c r="A1" t="s">
        <v>26</v>
      </c>
      <c r="B1" s="37" t="s">
        <v>27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ht="30" x14ac:dyDescent="0.25">
      <c r="A8">
        <v>7</v>
      </c>
      <c r="B8" s="34" t="s">
        <v>35</v>
      </c>
    </row>
    <row r="9" spans="1:2" x14ac:dyDescent="0.25">
      <c r="A9">
        <v>8</v>
      </c>
      <c r="B9" t="s">
        <v>34</v>
      </c>
    </row>
    <row r="10" spans="1:2" ht="45" x14ac:dyDescent="0.25">
      <c r="A10">
        <v>9</v>
      </c>
      <c r="B10" s="34" t="s">
        <v>90</v>
      </c>
    </row>
    <row r="11" spans="1:2" ht="30" x14ac:dyDescent="0.25">
      <c r="A11">
        <v>10</v>
      </c>
      <c r="B11" s="34" t="s">
        <v>103</v>
      </c>
    </row>
    <row r="12" spans="1:2" ht="45" x14ac:dyDescent="0.25">
      <c r="A12" s="35">
        <v>11</v>
      </c>
      <c r="B12" s="36" t="s">
        <v>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AFB2-D62E-4434-A747-7DCD21994197}">
  <dimension ref="A1:P231"/>
  <sheetViews>
    <sheetView topLeftCell="A27" zoomScaleNormal="100" workbookViewId="0">
      <selection activeCell="C33" sqref="C33"/>
    </sheetView>
  </sheetViews>
  <sheetFormatPr defaultRowHeight="15" x14ac:dyDescent="0.25"/>
  <cols>
    <col min="1" max="1" width="21.85546875" bestFit="1" customWidth="1"/>
    <col min="2" max="2" width="34.7109375" bestFit="1" customWidth="1"/>
    <col min="3" max="4" width="12.140625" bestFit="1" customWidth="1"/>
    <col min="5" max="5" width="10.140625" bestFit="1" customWidth="1"/>
    <col min="6" max="6" width="12.140625" bestFit="1" customWidth="1"/>
    <col min="7" max="7" width="10.140625" bestFit="1" customWidth="1"/>
    <col min="8" max="10" width="9.7109375" bestFit="1" customWidth="1"/>
    <col min="11" max="13" width="12.140625" bestFit="1" customWidth="1"/>
    <col min="14" max="16" width="9.85546875" bestFit="1" customWidth="1"/>
  </cols>
  <sheetData>
    <row r="1" spans="1:16" x14ac:dyDescent="0.25">
      <c r="A1" s="1" t="s">
        <v>49</v>
      </c>
      <c r="B1" s="1" t="s">
        <v>50</v>
      </c>
      <c r="C1" s="7">
        <v>45779</v>
      </c>
      <c r="D1" s="7">
        <v>45782</v>
      </c>
      <c r="E1" s="7">
        <v>45784</v>
      </c>
      <c r="F1" s="30">
        <v>45785</v>
      </c>
      <c r="G1" s="30">
        <v>45786</v>
      </c>
      <c r="H1" s="7"/>
      <c r="I1" s="7"/>
      <c r="J1" s="7"/>
      <c r="K1" s="29"/>
      <c r="L1" s="29"/>
      <c r="M1" s="29"/>
      <c r="N1" s="29"/>
      <c r="O1" s="7"/>
      <c r="P1" s="7"/>
    </row>
    <row r="2" spans="1:16" x14ac:dyDescent="0.25">
      <c r="A2" s="10" t="s">
        <v>36</v>
      </c>
      <c r="B2" s="1" t="s">
        <v>37</v>
      </c>
      <c r="C2" s="1" t="s">
        <v>40</v>
      </c>
      <c r="D2" s="1" t="s">
        <v>40</v>
      </c>
      <c r="E2" s="1" t="s">
        <v>40</v>
      </c>
      <c r="F2" s="25" t="s">
        <v>41</v>
      </c>
      <c r="G2" s="1" t="s">
        <v>42</v>
      </c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0" t="s">
        <v>44</v>
      </c>
      <c r="B3" s="1" t="s">
        <v>62</v>
      </c>
      <c r="C3" s="1" t="s">
        <v>40</v>
      </c>
      <c r="D3" s="1" t="s">
        <v>40</v>
      </c>
      <c r="E3" s="1" t="s">
        <v>40</v>
      </c>
      <c r="F3" s="25" t="s">
        <v>19</v>
      </c>
      <c r="G3" s="1" t="s">
        <v>40</v>
      </c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0" t="s">
        <v>46</v>
      </c>
      <c r="B4" s="1" t="s">
        <v>38</v>
      </c>
      <c r="C4" s="1" t="s">
        <v>47</v>
      </c>
      <c r="D4" s="1" t="s">
        <v>47</v>
      </c>
      <c r="E4" s="1" t="s">
        <v>47</v>
      </c>
      <c r="F4" s="1" t="s">
        <v>48</v>
      </c>
      <c r="G4" s="1" t="s">
        <v>47</v>
      </c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1" t="s">
        <v>68</v>
      </c>
      <c r="B5" s="1" t="s">
        <v>64</v>
      </c>
      <c r="C5" s="1" t="s">
        <v>58</v>
      </c>
      <c r="D5" s="1" t="s">
        <v>58</v>
      </c>
      <c r="E5" s="1" t="s">
        <v>59</v>
      </c>
      <c r="F5" s="1" t="s">
        <v>57</v>
      </c>
      <c r="G5" s="1" t="s">
        <v>58</v>
      </c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1" t="s">
        <v>39</v>
      </c>
      <c r="B6" s="1" t="s">
        <v>38</v>
      </c>
      <c r="C6" s="1" t="s">
        <v>48</v>
      </c>
      <c r="D6" s="1" t="s">
        <v>48</v>
      </c>
      <c r="E6" s="1" t="s">
        <v>47</v>
      </c>
      <c r="F6" s="1" t="s">
        <v>47</v>
      </c>
      <c r="G6" s="1" t="s">
        <v>48</v>
      </c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23" t="s">
        <v>45</v>
      </c>
      <c r="B7" s="1" t="s">
        <v>38</v>
      </c>
      <c r="C7" s="1" t="s">
        <v>47</v>
      </c>
      <c r="D7" s="1" t="s">
        <v>48</v>
      </c>
      <c r="E7" s="25" t="s">
        <v>48</v>
      </c>
      <c r="F7" s="25" t="s">
        <v>48</v>
      </c>
      <c r="G7" s="21" t="s">
        <v>48</v>
      </c>
      <c r="H7" s="1"/>
      <c r="I7" s="25"/>
      <c r="J7" s="25"/>
      <c r="K7" s="1"/>
      <c r="L7" s="1"/>
      <c r="M7" s="1"/>
      <c r="N7" s="1"/>
      <c r="O7" s="1"/>
      <c r="P7" s="1"/>
    </row>
    <row r="8" spans="1:16" x14ac:dyDescent="0.25">
      <c r="A8" s="11" t="s">
        <v>65</v>
      </c>
      <c r="B8" s="1" t="s">
        <v>38</v>
      </c>
      <c r="C8" s="1" t="s">
        <v>48</v>
      </c>
      <c r="D8" s="1" t="s">
        <v>48</v>
      </c>
      <c r="E8" s="1" t="s">
        <v>48</v>
      </c>
      <c r="F8" s="1" t="s">
        <v>48</v>
      </c>
      <c r="G8" s="1" t="s">
        <v>48</v>
      </c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1" t="s">
        <v>51</v>
      </c>
      <c r="B9" s="1" t="s">
        <v>38</v>
      </c>
      <c r="C9" s="1" t="s">
        <v>48</v>
      </c>
      <c r="D9" s="1" t="s">
        <v>48</v>
      </c>
      <c r="E9" s="25" t="s">
        <v>47</v>
      </c>
      <c r="F9" s="1" t="s">
        <v>48</v>
      </c>
      <c r="G9" s="1" t="s">
        <v>48</v>
      </c>
      <c r="H9" s="1"/>
      <c r="I9" s="25"/>
      <c r="J9" s="25"/>
      <c r="K9" s="1"/>
      <c r="L9" s="1"/>
      <c r="M9" s="1"/>
      <c r="N9" s="1"/>
      <c r="O9" s="1"/>
      <c r="P9" s="1"/>
    </row>
    <row r="10" spans="1:16" x14ac:dyDescent="0.25">
      <c r="A10" s="12" t="s">
        <v>52</v>
      </c>
      <c r="B10" s="1" t="s">
        <v>63</v>
      </c>
      <c r="C10" s="1" t="s">
        <v>40</v>
      </c>
      <c r="D10" s="1" t="s">
        <v>40</v>
      </c>
      <c r="E10" s="1" t="s">
        <v>40</v>
      </c>
      <c r="F10" s="1" t="s">
        <v>40</v>
      </c>
      <c r="G10" s="1" t="s">
        <v>40</v>
      </c>
      <c r="H10" s="1"/>
      <c r="I10" s="25"/>
      <c r="J10" s="1"/>
      <c r="K10" s="1"/>
      <c r="L10" s="1"/>
      <c r="M10" s="1"/>
      <c r="N10" s="1"/>
      <c r="O10" s="1"/>
      <c r="P10" s="1"/>
    </row>
    <row r="11" spans="1:16" x14ac:dyDescent="0.25">
      <c r="A11" s="24" t="s">
        <v>56</v>
      </c>
      <c r="B11" s="1" t="s">
        <v>38</v>
      </c>
      <c r="C11" s="1" t="s">
        <v>47</v>
      </c>
      <c r="D11" s="1" t="s">
        <v>47</v>
      </c>
      <c r="E11" s="25" t="s">
        <v>48</v>
      </c>
      <c r="F11" s="25" t="s">
        <v>48</v>
      </c>
      <c r="G11" s="21" t="s">
        <v>48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20" t="s">
        <v>75</v>
      </c>
      <c r="B12" s="1" t="s">
        <v>38</v>
      </c>
      <c r="C12" s="1" t="s">
        <v>48</v>
      </c>
      <c r="D12" s="1" t="s">
        <v>48</v>
      </c>
      <c r="E12" s="1" t="s">
        <v>48</v>
      </c>
      <c r="F12" s="25" t="s">
        <v>47</v>
      </c>
      <c r="G12" s="1" t="s">
        <v>48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20" t="s">
        <v>76</v>
      </c>
      <c r="B13" s="1" t="s">
        <v>38</v>
      </c>
      <c r="C13" s="1" t="s">
        <v>48</v>
      </c>
      <c r="D13" s="1" t="s">
        <v>48</v>
      </c>
      <c r="E13" s="1" t="s">
        <v>48</v>
      </c>
      <c r="F13" s="1" t="s">
        <v>48</v>
      </c>
      <c r="G13" s="1" t="s">
        <v>48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3" t="s">
        <v>71</v>
      </c>
      <c r="B14" s="1"/>
      <c r="C14" s="2">
        <f t="shared" ref="C14:G14" si="0">SUM(IF(C2="Normal",1,0))+SUM(IF(C3="Normal",1,-1))+SUM(IF(C4="YES",1,0))+SUM(IF(C5="Vertical",1,-1))+
SUM(IF(C6="YES",1,0))+SUM(IF(C7="YES",1,0))+SUM(IF(C8="YES",-1,1))+SUM(IF(C9="YES",-1,1))+SUM(IF(C10="Normal",1,-1))+
SUM(IF(C11="YES",1,-1))+SUM(IF(C11="YES",-1,1))+SUM(IF(C12="YES",1,0))+SUM(IF(C13="YES",1,0))</f>
        <v>8</v>
      </c>
      <c r="D14" s="2">
        <f t="shared" si="0"/>
        <v>7</v>
      </c>
      <c r="E14" s="2">
        <f t="shared" si="0"/>
        <v>4</v>
      </c>
      <c r="F14" s="2">
        <f t="shared" si="0"/>
        <v>3</v>
      </c>
      <c r="G14" s="2">
        <f t="shared" si="0"/>
        <v>6</v>
      </c>
      <c r="H14" s="2">
        <f>SUM(IF(H2="Normal",1,0))+SUM(IF(H3="Normal",1,-1))+SUM(IF(H4="YES",1,0))+SUM(IF(H5="Vertical",1,-1))+
SUM(IF(H6="YES",1,0))+SUM(IF(H7="YES",1,0))+SUM(IF(H8="YES",-1,1))+SUM(IF(H9="YES",-1,1))+SUM(IF(H10="Normal",1,-1))+
SUM(IF(H11="YES",1,-1))+SUM(IF(H11="YES",-1,1))+SUM(IF(H12="YES",1,0))+SUM(IF(H13="YES",1,0))</f>
        <v>-1</v>
      </c>
      <c r="I14" s="2">
        <f>SUM(IF(I2="Normal",1,0))+SUM(IF(I3="Normal",1,-1))+SUM(IF(I4="YES",1,0))+SUM(IF(I5="Vertical",1,-1))+
SUM(IF(I6="YES",1,0))+SUM(IF(I7="YES",1,0))+SUM(IF(I8="YES",-1,1))+SUM(IF(I9="YES",-1,1))+SUM(IF(I10="Normal",1,-1))+
SUM(IF(I11="YES",1,-1))+SUM(IF(I11="YES",-1,1))+SUM(IF(I12="YES",1,0))+SUM(IF(I13="YES",1,0))</f>
        <v>-1</v>
      </c>
      <c r="J14" s="2">
        <f>SUM(IF(J2="Normal",1,0))+SUM(IF(J3="Normal",1,-1))+SUM(IF(J4="YES",1,0))+SUM(IF(J5="Vertical",1,-1))+
SUM(IF(J6="YES",1,0))+SUM(IF(J7="YES",1,0))+SUM(IF(J8="YES",-1,1))+SUM(IF(J9="YES",-1,1))+SUM(IF(J10="Normal",1,-1))+
SUM(IF(J11="YES",1,-1))+SUM(IF(J11="YES",1,-1))+SUM(IF(J12="YES",0,1))+SUM(IF(J13="YES",1,0))</f>
        <v>-2</v>
      </c>
      <c r="K14" s="2" t="str">
        <f t="shared" ref="K14:P14" si="1">IF(SUM(IF(K2="Normal",1,0))+SUM(IF(K3="Normal",1,-1))+SUM(IF(K7="YES",1,0))+SUM(IF(K4="YES",1,0))+SUM(IF(K6="YES",1,0))+SUM(IF(K8="YES",-1,0))&lt;=0,"",SUM(IF(K2="Normal",1,0))+SUM(IF(K3="Normal",1,-1))+SUM(IF(K7="YES",1,0))+SUM(IF(K4="YES",1,0))+SUM(IF(K6="YES",1,0))+SUM(IF(K8="YES",-1,1)+SUM(IF(K9="YES",-1,1))+SUM(IF(K10="Normal",1,-1))+SUM(IF(K11="YES",1,-1)+SUM(IF(K5="Vertical",1,-1)))))</f>
        <v/>
      </c>
      <c r="L14" s="2" t="str">
        <f t="shared" si="1"/>
        <v/>
      </c>
      <c r="M14" s="2" t="str">
        <f t="shared" si="1"/>
        <v/>
      </c>
      <c r="N14" s="2" t="str">
        <f t="shared" si="1"/>
        <v/>
      </c>
      <c r="O14" s="2" t="str">
        <f t="shared" si="1"/>
        <v/>
      </c>
      <c r="P14" s="2" t="str">
        <f t="shared" si="1"/>
        <v/>
      </c>
    </row>
    <row r="15" spans="1:16" x14ac:dyDescent="0.25">
      <c r="A15" s="13" t="s">
        <v>70</v>
      </c>
      <c r="B15" s="1"/>
      <c r="C15" s="2" t="str">
        <f>IF(C14&gt;=10,"Very Good",IF(C14 &gt;=7,"Good",IF(C14&gt;=5,"Avg",IF(C14&lt;5,"Poor",IF(C14="","Poor","Poor")))))</f>
        <v>Good</v>
      </c>
      <c r="D15" s="2" t="str">
        <f t="shared" ref="D15:N15" si="2">IF(D14&gt;=10,"Very Good",IF(D14 &gt;=7,"Good",IF(D14&gt;=5,"Avg",IF(D14&lt;5,"Poor",IF(D14="","Poor","Poor")))))</f>
        <v>Good</v>
      </c>
      <c r="E15" s="2" t="str">
        <f t="shared" si="2"/>
        <v>Poor</v>
      </c>
      <c r="F15" s="2" t="str">
        <f t="shared" si="2"/>
        <v>Poor</v>
      </c>
      <c r="G15" s="2" t="str">
        <f t="shared" si="2"/>
        <v>Avg</v>
      </c>
      <c r="H15" s="2" t="str">
        <f t="shared" si="2"/>
        <v>Poor</v>
      </c>
      <c r="I15" s="2" t="str">
        <f t="shared" si="2"/>
        <v>Poor</v>
      </c>
      <c r="J15" s="2" t="str">
        <f t="shared" si="2"/>
        <v>Poor</v>
      </c>
      <c r="K15" s="2" t="str">
        <f t="shared" si="2"/>
        <v>Very Good</v>
      </c>
      <c r="L15" s="2" t="str">
        <f t="shared" si="2"/>
        <v>Very Good</v>
      </c>
      <c r="M15" s="2" t="str">
        <f t="shared" si="2"/>
        <v>Very Good</v>
      </c>
      <c r="N15" s="2" t="str">
        <f t="shared" si="2"/>
        <v>Very Good</v>
      </c>
      <c r="O15" s="2"/>
      <c r="P15" s="2"/>
    </row>
    <row r="16" spans="1:16" x14ac:dyDescent="0.25">
      <c r="C16" s="9">
        <v>0.39374999999999999</v>
      </c>
      <c r="D16" s="9"/>
      <c r="E16" s="9"/>
      <c r="F16" s="9"/>
      <c r="G16" s="9"/>
      <c r="H16" s="9"/>
      <c r="K16" s="9"/>
    </row>
    <row r="17" spans="1:15" x14ac:dyDescent="0.25">
      <c r="C17" s="9">
        <v>0.39444444444444443</v>
      </c>
      <c r="D17" s="9"/>
      <c r="E17" s="9"/>
      <c r="F17" s="9"/>
      <c r="G17" s="9"/>
      <c r="H17" s="9"/>
      <c r="K17" s="9"/>
    </row>
    <row r="18" spans="1:15" x14ac:dyDescent="0.25">
      <c r="C18" s="9">
        <v>0.48680555555555555</v>
      </c>
      <c r="D18" s="9"/>
      <c r="E18" s="9"/>
      <c r="F18" s="9"/>
      <c r="G18" s="9"/>
      <c r="H18" s="9"/>
      <c r="K18" s="9"/>
    </row>
    <row r="19" spans="1:15" x14ac:dyDescent="0.25">
      <c r="C19" s="9">
        <f t="shared" ref="C19:H19" si="3">C18-C16</f>
        <v>9.3055555555555558E-2</v>
      </c>
      <c r="D19" s="9">
        <f t="shared" si="3"/>
        <v>0</v>
      </c>
      <c r="E19" s="9">
        <f t="shared" si="3"/>
        <v>0</v>
      </c>
      <c r="F19" s="9">
        <f t="shared" si="3"/>
        <v>0</v>
      </c>
      <c r="G19" s="9">
        <f t="shared" si="3"/>
        <v>0</v>
      </c>
      <c r="H19" s="9">
        <f t="shared" si="3"/>
        <v>0</v>
      </c>
      <c r="I19" s="9">
        <f t="shared" ref="I19:K19" si="4">I18-I16</f>
        <v>0</v>
      </c>
      <c r="J19" s="9">
        <f t="shared" si="4"/>
        <v>0</v>
      </c>
      <c r="K19" s="9">
        <f t="shared" si="4"/>
        <v>0</v>
      </c>
    </row>
    <row r="20" spans="1:15" x14ac:dyDescent="0.25">
      <c r="B20" t="s">
        <v>72</v>
      </c>
      <c r="C20" s="15">
        <v>13</v>
      </c>
      <c r="D20" s="16">
        <v>1</v>
      </c>
      <c r="E20" s="16">
        <v>6</v>
      </c>
      <c r="F20" s="16">
        <v>7</v>
      </c>
      <c r="G20" s="16">
        <v>4</v>
      </c>
      <c r="H20" s="16"/>
      <c r="I20" s="16"/>
      <c r="J20" s="16"/>
      <c r="K20" s="16"/>
      <c r="L20" s="16"/>
      <c r="M20" s="16"/>
      <c r="N20" s="16"/>
      <c r="O20" s="16"/>
    </row>
    <row r="21" spans="1:15" x14ac:dyDescent="0.25">
      <c r="A21" s="18">
        <f>SUM(C21:P21)</f>
        <v>-1232.06</v>
      </c>
      <c r="B21" t="s">
        <v>66</v>
      </c>
      <c r="C21">
        <v>6791.25</v>
      </c>
      <c r="D21" s="14">
        <v>812.5</v>
      </c>
      <c r="E21" s="14">
        <v>-3007.5</v>
      </c>
      <c r="F21" s="14">
        <v>-5628.75</v>
      </c>
      <c r="G21" s="14">
        <v>-199.56</v>
      </c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19">
        <f>SUM(C22:P22)</f>
        <v>-3823.28</v>
      </c>
      <c r="B22" t="s">
        <v>67</v>
      </c>
      <c r="C22" s="17">
        <v>5547.12</v>
      </c>
      <c r="D22" s="17">
        <v>734.77</v>
      </c>
      <c r="E22" s="17">
        <v>-3495.85</v>
      </c>
      <c r="F22" s="17">
        <v>-6609.32</v>
      </c>
      <c r="G22" s="17"/>
      <c r="H22" s="17"/>
      <c r="I22" s="17"/>
      <c r="J22" s="14"/>
      <c r="K22" s="17"/>
      <c r="L22" s="17"/>
      <c r="M22" s="17"/>
      <c r="N22" s="17"/>
      <c r="O22" s="17"/>
    </row>
    <row r="23" spans="1:15" x14ac:dyDescent="0.25">
      <c r="A23" s="18">
        <f t="shared" ref="A23:A25" si="5">SUM(C23:P23)</f>
        <v>2591.2199999999998</v>
      </c>
      <c r="B23" t="s">
        <v>69</v>
      </c>
      <c r="C23" s="14">
        <f t="shared" ref="C23:H23" si="6">C21-C22</f>
        <v>1244.1300000000001</v>
      </c>
      <c r="D23" s="14">
        <f t="shared" si="6"/>
        <v>77.730000000000018</v>
      </c>
      <c r="E23" s="14">
        <f t="shared" si="6"/>
        <v>488.34999999999991</v>
      </c>
      <c r="F23" s="14">
        <f t="shared" si="6"/>
        <v>980.56999999999971</v>
      </c>
      <c r="G23" s="14">
        <f t="shared" si="6"/>
        <v>-199.56</v>
      </c>
      <c r="H23" s="14">
        <f t="shared" si="6"/>
        <v>0</v>
      </c>
      <c r="I23" s="14">
        <f t="shared" ref="I23:N23" si="7">I21-I22</f>
        <v>0</v>
      </c>
      <c r="J23" s="14">
        <f t="shared" si="7"/>
        <v>0</v>
      </c>
      <c r="K23" s="14">
        <f t="shared" si="7"/>
        <v>0</v>
      </c>
      <c r="L23" s="14">
        <f t="shared" si="7"/>
        <v>0</v>
      </c>
      <c r="M23" s="14">
        <f t="shared" si="7"/>
        <v>0</v>
      </c>
      <c r="N23" s="14">
        <f t="shared" si="7"/>
        <v>0</v>
      </c>
      <c r="O23" s="14">
        <f t="shared" ref="O23" si="8">O21-O22</f>
        <v>0</v>
      </c>
    </row>
    <row r="24" spans="1:15" x14ac:dyDescent="0.25">
      <c r="A24" s="18">
        <f t="shared" si="5"/>
        <v>1240</v>
      </c>
      <c r="B24" t="s">
        <v>74</v>
      </c>
      <c r="C24" s="14">
        <f t="shared" ref="C24:H24" si="9">C20*40</f>
        <v>520</v>
      </c>
      <c r="D24" s="14">
        <f t="shared" si="9"/>
        <v>40</v>
      </c>
      <c r="E24" s="14">
        <f t="shared" si="9"/>
        <v>240</v>
      </c>
      <c r="F24" s="14">
        <f t="shared" si="9"/>
        <v>280</v>
      </c>
      <c r="G24" s="14">
        <f t="shared" si="9"/>
        <v>160</v>
      </c>
      <c r="H24" s="14">
        <f t="shared" si="9"/>
        <v>0</v>
      </c>
      <c r="I24" s="14">
        <f t="shared" ref="I24:N24" si="10">I20*40</f>
        <v>0</v>
      </c>
      <c r="J24" s="14">
        <f t="shared" si="10"/>
        <v>0</v>
      </c>
      <c r="K24" s="14">
        <f t="shared" si="10"/>
        <v>0</v>
      </c>
      <c r="L24" s="14">
        <f t="shared" si="10"/>
        <v>0</v>
      </c>
      <c r="M24" s="14">
        <f t="shared" si="10"/>
        <v>0</v>
      </c>
      <c r="N24" s="14">
        <f t="shared" si="10"/>
        <v>0</v>
      </c>
      <c r="O24" s="14">
        <f t="shared" ref="O24" si="11">O20*40</f>
        <v>0</v>
      </c>
    </row>
    <row r="25" spans="1:15" x14ac:dyDescent="0.25">
      <c r="A25" s="18">
        <f t="shared" si="5"/>
        <v>1351.2199999999998</v>
      </c>
      <c r="B25" t="s">
        <v>73</v>
      </c>
      <c r="C25">
        <f t="shared" ref="C25:H25" si="12">C23-C24</f>
        <v>724.13000000000011</v>
      </c>
      <c r="D25" s="14">
        <f t="shared" si="12"/>
        <v>37.730000000000018</v>
      </c>
      <c r="E25" s="14">
        <f t="shared" si="12"/>
        <v>248.34999999999991</v>
      </c>
      <c r="F25" s="14">
        <f t="shared" si="12"/>
        <v>700.56999999999971</v>
      </c>
      <c r="G25" s="14">
        <f t="shared" si="12"/>
        <v>-359.56</v>
      </c>
      <c r="H25" s="14">
        <f t="shared" si="12"/>
        <v>0</v>
      </c>
      <c r="I25" s="14">
        <f t="shared" ref="I25:M25" si="13">I23-I24</f>
        <v>0</v>
      </c>
      <c r="J25" s="14">
        <f t="shared" si="13"/>
        <v>0</v>
      </c>
      <c r="K25" s="14">
        <f t="shared" si="13"/>
        <v>0</v>
      </c>
      <c r="L25" s="14">
        <f t="shared" si="13"/>
        <v>0</v>
      </c>
      <c r="M25" s="14">
        <f t="shared" si="13"/>
        <v>0</v>
      </c>
      <c r="N25" s="14">
        <f t="shared" ref="N25:O25" si="14">N23-N24</f>
        <v>0</v>
      </c>
      <c r="O25" s="14">
        <f t="shared" si="14"/>
        <v>0</v>
      </c>
    </row>
    <row r="26" spans="1:15" x14ac:dyDescent="0.25">
      <c r="C26" s="22">
        <f>C22/C21</f>
        <v>0.81680397570403096</v>
      </c>
      <c r="D26" s="22">
        <f t="shared" ref="D26:H26" si="15">D22/D21</f>
        <v>0.90433230769230766</v>
      </c>
      <c r="E26" s="22">
        <f t="shared" si="15"/>
        <v>1.1623773898586867</v>
      </c>
      <c r="F26" s="22">
        <f t="shared" si="15"/>
        <v>1.1742074172773707</v>
      </c>
      <c r="G26" s="22">
        <f t="shared" si="15"/>
        <v>0</v>
      </c>
      <c r="H26" s="22" t="e">
        <f t="shared" si="15"/>
        <v>#DIV/0!</v>
      </c>
      <c r="I26" s="22" t="e">
        <f t="shared" ref="I26:M26" si="16">I22/I21</f>
        <v>#DIV/0!</v>
      </c>
      <c r="J26" s="22" t="e">
        <f t="shared" si="16"/>
        <v>#DIV/0!</v>
      </c>
      <c r="K26" s="22" t="e">
        <f t="shared" si="16"/>
        <v>#DIV/0!</v>
      </c>
      <c r="L26" s="22" t="e">
        <f t="shared" si="16"/>
        <v>#DIV/0!</v>
      </c>
      <c r="M26" s="22" t="e">
        <f t="shared" si="16"/>
        <v>#DIV/0!</v>
      </c>
      <c r="N26" s="22" t="e">
        <f t="shared" ref="N26:O26" si="17">N22/N21</f>
        <v>#DIV/0!</v>
      </c>
      <c r="O26" s="22" t="e">
        <f t="shared" si="17"/>
        <v>#DIV/0!</v>
      </c>
    </row>
    <row r="27" spans="1:15" x14ac:dyDescent="0.25">
      <c r="C27" s="22">
        <f>C23/C21</f>
        <v>0.1831960242959691</v>
      </c>
      <c r="D27" s="22">
        <f t="shared" ref="D27:H27" si="18">D23/D21</f>
        <v>9.5667692307692329E-2</v>
      </c>
      <c r="E27" s="22">
        <f t="shared" si="18"/>
        <v>-0.16237738985868658</v>
      </c>
      <c r="F27" s="22">
        <f t="shared" si="18"/>
        <v>-0.1742074172773706</v>
      </c>
      <c r="G27" s="22">
        <f t="shared" si="18"/>
        <v>1</v>
      </c>
      <c r="H27" s="22" t="e">
        <f t="shared" si="18"/>
        <v>#DIV/0!</v>
      </c>
      <c r="I27" s="22" t="e">
        <f t="shared" ref="I27:M27" si="19">I23/I21</f>
        <v>#DIV/0!</v>
      </c>
      <c r="J27" s="22" t="e">
        <f t="shared" si="19"/>
        <v>#DIV/0!</v>
      </c>
      <c r="K27" s="22" t="e">
        <f t="shared" si="19"/>
        <v>#DIV/0!</v>
      </c>
      <c r="L27" s="22" t="e">
        <f t="shared" si="19"/>
        <v>#DIV/0!</v>
      </c>
      <c r="M27" s="22" t="e">
        <f t="shared" si="19"/>
        <v>#DIV/0!</v>
      </c>
      <c r="N27" s="22" t="e">
        <f t="shared" ref="N27:O27" si="20">N23/N21</f>
        <v>#DIV/0!</v>
      </c>
      <c r="O27" s="22" t="e">
        <f t="shared" si="20"/>
        <v>#DIV/0!</v>
      </c>
    </row>
    <row r="30" spans="1:15" x14ac:dyDescent="0.25">
      <c r="C30" s="28" t="s">
        <v>86</v>
      </c>
    </row>
    <row r="31" spans="1:15" x14ac:dyDescent="0.25">
      <c r="C31" s="1" t="s">
        <v>89</v>
      </c>
      <c r="D31" s="1" t="s">
        <v>80</v>
      </c>
      <c r="E31" s="1" t="s">
        <v>87</v>
      </c>
      <c r="L31" s="1" t="s">
        <v>79</v>
      </c>
      <c r="M31" s="1" t="s">
        <v>81</v>
      </c>
    </row>
    <row r="32" spans="1:15" x14ac:dyDescent="0.25">
      <c r="C32" s="1">
        <v>375</v>
      </c>
      <c r="D32" s="1">
        <v>12.63</v>
      </c>
      <c r="E32" s="1">
        <f>C32*D32</f>
        <v>4736.25</v>
      </c>
      <c r="L32" s="1">
        <v>1</v>
      </c>
      <c r="M32" s="26">
        <v>0.1</v>
      </c>
    </row>
    <row r="33" spans="3:13" x14ac:dyDescent="0.25">
      <c r="C33" s="1"/>
      <c r="D33" s="1"/>
      <c r="E33" s="1">
        <f t="shared" ref="E33:E35" si="21">C33*D33</f>
        <v>0</v>
      </c>
      <c r="L33" s="1">
        <v>2</v>
      </c>
      <c r="M33" s="27">
        <f>M32/2</f>
        <v>0.05</v>
      </c>
    </row>
    <row r="34" spans="3:13" x14ac:dyDescent="0.25">
      <c r="C34" s="1"/>
      <c r="D34" s="1"/>
      <c r="E34" s="1">
        <f t="shared" si="21"/>
        <v>0</v>
      </c>
      <c r="L34" s="1">
        <v>3</v>
      </c>
      <c r="M34" s="27">
        <f>M33/1.5</f>
        <v>3.3333333333333333E-2</v>
      </c>
    </row>
    <row r="35" spans="3:13" x14ac:dyDescent="0.25">
      <c r="C35" s="1"/>
      <c r="D35" s="1"/>
      <c r="E35" s="1">
        <f t="shared" si="21"/>
        <v>0</v>
      </c>
      <c r="L35" s="10">
        <v>4</v>
      </c>
      <c r="M35" s="27">
        <f>M34/1.33</f>
        <v>2.5062656641604009E-2</v>
      </c>
    </row>
    <row r="36" spans="3:13" x14ac:dyDescent="0.25">
      <c r="C36" s="1">
        <f>SUM(C32:C35)</f>
        <v>375</v>
      </c>
      <c r="D36" s="33">
        <f>E36/C36</f>
        <v>12.63</v>
      </c>
      <c r="E36" s="1">
        <f>SUM(E32:E35)</f>
        <v>4736.25</v>
      </c>
      <c r="L36" s="1">
        <v>5</v>
      </c>
      <c r="M36" s="27">
        <f>M35/1.25</f>
        <v>2.0050125313283207E-2</v>
      </c>
    </row>
    <row r="37" spans="3:13" x14ac:dyDescent="0.25">
      <c r="L37" s="1">
        <v>6</v>
      </c>
      <c r="M37" s="27">
        <f>M36/1.2</f>
        <v>1.6708437761069339E-2</v>
      </c>
    </row>
    <row r="38" spans="3:13" x14ac:dyDescent="0.25">
      <c r="L38" s="1">
        <v>7</v>
      </c>
      <c r="M38" s="27">
        <f>M37/1.17</f>
        <v>1.4280716035102E-2</v>
      </c>
    </row>
    <row r="39" spans="3:13" x14ac:dyDescent="0.25">
      <c r="C39" s="28" t="s">
        <v>78</v>
      </c>
      <c r="L39" s="1">
        <v>8</v>
      </c>
      <c r="M39" s="27">
        <f>M38/1.15</f>
        <v>1.2418013943566958E-2</v>
      </c>
    </row>
    <row r="40" spans="3:13" x14ac:dyDescent="0.25">
      <c r="C40" s="1" t="s">
        <v>79</v>
      </c>
      <c r="D40" s="1" t="s">
        <v>84</v>
      </c>
      <c r="E40" s="1" t="s">
        <v>85</v>
      </c>
      <c r="F40" s="1" t="s">
        <v>83</v>
      </c>
      <c r="G40" s="1" t="s">
        <v>81</v>
      </c>
      <c r="H40" s="1" t="s">
        <v>82</v>
      </c>
      <c r="I40" s="1" t="s">
        <v>88</v>
      </c>
      <c r="L40" s="1">
        <v>9</v>
      </c>
      <c r="M40" s="27">
        <f>M39/1.12</f>
        <v>1.1087512449613354E-2</v>
      </c>
    </row>
    <row r="41" spans="3:13" x14ac:dyDescent="0.25">
      <c r="C41" s="1">
        <f>C36/D41</f>
        <v>5</v>
      </c>
      <c r="D41" s="5">
        <v>75</v>
      </c>
      <c r="E41" s="31">
        <f>D36</f>
        <v>12.63</v>
      </c>
      <c r="F41" s="27">
        <f>C41*D41*E41</f>
        <v>4736.25</v>
      </c>
      <c r="G41" s="26">
        <f>VLOOKUP(C41,L31:M231,2,0)</f>
        <v>2.0050125313283207E-2</v>
      </c>
      <c r="H41" s="32">
        <f>E41-(G41*(E41))</f>
        <v>12.376766917293233</v>
      </c>
      <c r="I41" s="27">
        <f>(C41*D41*H41)-F41</f>
        <v>-94.962406015037232</v>
      </c>
      <c r="L41" s="1">
        <v>10</v>
      </c>
      <c r="M41">
        <v>0.01</v>
      </c>
    </row>
    <row r="42" spans="3:13" x14ac:dyDescent="0.25">
      <c r="L42" s="1">
        <v>11</v>
      </c>
      <c r="M42">
        <v>0.01</v>
      </c>
    </row>
    <row r="43" spans="3:13" x14ac:dyDescent="0.25">
      <c r="L43" s="1">
        <v>12</v>
      </c>
      <c r="M43">
        <v>0.01</v>
      </c>
    </row>
    <row r="44" spans="3:13" x14ac:dyDescent="0.25">
      <c r="L44" s="1">
        <v>13</v>
      </c>
      <c r="M44">
        <v>0.01</v>
      </c>
    </row>
    <row r="45" spans="3:13" x14ac:dyDescent="0.25">
      <c r="L45" s="1">
        <v>14</v>
      </c>
      <c r="M45">
        <v>0.01</v>
      </c>
    </row>
    <row r="46" spans="3:13" x14ac:dyDescent="0.25">
      <c r="L46" s="1">
        <v>15</v>
      </c>
      <c r="M46">
        <v>0.01</v>
      </c>
    </row>
    <row r="47" spans="3:13" x14ac:dyDescent="0.25">
      <c r="L47" s="1">
        <v>16</v>
      </c>
      <c r="M47">
        <v>0.01</v>
      </c>
    </row>
    <row r="48" spans="3:13" x14ac:dyDescent="0.25">
      <c r="L48" s="1">
        <v>17</v>
      </c>
      <c r="M48">
        <v>0.01</v>
      </c>
    </row>
    <row r="49" spans="12:13" x14ac:dyDescent="0.25">
      <c r="L49" s="1">
        <v>18</v>
      </c>
      <c r="M49">
        <v>0.01</v>
      </c>
    </row>
    <row r="50" spans="12:13" x14ac:dyDescent="0.25">
      <c r="L50" s="1">
        <v>19</v>
      </c>
      <c r="M50">
        <v>0.01</v>
      </c>
    </row>
    <row r="51" spans="12:13" x14ac:dyDescent="0.25">
      <c r="L51" s="1">
        <v>20</v>
      </c>
      <c r="M51">
        <v>0.01</v>
      </c>
    </row>
    <row r="52" spans="12:13" x14ac:dyDescent="0.25">
      <c r="L52" s="1">
        <v>21</v>
      </c>
      <c r="M52">
        <v>0.01</v>
      </c>
    </row>
    <row r="53" spans="12:13" x14ac:dyDescent="0.25">
      <c r="L53" s="1">
        <v>22</v>
      </c>
      <c r="M53">
        <v>0.01</v>
      </c>
    </row>
    <row r="54" spans="12:13" x14ac:dyDescent="0.25">
      <c r="L54" s="1">
        <v>23</v>
      </c>
      <c r="M54">
        <v>0.01</v>
      </c>
    </row>
    <row r="55" spans="12:13" x14ac:dyDescent="0.25">
      <c r="L55" s="1">
        <v>24</v>
      </c>
      <c r="M55">
        <v>0.01</v>
      </c>
    </row>
    <row r="56" spans="12:13" x14ac:dyDescent="0.25">
      <c r="L56" s="1">
        <v>25</v>
      </c>
      <c r="M56">
        <v>0.01</v>
      </c>
    </row>
    <row r="57" spans="12:13" x14ac:dyDescent="0.25">
      <c r="L57" s="1">
        <v>26</v>
      </c>
      <c r="M57">
        <v>0.01</v>
      </c>
    </row>
    <row r="58" spans="12:13" x14ac:dyDescent="0.25">
      <c r="L58" s="1">
        <v>27</v>
      </c>
      <c r="M58">
        <v>0.01</v>
      </c>
    </row>
    <row r="59" spans="12:13" x14ac:dyDescent="0.25">
      <c r="L59" s="1">
        <v>28</v>
      </c>
      <c r="M59">
        <v>0.01</v>
      </c>
    </row>
    <row r="60" spans="12:13" x14ac:dyDescent="0.25">
      <c r="L60" s="1">
        <v>29</v>
      </c>
      <c r="M60">
        <v>0.01</v>
      </c>
    </row>
    <row r="61" spans="12:13" x14ac:dyDescent="0.25">
      <c r="L61" s="1">
        <v>30</v>
      </c>
      <c r="M61">
        <v>0.01</v>
      </c>
    </row>
    <row r="62" spans="12:13" x14ac:dyDescent="0.25">
      <c r="L62" s="1">
        <v>31</v>
      </c>
      <c r="M62">
        <v>0.01</v>
      </c>
    </row>
    <row r="63" spans="12:13" x14ac:dyDescent="0.25">
      <c r="L63" s="1">
        <v>32</v>
      </c>
      <c r="M63">
        <v>0.01</v>
      </c>
    </row>
    <row r="64" spans="12:13" x14ac:dyDescent="0.25">
      <c r="L64" s="1">
        <v>33</v>
      </c>
      <c r="M64">
        <v>0.01</v>
      </c>
    </row>
    <row r="65" spans="12:13" x14ac:dyDescent="0.25">
      <c r="L65" s="1">
        <v>34</v>
      </c>
      <c r="M65">
        <v>0.01</v>
      </c>
    </row>
    <row r="66" spans="12:13" x14ac:dyDescent="0.25">
      <c r="L66" s="1">
        <v>35</v>
      </c>
      <c r="M66">
        <v>0.01</v>
      </c>
    </row>
    <row r="67" spans="12:13" x14ac:dyDescent="0.25">
      <c r="L67" s="1">
        <v>36</v>
      </c>
      <c r="M67">
        <v>0.01</v>
      </c>
    </row>
    <row r="68" spans="12:13" x14ac:dyDescent="0.25">
      <c r="L68" s="1">
        <v>37</v>
      </c>
      <c r="M68">
        <v>0.01</v>
      </c>
    </row>
    <row r="69" spans="12:13" x14ac:dyDescent="0.25">
      <c r="L69" s="1">
        <v>38</v>
      </c>
      <c r="M69">
        <v>0.01</v>
      </c>
    </row>
    <row r="70" spans="12:13" x14ac:dyDescent="0.25">
      <c r="L70" s="1">
        <v>39</v>
      </c>
      <c r="M70">
        <v>0.01</v>
      </c>
    </row>
    <row r="71" spans="12:13" x14ac:dyDescent="0.25">
      <c r="L71" s="1">
        <v>40</v>
      </c>
      <c r="M71">
        <v>0.01</v>
      </c>
    </row>
    <row r="72" spans="12:13" x14ac:dyDescent="0.25">
      <c r="L72" s="1">
        <v>41</v>
      </c>
      <c r="M72">
        <v>0.01</v>
      </c>
    </row>
    <row r="73" spans="12:13" x14ac:dyDescent="0.25">
      <c r="L73" s="1">
        <v>42</v>
      </c>
      <c r="M73">
        <v>0.01</v>
      </c>
    </row>
    <row r="74" spans="12:13" x14ac:dyDescent="0.25">
      <c r="L74" s="1">
        <v>43</v>
      </c>
      <c r="M74">
        <v>0.01</v>
      </c>
    </row>
    <row r="75" spans="12:13" x14ac:dyDescent="0.25">
      <c r="L75" s="1">
        <v>44</v>
      </c>
      <c r="M75">
        <v>0.01</v>
      </c>
    </row>
    <row r="76" spans="12:13" x14ac:dyDescent="0.25">
      <c r="L76" s="1">
        <v>45</v>
      </c>
      <c r="M76">
        <v>0.01</v>
      </c>
    </row>
    <row r="77" spans="12:13" x14ac:dyDescent="0.25">
      <c r="L77" s="1">
        <v>46</v>
      </c>
      <c r="M77">
        <v>0.01</v>
      </c>
    </row>
    <row r="78" spans="12:13" x14ac:dyDescent="0.25">
      <c r="L78" s="1">
        <v>47</v>
      </c>
      <c r="M78">
        <v>0.01</v>
      </c>
    </row>
    <row r="79" spans="12:13" x14ac:dyDescent="0.25">
      <c r="L79" s="1">
        <v>48</v>
      </c>
      <c r="M79">
        <v>0.01</v>
      </c>
    </row>
    <row r="80" spans="12:13" x14ac:dyDescent="0.25">
      <c r="L80" s="1">
        <v>49</v>
      </c>
      <c r="M80">
        <v>0.01</v>
      </c>
    </row>
    <row r="81" spans="12:13" x14ac:dyDescent="0.25">
      <c r="L81" s="1">
        <v>50</v>
      </c>
      <c r="M81">
        <v>0.01</v>
      </c>
    </row>
    <row r="82" spans="12:13" x14ac:dyDescent="0.25">
      <c r="L82" s="1">
        <v>51</v>
      </c>
      <c r="M82">
        <v>0.01</v>
      </c>
    </row>
    <row r="83" spans="12:13" x14ac:dyDescent="0.25">
      <c r="L83" s="1">
        <v>52</v>
      </c>
      <c r="M83">
        <v>0.01</v>
      </c>
    </row>
    <row r="84" spans="12:13" x14ac:dyDescent="0.25">
      <c r="L84" s="1">
        <v>53</v>
      </c>
      <c r="M84">
        <v>0.01</v>
      </c>
    </row>
    <row r="85" spans="12:13" x14ac:dyDescent="0.25">
      <c r="L85" s="1">
        <v>54</v>
      </c>
      <c r="M85">
        <v>0.01</v>
      </c>
    </row>
    <row r="86" spans="12:13" x14ac:dyDescent="0.25">
      <c r="L86" s="1">
        <v>55</v>
      </c>
      <c r="M86">
        <v>0.01</v>
      </c>
    </row>
    <row r="87" spans="12:13" x14ac:dyDescent="0.25">
      <c r="L87" s="1">
        <v>56</v>
      </c>
      <c r="M87">
        <v>0.01</v>
      </c>
    </row>
    <row r="88" spans="12:13" x14ac:dyDescent="0.25">
      <c r="L88" s="1">
        <v>57</v>
      </c>
      <c r="M88">
        <v>0.01</v>
      </c>
    </row>
    <row r="89" spans="12:13" x14ac:dyDescent="0.25">
      <c r="L89" s="1">
        <v>58</v>
      </c>
      <c r="M89">
        <v>0.01</v>
      </c>
    </row>
    <row r="90" spans="12:13" x14ac:dyDescent="0.25">
      <c r="L90" s="1">
        <v>59</v>
      </c>
      <c r="M90">
        <v>0.01</v>
      </c>
    </row>
    <row r="91" spans="12:13" x14ac:dyDescent="0.25">
      <c r="L91" s="1">
        <v>60</v>
      </c>
      <c r="M91">
        <v>0.01</v>
      </c>
    </row>
    <row r="92" spans="12:13" x14ac:dyDescent="0.25">
      <c r="L92" s="1">
        <v>61</v>
      </c>
      <c r="M92">
        <v>0.01</v>
      </c>
    </row>
    <row r="93" spans="12:13" x14ac:dyDescent="0.25">
      <c r="L93" s="1">
        <v>62</v>
      </c>
      <c r="M93">
        <v>0.01</v>
      </c>
    </row>
    <row r="94" spans="12:13" x14ac:dyDescent="0.25">
      <c r="L94" s="1">
        <v>63</v>
      </c>
      <c r="M94">
        <v>0.01</v>
      </c>
    </row>
    <row r="95" spans="12:13" x14ac:dyDescent="0.25">
      <c r="L95" s="1">
        <v>64</v>
      </c>
      <c r="M95">
        <v>0.01</v>
      </c>
    </row>
    <row r="96" spans="12:13" x14ac:dyDescent="0.25">
      <c r="L96" s="1">
        <v>65</v>
      </c>
      <c r="M96">
        <v>0.01</v>
      </c>
    </row>
    <row r="97" spans="12:13" x14ac:dyDescent="0.25">
      <c r="L97" s="1">
        <v>66</v>
      </c>
      <c r="M97">
        <v>0.01</v>
      </c>
    </row>
    <row r="98" spans="12:13" x14ac:dyDescent="0.25">
      <c r="L98" s="1">
        <v>67</v>
      </c>
      <c r="M98">
        <v>0.01</v>
      </c>
    </row>
    <row r="99" spans="12:13" x14ac:dyDescent="0.25">
      <c r="L99" s="1">
        <v>68</v>
      </c>
      <c r="M99">
        <v>0.01</v>
      </c>
    </row>
    <row r="100" spans="12:13" x14ac:dyDescent="0.25">
      <c r="L100" s="1">
        <v>69</v>
      </c>
      <c r="M100">
        <v>0.01</v>
      </c>
    </row>
    <row r="101" spans="12:13" x14ac:dyDescent="0.25">
      <c r="L101" s="1">
        <v>70</v>
      </c>
      <c r="M101">
        <v>0.01</v>
      </c>
    </row>
    <row r="102" spans="12:13" x14ac:dyDescent="0.25">
      <c r="L102" s="1">
        <v>71</v>
      </c>
      <c r="M102">
        <v>0.01</v>
      </c>
    </row>
    <row r="103" spans="12:13" x14ac:dyDescent="0.25">
      <c r="L103" s="1">
        <v>72</v>
      </c>
      <c r="M103">
        <v>0.01</v>
      </c>
    </row>
    <row r="104" spans="12:13" x14ac:dyDescent="0.25">
      <c r="L104" s="1">
        <v>73</v>
      </c>
      <c r="M104">
        <v>0.01</v>
      </c>
    </row>
    <row r="105" spans="12:13" x14ac:dyDescent="0.25">
      <c r="L105" s="1">
        <v>74</v>
      </c>
      <c r="M105">
        <v>0.01</v>
      </c>
    </row>
    <row r="106" spans="12:13" x14ac:dyDescent="0.25">
      <c r="L106" s="1">
        <v>75</v>
      </c>
      <c r="M106">
        <v>0.01</v>
      </c>
    </row>
    <row r="107" spans="12:13" x14ac:dyDescent="0.25">
      <c r="L107" s="1">
        <v>76</v>
      </c>
      <c r="M107">
        <v>0.01</v>
      </c>
    </row>
    <row r="108" spans="12:13" x14ac:dyDescent="0.25">
      <c r="L108" s="1">
        <v>77</v>
      </c>
      <c r="M108">
        <v>0.01</v>
      </c>
    </row>
    <row r="109" spans="12:13" x14ac:dyDescent="0.25">
      <c r="L109" s="1">
        <v>78</v>
      </c>
      <c r="M109">
        <v>0.01</v>
      </c>
    </row>
    <row r="110" spans="12:13" x14ac:dyDescent="0.25">
      <c r="L110" s="1">
        <v>79</v>
      </c>
      <c r="M110">
        <v>0.01</v>
      </c>
    </row>
    <row r="111" spans="12:13" x14ac:dyDescent="0.25">
      <c r="L111" s="1">
        <v>80</v>
      </c>
      <c r="M111">
        <v>0.01</v>
      </c>
    </row>
    <row r="112" spans="12:13" x14ac:dyDescent="0.25">
      <c r="L112" s="1">
        <v>81</v>
      </c>
      <c r="M112">
        <v>0.01</v>
      </c>
    </row>
    <row r="113" spans="12:13" x14ac:dyDescent="0.25">
      <c r="L113" s="1">
        <v>82</v>
      </c>
      <c r="M113">
        <v>0.01</v>
      </c>
    </row>
    <row r="114" spans="12:13" x14ac:dyDescent="0.25">
      <c r="L114" s="1">
        <v>83</v>
      </c>
      <c r="M114">
        <v>0.01</v>
      </c>
    </row>
    <row r="115" spans="12:13" x14ac:dyDescent="0.25">
      <c r="L115" s="1">
        <v>84</v>
      </c>
      <c r="M115">
        <v>0.01</v>
      </c>
    </row>
    <row r="116" spans="12:13" x14ac:dyDescent="0.25">
      <c r="L116" s="1">
        <v>85</v>
      </c>
      <c r="M116">
        <v>0.01</v>
      </c>
    </row>
    <row r="117" spans="12:13" x14ac:dyDescent="0.25">
      <c r="L117" s="1">
        <v>86</v>
      </c>
      <c r="M117">
        <v>0.01</v>
      </c>
    </row>
    <row r="118" spans="12:13" x14ac:dyDescent="0.25">
      <c r="L118" s="1">
        <v>87</v>
      </c>
      <c r="M118">
        <v>0.01</v>
      </c>
    </row>
    <row r="119" spans="12:13" x14ac:dyDescent="0.25">
      <c r="L119" s="1">
        <v>88</v>
      </c>
      <c r="M119">
        <v>0.01</v>
      </c>
    </row>
    <row r="120" spans="12:13" x14ac:dyDescent="0.25">
      <c r="L120" s="1">
        <v>89</v>
      </c>
      <c r="M120">
        <v>0.01</v>
      </c>
    </row>
    <row r="121" spans="12:13" x14ac:dyDescent="0.25">
      <c r="L121" s="1">
        <v>90</v>
      </c>
      <c r="M121">
        <v>0.01</v>
      </c>
    </row>
    <row r="122" spans="12:13" x14ac:dyDescent="0.25">
      <c r="L122" s="1">
        <v>91</v>
      </c>
      <c r="M122">
        <v>0.01</v>
      </c>
    </row>
    <row r="123" spans="12:13" x14ac:dyDescent="0.25">
      <c r="L123" s="1">
        <v>92</v>
      </c>
      <c r="M123">
        <v>0.01</v>
      </c>
    </row>
    <row r="124" spans="12:13" x14ac:dyDescent="0.25">
      <c r="L124" s="1">
        <v>93</v>
      </c>
      <c r="M124">
        <v>0.01</v>
      </c>
    </row>
    <row r="125" spans="12:13" x14ac:dyDescent="0.25">
      <c r="L125" s="1">
        <v>94</v>
      </c>
      <c r="M125">
        <v>0.01</v>
      </c>
    </row>
    <row r="126" spans="12:13" x14ac:dyDescent="0.25">
      <c r="L126" s="1">
        <v>95</v>
      </c>
      <c r="M126">
        <v>0.01</v>
      </c>
    </row>
    <row r="127" spans="12:13" x14ac:dyDescent="0.25">
      <c r="L127" s="1">
        <v>96</v>
      </c>
      <c r="M127">
        <v>0.01</v>
      </c>
    </row>
    <row r="128" spans="12:13" x14ac:dyDescent="0.25">
      <c r="L128" s="1">
        <v>97</v>
      </c>
      <c r="M128">
        <v>0.01</v>
      </c>
    </row>
    <row r="129" spans="12:13" x14ac:dyDescent="0.25">
      <c r="L129" s="1">
        <v>98</v>
      </c>
      <c r="M129">
        <v>0.01</v>
      </c>
    </row>
    <row r="130" spans="12:13" x14ac:dyDescent="0.25">
      <c r="L130" s="1">
        <v>99</v>
      </c>
      <c r="M130">
        <v>0.01</v>
      </c>
    </row>
    <row r="131" spans="12:13" x14ac:dyDescent="0.25">
      <c r="L131" s="1">
        <v>100</v>
      </c>
      <c r="M131">
        <v>0.01</v>
      </c>
    </row>
    <row r="132" spans="12:13" x14ac:dyDescent="0.25">
      <c r="L132" s="1">
        <v>101</v>
      </c>
      <c r="M132">
        <v>0.01</v>
      </c>
    </row>
    <row r="133" spans="12:13" x14ac:dyDescent="0.25">
      <c r="L133" s="1">
        <v>102</v>
      </c>
      <c r="M133">
        <v>0.01</v>
      </c>
    </row>
    <row r="134" spans="12:13" x14ac:dyDescent="0.25">
      <c r="L134" s="1">
        <v>103</v>
      </c>
      <c r="M134">
        <v>0.01</v>
      </c>
    </row>
    <row r="135" spans="12:13" x14ac:dyDescent="0.25">
      <c r="L135" s="1">
        <v>104</v>
      </c>
      <c r="M135">
        <v>0.01</v>
      </c>
    </row>
    <row r="136" spans="12:13" x14ac:dyDescent="0.25">
      <c r="L136" s="1">
        <v>105</v>
      </c>
      <c r="M136">
        <v>0.01</v>
      </c>
    </row>
    <row r="137" spans="12:13" x14ac:dyDescent="0.25">
      <c r="L137" s="1">
        <v>106</v>
      </c>
      <c r="M137">
        <v>0.01</v>
      </c>
    </row>
    <row r="138" spans="12:13" x14ac:dyDescent="0.25">
      <c r="L138" s="1">
        <v>107</v>
      </c>
      <c r="M138">
        <v>0.01</v>
      </c>
    </row>
    <row r="139" spans="12:13" x14ac:dyDescent="0.25">
      <c r="L139" s="1">
        <v>108</v>
      </c>
      <c r="M139">
        <v>0.01</v>
      </c>
    </row>
    <row r="140" spans="12:13" x14ac:dyDescent="0.25">
      <c r="L140" s="1">
        <v>109</v>
      </c>
      <c r="M140">
        <v>0.01</v>
      </c>
    </row>
    <row r="141" spans="12:13" x14ac:dyDescent="0.25">
      <c r="L141" s="1">
        <v>110</v>
      </c>
      <c r="M141">
        <v>0.01</v>
      </c>
    </row>
    <row r="142" spans="12:13" x14ac:dyDescent="0.25">
      <c r="L142" s="1">
        <v>111</v>
      </c>
      <c r="M142">
        <v>0.01</v>
      </c>
    </row>
    <row r="143" spans="12:13" x14ac:dyDescent="0.25">
      <c r="L143" s="1">
        <v>112</v>
      </c>
      <c r="M143">
        <v>0.01</v>
      </c>
    </row>
    <row r="144" spans="12:13" x14ac:dyDescent="0.25">
      <c r="L144" s="1">
        <v>113</v>
      </c>
      <c r="M144">
        <v>0.01</v>
      </c>
    </row>
    <row r="145" spans="12:13" x14ac:dyDescent="0.25">
      <c r="L145" s="1">
        <v>114</v>
      </c>
      <c r="M145">
        <v>0.01</v>
      </c>
    </row>
    <row r="146" spans="12:13" x14ac:dyDescent="0.25">
      <c r="L146" s="1">
        <v>115</v>
      </c>
      <c r="M146">
        <v>0.01</v>
      </c>
    </row>
    <row r="147" spans="12:13" x14ac:dyDescent="0.25">
      <c r="L147" s="1">
        <v>116</v>
      </c>
      <c r="M147">
        <v>0.01</v>
      </c>
    </row>
    <row r="148" spans="12:13" x14ac:dyDescent="0.25">
      <c r="L148" s="1">
        <v>117</v>
      </c>
      <c r="M148">
        <v>0.01</v>
      </c>
    </row>
    <row r="149" spans="12:13" x14ac:dyDescent="0.25">
      <c r="L149" s="1">
        <v>118</v>
      </c>
      <c r="M149">
        <v>0.01</v>
      </c>
    </row>
    <row r="150" spans="12:13" x14ac:dyDescent="0.25">
      <c r="L150" s="1">
        <v>119</v>
      </c>
      <c r="M150">
        <v>0.01</v>
      </c>
    </row>
    <row r="151" spans="12:13" x14ac:dyDescent="0.25">
      <c r="L151" s="1">
        <v>120</v>
      </c>
      <c r="M151">
        <v>0.01</v>
      </c>
    </row>
    <row r="152" spans="12:13" x14ac:dyDescent="0.25">
      <c r="L152" s="1">
        <v>121</v>
      </c>
      <c r="M152">
        <v>0.01</v>
      </c>
    </row>
    <row r="153" spans="12:13" x14ac:dyDescent="0.25">
      <c r="L153" s="1">
        <v>122</v>
      </c>
      <c r="M153">
        <v>0.01</v>
      </c>
    </row>
    <row r="154" spans="12:13" x14ac:dyDescent="0.25">
      <c r="L154" s="1">
        <v>123</v>
      </c>
      <c r="M154">
        <v>0.01</v>
      </c>
    </row>
    <row r="155" spans="12:13" x14ac:dyDescent="0.25">
      <c r="L155" s="1">
        <v>124</v>
      </c>
      <c r="M155">
        <v>0.01</v>
      </c>
    </row>
    <row r="156" spans="12:13" x14ac:dyDescent="0.25">
      <c r="L156" s="1">
        <v>125</v>
      </c>
      <c r="M156">
        <v>0.01</v>
      </c>
    </row>
    <row r="157" spans="12:13" x14ac:dyDescent="0.25">
      <c r="L157" s="1">
        <v>126</v>
      </c>
      <c r="M157">
        <v>0.01</v>
      </c>
    </row>
    <row r="158" spans="12:13" x14ac:dyDescent="0.25">
      <c r="L158" s="1">
        <v>127</v>
      </c>
      <c r="M158">
        <v>0.01</v>
      </c>
    </row>
    <row r="159" spans="12:13" x14ac:dyDescent="0.25">
      <c r="L159" s="1">
        <v>128</v>
      </c>
      <c r="M159">
        <v>0.01</v>
      </c>
    </row>
    <row r="160" spans="12:13" x14ac:dyDescent="0.25">
      <c r="L160" s="1">
        <v>129</v>
      </c>
      <c r="M160">
        <v>0.01</v>
      </c>
    </row>
    <row r="161" spans="12:13" x14ac:dyDescent="0.25">
      <c r="L161" s="1">
        <v>130</v>
      </c>
      <c r="M161">
        <v>0.01</v>
      </c>
    </row>
    <row r="162" spans="12:13" x14ac:dyDescent="0.25">
      <c r="L162" s="1">
        <v>131</v>
      </c>
      <c r="M162">
        <v>0.01</v>
      </c>
    </row>
    <row r="163" spans="12:13" x14ac:dyDescent="0.25">
      <c r="L163" s="1">
        <v>132</v>
      </c>
      <c r="M163">
        <v>0.01</v>
      </c>
    </row>
    <row r="164" spans="12:13" x14ac:dyDescent="0.25">
      <c r="L164" s="1">
        <v>133</v>
      </c>
      <c r="M164">
        <v>0.01</v>
      </c>
    </row>
    <row r="165" spans="12:13" x14ac:dyDescent="0.25">
      <c r="L165" s="1">
        <v>134</v>
      </c>
      <c r="M165">
        <v>0.01</v>
      </c>
    </row>
    <row r="166" spans="12:13" x14ac:dyDescent="0.25">
      <c r="L166" s="1">
        <v>135</v>
      </c>
      <c r="M166">
        <v>0.01</v>
      </c>
    </row>
    <row r="167" spans="12:13" x14ac:dyDescent="0.25">
      <c r="L167" s="1">
        <v>136</v>
      </c>
      <c r="M167">
        <v>0.01</v>
      </c>
    </row>
    <row r="168" spans="12:13" x14ac:dyDescent="0.25">
      <c r="L168" s="1">
        <v>137</v>
      </c>
      <c r="M168">
        <v>0.01</v>
      </c>
    </row>
    <row r="169" spans="12:13" x14ac:dyDescent="0.25">
      <c r="L169" s="1">
        <v>138</v>
      </c>
      <c r="M169">
        <v>0.01</v>
      </c>
    </row>
    <row r="170" spans="12:13" x14ac:dyDescent="0.25">
      <c r="L170" s="1">
        <v>139</v>
      </c>
      <c r="M170">
        <v>0.01</v>
      </c>
    </row>
    <row r="171" spans="12:13" x14ac:dyDescent="0.25">
      <c r="L171" s="1">
        <v>140</v>
      </c>
      <c r="M171">
        <v>0.01</v>
      </c>
    </row>
    <row r="172" spans="12:13" x14ac:dyDescent="0.25">
      <c r="L172" s="1">
        <v>141</v>
      </c>
      <c r="M172">
        <v>0.01</v>
      </c>
    </row>
    <row r="173" spans="12:13" x14ac:dyDescent="0.25">
      <c r="L173" s="1">
        <v>142</v>
      </c>
      <c r="M173">
        <v>0.01</v>
      </c>
    </row>
    <row r="174" spans="12:13" x14ac:dyDescent="0.25">
      <c r="L174" s="1">
        <v>143</v>
      </c>
      <c r="M174">
        <v>0.01</v>
      </c>
    </row>
    <row r="175" spans="12:13" x14ac:dyDescent="0.25">
      <c r="L175" s="1">
        <v>144</v>
      </c>
      <c r="M175">
        <v>0.01</v>
      </c>
    </row>
    <row r="176" spans="12:13" x14ac:dyDescent="0.25">
      <c r="L176" s="1">
        <v>145</v>
      </c>
      <c r="M176">
        <v>0.01</v>
      </c>
    </row>
    <row r="177" spans="12:13" x14ac:dyDescent="0.25">
      <c r="L177" s="1">
        <v>146</v>
      </c>
      <c r="M177">
        <v>0.01</v>
      </c>
    </row>
    <row r="178" spans="12:13" x14ac:dyDescent="0.25">
      <c r="L178" s="1">
        <v>147</v>
      </c>
      <c r="M178">
        <v>0.01</v>
      </c>
    </row>
    <row r="179" spans="12:13" x14ac:dyDescent="0.25">
      <c r="L179" s="1">
        <v>148</v>
      </c>
      <c r="M179">
        <v>0.01</v>
      </c>
    </row>
    <row r="180" spans="12:13" x14ac:dyDescent="0.25">
      <c r="L180" s="1">
        <v>149</v>
      </c>
      <c r="M180">
        <v>0.01</v>
      </c>
    </row>
    <row r="181" spans="12:13" x14ac:dyDescent="0.25">
      <c r="L181" s="1">
        <v>150</v>
      </c>
      <c r="M181">
        <v>0.01</v>
      </c>
    </row>
    <row r="182" spans="12:13" x14ac:dyDescent="0.25">
      <c r="L182" s="1">
        <v>151</v>
      </c>
      <c r="M182">
        <v>0.01</v>
      </c>
    </row>
    <row r="183" spans="12:13" x14ac:dyDescent="0.25">
      <c r="L183" s="1">
        <v>152</v>
      </c>
      <c r="M183">
        <v>0.01</v>
      </c>
    </row>
    <row r="184" spans="12:13" x14ac:dyDescent="0.25">
      <c r="L184" s="1">
        <v>153</v>
      </c>
      <c r="M184">
        <v>0.01</v>
      </c>
    </row>
    <row r="185" spans="12:13" x14ac:dyDescent="0.25">
      <c r="L185" s="1">
        <v>154</v>
      </c>
      <c r="M185">
        <v>0.01</v>
      </c>
    </row>
    <row r="186" spans="12:13" x14ac:dyDescent="0.25">
      <c r="L186" s="1">
        <v>155</v>
      </c>
      <c r="M186">
        <v>0.01</v>
      </c>
    </row>
    <row r="187" spans="12:13" x14ac:dyDescent="0.25">
      <c r="L187" s="1">
        <v>156</v>
      </c>
      <c r="M187">
        <v>0.01</v>
      </c>
    </row>
    <row r="188" spans="12:13" x14ac:dyDescent="0.25">
      <c r="L188" s="1">
        <v>157</v>
      </c>
      <c r="M188">
        <v>0.01</v>
      </c>
    </row>
    <row r="189" spans="12:13" x14ac:dyDescent="0.25">
      <c r="L189" s="1">
        <v>158</v>
      </c>
      <c r="M189">
        <v>0.01</v>
      </c>
    </row>
    <row r="190" spans="12:13" x14ac:dyDescent="0.25">
      <c r="L190" s="1">
        <v>159</v>
      </c>
      <c r="M190">
        <v>0.01</v>
      </c>
    </row>
    <row r="191" spans="12:13" x14ac:dyDescent="0.25">
      <c r="L191" s="1">
        <v>160</v>
      </c>
      <c r="M191">
        <v>0.01</v>
      </c>
    </row>
    <row r="192" spans="12:13" x14ac:dyDescent="0.25">
      <c r="L192" s="1">
        <v>161</v>
      </c>
      <c r="M192">
        <v>0.01</v>
      </c>
    </row>
    <row r="193" spans="12:13" x14ac:dyDescent="0.25">
      <c r="L193" s="1">
        <v>162</v>
      </c>
      <c r="M193">
        <v>0.01</v>
      </c>
    </row>
    <row r="194" spans="12:13" x14ac:dyDescent="0.25">
      <c r="L194" s="1">
        <v>163</v>
      </c>
      <c r="M194">
        <v>0.01</v>
      </c>
    </row>
    <row r="195" spans="12:13" x14ac:dyDescent="0.25">
      <c r="L195" s="1">
        <v>164</v>
      </c>
      <c r="M195">
        <v>0.01</v>
      </c>
    </row>
    <row r="196" spans="12:13" x14ac:dyDescent="0.25">
      <c r="L196" s="1">
        <v>165</v>
      </c>
      <c r="M196">
        <v>0.01</v>
      </c>
    </row>
    <row r="197" spans="12:13" x14ac:dyDescent="0.25">
      <c r="L197" s="1">
        <v>166</v>
      </c>
      <c r="M197">
        <v>0.01</v>
      </c>
    </row>
    <row r="198" spans="12:13" x14ac:dyDescent="0.25">
      <c r="L198" s="1">
        <v>167</v>
      </c>
      <c r="M198">
        <v>0.01</v>
      </c>
    </row>
    <row r="199" spans="12:13" x14ac:dyDescent="0.25">
      <c r="L199" s="1">
        <v>168</v>
      </c>
      <c r="M199">
        <v>0.01</v>
      </c>
    </row>
    <row r="200" spans="12:13" x14ac:dyDescent="0.25">
      <c r="L200" s="1">
        <v>169</v>
      </c>
      <c r="M200">
        <v>0.01</v>
      </c>
    </row>
    <row r="201" spans="12:13" x14ac:dyDescent="0.25">
      <c r="L201" s="1">
        <v>170</v>
      </c>
      <c r="M201">
        <v>0.01</v>
      </c>
    </row>
    <row r="202" spans="12:13" x14ac:dyDescent="0.25">
      <c r="L202" s="1">
        <v>171</v>
      </c>
      <c r="M202">
        <v>0.01</v>
      </c>
    </row>
    <row r="203" spans="12:13" x14ac:dyDescent="0.25">
      <c r="L203" s="1">
        <v>172</v>
      </c>
      <c r="M203">
        <v>0.01</v>
      </c>
    </row>
    <row r="204" spans="12:13" x14ac:dyDescent="0.25">
      <c r="L204" s="1">
        <v>173</v>
      </c>
      <c r="M204">
        <v>0.01</v>
      </c>
    </row>
    <row r="205" spans="12:13" x14ac:dyDescent="0.25">
      <c r="L205" s="1">
        <v>174</v>
      </c>
      <c r="M205">
        <v>0.01</v>
      </c>
    </row>
    <row r="206" spans="12:13" x14ac:dyDescent="0.25">
      <c r="L206" s="1">
        <v>175</v>
      </c>
      <c r="M206">
        <v>0.01</v>
      </c>
    </row>
    <row r="207" spans="12:13" x14ac:dyDescent="0.25">
      <c r="L207" s="1">
        <v>176</v>
      </c>
      <c r="M207">
        <v>0.01</v>
      </c>
    </row>
    <row r="208" spans="12:13" x14ac:dyDescent="0.25">
      <c r="L208" s="1">
        <v>177</v>
      </c>
      <c r="M208">
        <v>0.01</v>
      </c>
    </row>
    <row r="209" spans="12:13" x14ac:dyDescent="0.25">
      <c r="L209" s="1">
        <v>178</v>
      </c>
      <c r="M209">
        <v>0.01</v>
      </c>
    </row>
    <row r="210" spans="12:13" x14ac:dyDescent="0.25">
      <c r="L210" s="1">
        <v>179</v>
      </c>
      <c r="M210">
        <v>0.01</v>
      </c>
    </row>
    <row r="211" spans="12:13" x14ac:dyDescent="0.25">
      <c r="L211" s="1">
        <v>180</v>
      </c>
      <c r="M211">
        <v>0.01</v>
      </c>
    </row>
    <row r="212" spans="12:13" x14ac:dyDescent="0.25">
      <c r="L212" s="1">
        <v>181</v>
      </c>
      <c r="M212">
        <v>0.01</v>
      </c>
    </row>
    <row r="213" spans="12:13" x14ac:dyDescent="0.25">
      <c r="L213" s="1">
        <v>182</v>
      </c>
      <c r="M213">
        <v>0.01</v>
      </c>
    </row>
    <row r="214" spans="12:13" x14ac:dyDescent="0.25">
      <c r="L214" s="1">
        <v>183</v>
      </c>
      <c r="M214">
        <v>0.01</v>
      </c>
    </row>
    <row r="215" spans="12:13" x14ac:dyDescent="0.25">
      <c r="L215" s="1">
        <v>184</v>
      </c>
      <c r="M215">
        <v>0.01</v>
      </c>
    </row>
    <row r="216" spans="12:13" x14ac:dyDescent="0.25">
      <c r="L216" s="1">
        <v>185</v>
      </c>
      <c r="M216">
        <v>0.01</v>
      </c>
    </row>
    <row r="217" spans="12:13" x14ac:dyDescent="0.25">
      <c r="L217" s="1">
        <v>186</v>
      </c>
      <c r="M217">
        <v>0.01</v>
      </c>
    </row>
    <row r="218" spans="12:13" x14ac:dyDescent="0.25">
      <c r="L218" s="1">
        <v>187</v>
      </c>
      <c r="M218">
        <v>0.01</v>
      </c>
    </row>
    <row r="219" spans="12:13" x14ac:dyDescent="0.25">
      <c r="L219" s="1">
        <v>188</v>
      </c>
      <c r="M219">
        <v>0.01</v>
      </c>
    </row>
    <row r="220" spans="12:13" x14ac:dyDescent="0.25">
      <c r="L220" s="1">
        <v>189</v>
      </c>
      <c r="M220">
        <v>0.01</v>
      </c>
    </row>
    <row r="221" spans="12:13" x14ac:dyDescent="0.25">
      <c r="L221" s="1">
        <v>190</v>
      </c>
      <c r="M221">
        <v>0.01</v>
      </c>
    </row>
    <row r="222" spans="12:13" x14ac:dyDescent="0.25">
      <c r="L222" s="1">
        <v>191</v>
      </c>
      <c r="M222">
        <v>0.01</v>
      </c>
    </row>
    <row r="223" spans="12:13" x14ac:dyDescent="0.25">
      <c r="L223" s="1">
        <v>192</v>
      </c>
      <c r="M223">
        <v>0.01</v>
      </c>
    </row>
    <row r="224" spans="12:13" x14ac:dyDescent="0.25">
      <c r="L224" s="1">
        <v>193</v>
      </c>
      <c r="M224">
        <v>0.01</v>
      </c>
    </row>
    <row r="225" spans="12:13" x14ac:dyDescent="0.25">
      <c r="L225" s="1">
        <v>194</v>
      </c>
      <c r="M225">
        <v>0.01</v>
      </c>
    </row>
    <row r="226" spans="12:13" x14ac:dyDescent="0.25">
      <c r="L226" s="1">
        <v>195</v>
      </c>
      <c r="M226">
        <v>0.01</v>
      </c>
    </row>
    <row r="227" spans="12:13" x14ac:dyDescent="0.25">
      <c r="L227" s="1">
        <v>196</v>
      </c>
      <c r="M227">
        <v>0.01</v>
      </c>
    </row>
    <row r="228" spans="12:13" x14ac:dyDescent="0.25">
      <c r="L228" s="1">
        <v>197</v>
      </c>
      <c r="M228">
        <v>0.01</v>
      </c>
    </row>
    <row r="229" spans="12:13" x14ac:dyDescent="0.25">
      <c r="L229" s="1">
        <v>198</v>
      </c>
      <c r="M229">
        <v>0.01</v>
      </c>
    </row>
    <row r="230" spans="12:13" x14ac:dyDescent="0.25">
      <c r="L230" s="1">
        <v>199</v>
      </c>
      <c r="M230">
        <v>0.01</v>
      </c>
    </row>
    <row r="231" spans="12:13" x14ac:dyDescent="0.25">
      <c r="L231" s="1">
        <v>200</v>
      </c>
      <c r="M231">
        <v>0.01</v>
      </c>
    </row>
  </sheetData>
  <conditionalFormatting sqref="C2">
    <cfRule type="expression" dxfId="143" priority="152">
      <formula>$C$2="Normal"</formula>
    </cfRule>
  </conditionalFormatting>
  <conditionalFormatting sqref="C3">
    <cfRule type="expression" dxfId="142" priority="149">
      <formula>$C$3="Normal"</formula>
    </cfRule>
  </conditionalFormatting>
  <conditionalFormatting sqref="C4">
    <cfRule type="expression" dxfId="141" priority="133">
      <formula>$C$4="YES"</formula>
    </cfRule>
  </conditionalFormatting>
  <conditionalFormatting sqref="C5">
    <cfRule type="expression" dxfId="140" priority="141">
      <formula>$C$5="Vertical"</formula>
    </cfRule>
  </conditionalFormatting>
  <conditionalFormatting sqref="C6">
    <cfRule type="expression" dxfId="139" priority="131">
      <formula>$C$6="YES"</formula>
    </cfRule>
  </conditionalFormatting>
  <conditionalFormatting sqref="C7">
    <cfRule type="expression" dxfId="138" priority="148">
      <formula>$C$7="YES"</formula>
    </cfRule>
  </conditionalFormatting>
  <conditionalFormatting sqref="C8">
    <cfRule type="expression" dxfId="137" priority="145">
      <formula>$C$8="NO"</formula>
    </cfRule>
  </conditionalFormatting>
  <conditionalFormatting sqref="C9">
    <cfRule type="expression" dxfId="136" priority="144">
      <formula>$C$9="NO"</formula>
    </cfRule>
  </conditionalFormatting>
  <conditionalFormatting sqref="C10">
    <cfRule type="expression" dxfId="135" priority="127">
      <formula>$C$10="Normal"</formula>
    </cfRule>
  </conditionalFormatting>
  <conditionalFormatting sqref="C11">
    <cfRule type="expression" dxfId="134" priority="142">
      <formula>$C$11="YES"</formula>
    </cfRule>
  </conditionalFormatting>
  <conditionalFormatting sqref="C12">
    <cfRule type="expression" dxfId="133" priority="111">
      <formula>$C$12="NO"</formula>
    </cfRule>
  </conditionalFormatting>
  <conditionalFormatting sqref="C13">
    <cfRule type="expression" dxfId="132" priority="78">
      <formula>$C$13="YES"</formula>
    </cfRule>
  </conditionalFormatting>
  <conditionalFormatting sqref="C20">
    <cfRule type="colorScale" priority="126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D2">
    <cfRule type="expression" dxfId="131" priority="140">
      <formula>$D$2="Normal"</formula>
    </cfRule>
  </conditionalFormatting>
  <conditionalFormatting sqref="D3">
    <cfRule type="expression" dxfId="130" priority="124">
      <formula>$D$3="Normal"</formula>
    </cfRule>
  </conditionalFormatting>
  <conditionalFormatting sqref="D4">
    <cfRule type="expression" dxfId="129" priority="123">
      <formula>$D$4="YES"</formula>
    </cfRule>
  </conditionalFormatting>
  <conditionalFormatting sqref="D5">
    <cfRule type="expression" dxfId="128" priority="122">
      <formula>$D$5="Vertical"</formula>
    </cfRule>
  </conditionalFormatting>
  <conditionalFormatting sqref="D6">
    <cfRule type="expression" dxfId="127" priority="146">
      <formula>$D$6="YES"</formula>
    </cfRule>
  </conditionalFormatting>
  <conditionalFormatting sqref="D7">
    <cfRule type="expression" dxfId="126" priority="130">
      <formula>$D$7="YES"</formula>
    </cfRule>
  </conditionalFormatting>
  <conditionalFormatting sqref="D8">
    <cfRule type="expression" dxfId="125" priority="129">
      <formula>$D$8="NO"</formula>
    </cfRule>
  </conditionalFormatting>
  <conditionalFormatting sqref="D9">
    <cfRule type="expression" dxfId="124" priority="128">
      <formula>$D$9="NO"</formula>
    </cfRule>
  </conditionalFormatting>
  <conditionalFormatting sqref="D10">
    <cfRule type="expression" dxfId="123" priority="143">
      <formula>$D$10="Normal"</formula>
    </cfRule>
  </conditionalFormatting>
  <conditionalFormatting sqref="D11">
    <cfRule type="expression" dxfId="122" priority="112">
      <formula>$D$11="YES"</formula>
    </cfRule>
  </conditionalFormatting>
  <conditionalFormatting sqref="D12">
    <cfRule type="expression" dxfId="121" priority="116">
      <formula>$D$12="NO"</formula>
    </cfRule>
  </conditionalFormatting>
  <conditionalFormatting sqref="D13">
    <cfRule type="expression" dxfId="120" priority="77">
      <formula>$D$13="YES"</formula>
    </cfRule>
  </conditionalFormatting>
  <conditionalFormatting sqref="D20:O20">
    <cfRule type="colorScale" priority="125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E2">
    <cfRule type="expression" dxfId="119" priority="135">
      <formula>$E$2="Normal"</formula>
    </cfRule>
  </conditionalFormatting>
  <conditionalFormatting sqref="E3">
    <cfRule type="expression" dxfId="118" priority="134">
      <formula>$E$3="Normal"</formula>
    </cfRule>
  </conditionalFormatting>
  <conditionalFormatting sqref="E4">
    <cfRule type="expression" dxfId="117" priority="147">
      <formula>$E$4="YES"</formula>
    </cfRule>
  </conditionalFormatting>
  <conditionalFormatting sqref="E5">
    <cfRule type="expression" dxfId="116" priority="132">
      <formula>$E$5="Vertical"</formula>
    </cfRule>
  </conditionalFormatting>
  <conditionalFormatting sqref="E6">
    <cfRule type="expression" dxfId="115" priority="121">
      <formula>$E$6="YES"</formula>
    </cfRule>
  </conditionalFormatting>
  <conditionalFormatting sqref="E7">
    <cfRule type="expression" dxfId="114" priority="120">
      <formula>$E$7="YES"</formula>
    </cfRule>
  </conditionalFormatting>
  <conditionalFormatting sqref="E8">
    <cfRule type="expression" dxfId="113" priority="119">
      <formula>$E$8="NO"</formula>
    </cfRule>
  </conditionalFormatting>
  <conditionalFormatting sqref="E9">
    <cfRule type="expression" dxfId="112" priority="118">
      <formula>$E$9="NO"</formula>
    </cfRule>
  </conditionalFormatting>
  <conditionalFormatting sqref="E10">
    <cfRule type="expression" dxfId="111" priority="117">
      <formula>$E$10="Normal"</formula>
    </cfRule>
  </conditionalFormatting>
  <conditionalFormatting sqref="E11">
    <cfRule type="expression" dxfId="110" priority="113">
      <formula>$E$11="YES"</formula>
    </cfRule>
  </conditionalFormatting>
  <conditionalFormatting sqref="E12">
    <cfRule type="expression" dxfId="109" priority="110">
      <formula>$E$12="NO"</formula>
    </cfRule>
  </conditionalFormatting>
  <conditionalFormatting sqref="E13">
    <cfRule type="expression" dxfId="108" priority="76">
      <formula>$E$13="YES"</formula>
    </cfRule>
  </conditionalFormatting>
  <conditionalFormatting sqref="F2">
    <cfRule type="expression" dxfId="107" priority="136">
      <formula>$F$2="Normal"</formula>
    </cfRule>
  </conditionalFormatting>
  <conditionalFormatting sqref="F3">
    <cfRule type="expression" dxfId="106" priority="109">
      <formula>$F$3="Normal"</formula>
    </cfRule>
  </conditionalFormatting>
  <conditionalFormatting sqref="F4">
    <cfRule type="expression" dxfId="105" priority="108">
      <formula>$F$4="YES"</formula>
    </cfRule>
  </conditionalFormatting>
  <conditionalFormatting sqref="F5">
    <cfRule type="expression" dxfId="104" priority="107">
      <formula>$F$5="Vertical"</formula>
    </cfRule>
  </conditionalFormatting>
  <conditionalFormatting sqref="F6">
    <cfRule type="expression" dxfId="103" priority="106">
      <formula>$F$6="YES"</formula>
    </cfRule>
  </conditionalFormatting>
  <conditionalFormatting sqref="F7">
    <cfRule type="expression" dxfId="102" priority="105">
      <formula>$F$7="YES"</formula>
    </cfRule>
  </conditionalFormatting>
  <conditionalFormatting sqref="F8">
    <cfRule type="expression" dxfId="101" priority="104">
      <formula>$F$8="NO"</formula>
    </cfRule>
  </conditionalFormatting>
  <conditionalFormatting sqref="F9">
    <cfRule type="expression" dxfId="100" priority="103">
      <formula>$F$9="NO"</formula>
    </cfRule>
  </conditionalFormatting>
  <conditionalFormatting sqref="F10">
    <cfRule type="expression" dxfId="99" priority="102">
      <formula>$F$10="Normal"</formula>
    </cfRule>
  </conditionalFormatting>
  <conditionalFormatting sqref="F11">
    <cfRule type="expression" dxfId="98" priority="101">
      <formula>$F$11="YES"</formula>
    </cfRule>
  </conditionalFormatting>
  <conditionalFormatting sqref="F12">
    <cfRule type="expression" dxfId="97" priority="100">
      <formula>$F$12="NO"</formula>
    </cfRule>
  </conditionalFormatting>
  <conditionalFormatting sqref="F13">
    <cfRule type="expression" dxfId="96" priority="75">
      <formula>$F$13="YES"</formula>
    </cfRule>
  </conditionalFormatting>
  <conditionalFormatting sqref="G2">
    <cfRule type="expression" dxfId="95" priority="137">
      <formula>$G$2="Normal"</formula>
    </cfRule>
  </conditionalFormatting>
  <conditionalFormatting sqref="G3">
    <cfRule type="expression" dxfId="94" priority="99">
      <formula>$G$3="Normal"</formula>
    </cfRule>
  </conditionalFormatting>
  <conditionalFormatting sqref="G4">
    <cfRule type="expression" dxfId="93" priority="98">
      <formula>$G$4="YES"</formula>
    </cfRule>
  </conditionalFormatting>
  <conditionalFormatting sqref="G5">
    <cfRule type="expression" dxfId="92" priority="97">
      <formula>$G$5="Vertical"</formula>
    </cfRule>
  </conditionalFormatting>
  <conditionalFormatting sqref="G6">
    <cfRule type="expression" dxfId="91" priority="96">
      <formula>$G$6="YES"</formula>
    </cfRule>
  </conditionalFormatting>
  <conditionalFormatting sqref="G7">
    <cfRule type="expression" dxfId="90" priority="95">
      <formula>$G$7="YES"</formula>
    </cfRule>
  </conditionalFormatting>
  <conditionalFormatting sqref="G8">
    <cfRule type="expression" dxfId="89" priority="94">
      <formula>$G$8="NO"</formula>
    </cfRule>
  </conditionalFormatting>
  <conditionalFormatting sqref="G9">
    <cfRule type="expression" dxfId="88" priority="93">
      <formula>$G$9="NO"</formula>
    </cfRule>
  </conditionalFormatting>
  <conditionalFormatting sqref="G10">
    <cfRule type="expression" dxfId="87" priority="92">
      <formula>$G$10="Normal"</formula>
    </cfRule>
  </conditionalFormatting>
  <conditionalFormatting sqref="G11">
    <cfRule type="expression" dxfId="86" priority="91">
      <formula>$G$11="YES"</formula>
    </cfRule>
  </conditionalFormatting>
  <conditionalFormatting sqref="G12">
    <cfRule type="expression" dxfId="85" priority="90">
      <formula>$G$12="NO"</formula>
    </cfRule>
  </conditionalFormatting>
  <conditionalFormatting sqref="G13">
    <cfRule type="expression" dxfId="84" priority="74">
      <formula>$G$13="YES"</formula>
    </cfRule>
  </conditionalFormatting>
  <conditionalFormatting sqref="H2">
    <cfRule type="expression" dxfId="83" priority="89">
      <formula>$H$2="Normal"</formula>
    </cfRule>
  </conditionalFormatting>
  <conditionalFormatting sqref="H3">
    <cfRule type="expression" dxfId="82" priority="88">
      <formula>$H$3="Normal"</formula>
    </cfRule>
  </conditionalFormatting>
  <conditionalFormatting sqref="H4">
    <cfRule type="expression" dxfId="81" priority="87">
      <formula>$H$4="YES"</formula>
    </cfRule>
  </conditionalFormatting>
  <conditionalFormatting sqref="H5">
    <cfRule type="expression" dxfId="80" priority="86">
      <formula>$H$5="Vertical"</formula>
    </cfRule>
  </conditionalFormatting>
  <conditionalFormatting sqref="H6">
    <cfRule type="expression" dxfId="79" priority="85">
      <formula>$H$6="YES"</formula>
    </cfRule>
  </conditionalFormatting>
  <conditionalFormatting sqref="H7">
    <cfRule type="expression" dxfId="78" priority="84">
      <formula>$H$7="YES"</formula>
    </cfRule>
  </conditionalFormatting>
  <conditionalFormatting sqref="H8">
    <cfRule type="expression" dxfId="77" priority="83">
      <formula>$H$8="NO"</formula>
    </cfRule>
  </conditionalFormatting>
  <conditionalFormatting sqref="H9">
    <cfRule type="expression" dxfId="76" priority="82">
      <formula>$H$9="NO"</formula>
    </cfRule>
  </conditionalFormatting>
  <conditionalFormatting sqref="H10">
    <cfRule type="expression" dxfId="75" priority="81">
      <formula>$H$10="Normal"</formula>
    </cfRule>
  </conditionalFormatting>
  <conditionalFormatting sqref="H11">
    <cfRule type="expression" dxfId="74" priority="80">
      <formula>$H$11="YES"</formula>
    </cfRule>
  </conditionalFormatting>
  <conditionalFormatting sqref="H12">
    <cfRule type="expression" dxfId="73" priority="79">
      <formula>$H$12="NO"</formula>
    </cfRule>
  </conditionalFormatting>
  <conditionalFormatting sqref="H13">
    <cfRule type="expression" dxfId="72" priority="73">
      <formula>$H$13="YES"</formula>
    </cfRule>
  </conditionalFormatting>
  <conditionalFormatting sqref="I2">
    <cfRule type="expression" dxfId="71" priority="72">
      <formula>$I$2="Normal"</formula>
    </cfRule>
  </conditionalFormatting>
  <conditionalFormatting sqref="I3">
    <cfRule type="expression" dxfId="70" priority="71">
      <formula>$I$3="Normal"</formula>
    </cfRule>
  </conditionalFormatting>
  <conditionalFormatting sqref="I4">
    <cfRule type="expression" dxfId="69" priority="70">
      <formula>$I$4="YES"</formula>
    </cfRule>
  </conditionalFormatting>
  <conditionalFormatting sqref="I5">
    <cfRule type="expression" dxfId="68" priority="69">
      <formula>$I$5="Vertical"</formula>
    </cfRule>
  </conditionalFormatting>
  <conditionalFormatting sqref="I6">
    <cfRule type="expression" dxfId="67" priority="68">
      <formula>$I$6="YES"</formula>
    </cfRule>
  </conditionalFormatting>
  <conditionalFormatting sqref="I7">
    <cfRule type="expression" dxfId="66" priority="67">
      <formula>$I$7="YES"</formula>
    </cfRule>
  </conditionalFormatting>
  <conditionalFormatting sqref="I8">
    <cfRule type="expression" dxfId="65" priority="66">
      <formula>$I$8="NO"</formula>
    </cfRule>
  </conditionalFormatting>
  <conditionalFormatting sqref="I9">
    <cfRule type="expression" dxfId="64" priority="65">
      <formula>$I$9="NO"</formula>
    </cfRule>
  </conditionalFormatting>
  <conditionalFormatting sqref="I10">
    <cfRule type="expression" dxfId="63" priority="64">
      <formula>$I$10="Normal"</formula>
    </cfRule>
  </conditionalFormatting>
  <conditionalFormatting sqref="I11">
    <cfRule type="expression" dxfId="62" priority="63">
      <formula>$I$11="YES"</formula>
    </cfRule>
  </conditionalFormatting>
  <conditionalFormatting sqref="I12">
    <cfRule type="expression" dxfId="61" priority="62">
      <formula>$I$12="NO"</formula>
    </cfRule>
  </conditionalFormatting>
  <conditionalFormatting sqref="I13">
    <cfRule type="expression" dxfId="60" priority="61">
      <formula>$I$13="YES"</formula>
    </cfRule>
  </conditionalFormatting>
  <conditionalFormatting sqref="J2">
    <cfRule type="expression" dxfId="59" priority="48">
      <formula>$J$2="Normal"</formula>
    </cfRule>
  </conditionalFormatting>
  <conditionalFormatting sqref="J3">
    <cfRule type="expression" dxfId="58" priority="47">
      <formula>$J$3="Normal"</formula>
    </cfRule>
  </conditionalFormatting>
  <conditionalFormatting sqref="J4">
    <cfRule type="expression" dxfId="57" priority="46">
      <formula>$J$4="YES"</formula>
    </cfRule>
  </conditionalFormatting>
  <conditionalFormatting sqref="J5">
    <cfRule type="expression" dxfId="56" priority="45">
      <formula>$J$5="Vertical"</formula>
    </cfRule>
  </conditionalFormatting>
  <conditionalFormatting sqref="J6">
    <cfRule type="expression" dxfId="55" priority="44">
      <formula>$J$6="YES"</formula>
    </cfRule>
  </conditionalFormatting>
  <conditionalFormatting sqref="J7">
    <cfRule type="expression" dxfId="54" priority="43">
      <formula>$J$7="YES"</formula>
    </cfRule>
  </conditionalFormatting>
  <conditionalFormatting sqref="J8">
    <cfRule type="expression" dxfId="53" priority="42">
      <formula>$J$8="NO"</formula>
    </cfRule>
  </conditionalFormatting>
  <conditionalFormatting sqref="J9">
    <cfRule type="expression" dxfId="52" priority="53">
      <formula>$J$9="NO"</formula>
    </cfRule>
  </conditionalFormatting>
  <conditionalFormatting sqref="J10">
    <cfRule type="expression" dxfId="51" priority="40">
      <formula>$J$10="Normal"</formula>
    </cfRule>
  </conditionalFormatting>
  <conditionalFormatting sqref="J11">
    <cfRule type="expression" dxfId="50" priority="39">
      <formula>$J$11="YES"</formula>
    </cfRule>
  </conditionalFormatting>
  <conditionalFormatting sqref="J12">
    <cfRule type="expression" dxfId="49" priority="38">
      <formula>$J$12="NO"</formula>
    </cfRule>
  </conditionalFormatting>
  <conditionalFormatting sqref="J13">
    <cfRule type="expression" dxfId="48" priority="49">
      <formula>$J$13="YES"</formula>
    </cfRule>
  </conditionalFormatting>
  <conditionalFormatting sqref="K2">
    <cfRule type="expression" dxfId="47" priority="36">
      <formula>$K$2="Normal"</formula>
    </cfRule>
  </conditionalFormatting>
  <conditionalFormatting sqref="K3">
    <cfRule type="expression" dxfId="46" priority="35">
      <formula>$K$3="Normal"</formula>
    </cfRule>
  </conditionalFormatting>
  <conditionalFormatting sqref="K4">
    <cfRule type="expression" dxfId="45" priority="34">
      <formula>$K$4="YES"</formula>
    </cfRule>
  </conditionalFormatting>
  <conditionalFormatting sqref="K5">
    <cfRule type="expression" dxfId="44" priority="33">
      <formula>$K$5="Vertical"</formula>
    </cfRule>
  </conditionalFormatting>
  <conditionalFormatting sqref="K6">
    <cfRule type="expression" dxfId="43" priority="32">
      <formula>$K$6="YES"</formula>
    </cfRule>
  </conditionalFormatting>
  <conditionalFormatting sqref="K7">
    <cfRule type="expression" dxfId="42" priority="31">
      <formula>$K$7="YES"</formula>
    </cfRule>
  </conditionalFormatting>
  <conditionalFormatting sqref="K8">
    <cfRule type="expression" dxfId="41" priority="30">
      <formula>$K$8="NO"</formula>
    </cfRule>
  </conditionalFormatting>
  <conditionalFormatting sqref="K9">
    <cfRule type="expression" dxfId="40" priority="29">
      <formula>$K$9="NO"</formula>
    </cfRule>
  </conditionalFormatting>
  <conditionalFormatting sqref="K10">
    <cfRule type="expression" dxfId="39" priority="28">
      <formula>$K$10="Normal"</formula>
    </cfRule>
  </conditionalFormatting>
  <conditionalFormatting sqref="K11">
    <cfRule type="expression" dxfId="38" priority="27">
      <formula>$K$11="YES"</formula>
    </cfRule>
  </conditionalFormatting>
  <conditionalFormatting sqref="K12">
    <cfRule type="expression" dxfId="37" priority="26">
      <formula>$K$12="NO"</formula>
    </cfRule>
  </conditionalFormatting>
  <conditionalFormatting sqref="K13">
    <cfRule type="expression" dxfId="36" priority="25">
      <formula>$K$13="YES"</formula>
    </cfRule>
  </conditionalFormatting>
  <conditionalFormatting sqref="L2">
    <cfRule type="expression" dxfId="35" priority="24">
      <formula>$L$2="Normal"</formula>
    </cfRule>
  </conditionalFormatting>
  <conditionalFormatting sqref="L3">
    <cfRule type="expression" dxfId="34" priority="23">
      <formula>$L$3="Normal"</formula>
    </cfRule>
  </conditionalFormatting>
  <conditionalFormatting sqref="L4">
    <cfRule type="expression" dxfId="33" priority="22">
      <formula>$L$4="YES"</formula>
    </cfRule>
  </conditionalFormatting>
  <conditionalFormatting sqref="L5">
    <cfRule type="expression" dxfId="32" priority="21">
      <formula>$L$5="Vertical"</formula>
    </cfRule>
  </conditionalFormatting>
  <conditionalFormatting sqref="L6">
    <cfRule type="expression" dxfId="31" priority="20">
      <formula>$L$6="YES"</formula>
    </cfRule>
  </conditionalFormatting>
  <conditionalFormatting sqref="L7">
    <cfRule type="expression" dxfId="30" priority="19">
      <formula>$L$7="YES"</formula>
    </cfRule>
  </conditionalFormatting>
  <conditionalFormatting sqref="L8">
    <cfRule type="expression" dxfId="29" priority="18">
      <formula>$L$8="NO"</formula>
    </cfRule>
  </conditionalFormatting>
  <conditionalFormatting sqref="L9">
    <cfRule type="expression" dxfId="28" priority="17">
      <formula>$L$9="NO"</formula>
    </cfRule>
  </conditionalFormatting>
  <conditionalFormatting sqref="L10">
    <cfRule type="expression" dxfId="27" priority="16">
      <formula>$L$10="Normal"</formula>
    </cfRule>
  </conditionalFormatting>
  <conditionalFormatting sqref="L11">
    <cfRule type="expression" dxfId="26" priority="15">
      <formula>$L$11="YES"</formula>
    </cfRule>
  </conditionalFormatting>
  <conditionalFormatting sqref="L12">
    <cfRule type="expression" dxfId="25" priority="14">
      <formula>$L$12="NO"</formula>
    </cfRule>
  </conditionalFormatting>
  <conditionalFormatting sqref="L13">
    <cfRule type="expression" dxfId="24" priority="13">
      <formula>$L$13="YES"</formula>
    </cfRule>
  </conditionalFormatting>
  <conditionalFormatting sqref="M2">
    <cfRule type="expression" dxfId="23" priority="12">
      <formula>$M$2="Normal"</formula>
    </cfRule>
  </conditionalFormatting>
  <conditionalFormatting sqref="M3">
    <cfRule type="expression" dxfId="22" priority="11">
      <formula>$M$3="Normal"</formula>
    </cfRule>
  </conditionalFormatting>
  <conditionalFormatting sqref="M4">
    <cfRule type="expression" dxfId="21" priority="10">
      <formula>$M$4="YES"</formula>
    </cfRule>
  </conditionalFormatting>
  <conditionalFormatting sqref="M5">
    <cfRule type="expression" dxfId="20" priority="9">
      <formula>$M$5="Vertical"</formula>
    </cfRule>
  </conditionalFormatting>
  <conditionalFormatting sqref="M6">
    <cfRule type="expression" dxfId="19" priority="8">
      <formula>$M$6="YES"</formula>
    </cfRule>
  </conditionalFormatting>
  <conditionalFormatting sqref="M7">
    <cfRule type="expression" dxfId="18" priority="7">
      <formula>$M$7="YES"</formula>
    </cfRule>
  </conditionalFormatting>
  <conditionalFormatting sqref="M8">
    <cfRule type="expression" dxfId="17" priority="6">
      <formula>$M$8="NO"</formula>
    </cfRule>
  </conditionalFormatting>
  <conditionalFormatting sqref="M9">
    <cfRule type="expression" dxfId="16" priority="5">
      <formula>$M$9="NO"</formula>
    </cfRule>
  </conditionalFormatting>
  <conditionalFormatting sqref="M10">
    <cfRule type="expression" dxfId="15" priority="4">
      <formula>$M$10="Normal"</formula>
    </cfRule>
  </conditionalFormatting>
  <conditionalFormatting sqref="M11">
    <cfRule type="expression" dxfId="14" priority="3">
      <formula>$M$11="YES"</formula>
    </cfRule>
  </conditionalFormatting>
  <conditionalFormatting sqref="M12">
    <cfRule type="expression" dxfId="13" priority="2">
      <formula>$M$12="NO"</formula>
    </cfRule>
  </conditionalFormatting>
  <conditionalFormatting sqref="M13">
    <cfRule type="expression" dxfId="12" priority="1">
      <formula>$M$13="YES"</formula>
    </cfRule>
  </conditionalFormatting>
  <conditionalFormatting sqref="N2">
    <cfRule type="expression" dxfId="11" priority="60">
      <formula>$N$2="Normal"</formula>
    </cfRule>
  </conditionalFormatting>
  <conditionalFormatting sqref="N3">
    <cfRule type="expression" dxfId="10" priority="59">
      <formula>$N$3="Normal"</formula>
    </cfRule>
  </conditionalFormatting>
  <conditionalFormatting sqref="N4">
    <cfRule type="expression" dxfId="9" priority="58">
      <formula>$N$4="YES"</formula>
    </cfRule>
  </conditionalFormatting>
  <conditionalFormatting sqref="N5">
    <cfRule type="expression" dxfId="8" priority="57">
      <formula>$N$5="Vertical"</formula>
    </cfRule>
  </conditionalFormatting>
  <conditionalFormatting sqref="N6">
    <cfRule type="expression" dxfId="7" priority="56">
      <formula>$N$6="YES"</formula>
    </cfRule>
  </conditionalFormatting>
  <conditionalFormatting sqref="N7">
    <cfRule type="expression" dxfId="6" priority="55">
      <formula>$N$7="YES"</formula>
    </cfRule>
  </conditionalFormatting>
  <conditionalFormatting sqref="N8">
    <cfRule type="expression" dxfId="5" priority="54">
      <formula>$N$8="NO"</formula>
    </cfRule>
  </conditionalFormatting>
  <conditionalFormatting sqref="N9">
    <cfRule type="expression" dxfId="4" priority="41">
      <formula>$N$9="NO"</formula>
    </cfRule>
  </conditionalFormatting>
  <conditionalFormatting sqref="N10">
    <cfRule type="expression" dxfId="3" priority="52">
      <formula>$N$10="Normal"</formula>
    </cfRule>
  </conditionalFormatting>
  <conditionalFormatting sqref="N11">
    <cfRule type="expression" dxfId="2" priority="51">
      <formula>$N$11="YES"</formula>
    </cfRule>
  </conditionalFormatting>
  <conditionalFormatting sqref="N12">
    <cfRule type="expression" dxfId="1" priority="50">
      <formula>$N$12="NO"</formula>
    </cfRule>
  </conditionalFormatting>
  <conditionalFormatting sqref="N13">
    <cfRule type="expression" dxfId="0" priority="37">
      <formula>$N$13="YES"</formula>
    </cfRule>
  </conditionalFormatting>
  <pageMargins left="0.7" right="0.7" top="0.75" bottom="0.75" header="0.3" footer="0.3"/>
  <pageSetup orientation="portrait" r:id="rId1"/>
  <ignoredErrors>
    <ignoredError sqref="C24:D24" formula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7B1B4F3-5A64-4261-8D85-A81CB62D0792}">
          <x14:formula1>
            <xm:f>Sheet4!$A$2:$A$4</xm:f>
          </x14:formula1>
          <xm:sqref>C2:P2</xm:sqref>
        </x14:dataValidation>
        <x14:dataValidation type="list" allowBlank="1" showInputMessage="1" showErrorMessage="1" xr:uid="{92255CDC-50DD-4C3E-A07F-E938F7431E3A}">
          <x14:formula1>
            <xm:f>Sheet4!$C$2:$C$3</xm:f>
          </x14:formula1>
          <xm:sqref>C4:P4 C6:P9 C11:P13</xm:sqref>
        </x14:dataValidation>
        <x14:dataValidation type="list" allowBlank="1" showInputMessage="1" showErrorMessage="1" xr:uid="{057E112D-38E1-49CD-91AE-D63EAFFD4531}">
          <x14:formula1>
            <xm:f>Sheet4!$E$2:$E$5</xm:f>
          </x14:formula1>
          <xm:sqref>C10:P10</xm:sqref>
        </x14:dataValidation>
        <x14:dataValidation type="list" allowBlank="1" showInputMessage="1" showErrorMessage="1" xr:uid="{6C94E3F2-D8BC-4166-B92C-E0DB877A8B74}">
          <x14:formula1>
            <xm:f>Sheet4!$G$2:$G$5</xm:f>
          </x14:formula1>
          <xm:sqref>C5:P5</xm:sqref>
        </x14:dataValidation>
        <x14:dataValidation type="list" allowBlank="1" showInputMessage="1" showErrorMessage="1" xr:uid="{7AEDE07D-B334-449E-A522-160C80039975}">
          <x14:formula1>
            <xm:f>Sheet4!$I$2:$I$4</xm:f>
          </x14:formula1>
          <xm:sqref>C3:P6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99F9-CE2B-46D8-BAB9-12985C21ACBF}">
  <dimension ref="A1:I5"/>
  <sheetViews>
    <sheetView workbookViewId="0">
      <selection activeCell="G18" sqref="G18"/>
    </sheetView>
  </sheetViews>
  <sheetFormatPr defaultRowHeight="15" x14ac:dyDescent="0.25"/>
  <cols>
    <col min="1" max="1" width="11" customWidth="1"/>
    <col min="3" max="3" width="11" customWidth="1"/>
    <col min="5" max="5" width="11" customWidth="1"/>
    <col min="7" max="7" width="11" customWidth="1"/>
    <col min="9" max="9" width="11" customWidth="1"/>
  </cols>
  <sheetData>
    <row r="1" spans="1:9" x14ac:dyDescent="0.25">
      <c r="A1" t="s">
        <v>43</v>
      </c>
      <c r="C1" t="s">
        <v>43</v>
      </c>
      <c r="E1" t="s">
        <v>43</v>
      </c>
      <c r="G1" t="s">
        <v>43</v>
      </c>
      <c r="I1" t="s">
        <v>43</v>
      </c>
    </row>
    <row r="2" spans="1:9" x14ac:dyDescent="0.25">
      <c r="A2" t="s">
        <v>40</v>
      </c>
      <c r="C2" t="s">
        <v>47</v>
      </c>
      <c r="E2" t="s">
        <v>40</v>
      </c>
      <c r="G2" t="s">
        <v>57</v>
      </c>
      <c r="I2" t="s">
        <v>40</v>
      </c>
    </row>
    <row r="3" spans="1:9" x14ac:dyDescent="0.25">
      <c r="A3" t="s">
        <v>41</v>
      </c>
      <c r="C3" t="s">
        <v>48</v>
      </c>
      <c r="E3" t="s">
        <v>53</v>
      </c>
      <c r="G3" t="s">
        <v>58</v>
      </c>
      <c r="I3" t="s">
        <v>19</v>
      </c>
    </row>
    <row r="4" spans="1:9" x14ac:dyDescent="0.25">
      <c r="A4" t="s">
        <v>42</v>
      </c>
      <c r="E4" t="s">
        <v>54</v>
      </c>
      <c r="G4" t="s">
        <v>59</v>
      </c>
      <c r="I4" t="s">
        <v>61</v>
      </c>
    </row>
    <row r="5" spans="1:9" x14ac:dyDescent="0.25">
      <c r="E5" t="s">
        <v>55</v>
      </c>
      <c r="G5" t="s">
        <v>60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6273-C2FA-42A4-9A4F-4DBE0B92578A}">
  <dimension ref="A1:L17"/>
  <sheetViews>
    <sheetView workbookViewId="0">
      <selection activeCell="H13" sqref="H13"/>
    </sheetView>
  </sheetViews>
  <sheetFormatPr defaultRowHeight="15" x14ac:dyDescent="0.25"/>
  <cols>
    <col min="1" max="1" width="16" bestFit="1" customWidth="1"/>
    <col min="2" max="2" width="15.28515625" customWidth="1"/>
    <col min="3" max="3" width="9.7109375" bestFit="1" customWidth="1"/>
    <col min="7" max="7" width="9.85546875" style="16" bestFit="1" customWidth="1"/>
    <col min="9" max="9" width="9.140625" style="16"/>
    <col min="10" max="10" width="9.140625" style="42"/>
    <col min="11" max="11" width="9.140625" style="22"/>
    <col min="12" max="12" width="9.140625" style="50"/>
  </cols>
  <sheetData>
    <row r="1" spans="1:12" x14ac:dyDescent="0.25">
      <c r="A1" t="s">
        <v>91</v>
      </c>
      <c r="B1" s="1">
        <v>25100</v>
      </c>
      <c r="C1" s="40" t="s">
        <v>93</v>
      </c>
      <c r="D1" s="40" t="s">
        <v>94</v>
      </c>
    </row>
    <row r="2" spans="1:12" x14ac:dyDescent="0.25">
      <c r="A2" s="43" t="s">
        <v>95</v>
      </c>
      <c r="B2" s="43" t="s">
        <v>96</v>
      </c>
      <c r="C2" s="43">
        <v>24500</v>
      </c>
      <c r="D2" s="43">
        <v>25500</v>
      </c>
      <c r="E2" s="43" t="s">
        <v>92</v>
      </c>
      <c r="F2" s="43" t="s">
        <v>92</v>
      </c>
      <c r="G2" s="58" t="s">
        <v>99</v>
      </c>
      <c r="H2" s="58"/>
      <c r="I2" s="58"/>
      <c r="J2" s="58" t="s">
        <v>97</v>
      </c>
      <c r="K2" s="58"/>
      <c r="L2" s="58"/>
    </row>
    <row r="3" spans="1:12" x14ac:dyDescent="0.25">
      <c r="A3" s="41">
        <v>45912</v>
      </c>
      <c r="B3" s="1">
        <v>25100</v>
      </c>
      <c r="C3" s="1">
        <v>745</v>
      </c>
      <c r="D3" s="1">
        <v>370</v>
      </c>
      <c r="E3" s="1"/>
      <c r="F3" s="1"/>
      <c r="G3" s="46" t="s">
        <v>93</v>
      </c>
      <c r="H3" s="43" t="s">
        <v>94</v>
      </c>
      <c r="I3" s="46" t="s">
        <v>100</v>
      </c>
      <c r="J3" s="54" t="s">
        <v>98</v>
      </c>
      <c r="K3" s="53" t="s">
        <v>93</v>
      </c>
      <c r="L3" s="51" t="s">
        <v>94</v>
      </c>
    </row>
    <row r="4" spans="1:12" x14ac:dyDescent="0.25">
      <c r="A4" s="41">
        <v>45915</v>
      </c>
      <c r="B4" s="1">
        <v>25069</v>
      </c>
      <c r="C4" s="1">
        <v>700</v>
      </c>
      <c r="D4" s="1">
        <v>391</v>
      </c>
      <c r="E4" s="1">
        <f>C3-C4</f>
        <v>45</v>
      </c>
      <c r="F4" s="1">
        <f>D3-D4</f>
        <v>-21</v>
      </c>
      <c r="G4" s="47">
        <f t="shared" ref="G4:G13" si="0">E4*75</f>
        <v>3375</v>
      </c>
      <c r="H4" s="1">
        <f t="shared" ref="H4:H13" si="1">F4*75</f>
        <v>-1575</v>
      </c>
      <c r="I4" s="48">
        <f t="shared" ref="I4:I13" si="2">G4+H4</f>
        <v>1800</v>
      </c>
      <c r="J4" s="49">
        <f>(B3-B4)/B3</f>
        <v>1.2350597609561754E-3</v>
      </c>
      <c r="K4" s="52">
        <f>(C3-C4)/C3</f>
        <v>6.0402684563758392E-2</v>
      </c>
      <c r="L4" s="52">
        <f>(D3-D4)/D3</f>
        <v>-5.675675675675676E-2</v>
      </c>
    </row>
    <row r="5" spans="1:12" x14ac:dyDescent="0.25">
      <c r="A5" s="44">
        <v>45916</v>
      </c>
      <c r="B5" s="1">
        <v>25239</v>
      </c>
      <c r="C5" s="1">
        <v>867</v>
      </c>
      <c r="D5" s="1">
        <v>260</v>
      </c>
      <c r="E5" s="1">
        <f>C3-C5</f>
        <v>-122</v>
      </c>
      <c r="F5" s="1">
        <f>D3-D5</f>
        <v>110</v>
      </c>
      <c r="G5" s="47">
        <f t="shared" si="0"/>
        <v>-9150</v>
      </c>
      <c r="H5" s="1">
        <f t="shared" si="1"/>
        <v>8250</v>
      </c>
      <c r="I5" s="48">
        <f t="shared" si="2"/>
        <v>-900</v>
      </c>
      <c r="J5" s="49">
        <f>(B3-B5)/B3</f>
        <v>-5.5378486055776893E-3</v>
      </c>
      <c r="K5" s="52">
        <f>(C3-C5)/C3</f>
        <v>-0.16375838926174496</v>
      </c>
      <c r="L5" s="52">
        <f>(D3-D5)/D3</f>
        <v>0.29729729729729731</v>
      </c>
    </row>
    <row r="6" spans="1:12" x14ac:dyDescent="0.25">
      <c r="A6" s="39">
        <v>45917</v>
      </c>
      <c r="B6" s="1">
        <v>25330</v>
      </c>
      <c r="C6" s="1">
        <v>937</v>
      </c>
      <c r="D6" s="1">
        <v>207</v>
      </c>
      <c r="E6" s="1">
        <f>C3-C6</f>
        <v>-192</v>
      </c>
      <c r="F6" s="1">
        <f>D3-D6</f>
        <v>163</v>
      </c>
      <c r="G6" s="47">
        <f t="shared" si="0"/>
        <v>-14400</v>
      </c>
      <c r="H6" s="1">
        <f t="shared" si="1"/>
        <v>12225</v>
      </c>
      <c r="I6" s="48">
        <f t="shared" si="2"/>
        <v>-2175</v>
      </c>
      <c r="J6" s="49">
        <f>(B3-B6)/B3</f>
        <v>-9.1633466135458159E-3</v>
      </c>
      <c r="K6" s="52">
        <f>(C3-C6)/C3</f>
        <v>-0.25771812080536916</v>
      </c>
      <c r="L6" s="52">
        <f>(D3-D6)/D3</f>
        <v>0.44054054054054054</v>
      </c>
    </row>
    <row r="7" spans="1:12" x14ac:dyDescent="0.25">
      <c r="A7" s="39">
        <v>45918</v>
      </c>
      <c r="B7" s="1">
        <v>25424</v>
      </c>
      <c r="C7" s="1">
        <v>1016</v>
      </c>
      <c r="D7" s="1">
        <v>143</v>
      </c>
      <c r="E7" s="1">
        <f>C3-C7</f>
        <v>-271</v>
      </c>
      <c r="F7" s="1">
        <f>D3-D7</f>
        <v>227</v>
      </c>
      <c r="G7" s="47">
        <f t="shared" si="0"/>
        <v>-20325</v>
      </c>
      <c r="H7" s="1">
        <f t="shared" si="1"/>
        <v>17025</v>
      </c>
      <c r="I7" s="48">
        <f t="shared" si="2"/>
        <v>-3300</v>
      </c>
      <c r="J7" s="49">
        <f>(B3-B7)/B3</f>
        <v>-1.2908366533864542E-2</v>
      </c>
      <c r="K7" s="52">
        <f>(C2-C7)/C2</f>
        <v>0.95853061224489799</v>
      </c>
      <c r="L7" s="52">
        <f>(D3-D7)/D3</f>
        <v>0.61351351351351346</v>
      </c>
    </row>
    <row r="8" spans="1:12" x14ac:dyDescent="0.25">
      <c r="A8" s="39">
        <v>45919</v>
      </c>
      <c r="B8" s="1">
        <v>25327</v>
      </c>
      <c r="C8" s="1">
        <v>918</v>
      </c>
      <c r="D8" s="1">
        <v>192</v>
      </c>
      <c r="E8" s="1">
        <f>C3-C8</f>
        <v>-173</v>
      </c>
      <c r="F8" s="1">
        <f>D3-D8</f>
        <v>178</v>
      </c>
      <c r="G8" s="47">
        <f t="shared" si="0"/>
        <v>-12975</v>
      </c>
      <c r="H8" s="1">
        <f t="shared" si="1"/>
        <v>13350</v>
      </c>
      <c r="I8" s="48">
        <f t="shared" si="2"/>
        <v>375</v>
      </c>
      <c r="J8" s="49">
        <f>(B3-B8)/B3</f>
        <v>-9.0438247011952189E-3</v>
      </c>
      <c r="K8" s="52">
        <f>(C3-C8)/C3</f>
        <v>-0.23221476510067113</v>
      </c>
      <c r="L8" s="52">
        <f>(D3-D8)/D3</f>
        <v>0.48108108108108111</v>
      </c>
    </row>
    <row r="9" spans="1:12" x14ac:dyDescent="0.25">
      <c r="A9" s="39">
        <v>45922</v>
      </c>
      <c r="B9" s="1">
        <v>25202</v>
      </c>
      <c r="C9" s="1">
        <v>790</v>
      </c>
      <c r="D9" s="1">
        <v>271</v>
      </c>
      <c r="E9" s="1">
        <f>C3-C9</f>
        <v>-45</v>
      </c>
      <c r="F9" s="1">
        <f>D3-D9</f>
        <v>99</v>
      </c>
      <c r="G9" s="47">
        <f t="shared" si="0"/>
        <v>-3375</v>
      </c>
      <c r="H9" s="1">
        <f t="shared" si="1"/>
        <v>7425</v>
      </c>
      <c r="I9" s="48">
        <f t="shared" si="2"/>
        <v>4050</v>
      </c>
      <c r="J9" s="49">
        <f>(B3-B9)/B3</f>
        <v>-4.0637450199203186E-3</v>
      </c>
      <c r="K9" s="52">
        <f>(C3-C9)/C3</f>
        <v>-6.0402684563758392E-2</v>
      </c>
      <c r="L9" s="52">
        <f>(D3-D9)/D3</f>
        <v>0.26756756756756755</v>
      </c>
    </row>
    <row r="10" spans="1:12" x14ac:dyDescent="0.25">
      <c r="A10" s="44">
        <v>45923</v>
      </c>
      <c r="B10" s="1">
        <v>25169</v>
      </c>
      <c r="C10" s="1">
        <v>760</v>
      </c>
      <c r="D10" s="1">
        <v>282</v>
      </c>
      <c r="E10" s="1">
        <f>C3-C10</f>
        <v>-15</v>
      </c>
      <c r="F10" s="1">
        <f>D3-D10</f>
        <v>88</v>
      </c>
      <c r="G10" s="47">
        <f t="shared" si="0"/>
        <v>-1125</v>
      </c>
      <c r="H10" s="1">
        <f t="shared" si="1"/>
        <v>6600</v>
      </c>
      <c r="I10" s="48">
        <f t="shared" si="2"/>
        <v>5475</v>
      </c>
      <c r="J10" s="49">
        <f>(B3-B10)/B3</f>
        <v>-2.7490039840637449E-3</v>
      </c>
      <c r="K10" s="52">
        <f>(C3-C10)/C3</f>
        <v>-2.0134228187919462E-2</v>
      </c>
      <c r="L10" s="52">
        <f>(D3-D10)/D3</f>
        <v>0.23783783783783785</v>
      </c>
    </row>
    <row r="11" spans="1:12" x14ac:dyDescent="0.25">
      <c r="A11" s="41">
        <v>45924</v>
      </c>
      <c r="B11" s="1">
        <v>25113</v>
      </c>
      <c r="C11" s="1">
        <v>620</v>
      </c>
      <c r="D11" s="1">
        <v>395</v>
      </c>
      <c r="E11" s="1">
        <f>C3-C11</f>
        <v>125</v>
      </c>
      <c r="F11" s="1">
        <f>D3-D11</f>
        <v>-25</v>
      </c>
      <c r="G11" s="47">
        <f t="shared" si="0"/>
        <v>9375</v>
      </c>
      <c r="H11" s="1">
        <f t="shared" si="1"/>
        <v>-1875</v>
      </c>
      <c r="I11" s="48">
        <f t="shared" si="2"/>
        <v>7500</v>
      </c>
      <c r="J11" s="49">
        <f>(B3-B11)/B3</f>
        <v>-5.1792828685258961E-4</v>
      </c>
      <c r="K11" s="52">
        <f>(C3-C11)/C3</f>
        <v>0.16778523489932887</v>
      </c>
      <c r="L11" s="52">
        <f>(D3-D11)/D3</f>
        <v>-6.7567567567567571E-2</v>
      </c>
    </row>
    <row r="12" spans="1:12" x14ac:dyDescent="0.25">
      <c r="A12" s="41">
        <v>45925</v>
      </c>
      <c r="B12" s="1">
        <v>25043</v>
      </c>
      <c r="C12" s="1">
        <v>469</v>
      </c>
      <c r="D12" s="1">
        <v>545</v>
      </c>
      <c r="E12" s="1">
        <f>C3-C12</f>
        <v>276</v>
      </c>
      <c r="F12" s="1">
        <f>D3-D12</f>
        <v>-175</v>
      </c>
      <c r="G12" s="47">
        <f t="shared" si="0"/>
        <v>20700</v>
      </c>
      <c r="H12" s="1">
        <f t="shared" si="1"/>
        <v>-13125</v>
      </c>
      <c r="I12" s="48">
        <f t="shared" si="2"/>
        <v>7575</v>
      </c>
      <c r="J12" s="49">
        <f t="shared" ref="J12:L13" si="3">(B3-B12)/B3</f>
        <v>2.2709163346613546E-3</v>
      </c>
      <c r="K12" s="52">
        <f t="shared" si="3"/>
        <v>0.37046979865771812</v>
      </c>
      <c r="L12" s="52">
        <f t="shared" si="3"/>
        <v>-0.47297297297297297</v>
      </c>
    </row>
    <row r="13" spans="1:12" x14ac:dyDescent="0.25">
      <c r="A13" s="41">
        <v>45926</v>
      </c>
      <c r="B13" s="1">
        <v>24654</v>
      </c>
      <c r="C13" s="1">
        <v>225</v>
      </c>
      <c r="D13" s="1">
        <v>807</v>
      </c>
      <c r="E13" s="1">
        <f>C3-C13</f>
        <v>520</v>
      </c>
      <c r="F13" s="1">
        <f>D3-D13</f>
        <v>-437</v>
      </c>
      <c r="G13" s="47">
        <f t="shared" si="0"/>
        <v>39000</v>
      </c>
      <c r="H13" s="1">
        <f t="shared" si="1"/>
        <v>-32775</v>
      </c>
      <c r="I13" s="48">
        <f t="shared" si="2"/>
        <v>6225</v>
      </c>
      <c r="J13" s="49">
        <f t="shared" si="3"/>
        <v>1.6554310104112648E-2</v>
      </c>
      <c r="K13" s="52">
        <f t="shared" si="3"/>
        <v>0.6785714285714286</v>
      </c>
      <c r="L13" s="52">
        <f t="shared" si="3"/>
        <v>-1.0639386189258313</v>
      </c>
    </row>
    <row r="14" spans="1:12" x14ac:dyDescent="0.25">
      <c r="A14" s="41">
        <v>45929</v>
      </c>
      <c r="B14" s="1"/>
      <c r="C14" s="1">
        <v>204</v>
      </c>
      <c r="D14" s="1">
        <v>810</v>
      </c>
      <c r="E14" s="1">
        <f>C3-C14</f>
        <v>541</v>
      </c>
      <c r="F14" s="1">
        <f>D3-D14</f>
        <v>-440</v>
      </c>
      <c r="G14" s="47">
        <f t="shared" ref="G14" si="4">E14*75</f>
        <v>40575</v>
      </c>
      <c r="H14" s="1">
        <f t="shared" ref="H14" si="5">F14*75</f>
        <v>-33000</v>
      </c>
      <c r="I14" s="48">
        <f t="shared" ref="I14" si="6">G14+H14</f>
        <v>7575</v>
      </c>
      <c r="J14" s="49">
        <f t="shared" ref="J14" si="7">(B5-B14)/B5</f>
        <v>1</v>
      </c>
      <c r="K14" s="52">
        <f t="shared" ref="K14" si="8">(C5-C14)/C5</f>
        <v>0.76470588235294112</v>
      </c>
      <c r="L14" s="52">
        <f t="shared" ref="L14" si="9">(D5-D14)/D5</f>
        <v>-2.1153846153846154</v>
      </c>
    </row>
    <row r="15" spans="1:12" x14ac:dyDescent="0.25">
      <c r="A15" s="44">
        <v>45930</v>
      </c>
      <c r="B15" s="1"/>
      <c r="C15" s="1">
        <v>110</v>
      </c>
      <c r="D15" s="1">
        <v>886</v>
      </c>
      <c r="E15" s="1">
        <f>C3-C15</f>
        <v>635</v>
      </c>
      <c r="F15" s="1">
        <f>D3-D15</f>
        <v>-516</v>
      </c>
      <c r="G15" s="47">
        <f t="shared" ref="G15" si="10">E15*75</f>
        <v>47625</v>
      </c>
      <c r="H15" s="1">
        <f t="shared" ref="H15" si="11">F15*75</f>
        <v>-38700</v>
      </c>
      <c r="I15" s="48">
        <f t="shared" ref="I15" si="12">G15+H15</f>
        <v>8925</v>
      </c>
      <c r="J15" s="49">
        <f t="shared" ref="J15" si="13">(B6-B15)/B6</f>
        <v>1</v>
      </c>
      <c r="K15" s="52">
        <f t="shared" ref="K15" si="14">(C6-C15)/C6</f>
        <v>0.88260405549626464</v>
      </c>
      <c r="L15" s="52">
        <f t="shared" ref="L15" si="15">(D6-D15)/D6</f>
        <v>-3.2801932367149758</v>
      </c>
    </row>
    <row r="16" spans="1:12" x14ac:dyDescent="0.25">
      <c r="A16" s="38"/>
    </row>
    <row r="17" spans="1:1" x14ac:dyDescent="0.25">
      <c r="A17" s="38"/>
    </row>
  </sheetData>
  <mergeCells count="2">
    <mergeCell ref="J2:L2"/>
    <mergeCell ref="G2:I2"/>
  </mergeCells>
  <conditionalFormatting sqref="G4:G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0F0C-D28E-4916-8262-B9327C14FEEA}">
  <dimension ref="A1:L18"/>
  <sheetViews>
    <sheetView workbookViewId="0">
      <selection activeCell="G7" sqref="G7"/>
    </sheetView>
  </sheetViews>
  <sheetFormatPr defaultRowHeight="15" x14ac:dyDescent="0.25"/>
  <cols>
    <col min="1" max="1" width="16" bestFit="1" customWidth="1"/>
    <col min="2" max="2" width="15.28515625" customWidth="1"/>
    <col min="3" max="3" width="9.7109375" bestFit="1" customWidth="1"/>
    <col min="7" max="7" width="9.85546875" style="16" bestFit="1" customWidth="1"/>
    <col min="9" max="9" width="9.140625" style="16"/>
    <col min="10" max="10" width="9.140625" style="42"/>
    <col min="11" max="11" width="9.140625" style="22"/>
    <col min="12" max="12" width="9.140625" style="50"/>
  </cols>
  <sheetData>
    <row r="1" spans="1:12" x14ac:dyDescent="0.25">
      <c r="A1" t="s">
        <v>91</v>
      </c>
      <c r="B1" s="1">
        <v>25000</v>
      </c>
      <c r="C1" s="40" t="s">
        <v>93</v>
      </c>
      <c r="D1" s="40" t="s">
        <v>94</v>
      </c>
    </row>
    <row r="2" spans="1:12" x14ac:dyDescent="0.25">
      <c r="A2" t="s">
        <v>101</v>
      </c>
      <c r="B2" s="1"/>
      <c r="C2" s="40">
        <v>2.61</v>
      </c>
      <c r="D2" s="40"/>
    </row>
    <row r="3" spans="1:12" x14ac:dyDescent="0.25">
      <c r="A3" s="43" t="s">
        <v>102</v>
      </c>
      <c r="B3" s="43" t="s">
        <v>96</v>
      </c>
      <c r="C3" s="43">
        <v>24500</v>
      </c>
      <c r="D3" s="43">
        <v>25500</v>
      </c>
      <c r="E3" s="43" t="s">
        <v>92</v>
      </c>
      <c r="F3" s="43" t="s">
        <v>92</v>
      </c>
      <c r="G3" s="58" t="s">
        <v>99</v>
      </c>
      <c r="H3" s="58"/>
      <c r="I3" s="58"/>
      <c r="J3" s="58" t="s">
        <v>97</v>
      </c>
      <c r="K3" s="58"/>
      <c r="L3" s="58"/>
    </row>
    <row r="4" spans="1:12" x14ac:dyDescent="0.25">
      <c r="A4" s="41">
        <v>45925</v>
      </c>
      <c r="B4" s="1">
        <v>25000</v>
      </c>
      <c r="C4" s="1">
        <v>636</v>
      </c>
      <c r="D4" s="1">
        <v>477</v>
      </c>
      <c r="E4" s="1"/>
      <c r="F4" s="1"/>
      <c r="G4" s="46" t="s">
        <v>93</v>
      </c>
      <c r="H4" s="43" t="s">
        <v>94</v>
      </c>
      <c r="I4" s="46" t="s">
        <v>100</v>
      </c>
      <c r="J4" s="54" t="s">
        <v>98</v>
      </c>
      <c r="K4" s="53" t="s">
        <v>93</v>
      </c>
      <c r="L4" s="51" t="s">
        <v>94</v>
      </c>
    </row>
    <row r="5" spans="1:12" x14ac:dyDescent="0.25">
      <c r="A5" s="41">
        <v>45926</v>
      </c>
      <c r="B5" s="1">
        <v>24654</v>
      </c>
      <c r="C5" s="1">
        <v>225</v>
      </c>
      <c r="D5" s="1">
        <v>807</v>
      </c>
      <c r="E5" s="1">
        <f>C4-C5</f>
        <v>411</v>
      </c>
      <c r="F5" s="1">
        <f>D4-D5</f>
        <v>-330</v>
      </c>
      <c r="G5" s="47">
        <f t="shared" ref="G5:G13" si="0">E5*75</f>
        <v>30825</v>
      </c>
      <c r="H5" s="1">
        <f t="shared" ref="H5:H13" si="1">F5*75</f>
        <v>-24750</v>
      </c>
      <c r="I5" s="48">
        <f t="shared" ref="I5:I13" si="2">G5+H5</f>
        <v>6075</v>
      </c>
      <c r="J5" s="49">
        <f>(B4-B5)/B4</f>
        <v>1.384E-2</v>
      </c>
      <c r="K5" s="52">
        <f>(C4-C5)/C4</f>
        <v>0.64622641509433965</v>
      </c>
      <c r="L5" s="52">
        <f>(D4-D5)/D4</f>
        <v>-0.69182389937106914</v>
      </c>
    </row>
    <row r="6" spans="1:12" x14ac:dyDescent="0.25">
      <c r="A6" s="41">
        <v>45929</v>
      </c>
      <c r="B6" s="1"/>
      <c r="C6" s="1">
        <v>204</v>
      </c>
      <c r="D6" s="1">
        <v>810</v>
      </c>
      <c r="E6" s="1">
        <f>C4-C6</f>
        <v>432</v>
      </c>
      <c r="F6" s="1">
        <f>D4-D6</f>
        <v>-333</v>
      </c>
      <c r="G6" s="47">
        <f t="shared" si="0"/>
        <v>32400</v>
      </c>
      <c r="H6" s="1">
        <f t="shared" si="1"/>
        <v>-24975</v>
      </c>
      <c r="I6" s="48">
        <f t="shared" si="2"/>
        <v>7425</v>
      </c>
      <c r="J6" s="49">
        <f>(B4-B6)/B4</f>
        <v>1</v>
      </c>
      <c r="K6" s="52">
        <f>(C4-C6)/C4</f>
        <v>0.67924528301886788</v>
      </c>
      <c r="L6" s="52">
        <f>(D4-D6)/D4</f>
        <v>-0.69811320754716977</v>
      </c>
    </row>
    <row r="7" spans="1:12" x14ac:dyDescent="0.25">
      <c r="A7" s="44">
        <v>45930</v>
      </c>
      <c r="B7" s="1"/>
      <c r="C7" s="1"/>
      <c r="D7" s="1"/>
      <c r="E7" s="1">
        <f>C4-C7</f>
        <v>636</v>
      </c>
      <c r="F7" s="1">
        <f>D4-D7</f>
        <v>477</v>
      </c>
      <c r="G7" s="47">
        <f t="shared" si="0"/>
        <v>47700</v>
      </c>
      <c r="H7" s="1">
        <f t="shared" si="1"/>
        <v>35775</v>
      </c>
      <c r="I7" s="48">
        <f t="shared" si="2"/>
        <v>83475</v>
      </c>
      <c r="J7" s="49">
        <f>(B4-B7)/B4</f>
        <v>1</v>
      </c>
      <c r="K7" s="52">
        <f>(C4-C7)/C4</f>
        <v>1</v>
      </c>
      <c r="L7" s="52">
        <f>(D4-D7)/D4</f>
        <v>1</v>
      </c>
    </row>
    <row r="8" spans="1:12" x14ac:dyDescent="0.25">
      <c r="A8" s="41">
        <v>45931</v>
      </c>
      <c r="B8" s="1"/>
      <c r="C8" s="1"/>
      <c r="D8" s="1"/>
      <c r="E8" s="1">
        <f>C4-C8</f>
        <v>636</v>
      </c>
      <c r="F8" s="1">
        <f>D4-D8</f>
        <v>477</v>
      </c>
      <c r="G8" s="47">
        <f t="shared" si="0"/>
        <v>47700</v>
      </c>
      <c r="H8" s="1">
        <f t="shared" si="1"/>
        <v>35775</v>
      </c>
      <c r="I8" s="48">
        <f t="shared" si="2"/>
        <v>83475</v>
      </c>
      <c r="J8" s="49">
        <f>(B4-B8)/B4</f>
        <v>1</v>
      </c>
      <c r="K8" s="52">
        <f>(C3-C8)/C3</f>
        <v>1</v>
      </c>
      <c r="L8" s="52">
        <f>(D4-D8)/D4</f>
        <v>1</v>
      </c>
    </row>
    <row r="9" spans="1:12" x14ac:dyDescent="0.25">
      <c r="A9" s="41">
        <v>45932</v>
      </c>
      <c r="B9" s="1"/>
      <c r="C9" s="1"/>
      <c r="D9" s="1"/>
      <c r="E9" s="1">
        <f>C4-C9</f>
        <v>636</v>
      </c>
      <c r="F9" s="1">
        <f>D4-D9</f>
        <v>477</v>
      </c>
      <c r="G9" s="47">
        <f t="shared" si="0"/>
        <v>47700</v>
      </c>
      <c r="H9" s="1">
        <f t="shared" si="1"/>
        <v>35775</v>
      </c>
      <c r="I9" s="48">
        <f t="shared" si="2"/>
        <v>83475</v>
      </c>
      <c r="J9" s="49">
        <f>(B4-B9)/B4</f>
        <v>1</v>
      </c>
      <c r="K9" s="52">
        <f>(C4-C9)/C4</f>
        <v>1</v>
      </c>
      <c r="L9" s="52">
        <f>(D4-D9)/D4</f>
        <v>1</v>
      </c>
    </row>
    <row r="10" spans="1:12" x14ac:dyDescent="0.25">
      <c r="A10" s="41">
        <v>45933</v>
      </c>
      <c r="B10" s="1"/>
      <c r="C10" s="1"/>
      <c r="D10" s="1"/>
      <c r="E10" s="1">
        <f>C4-C10</f>
        <v>636</v>
      </c>
      <c r="F10" s="1">
        <f>D4-D10</f>
        <v>477</v>
      </c>
      <c r="G10" s="47">
        <f t="shared" si="0"/>
        <v>47700</v>
      </c>
      <c r="H10" s="1">
        <f t="shared" si="1"/>
        <v>35775</v>
      </c>
      <c r="I10" s="48">
        <f t="shared" si="2"/>
        <v>83475</v>
      </c>
      <c r="J10" s="49">
        <f>(B4-B10)/B4</f>
        <v>1</v>
      </c>
      <c r="K10" s="52">
        <f>(C4-C10)/C4</f>
        <v>1</v>
      </c>
      <c r="L10" s="52">
        <f>(D4-D10)/D4</f>
        <v>1</v>
      </c>
    </row>
    <row r="11" spans="1:12" x14ac:dyDescent="0.25">
      <c r="A11" s="41">
        <v>45936</v>
      </c>
      <c r="B11" s="1"/>
      <c r="C11" s="1"/>
      <c r="D11" s="1"/>
      <c r="E11" s="1">
        <f>C4-C11</f>
        <v>636</v>
      </c>
      <c r="F11" s="1">
        <f>D4-D11</f>
        <v>477</v>
      </c>
      <c r="G11" s="47">
        <f t="shared" si="0"/>
        <v>47700</v>
      </c>
      <c r="H11" s="1">
        <f t="shared" si="1"/>
        <v>35775</v>
      </c>
      <c r="I11" s="48">
        <f t="shared" si="2"/>
        <v>83475</v>
      </c>
      <c r="J11" s="49">
        <f>(B4-B11)/B4</f>
        <v>1</v>
      </c>
      <c r="K11" s="52">
        <f>(C4-C11)/C4</f>
        <v>1</v>
      </c>
      <c r="L11" s="52">
        <f>(D4-D11)/D4</f>
        <v>1</v>
      </c>
    </row>
    <row r="12" spans="1:12" x14ac:dyDescent="0.25">
      <c r="A12" s="44">
        <v>45937</v>
      </c>
      <c r="B12" s="1"/>
      <c r="C12" s="1"/>
      <c r="D12" s="1"/>
      <c r="E12" s="1">
        <f>C4-C12</f>
        <v>636</v>
      </c>
      <c r="F12" s="1">
        <f>D4-D12</f>
        <v>477</v>
      </c>
      <c r="G12" s="47">
        <f t="shared" si="0"/>
        <v>47700</v>
      </c>
      <c r="H12" s="1">
        <f t="shared" si="1"/>
        <v>35775</v>
      </c>
      <c r="I12" s="48">
        <f t="shared" si="2"/>
        <v>83475</v>
      </c>
      <c r="J12" s="49">
        <f>(B4-B12)/B4</f>
        <v>1</v>
      </c>
      <c r="K12" s="52">
        <f>(C4-C12)/C4</f>
        <v>1</v>
      </c>
      <c r="L12" s="52">
        <f>(D4-D12)/D4</f>
        <v>1</v>
      </c>
    </row>
    <row r="13" spans="1:12" x14ac:dyDescent="0.25">
      <c r="A13" s="41">
        <v>45938</v>
      </c>
      <c r="B13" s="1"/>
      <c r="C13" s="1"/>
      <c r="D13" s="1"/>
      <c r="E13" s="1">
        <f>C4-C13</f>
        <v>636</v>
      </c>
      <c r="F13" s="1">
        <f>D4-D13</f>
        <v>477</v>
      </c>
      <c r="G13" s="47">
        <f t="shared" si="0"/>
        <v>47700</v>
      </c>
      <c r="H13" s="1">
        <f t="shared" si="1"/>
        <v>35775</v>
      </c>
      <c r="I13" s="48">
        <f t="shared" si="2"/>
        <v>83475</v>
      </c>
      <c r="J13" s="49">
        <f>(B4-B13)/B4</f>
        <v>1</v>
      </c>
      <c r="K13" s="52">
        <f>(C4-C13)/C4</f>
        <v>1</v>
      </c>
      <c r="L13" s="52">
        <f>(D4-D13)/D4</f>
        <v>1</v>
      </c>
    </row>
    <row r="14" spans="1:12" x14ac:dyDescent="0.25">
      <c r="A14" s="41">
        <v>45939</v>
      </c>
      <c r="B14" s="1"/>
      <c r="C14" s="1"/>
      <c r="D14" s="1"/>
      <c r="E14" s="1">
        <f>C4-C14</f>
        <v>636</v>
      </c>
      <c r="F14" s="1">
        <f>D4-D14</f>
        <v>477</v>
      </c>
      <c r="G14" s="48"/>
      <c r="H14" s="1"/>
      <c r="I14" s="48"/>
      <c r="J14" s="49"/>
      <c r="K14" s="52"/>
      <c r="L14" s="45"/>
    </row>
    <row r="15" spans="1:12" x14ac:dyDescent="0.25">
      <c r="A15" s="41">
        <v>45940</v>
      </c>
      <c r="B15" s="1"/>
      <c r="C15" s="1"/>
      <c r="D15" s="1"/>
      <c r="E15" s="1">
        <f>C4-C15</f>
        <v>636</v>
      </c>
      <c r="F15" s="1">
        <f>D4-D15</f>
        <v>477</v>
      </c>
      <c r="G15" s="48"/>
      <c r="H15" s="1"/>
      <c r="I15" s="48"/>
      <c r="J15" s="49"/>
      <c r="K15" s="52"/>
      <c r="L15" s="45"/>
    </row>
    <row r="16" spans="1:12" x14ac:dyDescent="0.25">
      <c r="A16" s="41">
        <v>45943</v>
      </c>
      <c r="B16" s="1"/>
      <c r="C16" s="1"/>
      <c r="D16" s="1"/>
      <c r="E16" s="1">
        <f>C4-C16</f>
        <v>636</v>
      </c>
      <c r="F16" s="1">
        <f>D4-D16</f>
        <v>477</v>
      </c>
      <c r="G16" s="48"/>
      <c r="H16" s="1"/>
      <c r="I16" s="48"/>
      <c r="J16" s="49"/>
      <c r="K16" s="52"/>
      <c r="L16" s="45"/>
    </row>
    <row r="17" spans="1:12" x14ac:dyDescent="0.25">
      <c r="A17" s="44">
        <v>45944</v>
      </c>
      <c r="B17" s="1"/>
      <c r="C17" s="1"/>
      <c r="D17" s="1"/>
      <c r="E17" s="1">
        <f>C5-C17</f>
        <v>225</v>
      </c>
      <c r="F17" s="1">
        <f>D5-D17</f>
        <v>807</v>
      </c>
      <c r="G17" s="48"/>
      <c r="H17" s="1"/>
      <c r="I17" s="48"/>
      <c r="J17" s="49"/>
      <c r="K17" s="52"/>
      <c r="L17" s="45"/>
    </row>
    <row r="18" spans="1:12" x14ac:dyDescent="0.25">
      <c r="A18" s="38"/>
    </row>
  </sheetData>
  <mergeCells count="2">
    <mergeCell ref="G3:I3"/>
    <mergeCell ref="J3:L3"/>
  </mergeCells>
  <conditionalFormatting sqref="G5:G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Upcoming News</vt:lpstr>
      <vt:lpstr>Insights</vt:lpstr>
      <vt:lpstr>Strategy</vt:lpstr>
      <vt:lpstr>Sheet4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2026-02-20T10:45:50Z</dcterms:modified>
</cp:coreProperties>
</file>