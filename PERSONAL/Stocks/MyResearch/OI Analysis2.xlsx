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Stk2/Options/"/>
    </mc:Choice>
  </mc:AlternateContent>
  <xr:revisionPtr revIDLastSave="6787" documentId="11_F25DC773A252ABDACC104860B99F5E005BDE58EE" xr6:coauthVersionLast="47" xr6:coauthVersionMax="47" xr10:uidLastSave="{723BD113-664F-4E70-969A-1B22C7CF335E}"/>
  <bookViews>
    <workbookView xWindow="-120" yWindow="-120" windowWidth="20730" windowHeight="11040" activeTab="2" xr2:uid="{00000000-000D-0000-FFFF-FFFF00000000}"/>
  </bookViews>
  <sheets>
    <sheet name="O" sheetId="1" r:id="rId1"/>
    <sheet name="Sheet2" sheetId="2" r:id="rId2"/>
    <sheet name="C" sheetId="11" r:id="rId3"/>
    <sheet name="Sheet4" sheetId="4" r:id="rId4"/>
    <sheet name="Research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C8" i="13"/>
  <c r="H7" i="1"/>
  <c r="R3" i="1"/>
  <c r="H35" i="2"/>
  <c r="H36" i="2"/>
  <c r="H37" i="2"/>
  <c r="I15" i="2"/>
  <c r="J15" i="2"/>
  <c r="K15" i="2"/>
  <c r="I16" i="2"/>
  <c r="K16" i="2" s="1"/>
  <c r="J16" i="2"/>
  <c r="I17" i="2"/>
  <c r="K17" i="2" s="1"/>
  <c r="J17" i="2"/>
  <c r="I18" i="2"/>
  <c r="J18" i="2"/>
  <c r="K18" i="2"/>
  <c r="H15" i="2"/>
  <c r="H16" i="2"/>
  <c r="H17" i="2"/>
  <c r="H18" i="2"/>
  <c r="D2" i="1"/>
  <c r="D3" i="1"/>
  <c r="D4" i="1"/>
  <c r="F1" i="11" l="1"/>
  <c r="J1" i="11" s="1"/>
  <c r="O9" i="11"/>
  <c r="O10" i="11"/>
  <c r="O11" i="11"/>
  <c r="O12" i="11"/>
  <c r="O13" i="11"/>
  <c r="O14" i="11"/>
  <c r="O15" i="11"/>
  <c r="N9" i="11"/>
  <c r="N10" i="11"/>
  <c r="N11" i="11"/>
  <c r="N12" i="11"/>
  <c r="N13" i="11"/>
  <c r="N14" i="11"/>
  <c r="N15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2" i="11"/>
  <c r="N2" i="11" l="1"/>
  <c r="O2" i="11" s="1"/>
  <c r="N8" i="11"/>
  <c r="O8" i="11" s="1"/>
  <c r="N7" i="11"/>
  <c r="O7" i="11" s="1"/>
  <c r="N6" i="11"/>
  <c r="O6" i="11" s="1"/>
  <c r="N5" i="11"/>
  <c r="O5" i="11" s="1"/>
  <c r="N4" i="11"/>
  <c r="O4" i="11" s="1"/>
  <c r="N3" i="11"/>
  <c r="O3" i="11" s="1"/>
  <c r="J34" i="2"/>
  <c r="J35" i="2"/>
  <c r="J36" i="2"/>
  <c r="J37" i="2"/>
  <c r="I34" i="2"/>
  <c r="K34" i="2" s="1"/>
  <c r="I35" i="2"/>
  <c r="K35" i="2" s="1"/>
  <c r="I36" i="2"/>
  <c r="K36" i="2" s="1"/>
  <c r="I37" i="2"/>
  <c r="K37" i="2" l="1"/>
  <c r="J14" i="2"/>
  <c r="I14" i="2"/>
  <c r="K14" i="2" s="1"/>
  <c r="H14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K6" i="2" s="1"/>
  <c r="H6" i="2"/>
  <c r="J5" i="2"/>
  <c r="I5" i="2"/>
  <c r="H5" i="2"/>
  <c r="J4" i="2"/>
  <c r="I4" i="2"/>
  <c r="H4" i="2"/>
  <c r="J3" i="2"/>
  <c r="I3" i="2"/>
  <c r="H3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K22" i="2" s="1"/>
  <c r="H22" i="2"/>
  <c r="K12" i="2" l="1"/>
  <c r="K7" i="2"/>
  <c r="K27" i="2"/>
  <c r="K11" i="2"/>
  <c r="K24" i="2"/>
  <c r="K8" i="2"/>
  <c r="K3" i="2"/>
  <c r="K5" i="2"/>
  <c r="K30" i="2"/>
  <c r="K9" i="2"/>
  <c r="K33" i="2"/>
  <c r="K13" i="2"/>
  <c r="K4" i="2"/>
  <c r="K31" i="2"/>
  <c r="K10" i="2"/>
  <c r="K25" i="2"/>
  <c r="K26" i="2"/>
  <c r="K32" i="2"/>
  <c r="K28" i="2"/>
  <c r="K23" i="2"/>
  <c r="K29" i="2"/>
  <c r="H6" i="1"/>
  <c r="G7" i="4" l="1"/>
  <c r="F7" i="4"/>
  <c r="D7" i="4"/>
  <c r="D2" i="4"/>
  <c r="D3" i="4"/>
  <c r="D4" i="4"/>
  <c r="D5" i="4"/>
  <c r="D6" i="4"/>
  <c r="D1" i="4"/>
  <c r="C7" i="4"/>
  <c r="D5" i="1" l="1"/>
  <c r="D6" i="1"/>
  <c r="D7" i="1"/>
  <c r="D8" i="1"/>
  <c r="D9" i="1"/>
  <c r="D10" i="1"/>
  <c r="D11" i="1"/>
  <c r="D12" i="1"/>
  <c r="D13" i="1"/>
  <c r="D14" i="1"/>
  <c r="D15" i="1"/>
  <c r="F1" i="1"/>
  <c r="J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H3" i="1"/>
  <c r="H4" i="1"/>
  <c r="H5" i="1"/>
  <c r="H8" i="1"/>
  <c r="H9" i="1"/>
  <c r="H10" i="1"/>
  <c r="H11" i="1"/>
  <c r="H12" i="1"/>
  <c r="H13" i="1"/>
  <c r="H14" i="1"/>
  <c r="H15" i="1"/>
  <c r="H2" i="1"/>
  <c r="N15" i="1" l="1"/>
  <c r="O15" i="1" s="1"/>
  <c r="N14" i="1"/>
  <c r="O14" i="1" s="1"/>
  <c r="N10" i="1"/>
  <c r="O10" i="1" s="1"/>
  <c r="N13" i="1"/>
  <c r="O13" i="1" s="1"/>
  <c r="N2" i="1"/>
  <c r="O2" i="1" s="1"/>
  <c r="N12" i="1"/>
  <c r="O12" i="1" s="1"/>
  <c r="N8" i="1"/>
  <c r="O8" i="1" s="1"/>
  <c r="N6" i="1"/>
  <c r="O6" i="1" s="1"/>
  <c r="N7" i="1"/>
  <c r="O7" i="1" s="1"/>
  <c r="N11" i="1"/>
  <c r="O11" i="1" s="1"/>
  <c r="N9" i="1"/>
  <c r="O9" i="1" s="1"/>
  <c r="N5" i="1"/>
  <c r="O5" i="1" s="1"/>
  <c r="N4" i="1"/>
  <c r="O4" i="1" s="1"/>
  <c r="N3" i="1"/>
  <c r="O3" i="1" s="1"/>
</calcChain>
</file>

<file path=xl/sharedStrings.xml><?xml version="1.0" encoding="utf-8"?>
<sst xmlns="http://schemas.openxmlformats.org/spreadsheetml/2006/main" count="38" uniqueCount="28">
  <si>
    <t>0-3</t>
  </si>
  <si>
    <t>3-6</t>
  </si>
  <si>
    <t>6-9</t>
  </si>
  <si>
    <t>9-12</t>
  </si>
  <si>
    <t>12-15</t>
  </si>
  <si>
    <t>&gt;15</t>
  </si>
  <si>
    <t>(-1,5,4)</t>
  </si>
  <si>
    <t>(-2,-1,5,4)</t>
  </si>
  <si>
    <t>(-3,-2,-1,5,4)</t>
  </si>
  <si>
    <t>(-3)</t>
  </si>
  <si>
    <t>L</t>
  </si>
  <si>
    <t>S</t>
  </si>
  <si>
    <t>OH</t>
  </si>
  <si>
    <t>Lpric</t>
  </si>
  <si>
    <t>Apr 2026</t>
  </si>
  <si>
    <t>observed that MACD was not converging and Diverging at the First Instance. Instead it breaks for atleast 2 to 3 instances and finally converge which results in wrong prediction as buy signal</t>
  </si>
  <si>
    <t xml:space="preserve">How to Address </t>
  </si>
  <si>
    <r>
      <t xml:space="preserve">1. Check for the OI Strength
2. Buy in </t>
    </r>
    <r>
      <rPr>
        <b/>
        <sz val="11"/>
        <color theme="1"/>
        <rFont val="Calibri"/>
        <family val="2"/>
        <scheme val="minor"/>
      </rPr>
      <t>small trenches</t>
    </r>
    <r>
      <rPr>
        <sz val="11"/>
        <color theme="1"/>
        <rFont val="Calibri"/>
        <family val="2"/>
        <scheme val="minor"/>
      </rPr>
      <t xml:space="preserve"> whenever the converge fails, so during converge time, we can profit</t>
    </r>
  </si>
  <si>
    <t xml:space="preserve">Analysis </t>
  </si>
  <si>
    <t>Month</t>
  </si>
  <si>
    <t>Nov 2026</t>
  </si>
  <si>
    <t>wait till it reaches the bottom</t>
  </si>
  <si>
    <t>buy Call option commodity once it comes down and start making U Turn.  10 RS profit is guarnteed from the bottom
As heat demand increases, Natgas price will increase upto 400-450 range</t>
  </si>
  <si>
    <t>Dec 2026</t>
  </si>
  <si>
    <t>After  Dec Expiry , Buy Put option in Natgas, as Natgas price will drop to 300-350 Range in Jan Month before expiry</t>
  </si>
  <si>
    <t>If bulk Qty is bought and trend reversal is observed, Only 10 RS range is allowed, if it exceeds sell blindly… Don’t worry about the loss</t>
  </si>
  <si>
    <t>260 C</t>
  </si>
  <si>
    <t>255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</si>
</sst>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  <xf numFmtId="0" fontId="2" fillId="0" borderId="0" xfId="0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1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5"/>
  <sheetViews>
    <sheetView workbookViewId="0">
      <selection activeCell="B2" sqref="B2"/>
    </sheetView>
  </sheetViews>
  <sheetFormatPr defaultRowHeight="15" x14ac:dyDescent="0.25"/>
  <cols>
    <col min="14" max="17" width="9.140625" style="6"/>
    <col min="19" max="19" width="9.140625" style="6"/>
  </cols>
  <sheetData>
    <row r="1" spans="1:18" x14ac:dyDescent="0.25">
      <c r="B1" s="12">
        <v>24050</v>
      </c>
      <c r="C1" s="12"/>
      <c r="D1" s="2"/>
      <c r="E1" s="2"/>
      <c r="F1" s="12">
        <f>B1+50</f>
        <v>24100</v>
      </c>
      <c r="G1" s="12"/>
      <c r="H1" s="2"/>
      <c r="J1" s="12">
        <f>F1+50</f>
        <v>24150</v>
      </c>
      <c r="K1" s="12"/>
      <c r="O1"/>
      <c r="P1"/>
      <c r="Q1" s="6" t="s">
        <v>12</v>
      </c>
      <c r="R1">
        <v>100000</v>
      </c>
    </row>
    <row r="2" spans="1:18" x14ac:dyDescent="0.25">
      <c r="A2" s="1">
        <v>0.39583333333333331</v>
      </c>
      <c r="D2">
        <f t="shared" ref="D2:D4" si="0">C2-B2</f>
        <v>0</v>
      </c>
      <c r="H2">
        <f t="shared" ref="H2:H15" si="1">G2-F2</f>
        <v>0</v>
      </c>
      <c r="L2">
        <f t="shared" ref="L2:L15" si="2">K2-J2</f>
        <v>0</v>
      </c>
      <c r="N2" s="6">
        <f>ROUND((D2+H2+L2)/3,0)</f>
        <v>0</v>
      </c>
      <c r="O2">
        <f>IF(N2&lt;-60,-5,IF(AND(N2&gt;=-60,N2&lt;-45),-4,IF(AND(N2&gt;=-45,N2&lt;=-31),-3,IF(AND(N2&gt;-31,N2&lt;=-16),-2,IF(AND(N2&gt;-16,N2&lt;=-1),-1,IF(AND(N2&gt;-1,N2&lt;=15),1,IF(AND(N2&gt;15,N2&lt;=30),2,IF(AND(N2&gt;30,N2&lt;=45),3,IF(AND(N2&gt;45,N2&lt;=60),4,5)))))))))</f>
        <v>1</v>
      </c>
      <c r="P2"/>
      <c r="Q2" s="6" t="s">
        <v>13</v>
      </c>
      <c r="R2">
        <v>59</v>
      </c>
    </row>
    <row r="3" spans="1:18" x14ac:dyDescent="0.25">
      <c r="A3" s="1">
        <v>0.40625</v>
      </c>
      <c r="D3">
        <f t="shared" si="0"/>
        <v>0</v>
      </c>
      <c r="H3">
        <f t="shared" si="1"/>
        <v>0</v>
      </c>
      <c r="L3">
        <f t="shared" si="2"/>
        <v>0</v>
      </c>
      <c r="N3" s="6">
        <f t="shared" ref="N3:N15" si="3">(D3+H3+L3)/3</f>
        <v>0</v>
      </c>
      <c r="O3">
        <f t="shared" ref="O3:O15" si="4">IF(N3&lt;-60,-5,IF(AND(N3&gt;=-60,N3&lt;-45),-4,IF(AND(N3&gt;=-45,N3&lt;=-31),-3,IF(AND(N3&gt;-31,N3&lt;=-16),-2,IF(AND(N3&gt;-16,N3&lt;=-1),-1,IF(AND(N3&gt;-1,N3&lt;=15),1,IF(AND(N3&gt;15,N3&lt;=30),2,IF(AND(N3&gt;30,N3&lt;=45),3,IF(AND(N3&gt;45,N3&lt;=60),4,5)))))))))</f>
        <v>1</v>
      </c>
      <c r="P3"/>
      <c r="R3" s="6">
        <f>(R1/3)/(R2*65)</f>
        <v>8.6918730986527599</v>
      </c>
    </row>
    <row r="4" spans="1:18" x14ac:dyDescent="0.25">
      <c r="A4" s="1">
        <v>0.41666666666666669</v>
      </c>
      <c r="D4">
        <f t="shared" si="0"/>
        <v>0</v>
      </c>
      <c r="H4">
        <f t="shared" si="1"/>
        <v>0</v>
      </c>
      <c r="L4">
        <f t="shared" si="2"/>
        <v>0</v>
      </c>
      <c r="N4" s="6">
        <f t="shared" si="3"/>
        <v>0</v>
      </c>
      <c r="O4">
        <f t="shared" si="4"/>
        <v>1</v>
      </c>
      <c r="P4"/>
    </row>
    <row r="5" spans="1:18" x14ac:dyDescent="0.25">
      <c r="A5" s="1">
        <v>0.42708333333333331</v>
      </c>
      <c r="D5">
        <f t="shared" ref="D5:D15" si="5">C5-B5</f>
        <v>0</v>
      </c>
      <c r="H5">
        <f t="shared" si="1"/>
        <v>0</v>
      </c>
      <c r="L5">
        <f t="shared" si="2"/>
        <v>0</v>
      </c>
      <c r="N5" s="6">
        <f t="shared" si="3"/>
        <v>0</v>
      </c>
      <c r="O5">
        <f t="shared" si="4"/>
        <v>1</v>
      </c>
      <c r="P5"/>
    </row>
    <row r="6" spans="1:18" x14ac:dyDescent="0.25">
      <c r="A6" s="1">
        <v>0.4375</v>
      </c>
      <c r="D6">
        <f t="shared" si="5"/>
        <v>0</v>
      </c>
      <c r="H6">
        <f t="shared" si="1"/>
        <v>0</v>
      </c>
      <c r="L6">
        <f t="shared" si="2"/>
        <v>0</v>
      </c>
      <c r="N6" s="6">
        <f t="shared" si="3"/>
        <v>0</v>
      </c>
      <c r="O6">
        <f t="shared" si="4"/>
        <v>1</v>
      </c>
      <c r="P6"/>
    </row>
    <row r="7" spans="1:18" x14ac:dyDescent="0.25">
      <c r="A7" s="1">
        <v>0.44791666666666702</v>
      </c>
      <c r="D7">
        <f t="shared" si="5"/>
        <v>0</v>
      </c>
      <c r="H7">
        <f t="shared" si="1"/>
        <v>0</v>
      </c>
      <c r="L7">
        <f t="shared" si="2"/>
        <v>0</v>
      </c>
      <c r="N7" s="6">
        <f t="shared" si="3"/>
        <v>0</v>
      </c>
      <c r="O7">
        <f t="shared" si="4"/>
        <v>1</v>
      </c>
      <c r="P7"/>
    </row>
    <row r="8" spans="1:18" x14ac:dyDescent="0.25">
      <c r="A8" s="1">
        <v>0.45833333333333298</v>
      </c>
      <c r="D8">
        <f t="shared" si="5"/>
        <v>0</v>
      </c>
      <c r="H8">
        <f t="shared" si="1"/>
        <v>0</v>
      </c>
      <c r="L8">
        <f t="shared" si="2"/>
        <v>0</v>
      </c>
      <c r="N8" s="6">
        <f t="shared" si="3"/>
        <v>0</v>
      </c>
      <c r="O8">
        <f t="shared" si="4"/>
        <v>1</v>
      </c>
      <c r="P8"/>
    </row>
    <row r="9" spans="1:18" x14ac:dyDescent="0.25">
      <c r="A9" s="1">
        <v>0.46875</v>
      </c>
      <c r="D9">
        <f t="shared" si="5"/>
        <v>0</v>
      </c>
      <c r="H9">
        <f t="shared" si="1"/>
        <v>0</v>
      </c>
      <c r="L9">
        <f t="shared" si="2"/>
        <v>0</v>
      </c>
      <c r="N9" s="6">
        <f t="shared" si="3"/>
        <v>0</v>
      </c>
      <c r="O9">
        <f t="shared" si="4"/>
        <v>1</v>
      </c>
      <c r="P9"/>
    </row>
    <row r="10" spans="1:18" x14ac:dyDescent="0.25">
      <c r="A10" s="1">
        <v>0.47916666666666702</v>
      </c>
      <c r="D10">
        <f t="shared" si="5"/>
        <v>0</v>
      </c>
      <c r="H10">
        <f t="shared" si="1"/>
        <v>0</v>
      </c>
      <c r="L10">
        <f t="shared" si="2"/>
        <v>0</v>
      </c>
      <c r="N10" s="6">
        <f t="shared" si="3"/>
        <v>0</v>
      </c>
      <c r="O10">
        <f t="shared" si="4"/>
        <v>1</v>
      </c>
      <c r="P10"/>
    </row>
    <row r="11" spans="1:18" x14ac:dyDescent="0.25">
      <c r="A11" s="1">
        <v>0.48958333333333298</v>
      </c>
      <c r="D11">
        <f t="shared" si="5"/>
        <v>0</v>
      </c>
      <c r="H11">
        <f t="shared" si="1"/>
        <v>0</v>
      </c>
      <c r="L11">
        <f t="shared" si="2"/>
        <v>0</v>
      </c>
      <c r="N11" s="6">
        <f t="shared" si="3"/>
        <v>0</v>
      </c>
      <c r="O11">
        <f t="shared" si="4"/>
        <v>1</v>
      </c>
      <c r="P11"/>
    </row>
    <row r="12" spans="1:18" x14ac:dyDescent="0.25">
      <c r="A12" s="1">
        <v>0.5</v>
      </c>
      <c r="D12">
        <f t="shared" si="5"/>
        <v>0</v>
      </c>
      <c r="H12">
        <f t="shared" si="1"/>
        <v>0</v>
      </c>
      <c r="L12">
        <f t="shared" si="2"/>
        <v>0</v>
      </c>
      <c r="N12" s="6">
        <f t="shared" si="3"/>
        <v>0</v>
      </c>
      <c r="O12">
        <f t="shared" si="4"/>
        <v>1</v>
      </c>
      <c r="P12"/>
    </row>
    <row r="13" spans="1:18" x14ac:dyDescent="0.25">
      <c r="A13" s="1">
        <v>0.51041666666666696</v>
      </c>
      <c r="D13">
        <f t="shared" si="5"/>
        <v>0</v>
      </c>
      <c r="H13">
        <f t="shared" si="1"/>
        <v>0</v>
      </c>
      <c r="L13">
        <f t="shared" si="2"/>
        <v>0</v>
      </c>
      <c r="N13" s="6">
        <f t="shared" si="3"/>
        <v>0</v>
      </c>
      <c r="O13">
        <f t="shared" si="4"/>
        <v>1</v>
      </c>
      <c r="P13"/>
    </row>
    <row r="14" spans="1:18" x14ac:dyDescent="0.25">
      <c r="A14" s="1">
        <v>0.57638888888888884</v>
      </c>
      <c r="D14">
        <f t="shared" si="5"/>
        <v>0</v>
      </c>
      <c r="H14">
        <f t="shared" si="1"/>
        <v>0</v>
      </c>
      <c r="L14">
        <f t="shared" si="2"/>
        <v>0</v>
      </c>
      <c r="N14" s="6">
        <f t="shared" si="3"/>
        <v>0</v>
      </c>
      <c r="O14">
        <f t="shared" si="4"/>
        <v>1</v>
      </c>
      <c r="P14"/>
    </row>
    <row r="15" spans="1:18" x14ac:dyDescent="0.25">
      <c r="A15" s="1">
        <v>0.625</v>
      </c>
      <c r="D15">
        <f t="shared" si="5"/>
        <v>0</v>
      </c>
      <c r="H15">
        <f t="shared" si="1"/>
        <v>0</v>
      </c>
      <c r="L15">
        <f t="shared" si="2"/>
        <v>0</v>
      </c>
      <c r="N15" s="6">
        <f t="shared" si="3"/>
        <v>0</v>
      </c>
      <c r="O15">
        <f t="shared" si="4"/>
        <v>1</v>
      </c>
      <c r="P15"/>
    </row>
  </sheetData>
  <mergeCells count="3">
    <mergeCell ref="B1:C1"/>
    <mergeCell ref="F1:G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4DA7-7530-45B4-AC50-834459734A05}">
  <sheetPr codeName="Sheet2"/>
  <dimension ref="A1:S37"/>
  <sheetViews>
    <sheetView workbookViewId="0">
      <selection activeCell="A2" sqref="A2"/>
    </sheetView>
  </sheetViews>
  <sheetFormatPr defaultRowHeight="15" x14ac:dyDescent="0.25"/>
  <cols>
    <col min="12" max="13" width="9.140625" style="6"/>
    <col min="19" max="19" width="11.85546875" bestFit="1" customWidth="1"/>
  </cols>
  <sheetData>
    <row r="1" spans="1:19" x14ac:dyDescent="0.25">
      <c r="L1" s="13" t="s">
        <v>10</v>
      </c>
      <c r="M1" s="13"/>
      <c r="N1" s="12" t="s">
        <v>11</v>
      </c>
      <c r="O1" s="12"/>
      <c r="P1" s="2"/>
      <c r="Q1" s="2"/>
    </row>
    <row r="2" spans="1:19" x14ac:dyDescent="0.25">
      <c r="A2" s="4" t="s">
        <v>27</v>
      </c>
      <c r="B2" s="2">
        <v>60</v>
      </c>
      <c r="C2" s="5">
        <v>30</v>
      </c>
      <c r="D2" s="5">
        <v>15</v>
      </c>
      <c r="E2" s="5">
        <v>10</v>
      </c>
      <c r="F2" s="5">
        <v>5</v>
      </c>
      <c r="G2" s="5">
        <v>1</v>
      </c>
      <c r="H2" s="5"/>
      <c r="L2" s="6">
        <v>60</v>
      </c>
      <c r="M2" s="6">
        <v>30</v>
      </c>
      <c r="N2">
        <v>5</v>
      </c>
      <c r="O2">
        <v>1</v>
      </c>
    </row>
    <row r="3" spans="1:19" x14ac:dyDescent="0.25">
      <c r="A3" s="1">
        <v>0.38541666666666669</v>
      </c>
      <c r="B3">
        <v>1</v>
      </c>
      <c r="C3">
        <v>-4.0999999999999996</v>
      </c>
      <c r="D3">
        <v>-4.0999999999999996</v>
      </c>
      <c r="E3">
        <v>-3.1</v>
      </c>
      <c r="F3">
        <v>-3</v>
      </c>
      <c r="G3">
        <v>4.0999999999999996</v>
      </c>
      <c r="H3" s="6">
        <f>SUM(B3:G3)</f>
        <v>-9.1999999999999993</v>
      </c>
      <c r="I3">
        <f>6*B3+5*C3+4*D3+3*E3+2*F3+1*G3</f>
        <v>-42.1</v>
      </c>
      <c r="J3">
        <f>30+25+20+15+10+5</f>
        <v>105</v>
      </c>
      <c r="K3" s="3">
        <f>I3/J3</f>
        <v>-0.40095238095238095</v>
      </c>
      <c r="L3" s="8">
        <v>52</v>
      </c>
      <c r="M3" s="6">
        <v>24</v>
      </c>
      <c r="N3">
        <v>13</v>
      </c>
      <c r="O3">
        <v>34</v>
      </c>
      <c r="R3">
        <v>60</v>
      </c>
      <c r="S3" t="s">
        <v>6</v>
      </c>
    </row>
    <row r="4" spans="1:19" x14ac:dyDescent="0.25">
      <c r="A4" s="1">
        <v>0.39583333333333331</v>
      </c>
      <c r="H4" s="6">
        <f t="shared" ref="H4:H18" si="0">SUM(B4:G4)</f>
        <v>0</v>
      </c>
      <c r="I4">
        <f t="shared" ref="I4:I14" si="1">6*B4+5*C4+4*D4+3*E4+2*F4+1*G4</f>
        <v>0</v>
      </c>
      <c r="J4">
        <f t="shared" ref="J4:J18" si="2">30+25+20+15+10+5</f>
        <v>105</v>
      </c>
      <c r="K4" s="3">
        <f t="shared" ref="K4:K14" si="3">I4/J4</f>
        <v>0</v>
      </c>
      <c r="L4" s="8"/>
      <c r="R4">
        <v>30</v>
      </c>
      <c r="S4" t="s">
        <v>6</v>
      </c>
    </row>
    <row r="5" spans="1:19" x14ac:dyDescent="0.25">
      <c r="A5" s="1">
        <v>0.40625</v>
      </c>
      <c r="H5" s="6">
        <f t="shared" si="0"/>
        <v>0</v>
      </c>
      <c r="I5">
        <f t="shared" si="1"/>
        <v>0</v>
      </c>
      <c r="J5">
        <f t="shared" si="2"/>
        <v>105</v>
      </c>
      <c r="K5" s="3">
        <f t="shared" si="3"/>
        <v>0</v>
      </c>
      <c r="L5" s="8"/>
      <c r="R5">
        <v>15</v>
      </c>
      <c r="S5" t="s">
        <v>7</v>
      </c>
    </row>
    <row r="6" spans="1:19" x14ac:dyDescent="0.25">
      <c r="A6" s="1">
        <v>0.41666666666666669</v>
      </c>
      <c r="H6" s="6">
        <f t="shared" si="0"/>
        <v>0</v>
      </c>
      <c r="I6">
        <f t="shared" si="1"/>
        <v>0</v>
      </c>
      <c r="J6">
        <f t="shared" si="2"/>
        <v>105</v>
      </c>
      <c r="K6" s="3">
        <f t="shared" si="3"/>
        <v>0</v>
      </c>
      <c r="L6" s="8"/>
      <c r="R6">
        <v>10</v>
      </c>
      <c r="S6" t="s">
        <v>8</v>
      </c>
    </row>
    <row r="7" spans="1:19" x14ac:dyDescent="0.25">
      <c r="A7" s="1">
        <v>0.42708333333333331</v>
      </c>
      <c r="H7" s="6">
        <f t="shared" si="0"/>
        <v>0</v>
      </c>
      <c r="I7">
        <f t="shared" si="1"/>
        <v>0</v>
      </c>
      <c r="J7">
        <f t="shared" si="2"/>
        <v>105</v>
      </c>
      <c r="K7" s="3">
        <f t="shared" si="3"/>
        <v>0</v>
      </c>
      <c r="L7" s="8"/>
      <c r="R7">
        <v>5</v>
      </c>
      <c r="S7" t="s">
        <v>8</v>
      </c>
    </row>
    <row r="8" spans="1:19" x14ac:dyDescent="0.25">
      <c r="A8" s="1">
        <v>0.4375</v>
      </c>
      <c r="H8" s="6">
        <f t="shared" si="0"/>
        <v>0</v>
      </c>
      <c r="I8">
        <f t="shared" si="1"/>
        <v>0</v>
      </c>
      <c r="J8">
        <f t="shared" si="2"/>
        <v>105</v>
      </c>
      <c r="K8" s="3">
        <f t="shared" si="3"/>
        <v>0</v>
      </c>
      <c r="L8" s="8"/>
      <c r="R8">
        <v>1</v>
      </c>
      <c r="S8" t="s">
        <v>9</v>
      </c>
    </row>
    <row r="9" spans="1:19" x14ac:dyDescent="0.25">
      <c r="A9" s="1">
        <v>0.44791666666666669</v>
      </c>
      <c r="H9" s="6">
        <f t="shared" si="0"/>
        <v>0</v>
      </c>
      <c r="I9">
        <f t="shared" si="1"/>
        <v>0</v>
      </c>
      <c r="J9">
        <f t="shared" si="2"/>
        <v>105</v>
      </c>
      <c r="K9" s="3">
        <f t="shared" si="3"/>
        <v>0</v>
      </c>
      <c r="L9" s="8"/>
    </row>
    <row r="10" spans="1:19" x14ac:dyDescent="0.25">
      <c r="A10" s="1">
        <v>0.45833333333333331</v>
      </c>
      <c r="H10" s="6">
        <f t="shared" si="0"/>
        <v>0</v>
      </c>
      <c r="I10">
        <f t="shared" si="1"/>
        <v>0</v>
      </c>
      <c r="J10">
        <f t="shared" si="2"/>
        <v>105</v>
      </c>
      <c r="K10" s="3">
        <f t="shared" si="3"/>
        <v>0</v>
      </c>
      <c r="L10" s="8"/>
    </row>
    <row r="11" spans="1:19" x14ac:dyDescent="0.25">
      <c r="A11" s="1">
        <v>0.46875</v>
      </c>
      <c r="H11" s="6">
        <f t="shared" si="0"/>
        <v>0</v>
      </c>
      <c r="I11">
        <f t="shared" si="1"/>
        <v>0</v>
      </c>
      <c r="J11">
        <f t="shared" si="2"/>
        <v>105</v>
      </c>
      <c r="K11" s="3">
        <f t="shared" si="3"/>
        <v>0</v>
      </c>
      <c r="L11" s="8"/>
    </row>
    <row r="12" spans="1:19" x14ac:dyDescent="0.25">
      <c r="A12" s="1">
        <v>0.47916666666666669</v>
      </c>
      <c r="H12" s="6">
        <f t="shared" si="0"/>
        <v>0</v>
      </c>
      <c r="I12">
        <f t="shared" si="1"/>
        <v>0</v>
      </c>
      <c r="J12">
        <f t="shared" si="2"/>
        <v>105</v>
      </c>
      <c r="K12" s="3">
        <f t="shared" si="3"/>
        <v>0</v>
      </c>
      <c r="L12" s="8"/>
    </row>
    <row r="13" spans="1:19" x14ac:dyDescent="0.25">
      <c r="A13" s="1">
        <v>0.48958333333333331</v>
      </c>
      <c r="H13" s="6">
        <f t="shared" si="0"/>
        <v>0</v>
      </c>
      <c r="I13">
        <f t="shared" si="1"/>
        <v>0</v>
      </c>
      <c r="J13">
        <f t="shared" si="2"/>
        <v>105</v>
      </c>
      <c r="K13" s="3">
        <f t="shared" si="3"/>
        <v>0</v>
      </c>
      <c r="L13" s="8"/>
    </row>
    <row r="14" spans="1:19" x14ac:dyDescent="0.25">
      <c r="A14" s="1">
        <v>0.5</v>
      </c>
      <c r="H14" s="6">
        <f t="shared" si="0"/>
        <v>0</v>
      </c>
      <c r="I14">
        <f t="shared" si="1"/>
        <v>0</v>
      </c>
      <c r="J14">
        <f t="shared" si="2"/>
        <v>105</v>
      </c>
      <c r="K14" s="3">
        <f t="shared" si="3"/>
        <v>0</v>
      </c>
      <c r="L14" s="8"/>
    </row>
    <row r="15" spans="1:19" x14ac:dyDescent="0.25">
      <c r="A15" s="1">
        <v>0.51041666666666663</v>
      </c>
      <c r="H15" s="6">
        <f t="shared" si="0"/>
        <v>0</v>
      </c>
      <c r="I15">
        <f t="shared" ref="I15:I18" si="4">6*B15+5*C15+4*D15+3*E15+2*F15+1*G15</f>
        <v>0</v>
      </c>
      <c r="J15">
        <f t="shared" si="2"/>
        <v>105</v>
      </c>
      <c r="K15" s="3">
        <f t="shared" ref="K15:K18" si="5">I15/J15</f>
        <v>0</v>
      </c>
      <c r="L15" s="8"/>
    </row>
    <row r="16" spans="1:19" x14ac:dyDescent="0.25">
      <c r="A16" s="1">
        <v>0.52083333333333337</v>
      </c>
      <c r="H16" s="6">
        <f t="shared" si="0"/>
        <v>0</v>
      </c>
      <c r="I16">
        <f t="shared" si="4"/>
        <v>0</v>
      </c>
      <c r="J16">
        <f t="shared" si="2"/>
        <v>105</v>
      </c>
      <c r="K16" s="3">
        <f t="shared" si="5"/>
        <v>0</v>
      </c>
      <c r="L16" s="8"/>
    </row>
    <row r="17" spans="1:19" x14ac:dyDescent="0.25">
      <c r="A17" s="1">
        <v>0.53125</v>
      </c>
      <c r="H17" s="6">
        <f t="shared" si="0"/>
        <v>0</v>
      </c>
      <c r="I17">
        <f t="shared" si="4"/>
        <v>0</v>
      </c>
      <c r="J17">
        <f t="shared" si="2"/>
        <v>105</v>
      </c>
      <c r="K17" s="3">
        <f t="shared" si="5"/>
        <v>0</v>
      </c>
      <c r="L17" s="8"/>
    </row>
    <row r="18" spans="1:19" x14ac:dyDescent="0.25">
      <c r="A18" s="1">
        <v>4.1666666666666664E-2</v>
      </c>
      <c r="H18" s="6">
        <f t="shared" si="0"/>
        <v>0</v>
      </c>
      <c r="I18">
        <f t="shared" si="4"/>
        <v>0</v>
      </c>
      <c r="J18">
        <f t="shared" si="2"/>
        <v>105</v>
      </c>
      <c r="K18" s="3">
        <f t="shared" si="5"/>
        <v>0</v>
      </c>
      <c r="L18" s="8"/>
    </row>
    <row r="19" spans="1:19" x14ac:dyDescent="0.25">
      <c r="A19" s="1"/>
      <c r="H19" s="6"/>
      <c r="K19" s="3"/>
      <c r="L19" s="8"/>
    </row>
    <row r="20" spans="1:19" x14ac:dyDescent="0.25">
      <c r="L20" s="13" t="s">
        <v>10</v>
      </c>
      <c r="M20" s="13"/>
      <c r="N20" s="12" t="s">
        <v>11</v>
      </c>
      <c r="O20" s="12"/>
      <c r="P20" s="2"/>
      <c r="Q20" s="2"/>
    </row>
    <row r="21" spans="1:19" x14ac:dyDescent="0.25">
      <c r="A21" s="4" t="s">
        <v>26</v>
      </c>
      <c r="B21" s="2">
        <v>60</v>
      </c>
      <c r="C21" s="5">
        <v>30</v>
      </c>
      <c r="D21" s="5">
        <v>15</v>
      </c>
      <c r="E21" s="5">
        <v>10</v>
      </c>
      <c r="F21" s="5">
        <v>5</v>
      </c>
      <c r="G21" s="5">
        <v>1</v>
      </c>
      <c r="H21" s="5"/>
      <c r="L21" s="6">
        <v>60</v>
      </c>
      <c r="M21" s="6">
        <v>30</v>
      </c>
      <c r="N21">
        <v>5</v>
      </c>
      <c r="O21">
        <v>1</v>
      </c>
    </row>
    <row r="22" spans="1:19" x14ac:dyDescent="0.25">
      <c r="A22" s="1">
        <v>0.38541666666666669</v>
      </c>
      <c r="H22" s="6">
        <f>SUM(B22:G22)</f>
        <v>0</v>
      </c>
      <c r="I22">
        <f>6*B22+5*C22+4*D22+3*E22+2*F22+1*G22</f>
        <v>0</v>
      </c>
      <c r="J22">
        <f>30+25+20+15+10+5</f>
        <v>105</v>
      </c>
      <c r="K22" s="3">
        <f>I22/J22</f>
        <v>0</v>
      </c>
      <c r="L22" s="8"/>
      <c r="R22">
        <v>60</v>
      </c>
      <c r="S22" t="s">
        <v>6</v>
      </c>
    </row>
    <row r="23" spans="1:19" x14ac:dyDescent="0.25">
      <c r="A23" s="1">
        <v>0.39583333333333331</v>
      </c>
      <c r="H23" s="6">
        <f t="shared" ref="H23:H37" si="6">SUM(B23:G23)</f>
        <v>0</v>
      </c>
      <c r="I23">
        <f>6*B23+5*C23+4*D23+3*E23+2*F23+1*G23</f>
        <v>0</v>
      </c>
      <c r="J23">
        <f t="shared" ref="J23:J37" si="7">30+25+20+15+10+5</f>
        <v>105</v>
      </c>
      <c r="K23" s="3">
        <f t="shared" ref="K23:K37" si="8">I23/J23</f>
        <v>0</v>
      </c>
      <c r="L23" s="8"/>
      <c r="R23">
        <v>30</v>
      </c>
      <c r="S23" t="s">
        <v>6</v>
      </c>
    </row>
    <row r="24" spans="1:19" x14ac:dyDescent="0.25">
      <c r="A24" s="1">
        <v>0.40625</v>
      </c>
      <c r="H24" s="6">
        <f>SUM(B24:G24)</f>
        <v>0</v>
      </c>
      <c r="I24">
        <f>6*B24+5*C24+4*D24+3*E24+2*F24+1*G24</f>
        <v>0</v>
      </c>
      <c r="J24">
        <f t="shared" si="7"/>
        <v>105</v>
      </c>
      <c r="K24" s="3">
        <f t="shared" si="8"/>
        <v>0</v>
      </c>
      <c r="L24" s="8"/>
      <c r="R24">
        <v>15</v>
      </c>
      <c r="S24" t="s">
        <v>7</v>
      </c>
    </row>
    <row r="25" spans="1:19" x14ac:dyDescent="0.25">
      <c r="A25" s="1">
        <v>0.41666666666666669</v>
      </c>
      <c r="H25" s="6">
        <f t="shared" si="6"/>
        <v>0</v>
      </c>
      <c r="I25">
        <f t="shared" ref="I25:I37" si="9">6*B25+5*C25+4*D25+3*E25+2*F25+1*G25</f>
        <v>0</v>
      </c>
      <c r="J25">
        <f t="shared" si="7"/>
        <v>105</v>
      </c>
      <c r="K25" s="3">
        <f t="shared" si="8"/>
        <v>0</v>
      </c>
      <c r="L25" s="8"/>
      <c r="R25">
        <v>10</v>
      </c>
      <c r="S25" t="s">
        <v>8</v>
      </c>
    </row>
    <row r="26" spans="1:19" x14ac:dyDescent="0.25">
      <c r="A26" s="1">
        <v>0.42708333333333331</v>
      </c>
      <c r="H26" s="6">
        <f t="shared" si="6"/>
        <v>0</v>
      </c>
      <c r="I26">
        <f t="shared" si="9"/>
        <v>0</v>
      </c>
      <c r="J26">
        <f t="shared" si="7"/>
        <v>105</v>
      </c>
      <c r="K26" s="3">
        <f t="shared" si="8"/>
        <v>0</v>
      </c>
      <c r="L26" s="8"/>
      <c r="R26">
        <v>5</v>
      </c>
      <c r="S26" t="s">
        <v>8</v>
      </c>
    </row>
    <row r="27" spans="1:19" x14ac:dyDescent="0.25">
      <c r="A27" s="1">
        <v>0.4375</v>
      </c>
      <c r="H27" s="6">
        <f t="shared" si="6"/>
        <v>0</v>
      </c>
      <c r="I27">
        <f t="shared" si="9"/>
        <v>0</v>
      </c>
      <c r="J27">
        <f t="shared" si="7"/>
        <v>105</v>
      </c>
      <c r="K27" s="3">
        <f t="shared" si="8"/>
        <v>0</v>
      </c>
      <c r="L27" s="8"/>
      <c r="R27">
        <v>1</v>
      </c>
      <c r="S27" t="s">
        <v>9</v>
      </c>
    </row>
    <row r="28" spans="1:19" x14ac:dyDescent="0.25">
      <c r="A28" s="1">
        <v>0.44791666666666669</v>
      </c>
      <c r="H28" s="6">
        <f t="shared" si="6"/>
        <v>0</v>
      </c>
      <c r="I28">
        <f t="shared" si="9"/>
        <v>0</v>
      </c>
      <c r="J28">
        <f t="shared" si="7"/>
        <v>105</v>
      </c>
      <c r="K28" s="3">
        <f t="shared" si="8"/>
        <v>0</v>
      </c>
      <c r="L28" s="8"/>
    </row>
    <row r="29" spans="1:19" x14ac:dyDescent="0.25">
      <c r="A29" s="1">
        <v>0.45833333333333331</v>
      </c>
      <c r="H29" s="6">
        <f t="shared" si="6"/>
        <v>0</v>
      </c>
      <c r="I29">
        <f t="shared" si="9"/>
        <v>0</v>
      </c>
      <c r="J29">
        <f t="shared" si="7"/>
        <v>105</v>
      </c>
      <c r="K29" s="3">
        <f t="shared" si="8"/>
        <v>0</v>
      </c>
      <c r="L29" s="8"/>
    </row>
    <row r="30" spans="1:19" x14ac:dyDescent="0.25">
      <c r="A30" s="1">
        <v>0.46875</v>
      </c>
      <c r="H30" s="6">
        <f t="shared" si="6"/>
        <v>0</v>
      </c>
      <c r="I30">
        <f t="shared" si="9"/>
        <v>0</v>
      </c>
      <c r="J30">
        <f t="shared" si="7"/>
        <v>105</v>
      </c>
      <c r="K30" s="3">
        <f t="shared" si="8"/>
        <v>0</v>
      </c>
      <c r="L30" s="8"/>
    </row>
    <row r="31" spans="1:19" x14ac:dyDescent="0.25">
      <c r="A31" s="1">
        <v>0.47916666666666669</v>
      </c>
      <c r="H31" s="6">
        <f t="shared" si="6"/>
        <v>0</v>
      </c>
      <c r="I31">
        <f t="shared" si="9"/>
        <v>0</v>
      </c>
      <c r="J31">
        <f t="shared" si="7"/>
        <v>105</v>
      </c>
      <c r="K31" s="3">
        <f t="shared" si="8"/>
        <v>0</v>
      </c>
      <c r="L31" s="8"/>
    </row>
    <row r="32" spans="1:19" x14ac:dyDescent="0.25">
      <c r="A32" s="1">
        <v>0.48958333333333331</v>
      </c>
      <c r="H32" s="6">
        <f t="shared" si="6"/>
        <v>0</v>
      </c>
      <c r="I32">
        <f t="shared" si="9"/>
        <v>0</v>
      </c>
      <c r="J32">
        <f t="shared" si="7"/>
        <v>105</v>
      </c>
      <c r="K32" s="3">
        <f t="shared" si="8"/>
        <v>0</v>
      </c>
      <c r="L32" s="8"/>
    </row>
    <row r="33" spans="1:12" x14ac:dyDescent="0.25">
      <c r="A33" s="1">
        <v>0.5</v>
      </c>
      <c r="H33" s="6">
        <f t="shared" si="6"/>
        <v>0</v>
      </c>
      <c r="I33">
        <f t="shared" si="9"/>
        <v>0</v>
      </c>
      <c r="J33">
        <f t="shared" si="7"/>
        <v>105</v>
      </c>
      <c r="K33" s="3">
        <f t="shared" si="8"/>
        <v>0</v>
      </c>
      <c r="L33" s="8"/>
    </row>
    <row r="34" spans="1:12" x14ac:dyDescent="0.25">
      <c r="A34" s="1">
        <v>0.51041666666666663</v>
      </c>
      <c r="H34" s="6">
        <f t="shared" si="6"/>
        <v>0</v>
      </c>
      <c r="I34">
        <f t="shared" si="9"/>
        <v>0</v>
      </c>
      <c r="J34">
        <f t="shared" si="7"/>
        <v>105</v>
      </c>
      <c r="K34" s="3">
        <f t="shared" si="8"/>
        <v>0</v>
      </c>
      <c r="L34" s="8"/>
    </row>
    <row r="35" spans="1:12" x14ac:dyDescent="0.25">
      <c r="A35" s="1">
        <v>0.52083333333333337</v>
      </c>
      <c r="H35" s="6">
        <f t="shared" si="6"/>
        <v>0</v>
      </c>
      <c r="I35">
        <f t="shared" si="9"/>
        <v>0</v>
      </c>
      <c r="J35">
        <f t="shared" si="7"/>
        <v>105</v>
      </c>
      <c r="K35" s="3">
        <f t="shared" si="8"/>
        <v>0</v>
      </c>
    </row>
    <row r="36" spans="1:12" x14ac:dyDescent="0.25">
      <c r="A36" s="1">
        <v>0.53125</v>
      </c>
      <c r="H36" s="6">
        <f t="shared" si="6"/>
        <v>0</v>
      </c>
      <c r="I36">
        <f t="shared" si="9"/>
        <v>0</v>
      </c>
      <c r="J36">
        <f t="shared" si="7"/>
        <v>105</v>
      </c>
      <c r="K36" s="3">
        <f t="shared" si="8"/>
        <v>0</v>
      </c>
    </row>
    <row r="37" spans="1:12" x14ac:dyDescent="0.25">
      <c r="A37" s="1">
        <v>4.1666666666666664E-2</v>
      </c>
      <c r="H37" s="6">
        <f t="shared" si="6"/>
        <v>0</v>
      </c>
      <c r="I37">
        <f t="shared" si="9"/>
        <v>0</v>
      </c>
      <c r="J37">
        <f t="shared" si="7"/>
        <v>105</v>
      </c>
      <c r="K37" s="3">
        <f t="shared" si="8"/>
        <v>0</v>
      </c>
    </row>
  </sheetData>
  <mergeCells count="4">
    <mergeCell ref="L20:M20"/>
    <mergeCell ref="N20:O20"/>
    <mergeCell ref="L1:M1"/>
    <mergeCell ref="N1:O1"/>
  </mergeCells>
  <conditionalFormatting sqref="B22:B34">
    <cfRule type="cellIs" dxfId="13" priority="16" operator="equal">
      <formula>5</formula>
    </cfRule>
  </conditionalFormatting>
  <conditionalFormatting sqref="B3:C19">
    <cfRule type="cellIs" dxfId="12" priority="5" operator="between">
      <formula>-2</formula>
      <formula>-1</formula>
    </cfRule>
    <cfRule type="cellIs" dxfId="11" priority="6" operator="between">
      <formula>4</formula>
      <formula>5</formula>
    </cfRule>
  </conditionalFormatting>
  <conditionalFormatting sqref="B22:C34">
    <cfRule type="cellIs" dxfId="10" priority="13" operator="between">
      <formula>-2</formula>
      <formula>-1</formula>
    </cfRule>
  </conditionalFormatting>
  <conditionalFormatting sqref="C22:C34">
    <cfRule type="cellIs" dxfId="9" priority="14" operator="between">
      <formula>4</formula>
      <formula>5</formula>
    </cfRule>
  </conditionalFormatting>
  <conditionalFormatting sqref="F3:F19">
    <cfRule type="cellIs" dxfId="8" priority="3" operator="between">
      <formula>-2</formula>
      <formula>-1</formula>
    </cfRule>
  </conditionalFormatting>
  <conditionalFormatting sqref="F22:F34">
    <cfRule type="cellIs" dxfId="7" priority="11" operator="between">
      <formula>-2</formula>
      <formula>-1</formula>
    </cfRule>
  </conditionalFormatting>
  <conditionalFormatting sqref="G3:G19">
    <cfRule type="cellIs" dxfId="6" priority="4" operator="between">
      <formula>-3</formula>
      <formula>-1</formula>
    </cfRule>
  </conditionalFormatting>
  <conditionalFormatting sqref="G22:G34">
    <cfRule type="cellIs" dxfId="5" priority="12" operator="between">
      <formula>-3</formula>
      <formula>-1</formula>
    </cfRule>
  </conditionalFormatting>
  <conditionalFormatting sqref="K1:K1048576">
    <cfRule type="cellIs" dxfId="4" priority="10" operator="greaterThan">
      <formula>0.4</formula>
    </cfRule>
  </conditionalFormatting>
  <conditionalFormatting sqref="L3:Q19">
    <cfRule type="cellIs" dxfId="3" priority="9" operator="greaterThan">
      <formula>55</formula>
    </cfRule>
  </conditionalFormatting>
  <conditionalFormatting sqref="L22:Q34">
    <cfRule type="cellIs" dxfId="2" priority="21" operator="greaterThan">
      <formula>55</formula>
    </cfRule>
  </conditionalFormatting>
  <conditionalFormatting sqref="D4:E9">
    <cfRule type="cellIs" dxfId="1" priority="1" operator="between">
      <formula>-2</formula>
      <formula>-1</formula>
    </cfRule>
    <cfRule type="cellIs" dxfId="0" priority="2" operator="between">
      <formula>4</formula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BEE4-F4CC-490D-9B6E-CAA9022C7B53}">
  <dimension ref="A1:O15"/>
  <sheetViews>
    <sheetView tabSelected="1" workbookViewId="0">
      <selection activeCell="A4" sqref="A4"/>
    </sheetView>
  </sheetViews>
  <sheetFormatPr defaultRowHeight="15" x14ac:dyDescent="0.25"/>
  <cols>
    <col min="4" max="4" width="9.140625" style="6"/>
    <col min="8" max="8" width="9.140625" style="6"/>
    <col min="12" max="12" width="9.140625" style="6"/>
    <col min="14" max="14" width="9.140625" style="6"/>
  </cols>
  <sheetData>
    <row r="1" spans="1:15" x14ac:dyDescent="0.25">
      <c r="B1" s="12">
        <v>260</v>
      </c>
      <c r="C1" s="12"/>
      <c r="D1" s="5"/>
      <c r="E1" s="2"/>
      <c r="F1" s="12">
        <f>B1+5</f>
        <v>265</v>
      </c>
      <c r="G1" s="12"/>
      <c r="H1" s="5"/>
      <c r="J1" s="12">
        <f>F1+5</f>
        <v>270</v>
      </c>
      <c r="K1" s="12"/>
    </row>
    <row r="2" spans="1:15" x14ac:dyDescent="0.25">
      <c r="A2" s="1">
        <v>0.20833333333333334</v>
      </c>
      <c r="B2">
        <v>6700</v>
      </c>
      <c r="C2">
        <v>4201</v>
      </c>
      <c r="D2" s="6">
        <f>(C2-B2)/100</f>
        <v>-24.99</v>
      </c>
      <c r="F2">
        <v>2148</v>
      </c>
      <c r="G2">
        <v>930</v>
      </c>
      <c r="H2" s="6">
        <f>(G2-F2)/100</f>
        <v>-12.18</v>
      </c>
      <c r="J2">
        <v>6278</v>
      </c>
      <c r="K2">
        <v>2446</v>
      </c>
      <c r="L2" s="6">
        <f>(K2-J2)/100</f>
        <v>-38.32</v>
      </c>
      <c r="N2" s="6">
        <f>ROUND((D2+H2+L2)/3,0)</f>
        <v>-25</v>
      </c>
      <c r="O2">
        <f>IF(N2&lt;-45,-4,IF(AND(N2&gt;=-45,N2&lt;=-31),-3,IF(AND(N2&gt;=-30,N2&lt;=-16),-2,IF(AND(N2&gt;=-15,N2&lt;=-1),-1,IF(AND(N2&gt;=1,N2&lt;=15),1,IF(AND(N2&gt;=16,N2&lt;=30),2,IF(AND(N2&gt;=31,N2&lt;=45),3,IF(N2=0,0,4))))))))</f>
        <v>-2</v>
      </c>
    </row>
    <row r="3" spans="1:15" x14ac:dyDescent="0.25">
      <c r="A3" s="1">
        <v>0.21875</v>
      </c>
      <c r="B3">
        <v>6779</v>
      </c>
      <c r="C3">
        <v>4663</v>
      </c>
      <c r="D3" s="6">
        <f t="shared" ref="D3:D15" si="0">(C3-B3)/100</f>
        <v>-21.16</v>
      </c>
      <c r="F3">
        <v>2308</v>
      </c>
      <c r="G3">
        <v>961</v>
      </c>
      <c r="H3" s="6">
        <f t="shared" ref="H3:H15" si="1">(G3-F3)/100</f>
        <v>-13.47</v>
      </c>
      <c r="J3">
        <v>6461</v>
      </c>
      <c r="K3">
        <v>2678</v>
      </c>
      <c r="L3" s="6">
        <f t="shared" ref="L3:L15" si="2">(K3-J3)/100</f>
        <v>-37.83</v>
      </c>
      <c r="N3" s="6">
        <f t="shared" ref="N3:N15" si="3">ROUND((D3+H3+L3)/3,0)</f>
        <v>-24</v>
      </c>
      <c r="O3">
        <f t="shared" ref="O3:O15" si="4">IF(N3&lt;-45,-4,IF(AND(N3&gt;=-45,N3&lt;=-31),-3,IF(AND(N3&gt;=-30,N3&lt;=-16),-2,IF(AND(N3&gt;=-15,N3&lt;=-1),-1,IF(AND(N3&gt;=1,N3&lt;=15),1,IF(AND(N3&gt;=16,N3&lt;=30),2,IF(AND(N3&gt;=31,N3&lt;=45),3,IF(N3=0,0,4))))))))</f>
        <v>-2</v>
      </c>
    </row>
    <row r="4" spans="1:15" x14ac:dyDescent="0.25">
      <c r="A4" s="1">
        <v>0.22916666666666699</v>
      </c>
      <c r="B4">
        <v>7090</v>
      </c>
      <c r="C4">
        <v>5217</v>
      </c>
      <c r="D4" s="6">
        <f t="shared" si="0"/>
        <v>-18.73</v>
      </c>
      <c r="F4">
        <v>2422</v>
      </c>
      <c r="G4">
        <v>1259</v>
      </c>
      <c r="H4" s="6">
        <f t="shared" si="1"/>
        <v>-11.63</v>
      </c>
      <c r="J4">
        <v>6535</v>
      </c>
      <c r="K4">
        <v>2616</v>
      </c>
      <c r="L4" s="6">
        <f t="shared" si="2"/>
        <v>-39.19</v>
      </c>
      <c r="N4" s="6">
        <f t="shared" si="3"/>
        <v>-23</v>
      </c>
      <c r="O4">
        <f t="shared" si="4"/>
        <v>-2</v>
      </c>
    </row>
    <row r="5" spans="1:15" x14ac:dyDescent="0.25">
      <c r="A5" s="1">
        <v>0.23958333333333301</v>
      </c>
      <c r="D5" s="6">
        <f t="shared" si="0"/>
        <v>0</v>
      </c>
      <c r="H5" s="6">
        <f t="shared" si="1"/>
        <v>0</v>
      </c>
      <c r="L5" s="6">
        <f t="shared" si="2"/>
        <v>0</v>
      </c>
      <c r="N5" s="6">
        <f t="shared" si="3"/>
        <v>0</v>
      </c>
      <c r="O5">
        <f t="shared" si="4"/>
        <v>0</v>
      </c>
    </row>
    <row r="6" spans="1:15" x14ac:dyDescent="0.25">
      <c r="A6" s="1">
        <v>0.25</v>
      </c>
      <c r="D6" s="6">
        <f t="shared" si="0"/>
        <v>0</v>
      </c>
      <c r="H6" s="6">
        <f t="shared" si="1"/>
        <v>0</v>
      </c>
      <c r="L6" s="6">
        <f t="shared" si="2"/>
        <v>0</v>
      </c>
      <c r="N6" s="6">
        <f t="shared" si="3"/>
        <v>0</v>
      </c>
      <c r="O6">
        <f t="shared" si="4"/>
        <v>0</v>
      </c>
    </row>
    <row r="7" spans="1:15" x14ac:dyDescent="0.25">
      <c r="A7" s="1">
        <v>0.26041666666666702</v>
      </c>
      <c r="D7" s="6">
        <f t="shared" si="0"/>
        <v>0</v>
      </c>
      <c r="H7" s="6">
        <f t="shared" si="1"/>
        <v>0</v>
      </c>
      <c r="L7" s="6">
        <f t="shared" si="2"/>
        <v>0</v>
      </c>
      <c r="N7" s="6">
        <f t="shared" si="3"/>
        <v>0</v>
      </c>
      <c r="O7">
        <f t="shared" si="4"/>
        <v>0</v>
      </c>
    </row>
    <row r="8" spans="1:15" x14ac:dyDescent="0.25">
      <c r="A8" s="1">
        <v>0.27083333333333298</v>
      </c>
      <c r="D8" s="6">
        <f t="shared" si="0"/>
        <v>0</v>
      </c>
      <c r="H8" s="6">
        <f t="shared" si="1"/>
        <v>0</v>
      </c>
      <c r="L8" s="6">
        <f t="shared" si="2"/>
        <v>0</v>
      </c>
      <c r="N8" s="6">
        <f t="shared" si="3"/>
        <v>0</v>
      </c>
      <c r="O8">
        <f t="shared" si="4"/>
        <v>0</v>
      </c>
    </row>
    <row r="9" spans="1:15" x14ac:dyDescent="0.25">
      <c r="A9" s="1">
        <v>0.28125</v>
      </c>
      <c r="D9" s="6">
        <f t="shared" si="0"/>
        <v>0</v>
      </c>
      <c r="H9" s="6">
        <f t="shared" si="1"/>
        <v>0</v>
      </c>
      <c r="L9" s="6">
        <f t="shared" si="2"/>
        <v>0</v>
      </c>
      <c r="N9" s="6">
        <f t="shared" si="3"/>
        <v>0</v>
      </c>
      <c r="O9">
        <f t="shared" si="4"/>
        <v>0</v>
      </c>
    </row>
    <row r="10" spans="1:15" x14ac:dyDescent="0.25">
      <c r="A10" s="1">
        <v>0.29166666666666702</v>
      </c>
      <c r="D10" s="6">
        <f t="shared" si="0"/>
        <v>0</v>
      </c>
      <c r="H10" s="6">
        <f t="shared" si="1"/>
        <v>0</v>
      </c>
      <c r="L10" s="6">
        <f t="shared" si="2"/>
        <v>0</v>
      </c>
      <c r="N10" s="6">
        <f t="shared" si="3"/>
        <v>0</v>
      </c>
      <c r="O10">
        <f t="shared" si="4"/>
        <v>0</v>
      </c>
    </row>
    <row r="11" spans="1:15" x14ac:dyDescent="0.25">
      <c r="A11" s="1">
        <v>0.30208333333333298</v>
      </c>
      <c r="D11" s="6">
        <f t="shared" si="0"/>
        <v>0</v>
      </c>
      <c r="H11" s="6">
        <f t="shared" si="1"/>
        <v>0</v>
      </c>
      <c r="L11" s="6">
        <f t="shared" si="2"/>
        <v>0</v>
      </c>
      <c r="N11" s="6">
        <f t="shared" si="3"/>
        <v>0</v>
      </c>
      <c r="O11">
        <f t="shared" si="4"/>
        <v>0</v>
      </c>
    </row>
    <row r="12" spans="1:15" x14ac:dyDescent="0.25">
      <c r="A12" s="1">
        <v>0.3125</v>
      </c>
      <c r="D12" s="6">
        <f t="shared" si="0"/>
        <v>0</v>
      </c>
      <c r="H12" s="6">
        <f t="shared" si="1"/>
        <v>0</v>
      </c>
      <c r="L12" s="6">
        <f t="shared" si="2"/>
        <v>0</v>
      </c>
      <c r="N12" s="6">
        <f t="shared" si="3"/>
        <v>0</v>
      </c>
      <c r="O12">
        <f t="shared" si="4"/>
        <v>0</v>
      </c>
    </row>
    <row r="13" spans="1:15" x14ac:dyDescent="0.25">
      <c r="A13" s="1">
        <v>0.32291666666666602</v>
      </c>
      <c r="D13" s="6">
        <f t="shared" si="0"/>
        <v>0</v>
      </c>
      <c r="H13" s="6">
        <f t="shared" si="1"/>
        <v>0</v>
      </c>
      <c r="L13" s="6">
        <f t="shared" si="2"/>
        <v>0</v>
      </c>
      <c r="N13" s="6">
        <f t="shared" si="3"/>
        <v>0</v>
      </c>
      <c r="O13">
        <f t="shared" si="4"/>
        <v>0</v>
      </c>
    </row>
    <row r="14" spans="1:15" x14ac:dyDescent="0.25">
      <c r="A14" s="1">
        <v>0.33333333333333298</v>
      </c>
      <c r="D14" s="6">
        <f t="shared" si="0"/>
        <v>0</v>
      </c>
      <c r="H14" s="6">
        <f t="shared" si="1"/>
        <v>0</v>
      </c>
      <c r="L14" s="6">
        <f t="shared" si="2"/>
        <v>0</v>
      </c>
      <c r="N14" s="6">
        <f t="shared" si="3"/>
        <v>0</v>
      </c>
      <c r="O14">
        <f t="shared" si="4"/>
        <v>0</v>
      </c>
    </row>
    <row r="15" spans="1:15" x14ac:dyDescent="0.25">
      <c r="A15" s="1">
        <v>0.34375</v>
      </c>
      <c r="D15" s="6">
        <f t="shared" si="0"/>
        <v>0</v>
      </c>
      <c r="H15" s="6">
        <f t="shared" si="1"/>
        <v>0</v>
      </c>
      <c r="L15" s="6">
        <f t="shared" si="2"/>
        <v>0</v>
      </c>
      <c r="N15" s="6">
        <f t="shared" si="3"/>
        <v>0</v>
      </c>
      <c r="O15">
        <f t="shared" si="4"/>
        <v>0</v>
      </c>
    </row>
  </sheetData>
  <mergeCells count="3">
    <mergeCell ref="B1:C1"/>
    <mergeCell ref="F1:G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BD02-6DA5-4BAE-A116-88FB7FECD05C}">
  <dimension ref="A1:G7"/>
  <sheetViews>
    <sheetView workbookViewId="0">
      <selection activeCell="C6" sqref="C6"/>
    </sheetView>
  </sheetViews>
  <sheetFormatPr defaultRowHeight="15" x14ac:dyDescent="0.25"/>
  <cols>
    <col min="1" max="1" width="9.140625" style="7"/>
  </cols>
  <sheetData>
    <row r="1" spans="1:7" x14ac:dyDescent="0.25">
      <c r="A1" s="7" t="s">
        <v>0</v>
      </c>
      <c r="B1">
        <v>0</v>
      </c>
      <c r="C1">
        <v>3</v>
      </c>
      <c r="D1">
        <f>C1*(B1/100)</f>
        <v>0</v>
      </c>
    </row>
    <row r="2" spans="1:7" x14ac:dyDescent="0.25">
      <c r="A2" s="7" t="s">
        <v>1</v>
      </c>
      <c r="B2">
        <v>5</v>
      </c>
      <c r="C2">
        <v>3</v>
      </c>
      <c r="D2">
        <f t="shared" ref="D2:D6" si="0">C2*(B2/100)</f>
        <v>0.15000000000000002</v>
      </c>
    </row>
    <row r="3" spans="1:7" x14ac:dyDescent="0.25">
      <c r="A3" s="7" t="s">
        <v>2</v>
      </c>
      <c r="B3">
        <v>10</v>
      </c>
      <c r="C3">
        <v>3</v>
      </c>
      <c r="D3">
        <f t="shared" si="0"/>
        <v>0.30000000000000004</v>
      </c>
    </row>
    <row r="4" spans="1:7" x14ac:dyDescent="0.25">
      <c r="A4" s="7" t="s">
        <v>3</v>
      </c>
      <c r="B4">
        <v>15</v>
      </c>
      <c r="C4">
        <v>3</v>
      </c>
      <c r="D4">
        <f t="shared" si="0"/>
        <v>0.44999999999999996</v>
      </c>
    </row>
    <row r="5" spans="1:7" x14ac:dyDescent="0.25">
      <c r="A5" s="7" t="s">
        <v>4</v>
      </c>
      <c r="B5">
        <v>20</v>
      </c>
      <c r="C5">
        <v>3</v>
      </c>
      <c r="D5">
        <f t="shared" si="0"/>
        <v>0.60000000000000009</v>
      </c>
    </row>
    <row r="6" spans="1:7" x14ac:dyDescent="0.25">
      <c r="A6" s="7" t="s">
        <v>5</v>
      </c>
      <c r="B6">
        <v>30</v>
      </c>
      <c r="C6">
        <v>15</v>
      </c>
      <c r="D6">
        <f t="shared" si="0"/>
        <v>4.5</v>
      </c>
    </row>
    <row r="7" spans="1:7" x14ac:dyDescent="0.25">
      <c r="C7">
        <f>SUM(C1:C6)</f>
        <v>30</v>
      </c>
      <c r="D7">
        <f>SUM(D1:D6)</f>
        <v>6</v>
      </c>
      <c r="E7">
        <v>4</v>
      </c>
      <c r="F7">
        <f>D7*(E7/100)</f>
        <v>0.24</v>
      </c>
      <c r="G7">
        <f>D7+F7</f>
        <v>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9F22-B890-4886-8384-025B6BF760D0}">
  <dimension ref="A1:C8"/>
  <sheetViews>
    <sheetView workbookViewId="0">
      <selection activeCell="C8" sqref="C8"/>
    </sheetView>
  </sheetViews>
  <sheetFormatPr defaultRowHeight="15" x14ac:dyDescent="0.25"/>
  <cols>
    <col min="1" max="1" width="9.140625" style="7"/>
    <col min="2" max="2" width="87" customWidth="1"/>
    <col min="3" max="3" width="46.5703125" customWidth="1"/>
  </cols>
  <sheetData>
    <row r="1" spans="1:3" x14ac:dyDescent="0.25">
      <c r="A1" s="7" t="s">
        <v>19</v>
      </c>
      <c r="B1" t="s">
        <v>18</v>
      </c>
      <c r="C1" t="s">
        <v>16</v>
      </c>
    </row>
    <row r="2" spans="1:3" ht="45" x14ac:dyDescent="0.25">
      <c r="A2" s="11" t="s">
        <v>14</v>
      </c>
      <c r="B2" s="10" t="s">
        <v>15</v>
      </c>
      <c r="C2" s="10" t="s">
        <v>17</v>
      </c>
    </row>
    <row r="3" spans="1:3" ht="45" x14ac:dyDescent="0.25">
      <c r="A3" s="11" t="s">
        <v>20</v>
      </c>
      <c r="B3" s="9" t="s">
        <v>22</v>
      </c>
      <c r="C3" t="s">
        <v>21</v>
      </c>
    </row>
    <row r="4" spans="1:3" ht="30" x14ac:dyDescent="0.25">
      <c r="A4" s="11" t="s">
        <v>23</v>
      </c>
      <c r="B4" s="9" t="s">
        <v>24</v>
      </c>
    </row>
    <row r="5" spans="1:3" ht="30" x14ac:dyDescent="0.25">
      <c r="B5" s="9" t="s">
        <v>25</v>
      </c>
    </row>
    <row r="8" spans="1:3" x14ac:dyDescent="0.25">
      <c r="C8">
        <f>325*93</f>
        <v>30225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</vt:lpstr>
      <vt:lpstr>Sheet2</vt:lpstr>
      <vt:lpstr>C</vt:lpstr>
      <vt:lpstr>Sheet4</vt:lpstr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2026-04-27T11:57:25Z</dcterms:modified>
</cp:coreProperties>
</file>